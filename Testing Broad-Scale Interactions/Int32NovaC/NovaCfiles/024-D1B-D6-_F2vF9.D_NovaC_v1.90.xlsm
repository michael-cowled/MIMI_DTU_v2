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3.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activeX/activeX1.xml" ContentType="application/vnd.ms-office.activeX+xml"/>
  <Override PartName="/xl/activeX/activeX1.bin" ContentType="application/vnd.ms-office.activeX"/>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ml.chartshapes+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drawings/drawing13.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Z:\Staff\Michael\Metabolomics\Int_Exp_32_novaC\13602_NCE222.S\NovaCfiles\"/>
    </mc:Choice>
  </mc:AlternateContent>
  <xr:revisionPtr revIDLastSave="0" documentId="13_ncr:1_{E2BBA24A-D7B7-4150-AE4C-0688FDCC4FE0}" xr6:coauthVersionLast="45" xr6:coauthVersionMax="45" xr10:uidLastSave="{00000000-0000-0000-0000-000000000000}"/>
  <bookViews>
    <workbookView xWindow="-120" yWindow="-120" windowWidth="29040" windowHeight="15840" xr2:uid="{00000000-000D-0000-FFFF-FFFF00000000}"/>
  </bookViews>
  <sheets>
    <sheet name="Peaks" sheetId="1" r:id="rId1"/>
    <sheet name="Summary" sheetId="11" r:id="rId2"/>
    <sheet name="Chromatograms" sheetId="14" r:id="rId3"/>
    <sheet name="Overlay" sheetId="12" r:id="rId4"/>
    <sheet name="UVGrid" sheetId="15" r:id="rId5"/>
    <sheet name="UVSearch" sheetId="17" r:id="rId6"/>
    <sheet name="Database" sheetId="16" r:id="rId7"/>
    <sheet name="Controls" sheetId="10" r:id="rId8"/>
    <sheet name="UVVisData" sheetId="2" state="hidden" r:id="rId9"/>
    <sheet name="NormalisedUVVisData" sheetId="3" state="hidden" r:id="rId10"/>
    <sheet name="PeakLabels" sheetId="5" state="hidden" r:id="rId11"/>
    <sheet name="MSData" sheetId="7" state="hidden" r:id="rId12"/>
    <sheet name="MSSpectra" sheetId="8" state="hidden" r:id="rId13"/>
    <sheet name="MSPeakLabels" sheetId="9" state="hidden" r:id="rId14"/>
    <sheet name="ChromatogramData" sheetId="13" state="hidden" r:id="rId15"/>
  </sheets>
  <functionGroups builtInGroupCount="19"/>
  <definedNames>
    <definedName name="_xlnm._FilterDatabase" localSheetId="6" hidden="1">Database!$B$1:$HX$1</definedName>
    <definedName name="_xlnm._FilterDatabase" localSheetId="0" hidden="1">Peaks!$A$4:$S$4</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11" l="1"/>
  <c r="L6" i="11"/>
  <c r="L29" i="11" l="1"/>
  <c r="M29" i="11" s="1"/>
  <c r="L28" i="11"/>
  <c r="M28" i="11" s="1"/>
  <c r="L27" i="11"/>
  <c r="M27" i="11" s="1"/>
  <c r="L26" i="11"/>
  <c r="M26" i="11" s="1"/>
  <c r="L25" i="11"/>
  <c r="M25" i="11" s="1"/>
  <c r="L24" i="11"/>
  <c r="M24" i="11" s="1"/>
  <c r="L23" i="11"/>
  <c r="M23" i="11" s="1"/>
  <c r="L22" i="11"/>
  <c r="M22" i="11" s="1"/>
  <c r="L21" i="11"/>
  <c r="M21" i="11" s="1"/>
  <c r="L20" i="11"/>
  <c r="M20" i="11" s="1"/>
  <c r="L19" i="11"/>
  <c r="M19" i="11" s="1"/>
  <c r="L18" i="11"/>
  <c r="M18" i="11" s="1"/>
  <c r="L17" i="11"/>
  <c r="M17" i="11" s="1"/>
  <c r="L16" i="11"/>
  <c r="M16" i="11" s="1"/>
  <c r="L15" i="11"/>
  <c r="M15" i="11" s="1"/>
  <c r="L14" i="11"/>
  <c r="M14" i="11" s="1"/>
  <c r="L13" i="11"/>
  <c r="M13" i="11" s="1"/>
  <c r="L12" i="11"/>
  <c r="M12" i="11" s="1"/>
  <c r="L11" i="11"/>
  <c r="M11" i="11" s="1"/>
  <c r="L10" i="11"/>
  <c r="M10" i="11" s="1"/>
  <c r="D5" i="1" l="1"/>
  <c r="D6" i="1"/>
  <c r="D7" i="1"/>
  <c r="D8" i="1"/>
  <c r="D9" i="1"/>
  <c r="L9" i="11" l="1"/>
  <c r="M9" i="11" s="1"/>
  <c r="L8" i="11"/>
  <c r="M8" i="11" s="1"/>
  <c r="L7" i="11"/>
  <c r="M7" i="11" s="1"/>
  <c r="M6" i="11"/>
  <c r="L5" i="11"/>
  <c r="M5" i="11" s="1"/>
  <c r="L4" i="11"/>
  <c r="M4" i="11" s="1"/>
  <c r="M3" i="11"/>
  <c r="L2" i="11"/>
  <c r="M2" i="11" s="1"/>
  <c r="F9" i="1" l="1"/>
  <c r="F8" i="1"/>
  <c r="F7" i="1"/>
  <c r="F6" i="1"/>
  <c r="F5" i="1"/>
  <c r="I24" i="11" l="1"/>
  <c r="E24" i="11"/>
  <c r="E22" i="11"/>
  <c r="I22" i="11"/>
  <c r="G20" i="11" l="1"/>
  <c r="G18" i="11"/>
  <c r="G16" i="11"/>
  <c r="G14" i="11"/>
  <c r="G12" i="11"/>
  <c r="G10" i="11"/>
  <c r="C20" i="11"/>
  <c r="C18" i="11"/>
  <c r="C16" i="11"/>
  <c r="C14" i="11"/>
  <c r="C12" i="11"/>
  <c r="C10" i="11"/>
  <c r="G4" i="11"/>
  <c r="G6" i="11"/>
  <c r="G8" i="11"/>
  <c r="C8" i="11"/>
  <c r="C6" i="11"/>
  <c r="C4" i="11"/>
  <c r="I20" i="11" l="1"/>
  <c r="I18" i="11"/>
  <c r="I16" i="11"/>
  <c r="I14" i="11"/>
  <c r="I12" i="11"/>
  <c r="I10" i="11"/>
  <c r="E20" i="11" l="1"/>
  <c r="E18" i="11"/>
  <c r="E16" i="11"/>
  <c r="E14" i="11"/>
  <c r="E12" i="11"/>
  <c r="E10" i="11"/>
  <c r="E8" i="11"/>
  <c r="E6" i="11"/>
  <c r="E4" i="11"/>
  <c r="I5" i="1"/>
  <c r="I6" i="1"/>
  <c r="I9" i="1"/>
  <c r="I8" i="1"/>
  <c r="I7" i="1"/>
  <c r="K7" i="1"/>
  <c r="K9" i="1"/>
  <c r="K8" i="1"/>
  <c r="K6" i="1"/>
  <c r="K5" i="1"/>
</calcChain>
</file>

<file path=xl/sharedStrings.xml><?xml version="1.0" encoding="utf-8"?>
<sst xmlns="http://schemas.openxmlformats.org/spreadsheetml/2006/main" count="199" uniqueCount="147">
  <si>
    <t>RetTime</t>
  </si>
  <si>
    <t>Area</t>
  </si>
  <si>
    <t>%Area</t>
  </si>
  <si>
    <t>Cum%Area</t>
  </si>
  <si>
    <t>UV-Vis</t>
  </si>
  <si>
    <t>WL</t>
  </si>
  <si>
    <t>ID</t>
  </si>
  <si>
    <t>Path:</t>
  </si>
  <si>
    <t>Name:</t>
  </si>
  <si>
    <t>MW</t>
  </si>
  <si>
    <t>MS Positive</t>
  </si>
  <si>
    <t>MS Negative</t>
  </si>
  <si>
    <t>UV Peaks</t>
  </si>
  <si>
    <t>Pos/Neg</t>
  </si>
  <si>
    <t>Rank</t>
  </si>
  <si>
    <t>X</t>
  </si>
  <si>
    <t>Total number of peaks</t>
  </si>
  <si>
    <t>Total peak Area</t>
  </si>
  <si>
    <t>#</t>
  </si>
  <si>
    <t>%</t>
  </si>
  <si>
    <t>Cutoffs</t>
  </si>
  <si>
    <t>Peaks - UV</t>
  </si>
  <si>
    <t>Area - UV</t>
  </si>
  <si>
    <t>Peaks - Non-UV</t>
  </si>
  <si>
    <t>Area - Non-UV</t>
  </si>
  <si>
    <t>Red numbers are NOT linked to summary</t>
  </si>
  <si>
    <t>(min)</t>
  </si>
  <si>
    <t>(ratio)</t>
  </si>
  <si>
    <t>Class A</t>
  </si>
  <si>
    <t>Time</t>
  </si>
  <si>
    <t>x</t>
  </si>
  <si>
    <t>Height</t>
  </si>
  <si>
    <t>Peak</t>
  </si>
  <si>
    <t>210 nm</t>
  </si>
  <si>
    <t>254 nm</t>
  </si>
  <si>
    <t>MS Pos</t>
  </si>
  <si>
    <t>MS Neg</t>
  </si>
  <si>
    <t>210raw</t>
  </si>
  <si>
    <t>254raw</t>
  </si>
  <si>
    <t>Posraw</t>
  </si>
  <si>
    <t>Negraw</t>
  </si>
  <si>
    <t>Rel Height</t>
  </si>
  <si>
    <t>Inconclusive</t>
  </si>
  <si>
    <t>Unresolved</t>
  </si>
  <si>
    <r>
      <rPr>
        <b/>
        <sz val="11"/>
        <color theme="1"/>
        <rFont val="Calibri"/>
        <family val="2"/>
        <scheme val="minor"/>
      </rPr>
      <t>Step 1</t>
    </r>
    <r>
      <rPr>
        <sz val="11"/>
        <color theme="1"/>
        <rFont val="Calibri"/>
        <family val="2"/>
        <scheme val="minor"/>
      </rPr>
      <t>: Highlight label in list -----&gt;</t>
    </r>
  </si>
  <si>
    <r>
      <rPr>
        <b/>
        <sz val="11"/>
        <color theme="1"/>
        <rFont val="Calibri"/>
        <family val="2"/>
        <scheme val="minor"/>
      </rPr>
      <t>Step 2:</t>
    </r>
    <r>
      <rPr>
        <sz val="11"/>
        <color theme="1"/>
        <rFont val="Calibri"/>
        <family val="2"/>
        <scheme val="minor"/>
      </rPr>
      <t xml:space="preserve"> Click on a button below</t>
    </r>
  </si>
  <si>
    <t>Peaks - Hidden</t>
  </si>
  <si>
    <t>Exclude hidden peak area (0=No;1=Yes)</t>
  </si>
  <si>
    <t>Peak Label</t>
  </si>
  <si>
    <t>Class B</t>
  </si>
  <si>
    <t>Class C</t>
  </si>
  <si>
    <t>Class D</t>
  </si>
  <si>
    <t>Class E</t>
  </si>
  <si>
    <t>Class F</t>
  </si>
  <si>
    <t>Class G</t>
  </si>
  <si>
    <t>Class H</t>
  </si>
  <si>
    <t>Class I</t>
  </si>
  <si>
    <t>Class J</t>
  </si>
  <si>
    <t>Class K</t>
  </si>
  <si>
    <t>Class L</t>
  </si>
  <si>
    <t>Class M</t>
  </si>
  <si>
    <t>Class N</t>
  </si>
  <si>
    <t>Class O</t>
  </si>
  <si>
    <t>Class P</t>
  </si>
  <si>
    <t>Notes</t>
  </si>
  <si>
    <t>Class Q</t>
  </si>
  <si>
    <t>Class R</t>
  </si>
  <si>
    <t>Class S</t>
  </si>
  <si>
    <t>Class T</t>
  </si>
  <si>
    <t>Class U</t>
  </si>
  <si>
    <t>Class V</t>
  </si>
  <si>
    <t>Class W</t>
  </si>
  <si>
    <t>Class X</t>
  </si>
  <si>
    <t>Class Y</t>
  </si>
  <si>
    <t>Class Z</t>
  </si>
  <si>
    <t>Click Mode</t>
  </si>
  <si>
    <t>Relative Peak Threshold</t>
  </si>
  <si>
    <t>Absolute Peak Threshold</t>
  </si>
  <si>
    <t>Zap Peak Distance</t>
  </si>
  <si>
    <t>Relative Shoulder Threshold</t>
  </si>
  <si>
    <t>Absolute Shoulder Threshold</t>
  </si>
  <si>
    <t>Zap Shoulder Distance</t>
  </si>
  <si>
    <t>mAU</t>
  </si>
  <si>
    <t>nm</t>
  </si>
  <si>
    <t>Shoulder Sensitivity</t>
  </si>
  <si>
    <t>Slope Sensitivity</t>
  </si>
  <si>
    <t>To hide or show a particular class:</t>
  </si>
  <si>
    <t>Peak Label Settings</t>
  </si>
  <si>
    <t>Bogus Spectrum Sensitivity</t>
  </si>
  <si>
    <t>Bogus Spectrum Label</t>
  </si>
  <si>
    <t>Name</t>
  </si>
  <si>
    <t>Unique</t>
  </si>
  <si>
    <t>Retention Time</t>
  </si>
  <si>
    <t>Exact Mass</t>
  </si>
  <si>
    <t>Copy Table Settings</t>
  </si>
  <si>
    <t>Grid Options</t>
  </si>
  <si>
    <t>Auto Class and Database Lookup Settings</t>
  </si>
  <si>
    <t>Hash</t>
  </si>
  <si>
    <t>Root Mean Square</t>
  </si>
  <si>
    <t>Area Between Curves</t>
  </si>
  <si>
    <t>Kolmogorov-Smirnov</t>
  </si>
  <si>
    <t>Fréchet distance</t>
  </si>
  <si>
    <t>Euclidean Distance</t>
  </si>
  <si>
    <t>Sensitivity</t>
  </si>
  <si>
    <t>Range</t>
  </si>
  <si>
    <t>Algorithm for comparing UV-vis spectra</t>
  </si>
  <si>
    <t>Wavelengths of spectra to compare</t>
  </si>
  <si>
    <t>Retention Time Tolerance</t>
  </si>
  <si>
    <t>min</t>
  </si>
  <si>
    <t>Step</t>
  </si>
  <si>
    <t>Simplify</t>
  </si>
  <si>
    <t>RT</t>
  </si>
  <si>
    <t>Match</t>
  </si>
  <si>
    <t>l</t>
  </si>
  <si>
    <t>Down</t>
  </si>
  <si>
    <t>Up</t>
  </si>
  <si>
    <t>Wavelengths of spectra to search</t>
  </si>
  <si>
    <t>Max Rank</t>
  </si>
  <si>
    <t>Maximum Rank (return the 'n' largest peaks)</t>
  </si>
  <si>
    <t>Minimum absolute area of peak</t>
  </si>
  <si>
    <t>% Area</t>
  </si>
  <si>
    <t>Minimum percent of total peak area</t>
  </si>
  <si>
    <t>Minimum absolute peak height</t>
  </si>
  <si>
    <t>Minimum relative peak height (Largest peak = 100%)</t>
  </si>
  <si>
    <t>Min RT</t>
  </si>
  <si>
    <t>Minimum retention time (increase to avoid solvent front/early eluting peaks)</t>
  </si>
  <si>
    <t>Max RT</t>
  </si>
  <si>
    <t>Maximum retention time (decrease to avoid reequilibration artifacts/fats)</t>
  </si>
  <si>
    <t>Database "Add Peaks" Selection</t>
  </si>
  <si>
    <t>Maximum Database Hits to Display</t>
  </si>
  <si>
    <t>Filename</t>
  </si>
  <si>
    <t>Append to Database Peak Name</t>
  </si>
  <si>
    <t>Peak Name if no ID</t>
  </si>
  <si>
    <t>NovaC v1.90</t>
  </si>
  <si>
    <t>(02 Dec 2019)</t>
  </si>
  <si>
    <t>E:\HPLC 2 Data\13602_NCE222\13602_NCE222 2020-09-24 17-34-15\024-D1B-D6-_F2vF9.D</t>
  </si>
  <si>
    <t>_F2vF9</t>
  </si>
  <si>
    <t>WL(nm)</t>
  </si>
  <si>
    <t>316s</t>
  </si>
  <si>
    <t>334s</t>
  </si>
  <si>
    <t>298s</t>
  </si>
  <si>
    <t>264s</t>
  </si>
  <si>
    <t>1</t>
  </si>
  <si>
    <t>2</t>
  </si>
  <si>
    <t>3</t>
  </si>
  <si>
    <t>4</t>
  </si>
  <si>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</sst>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3" x14ac:knownFonts="1">
    <font>
      <sz val="11"/>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b/>
      <sz val="11"/>
      <color theme="1"/>
      <name val="Calibri"/>
      <family val="2"/>
      <scheme val="minor"/>
    </font>
    <font>
      <b/>
      <sz val="11"/>
      <color rgb="FFFF0000"/>
      <name val="Calibri"/>
      <family val="2"/>
      <scheme val="minor"/>
    </font>
    <font>
      <b/>
      <sz val="11"/>
      <color rgb="FF0000FF"/>
      <name val="Calibri"/>
      <family val="2"/>
      <scheme val="minor"/>
    </font>
    <font>
      <b/>
      <sz val="11"/>
      <name val="Calibri"/>
      <family val="2"/>
      <scheme val="minor"/>
    </font>
    <font>
      <sz val="11"/>
      <color theme="1"/>
      <name val="Calibri"/>
      <family val="2"/>
      <scheme val="minor"/>
    </font>
    <font>
      <sz val="11"/>
      <color rgb="FFFF0000"/>
      <name val="Calibri"/>
      <family val="2"/>
      <scheme val="minor"/>
    </font>
    <font>
      <b/>
      <sz val="12"/>
      <color theme="1"/>
      <name val="Calibri"/>
      <family val="2"/>
      <scheme val="minor"/>
    </font>
    <font>
      <sz val="8"/>
      <color rgb="FF000000"/>
      <name val="Segoe UI"/>
      <family val="2"/>
    </font>
    <font>
      <b/>
      <sz val="12"/>
      <color rgb="FFFF0000"/>
      <name val="Calibri"/>
      <family val="2"/>
      <scheme val="minor"/>
    </font>
    <font>
      <b/>
      <sz val="14"/>
      <color rgb="FFFF0000"/>
      <name val="Calibri"/>
      <family val="2"/>
      <scheme val="minor"/>
    </font>
    <font>
      <i/>
      <sz val="11"/>
      <color theme="1"/>
      <name val="Calibri"/>
      <family val="2"/>
      <scheme val="minor"/>
    </font>
    <font>
      <b/>
      <sz val="14"/>
      <color rgb="FFFF0000"/>
      <name val="Calibri"/>
      <family val="2"/>
    </font>
    <font>
      <sz val="14"/>
      <color rgb="FF000000"/>
      <name val="Calibri"/>
      <family val="2"/>
    </font>
    <font>
      <sz val="16"/>
      <color rgb="FF000000"/>
      <name val="Calibri"/>
      <family val="2"/>
    </font>
    <font>
      <b/>
      <sz val="14"/>
      <color rgb="FF000000"/>
      <name val="Calibri"/>
      <family val="2"/>
    </font>
    <font>
      <sz val="10"/>
      <color theme="1"/>
      <name val="Calibri"/>
      <family val="2"/>
      <scheme val="minor"/>
    </font>
    <font>
      <sz val="8"/>
      <color rgb="FF000000"/>
      <name val="Calibri"/>
      <family val="2"/>
    </font>
    <font>
      <sz val="11"/>
      <name val="Calibri"/>
      <family val="2"/>
      <scheme val="minor"/>
    </font>
    <font>
      <b/>
      <sz val="11"/>
      <color theme="1"/>
      <name val="Symbol"/>
      <family val="1"/>
      <charset val="2"/>
    </font>
  </fonts>
  <fills count="5">
    <fill>
      <patternFill patternType="none"/>
    </fill>
    <fill>
      <patternFill patternType="gray125"/>
    </fill>
    <fill>
      <patternFill patternType="solid">
        <fgColor theme="7" tint="0.39994506668294322"/>
        <bgColor indexed="64"/>
      </patternFill>
    </fill>
    <fill>
      <patternFill patternType="solid">
        <fgColor theme="0" tint="-0.249977111117893"/>
        <bgColor indexed="64"/>
      </patternFill>
    </fill>
    <fill>
      <patternFill patternType="solid">
        <fgColor theme="5" tint="0.39994506668294322"/>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diagonal/>
    </border>
    <border>
      <left style="medium">
        <color rgb="FF0000FF"/>
      </left>
      <right style="medium">
        <color rgb="FF0000FF"/>
      </right>
      <top style="medium">
        <color rgb="FF0000FF"/>
      </top>
      <bottom style="medium">
        <color rgb="FF0000FF"/>
      </bottom>
      <diagonal/>
    </border>
    <border>
      <left style="medium">
        <color rgb="FFFF0000"/>
      </left>
      <right style="medium">
        <color rgb="FFFF0000"/>
      </right>
      <top style="medium">
        <color rgb="FFFF0000"/>
      </top>
      <bottom style="medium">
        <color rgb="FFFF0000"/>
      </bottom>
      <diagonal/>
    </border>
    <border>
      <left/>
      <right/>
      <top style="medium">
        <color rgb="FF0000FF"/>
      </top>
      <bottom/>
      <diagonal/>
    </border>
    <border>
      <left style="medium">
        <color rgb="FF0000FF"/>
      </left>
      <right/>
      <top style="medium">
        <color rgb="FF0000FF"/>
      </top>
      <bottom/>
      <diagonal/>
    </border>
    <border>
      <left/>
      <right/>
      <top/>
      <bottom style="medium">
        <color rgb="FFFF0000"/>
      </bottom>
      <diagonal/>
    </border>
    <border>
      <left/>
      <right/>
      <top style="medium">
        <color rgb="FFFF0000"/>
      </top>
      <bottom/>
      <diagonal/>
    </border>
    <border>
      <left style="thin">
        <color theme="1"/>
      </left>
      <right style="medium">
        <color rgb="FFFF0000"/>
      </right>
      <top style="medium">
        <color rgb="FFFF0000"/>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auto="1"/>
      </left>
      <right/>
      <top/>
      <bottom style="medium">
        <color indexed="64"/>
      </bottom>
      <diagonal/>
    </border>
    <border>
      <left style="thin">
        <color auto="1"/>
      </left>
      <right/>
      <top/>
      <bottom/>
      <diagonal/>
    </border>
    <border>
      <left style="thin">
        <color auto="1"/>
      </left>
      <right/>
      <top style="medium">
        <color indexed="64"/>
      </top>
      <bottom style="medium">
        <color indexed="64"/>
      </bottom>
      <diagonal/>
    </border>
  </borders>
  <cellStyleXfs count="2">
    <xf numFmtId="0" fontId="0" fillId="0" borderId="0"/>
    <xf numFmtId="9" fontId="8" fillId="0" borderId="0" applyFont="0" applyFill="0" applyBorder="0" applyAlignment="0" applyProtection="0"/>
  </cellStyleXfs>
  <cellXfs count="132">
    <xf numFmtId="0" fontId="0" fillId="0" borderId="0" xfId="0"/>
    <xf numFmtId="0" fontId="0" fillId="0" borderId="0" xfId="0" applyBorder="1"/>
    <xf numFmtId="0" fontId="5" fillId="0" borderId="1" xfId="0" applyFont="1" applyBorder="1" applyAlignment="1">
      <alignment horizontal="center"/>
    </xf>
    <xf numFmtId="0" fontId="0" fillId="0" borderId="0" xfId="0" applyNumberFormat="1"/>
    <xf numFmtId="0" fontId="0" fillId="0" borderId="4" xfId="0" applyBorder="1"/>
    <xf numFmtId="0" fontId="4" fillId="0" borderId="0" xfId="0" applyFont="1"/>
    <xf numFmtId="0" fontId="9" fillId="0" borderId="5" xfId="0" applyFont="1" applyBorder="1" applyAlignment="1">
      <alignment horizontal="center"/>
    </xf>
    <xf numFmtId="0" fontId="9" fillId="0" borderId="0" xfId="0" applyFont="1"/>
    <xf numFmtId="0" fontId="1" fillId="0" borderId="0" xfId="0" applyFont="1" applyBorder="1" applyAlignment="1">
      <alignment horizontal="center" vertical="center"/>
    </xf>
    <xf numFmtId="0" fontId="4" fillId="0" borderId="0" xfId="0" applyFont="1" applyAlignment="1">
      <alignment horizontal="center"/>
    </xf>
    <xf numFmtId="0" fontId="4" fillId="0" borderId="0" xfId="0" applyFont="1" applyAlignment="1">
      <alignment horizontal="center"/>
    </xf>
    <xf numFmtId="0" fontId="0" fillId="0" borderId="12" xfId="0" applyBorder="1"/>
    <xf numFmtId="0" fontId="0" fillId="0" borderId="13" xfId="0" applyBorder="1"/>
    <xf numFmtId="0" fontId="4" fillId="0" borderId="11" xfId="0" applyFont="1" applyBorder="1" applyAlignment="1">
      <alignment horizontal="center"/>
    </xf>
    <xf numFmtId="0" fontId="12"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4" fillId="0" borderId="16" xfId="0" applyFont="1" applyBorder="1" applyAlignment="1">
      <alignment horizontal="center"/>
    </xf>
    <xf numFmtId="0" fontId="4" fillId="0" borderId="18" xfId="0" applyFont="1" applyBorder="1" applyAlignment="1">
      <alignment horizontal="center"/>
    </xf>
    <xf numFmtId="0" fontId="4" fillId="0" borderId="17" xfId="0" applyFont="1" applyBorder="1" applyAlignment="1">
      <alignment horizontal="center"/>
    </xf>
    <xf numFmtId="0" fontId="0" fillId="0" borderId="0" xfId="0" applyAlignment="1" applyProtection="1">
      <alignment horizontal="left"/>
      <protection locked="0" hidden="1"/>
    </xf>
    <xf numFmtId="0" fontId="0" fillId="0" borderId="0" xfId="0" applyAlignment="1" applyProtection="1">
      <alignment horizontal="center"/>
      <protection locked="0" hidden="1"/>
    </xf>
    <xf numFmtId="0" fontId="4" fillId="0" borderId="0" xfId="0" applyFont="1" applyBorder="1" applyProtection="1">
      <protection locked="0" hidden="1"/>
    </xf>
    <xf numFmtId="0" fontId="0" fillId="0" borderId="0" xfId="0" applyBorder="1" applyProtection="1">
      <protection locked="0" hidden="1"/>
    </xf>
    <xf numFmtId="0" fontId="0" fillId="0" borderId="0" xfId="0" applyProtection="1">
      <protection locked="0" hidden="1"/>
    </xf>
    <xf numFmtId="0" fontId="5" fillId="0" borderId="1" xfId="0" applyFont="1" applyBorder="1" applyAlignment="1" applyProtection="1">
      <alignment horizontal="center"/>
      <protection locked="0" hidden="1"/>
    </xf>
    <xf numFmtId="0" fontId="4" fillId="0" borderId="0" xfId="0" applyFont="1" applyBorder="1" applyAlignment="1" applyProtection="1">
      <alignment horizontal="center"/>
      <protection locked="0" hidden="1"/>
    </xf>
    <xf numFmtId="0" fontId="5" fillId="0" borderId="0" xfId="0" applyFont="1" applyAlignment="1" applyProtection="1">
      <alignment horizontal="center"/>
      <protection locked="0" hidden="1"/>
    </xf>
    <xf numFmtId="0" fontId="4" fillId="0" borderId="5" xfId="0" applyFont="1" applyBorder="1" applyAlignment="1" applyProtection="1">
      <alignment horizontal="left"/>
      <protection locked="0" hidden="1"/>
    </xf>
    <xf numFmtId="0" fontId="0" fillId="0" borderId="5" xfId="0" applyBorder="1" applyAlignment="1" applyProtection="1">
      <alignment horizontal="center"/>
      <protection locked="0" hidden="1"/>
    </xf>
    <xf numFmtId="0" fontId="0" fillId="0" borderId="0" xfId="0" applyBorder="1" applyAlignment="1" applyProtection="1">
      <alignment horizontal="center"/>
      <protection locked="0" hidden="1"/>
    </xf>
    <xf numFmtId="0" fontId="14" fillId="0" borderId="0" xfId="0" applyFont="1" applyAlignment="1" applyProtection="1">
      <alignment horizontal="center"/>
      <protection locked="0" hidden="1"/>
    </xf>
    <xf numFmtId="0" fontId="1" fillId="0" borderId="0" xfId="0" applyFont="1" applyAlignment="1" applyProtection="1">
      <alignment horizontal="left"/>
      <protection locked="0" hidden="1"/>
    </xf>
    <xf numFmtId="0" fontId="1" fillId="0" borderId="0" xfId="0" applyFont="1" applyAlignment="1" applyProtection="1">
      <alignment horizontal="center"/>
      <protection locked="0" hidden="1"/>
    </xf>
    <xf numFmtId="0" fontId="2" fillId="0" borderId="0" xfId="0" applyFont="1" applyAlignment="1" applyProtection="1">
      <alignment horizontal="center" vertical="center"/>
      <protection locked="0" hidden="1"/>
    </xf>
    <xf numFmtId="2" fontId="2" fillId="0" borderId="0" xfId="0" applyNumberFormat="1" applyFont="1" applyAlignment="1" applyProtection="1">
      <alignment horizontal="center" vertical="center"/>
      <protection locked="0" hidden="1"/>
    </xf>
    <xf numFmtId="164" fontId="2" fillId="0" borderId="0" xfId="0" applyNumberFormat="1" applyFont="1" applyAlignment="1" applyProtection="1">
      <alignment horizontal="center" vertical="center"/>
      <protection locked="0" hidden="1"/>
    </xf>
    <xf numFmtId="1" fontId="2" fillId="0" borderId="0" xfId="0" applyNumberFormat="1" applyFont="1" applyAlignment="1" applyProtection="1">
      <alignment horizontal="center" vertical="center"/>
      <protection locked="0" hidden="1"/>
    </xf>
    <xf numFmtId="0" fontId="2" fillId="0" borderId="0" xfId="0" applyFont="1" applyAlignment="1" applyProtection="1">
      <alignment horizontal="center" vertical="center" wrapText="1"/>
      <protection locked="0" hidden="1"/>
    </xf>
    <xf numFmtId="164" fontId="2" fillId="0" borderId="0" xfId="0" applyNumberFormat="1" applyFont="1" applyAlignment="1" applyProtection="1">
      <alignment horizontal="center" vertical="center" wrapText="1"/>
      <protection locked="0" hidden="1"/>
    </xf>
    <xf numFmtId="0" fontId="9" fillId="0" borderId="0" xfId="0" quotePrefix="1" applyFont="1" applyBorder="1" applyAlignment="1">
      <alignment horizontal="center"/>
    </xf>
    <xf numFmtId="0" fontId="5" fillId="0" borderId="0" xfId="0" applyFont="1" applyBorder="1" applyAlignment="1">
      <alignment horizontal="center"/>
    </xf>
    <xf numFmtId="0" fontId="4" fillId="0" borderId="0" xfId="0" applyFont="1" applyAlignment="1" applyProtection="1">
      <alignment horizontal="center"/>
      <protection locked="0" hidden="1"/>
    </xf>
    <xf numFmtId="0" fontId="0" fillId="0" borderId="12" xfId="0" applyBorder="1" applyProtection="1">
      <protection locked="0" hidden="1"/>
    </xf>
    <xf numFmtId="0" fontId="0" fillId="0" borderId="13" xfId="0" applyBorder="1" applyProtection="1">
      <protection locked="0" hidden="1"/>
    </xf>
    <xf numFmtId="0" fontId="9" fillId="0" borderId="0" xfId="0" quotePrefix="1" applyFont="1" applyBorder="1" applyAlignment="1" applyProtection="1">
      <alignment horizontal="center"/>
      <protection locked="0" hidden="1"/>
    </xf>
    <xf numFmtId="0" fontId="5" fillId="0" borderId="0" xfId="0" applyFont="1" applyBorder="1" applyAlignment="1" applyProtection="1">
      <alignment horizontal="center"/>
      <protection locked="0" hidden="1"/>
    </xf>
    <xf numFmtId="0" fontId="4" fillId="0" borderId="0" xfId="0" applyFont="1" applyProtection="1">
      <protection locked="0" hidden="1"/>
    </xf>
    <xf numFmtId="49" fontId="2" fillId="0" borderId="0" xfId="0" applyNumberFormat="1" applyFont="1" applyAlignment="1" applyProtection="1">
      <alignment horizontal="center" vertical="center"/>
      <protection locked="0" hidden="1"/>
    </xf>
    <xf numFmtId="0" fontId="0" fillId="0" borderId="2" xfId="0" applyBorder="1"/>
    <xf numFmtId="0" fontId="4" fillId="0" borderId="0" xfId="0" applyFont="1" applyBorder="1"/>
    <xf numFmtId="0" fontId="0" fillId="0" borderId="0" xfId="0" applyFont="1" applyBorder="1" applyProtection="1">
      <protection locked="0" hidden="1"/>
    </xf>
    <xf numFmtId="0" fontId="9" fillId="0" borderId="0" xfId="0" applyFont="1" applyBorder="1" applyAlignment="1" applyProtection="1">
      <alignment horizontal="center"/>
      <protection locked="0" hidden="1"/>
    </xf>
    <xf numFmtId="0" fontId="6" fillId="0" borderId="19" xfId="0" applyFont="1" applyBorder="1"/>
    <xf numFmtId="0" fontId="0" fillId="0" borderId="7" xfId="0" applyBorder="1"/>
    <xf numFmtId="0" fontId="0" fillId="0" borderId="20" xfId="0" applyBorder="1"/>
    <xf numFmtId="0" fontId="0" fillId="0" borderId="11" xfId="0" applyBorder="1"/>
    <xf numFmtId="0" fontId="4" fillId="0" borderId="21" xfId="0" applyFont="1" applyBorder="1"/>
    <xf numFmtId="0" fontId="4" fillId="0" borderId="20" xfId="0" applyFont="1" applyBorder="1"/>
    <xf numFmtId="0" fontId="0" fillId="0" borderId="22" xfId="0" applyBorder="1"/>
    <xf numFmtId="0" fontId="0" fillId="0" borderId="8" xfId="0" applyBorder="1"/>
    <xf numFmtId="0" fontId="0" fillId="0" borderId="23" xfId="0" applyBorder="1"/>
    <xf numFmtId="0" fontId="4" fillId="0" borderId="3" xfId="0" applyFont="1" applyBorder="1"/>
    <xf numFmtId="0" fontId="0" fillId="0" borderId="0" xfId="0" applyProtection="1">
      <protection hidden="1"/>
    </xf>
    <xf numFmtId="0" fontId="10" fillId="0" borderId="0" xfId="0" applyFont="1" applyAlignment="1" applyProtection="1">
      <alignment horizontal="center"/>
      <protection hidden="1"/>
    </xf>
    <xf numFmtId="0" fontId="4" fillId="0" borderId="0" xfId="0" applyFont="1" applyAlignment="1" applyProtection="1">
      <alignment horizontal="center"/>
      <protection hidden="1"/>
    </xf>
    <xf numFmtId="0" fontId="5" fillId="0" borderId="0" xfId="0" applyFont="1" applyAlignment="1" applyProtection="1">
      <alignment horizontal="center"/>
      <protection hidden="1"/>
    </xf>
    <xf numFmtId="0" fontId="4" fillId="0" borderId="6" xfId="0" applyFont="1" applyBorder="1" applyProtection="1">
      <protection hidden="1"/>
    </xf>
    <xf numFmtId="0" fontId="0" fillId="0" borderId="5" xfId="0" applyBorder="1" applyProtection="1">
      <protection hidden="1"/>
    </xf>
    <xf numFmtId="165" fontId="0" fillId="0" borderId="0" xfId="1" applyNumberFormat="1" applyFont="1" applyBorder="1" applyProtection="1">
      <protection hidden="1"/>
    </xf>
    <xf numFmtId="164" fontId="0" fillId="0" borderId="5" xfId="0" applyNumberFormat="1" applyBorder="1" applyProtection="1">
      <protection hidden="1"/>
    </xf>
    <xf numFmtId="0" fontId="4" fillId="0" borderId="5" xfId="0" applyFont="1" applyBorder="1" applyProtection="1">
      <protection hidden="1"/>
    </xf>
    <xf numFmtId="0" fontId="0" fillId="0" borderId="5" xfId="0" applyBorder="1" applyAlignment="1" applyProtection="1">
      <alignment horizontal="center"/>
      <protection hidden="1"/>
    </xf>
    <xf numFmtId="165" fontId="0" fillId="0" borderId="5" xfId="0" applyNumberFormat="1" applyBorder="1" applyAlignment="1" applyProtection="1">
      <alignment horizontal="center"/>
      <protection hidden="1"/>
    </xf>
    <xf numFmtId="165" fontId="0" fillId="0" borderId="5" xfId="1" applyNumberFormat="1" applyFont="1" applyBorder="1" applyProtection="1">
      <protection hidden="1"/>
    </xf>
    <xf numFmtId="0" fontId="0" fillId="0" borderId="0" xfId="0" applyAlignment="1" applyProtection="1">
      <alignment horizontal="center"/>
      <protection hidden="1"/>
    </xf>
    <xf numFmtId="0" fontId="0" fillId="0" borderId="0" xfId="0" applyBorder="1" applyProtection="1">
      <protection hidden="1"/>
    </xf>
    <xf numFmtId="0" fontId="9" fillId="0" borderId="0" xfId="0" applyFont="1" applyBorder="1" applyAlignment="1" applyProtection="1">
      <alignment horizontal="center"/>
      <protection hidden="1"/>
    </xf>
    <xf numFmtId="0" fontId="4" fillId="0" borderId="0" xfId="0" applyFont="1" applyProtection="1">
      <protection hidden="1"/>
    </xf>
    <xf numFmtId="0" fontId="4" fillId="0" borderId="0" xfId="0" applyFont="1" applyBorder="1" applyProtection="1">
      <protection hidden="1"/>
    </xf>
    <xf numFmtId="0" fontId="0" fillId="0" borderId="0" xfId="0" applyBorder="1" applyAlignment="1" applyProtection="1">
      <alignment horizontal="center"/>
      <protection hidden="1"/>
    </xf>
    <xf numFmtId="165" fontId="0" fillId="0" borderId="0" xfId="0" applyNumberFormat="1" applyBorder="1" applyAlignment="1" applyProtection="1">
      <alignment horizontal="center"/>
      <protection hidden="1"/>
    </xf>
    <xf numFmtId="0" fontId="9" fillId="0" borderId="5" xfId="0" applyFont="1" applyBorder="1" applyAlignment="1" applyProtection="1">
      <alignment horizontal="center"/>
      <protection locked="0" hidden="1"/>
    </xf>
    <xf numFmtId="0" fontId="5" fillId="0" borderId="5" xfId="0" applyFont="1" applyBorder="1" applyAlignment="1" applyProtection="1">
      <alignment horizontal="center" vertical="center"/>
      <protection locked="0" hidden="1"/>
    </xf>
    <xf numFmtId="0" fontId="4" fillId="0" borderId="0" xfId="0" applyFont="1" applyAlignment="1">
      <alignment horizontal="left"/>
    </xf>
    <xf numFmtId="0" fontId="0" fillId="0" borderId="24" xfId="0" applyBorder="1"/>
    <xf numFmtId="0" fontId="0" fillId="0" borderId="25" xfId="0" applyBorder="1"/>
    <xf numFmtId="0" fontId="19" fillId="0" borderId="0" xfId="0" applyFont="1" applyBorder="1" applyAlignment="1">
      <alignment horizontal="center"/>
    </xf>
    <xf numFmtId="0" fontId="4" fillId="0" borderId="1" xfId="0" applyFont="1" applyBorder="1" applyAlignment="1">
      <alignment horizontal="center"/>
    </xf>
    <xf numFmtId="0" fontId="19" fillId="0" borderId="0" xfId="0" applyFont="1" applyBorder="1" applyAlignment="1">
      <alignment horizontal="left"/>
    </xf>
    <xf numFmtId="0" fontId="21" fillId="0" borderId="0" xfId="0" applyFont="1" applyBorder="1" applyAlignment="1" applyProtection="1">
      <alignment horizontal="center"/>
      <protection locked="0" hidden="1"/>
    </xf>
    <xf numFmtId="0" fontId="4" fillId="0" borderId="0" xfId="0" applyFont="1" applyAlignment="1" applyProtection="1">
      <alignment horizontal="right"/>
      <protection locked="0" hidden="1"/>
    </xf>
    <xf numFmtId="0" fontId="22" fillId="0" borderId="0" xfId="0" applyFont="1" applyAlignment="1" applyProtection="1">
      <alignment horizontal="right"/>
      <protection locked="0" hidden="1"/>
    </xf>
    <xf numFmtId="2" fontId="5" fillId="0" borderId="1" xfId="0" applyNumberFormat="1" applyFont="1" applyBorder="1" applyAlignment="1" applyProtection="1">
      <alignment horizontal="center"/>
      <protection locked="0" hidden="1"/>
    </xf>
    <xf numFmtId="0" fontId="6" fillId="0" borderId="20" xfId="0" applyFont="1" applyBorder="1"/>
    <xf numFmtId="0" fontId="5" fillId="0" borderId="1" xfId="0" applyFont="1" applyFill="1" applyBorder="1" applyAlignment="1">
      <alignment horizontal="center"/>
    </xf>
    <xf numFmtId="0" fontId="5" fillId="0" borderId="28" xfId="0" applyFont="1" applyFill="1" applyBorder="1" applyAlignment="1">
      <alignment horizontal="center"/>
    </xf>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8" xfId="0" applyBorder="1"/>
    <xf numFmtId="0" fontId="6" fillId="0" borderId="0" xfId="0" applyFont="1" applyBorder="1"/>
    <xf numFmtId="0" fontId="0" fillId="0" borderId="0" xfId="0" applyAlignment="1">
      <alignment horizontal="center"/>
    </xf>
    <xf numFmtId="0" fontId="5" fillId="0" borderId="3"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vertical="center"/>
    </xf>
    <xf numFmtId="0" fontId="0" fillId="0" borderId="8" xfId="0" applyBorder="1" applyAlignment="1">
      <alignment horizontal="center" vertical="center"/>
    </xf>
    <xf numFmtId="0" fontId="13" fillId="0" borderId="9" xfId="0" applyFont="1" applyBorder="1" applyAlignment="1">
      <alignment horizontal="center" vertical="center"/>
    </xf>
    <xf numFmtId="0" fontId="13" fillId="0" borderId="10" xfId="0" applyFont="1" applyBorder="1" applyAlignment="1">
      <alignment horizontal="center" vertical="center"/>
    </xf>
    <xf numFmtId="0" fontId="5" fillId="0" borderId="3" xfId="0" applyFont="1" applyBorder="1" applyAlignment="1" applyProtection="1">
      <alignment horizontal="center"/>
      <protection locked="0" hidden="1"/>
    </xf>
    <xf numFmtId="0" fontId="0" fillId="0" borderId="2" xfId="0" applyBorder="1" applyAlignment="1" applyProtection="1">
      <alignment horizontal="center"/>
      <protection locked="0" hidden="1"/>
    </xf>
    <xf numFmtId="0" fontId="4" fillId="0" borderId="26" xfId="0" applyFont="1" applyFill="1" applyBorder="1" applyAlignment="1">
      <alignment horizontal="left"/>
    </xf>
    <xf numFmtId="0" fontId="4" fillId="0" borderId="27" xfId="0" applyFont="1" applyFill="1" applyBorder="1" applyAlignment="1">
      <alignment horizontal="left"/>
    </xf>
    <xf numFmtId="0" fontId="4" fillId="0" borderId="26" xfId="0" applyFont="1" applyBorder="1" applyAlignment="1">
      <alignment horizontal="left"/>
    </xf>
    <xf numFmtId="0" fontId="4" fillId="0" borderId="27" xfId="0" applyFont="1" applyBorder="1" applyAlignment="1">
      <alignment horizontal="left"/>
    </xf>
    <xf numFmtId="0" fontId="0" fillId="0" borderId="0" xfId="0" applyFill="1" applyBorder="1" applyAlignment="1">
      <alignment horizontal="center"/>
    </xf>
    <xf numFmtId="0" fontId="6" fillId="0" borderId="0" xfId="0" applyFont="1" applyFill="1" applyBorder="1" applyAlignment="1">
      <alignment horizontal="center"/>
    </xf>
    <xf numFmtId="0" fontId="5" fillId="0" borderId="0" xfId="0" applyFont="1" applyFill="1" applyBorder="1" applyAlignment="1">
      <alignment horizontal="center"/>
    </xf>
    <xf numFmtId="0" fontId="0" fillId="0" borderId="0" xfId="0" applyFill="1" applyBorder="1"/>
    <xf numFmtId="0" fontId="7" fillId="0" borderId="0" xfId="0" applyFont="1" applyFill="1" applyBorder="1" applyAlignment="1">
      <alignment horizontal="left"/>
    </xf>
    <xf numFmtId="0" fontId="0" fillId="0" borderId="0" xfId="0" applyFill="1" applyBorder="1" applyAlignment="1">
      <alignment horizontal="right"/>
    </xf>
    <xf numFmtId="0" fontId="4" fillId="0" borderId="0" xfId="0" applyFont="1" applyFill="1" applyBorder="1"/>
    <xf numFmtId="0" fontId="19" fillId="0" borderId="35" xfId="0" applyFont="1" applyBorder="1" applyAlignment="1">
      <alignment horizontal="left"/>
    </xf>
    <xf numFmtId="0" fontId="4" fillId="0" borderId="36" xfId="0" applyFont="1" applyBorder="1"/>
    <xf numFmtId="0" fontId="0" fillId="0" borderId="35" xfId="0" applyBorder="1"/>
    <xf numFmtId="0" fontId="4" fillId="0" borderId="35" xfId="0" applyFont="1" applyFill="1" applyBorder="1"/>
    <xf numFmtId="0" fontId="0" fillId="0" borderId="34" xfId="0" applyFill="1" applyBorder="1"/>
    <xf numFmtId="2" fontId="2" fillId="2" borderId="0" xfId="0" applyNumberFormat="1" applyFont="1" applyFill="1" applyAlignment="1" applyProtection="1">
      <alignment horizontal="center" vertical="center"/>
      <protection locked="0" hidden="1"/>
    </xf>
    <xf numFmtId="2" fontId="2" fillId="3" borderId="0" xfId="0" applyNumberFormat="1" applyFont="1" applyFill="1" applyAlignment="1" applyProtection="1">
      <alignment horizontal="center" vertical="center"/>
      <protection locked="0" hidden="1"/>
    </xf>
    <xf numFmtId="2" fontId="2" fillId="4" borderId="0" xfId="0" applyNumberFormat="1" applyFont="1" applyFill="1" applyAlignment="1" applyProtection="1">
      <alignment horizontal="center" vertical="center"/>
      <protection locked="0" hidden="1"/>
    </xf>
  </cellXfs>
  <cellStyles count="2">
    <cellStyle name="Normal" xfId="0" builtinId="0"/>
    <cellStyle name="Percent" xfId="1" builtinId="5"/>
  </cellStyles>
  <dxfs count="2">
    <dxf>
      <fill>
        <patternFill>
          <bgColor rgb="FFFF8989"/>
        </patternFill>
      </fill>
    </dxf>
    <dxf>
      <fill>
        <patternFill>
          <bgColor theme="4" tint="0.39994506668294322"/>
        </patternFill>
      </fill>
    </dxf>
  </dxfs>
  <tableStyles count="0" defaultTableStyle="TableStyleMedium2" defaultPivotStyle="PivotStyleLight16"/>
  <colors>
    <mruColors>
      <color rgb="FF0000FF"/>
      <color rgb="FFFF8989"/>
      <color rgb="FFFF33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21950061-B4DC-4093-BBF3-69D8CF98DC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1E1-4EB1-BBF1-1EA3725EBC00}"/>
                </c:ext>
              </c:extLst>
            </c:dLbl>
            <c:dLbl>
              <c:idx val="1"/>
              <c:tx>
                <c:rich>
                  <a:bodyPr/>
                  <a:lstStyle/>
                  <a:p>
                    <a:fld id="{06C4A662-F0F1-421A-B894-2D3E601701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1E1-4EB1-BBF1-1EA3725EBC00}"/>
                </c:ext>
              </c:extLst>
            </c:dLbl>
            <c:dLbl>
              <c:idx val="2"/>
              <c:tx>
                <c:rich>
                  <a:bodyPr/>
                  <a:lstStyle/>
                  <a:p>
                    <a:fld id="{1068AB49-C517-480A-BCBD-A40119B020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1E1-4EB1-BBF1-1EA3725EBC00}"/>
                </c:ext>
              </c:extLst>
            </c:dLbl>
            <c:dLbl>
              <c:idx val="3"/>
              <c:tx>
                <c:rich>
                  <a:bodyPr/>
                  <a:lstStyle/>
                  <a:p>
                    <a:fld id="{D8CE4E38-5CB6-401F-A5A9-A5736AB3FE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1E1-4EB1-BBF1-1EA3725EBC00}"/>
                </c:ext>
              </c:extLst>
            </c:dLbl>
            <c:dLbl>
              <c:idx val="4"/>
              <c:tx>
                <c:rich>
                  <a:bodyPr/>
                  <a:lstStyle/>
                  <a:p>
                    <a:fld id="{4CB97842-91F2-4909-A8F9-2AAE389D90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1E1-4EB1-BBF1-1EA3725EBC00}"/>
                </c:ext>
              </c:extLst>
            </c:dLbl>
            <c:dLbl>
              <c:idx val="5"/>
              <c:tx>
                <c:rich>
                  <a:bodyPr/>
                  <a:lstStyle/>
                  <a:p>
                    <a:fld id="{4E3DA939-7EAC-4355-81DE-9988487AC8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1E1-4EB1-BBF1-1EA3725EBC00}"/>
                </c:ext>
              </c:extLst>
            </c:dLbl>
            <c:dLbl>
              <c:idx val="6"/>
              <c:tx>
                <c:rich>
                  <a:bodyPr/>
                  <a:lstStyle/>
                  <a:p>
                    <a:fld id="{15694D69-EB74-438D-AF15-5C575E0342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1E1-4EB1-BBF1-1EA3725EBC00}"/>
                </c:ext>
              </c:extLst>
            </c:dLbl>
            <c:dLbl>
              <c:idx val="7"/>
              <c:tx>
                <c:rich>
                  <a:bodyPr/>
                  <a:lstStyle/>
                  <a:p>
                    <a:fld id="{CFEB7A59-47C8-4F32-B987-4C6B86AF3B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1E1-4EB1-BBF1-1EA3725EBC00}"/>
                </c:ext>
              </c:extLst>
            </c:dLbl>
            <c:dLbl>
              <c:idx val="8"/>
              <c:tx>
                <c:rich>
                  <a:bodyPr/>
                  <a:lstStyle/>
                  <a:p>
                    <a:fld id="{773E06CB-FE36-4F15-9116-B2A99B6599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1E1-4EB1-BBF1-1EA3725EBC00}"/>
                </c:ext>
              </c:extLst>
            </c:dLbl>
            <c:dLbl>
              <c:idx val="9"/>
              <c:tx>
                <c:rich>
                  <a:bodyPr/>
                  <a:lstStyle/>
                  <a:p>
                    <a:fld id="{6922F23E-DF8D-4433-ACF2-19E85152A1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1E1-4EB1-BBF1-1EA3725EBC00}"/>
                </c:ext>
              </c:extLst>
            </c:dLbl>
            <c:dLbl>
              <c:idx val="10"/>
              <c:tx>
                <c:rich>
                  <a:bodyPr/>
                  <a:lstStyle/>
                  <a:p>
                    <a:fld id="{4EE6146F-24BA-4A20-8B8A-60FF46A7D5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1E1-4EB1-BBF1-1EA3725EBC00}"/>
                </c:ext>
              </c:extLst>
            </c:dLbl>
            <c:dLbl>
              <c:idx val="11"/>
              <c:tx>
                <c:rich>
                  <a:bodyPr/>
                  <a:lstStyle/>
                  <a:p>
                    <a:fld id="{6DCD5C83-A80F-40D6-94A0-1EA2F02479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1E1-4EB1-BBF1-1EA3725EBC00}"/>
                </c:ext>
              </c:extLst>
            </c:dLbl>
            <c:dLbl>
              <c:idx val="12"/>
              <c:tx>
                <c:rich>
                  <a:bodyPr/>
                  <a:lstStyle/>
                  <a:p>
                    <a:fld id="{5787A54E-509A-4FAA-8232-2750143B2E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1E1-4EB1-BBF1-1EA3725EBC00}"/>
                </c:ext>
              </c:extLst>
            </c:dLbl>
            <c:dLbl>
              <c:idx val="13"/>
              <c:tx>
                <c:rich>
                  <a:bodyPr/>
                  <a:lstStyle/>
                  <a:p>
                    <a:fld id="{C26C162D-B491-4803-BA9B-968F5AF94F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1E1-4EB1-BBF1-1EA3725EBC00}"/>
                </c:ext>
              </c:extLst>
            </c:dLbl>
            <c:dLbl>
              <c:idx val="14"/>
              <c:tx>
                <c:rich>
                  <a:bodyPr/>
                  <a:lstStyle/>
                  <a:p>
                    <a:fld id="{7C13FF61-7954-4B57-95EA-6DE559E772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1E1-4EB1-BBF1-1EA3725EBC00}"/>
                </c:ext>
              </c:extLst>
            </c:dLbl>
            <c:dLbl>
              <c:idx val="15"/>
              <c:tx>
                <c:rich>
                  <a:bodyPr/>
                  <a:lstStyle/>
                  <a:p>
                    <a:fld id="{7551FC98-6A01-4C1C-AE2E-E676314DF1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1E1-4EB1-BBF1-1EA3725EBC00}"/>
                </c:ext>
              </c:extLst>
            </c:dLbl>
            <c:dLbl>
              <c:idx val="16"/>
              <c:tx>
                <c:rich>
                  <a:bodyPr/>
                  <a:lstStyle/>
                  <a:p>
                    <a:fld id="{74521529-74AD-477D-818E-C4E06F0161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1E1-4EB1-BBF1-1EA3725EBC00}"/>
                </c:ext>
              </c:extLst>
            </c:dLbl>
            <c:dLbl>
              <c:idx val="17"/>
              <c:tx>
                <c:rich>
                  <a:bodyPr/>
                  <a:lstStyle/>
                  <a:p>
                    <a:fld id="{36946937-4441-41A6-B53B-031754C2F8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1E1-4EB1-BBF1-1EA3725EBC00}"/>
                </c:ext>
              </c:extLst>
            </c:dLbl>
            <c:dLbl>
              <c:idx val="18"/>
              <c:tx>
                <c:rich>
                  <a:bodyPr/>
                  <a:lstStyle/>
                  <a:p>
                    <a:fld id="{07345929-9D25-4CCF-8AD5-1355A71B6A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1E1-4EB1-BBF1-1EA3725EBC00}"/>
                </c:ext>
              </c:extLst>
            </c:dLbl>
            <c:dLbl>
              <c:idx val="19"/>
              <c:tx>
                <c:rich>
                  <a:bodyPr/>
                  <a:lstStyle/>
                  <a:p>
                    <a:fld id="{B02D8C8E-7E34-4475-A4D1-32A1E00E16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E1E1-4EB1-BBF1-1EA3725EBC00}"/>
                </c:ext>
              </c:extLst>
            </c:dLbl>
            <c:dLbl>
              <c:idx val="20"/>
              <c:tx>
                <c:rich>
                  <a:bodyPr/>
                  <a:lstStyle/>
                  <a:p>
                    <a:fld id="{3AE0033E-999B-4F9D-BCD5-F433447AC0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1E1-4EB1-BBF1-1EA3725EBC00}"/>
                </c:ext>
              </c:extLst>
            </c:dLbl>
            <c:dLbl>
              <c:idx val="21"/>
              <c:tx>
                <c:rich>
                  <a:bodyPr/>
                  <a:lstStyle/>
                  <a:p>
                    <a:fld id="{2D860348-B1CE-423C-8DFB-4ABFCB630B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E1E1-4EB1-BBF1-1EA3725EBC00}"/>
                </c:ext>
              </c:extLst>
            </c:dLbl>
            <c:dLbl>
              <c:idx val="22"/>
              <c:tx>
                <c:rich>
                  <a:bodyPr/>
                  <a:lstStyle/>
                  <a:p>
                    <a:fld id="{E222BFB8-ACF5-4ED3-AA2F-5D9F295AF5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E1E1-4EB1-BBF1-1EA3725EBC00}"/>
                </c:ext>
              </c:extLst>
            </c:dLbl>
            <c:dLbl>
              <c:idx val="23"/>
              <c:tx>
                <c:rich>
                  <a:bodyPr/>
                  <a:lstStyle/>
                  <a:p>
                    <a:fld id="{610DDE36-4DDB-4B25-B9A8-5D7BEBCF06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1E1-4EB1-BBF1-1EA3725EBC00}"/>
                </c:ext>
              </c:extLst>
            </c:dLbl>
            <c:dLbl>
              <c:idx val="24"/>
              <c:tx>
                <c:rich>
                  <a:bodyPr/>
                  <a:lstStyle/>
                  <a:p>
                    <a:fld id="{72AD36B1-5B6E-4742-8A06-FA06CA41F0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1E1-4EB1-BBF1-1EA3725EBC00}"/>
                </c:ext>
              </c:extLst>
            </c:dLbl>
            <c:dLbl>
              <c:idx val="25"/>
              <c:tx>
                <c:rich>
                  <a:bodyPr/>
                  <a:lstStyle/>
                  <a:p>
                    <a:fld id="{CEEECABC-97B2-418B-9637-D32A391E75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E1E1-4EB1-BBF1-1EA3725EBC00}"/>
                </c:ext>
              </c:extLst>
            </c:dLbl>
            <c:dLbl>
              <c:idx val="26"/>
              <c:tx>
                <c:rich>
                  <a:bodyPr/>
                  <a:lstStyle/>
                  <a:p>
                    <a:fld id="{62B04F34-1AE1-4FBE-A11B-D1BBB07DC0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E1E1-4EB1-BBF1-1EA3725EBC00}"/>
                </c:ext>
              </c:extLst>
            </c:dLbl>
            <c:dLbl>
              <c:idx val="27"/>
              <c:tx>
                <c:rich>
                  <a:bodyPr/>
                  <a:lstStyle/>
                  <a:p>
                    <a:fld id="{21AC528A-A573-4239-8D0F-BA0A303FF6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E1E1-4EB1-BBF1-1EA3725EBC00}"/>
                </c:ext>
              </c:extLst>
            </c:dLbl>
            <c:dLbl>
              <c:idx val="28"/>
              <c:tx>
                <c:rich>
                  <a:bodyPr/>
                  <a:lstStyle/>
                  <a:p>
                    <a:fld id="{BBB7EA37-A47E-4C0D-A78C-6BD351B271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E1E1-4EB1-BBF1-1EA3725EBC00}"/>
                </c:ext>
              </c:extLst>
            </c:dLbl>
            <c:dLbl>
              <c:idx val="29"/>
              <c:tx>
                <c:rich>
                  <a:bodyPr/>
                  <a:lstStyle/>
                  <a:p>
                    <a:fld id="{89594122-E980-440E-B05E-F78EB2FA9A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E1E1-4EB1-BBF1-1EA3725EBC00}"/>
                </c:ext>
              </c:extLst>
            </c:dLbl>
            <c:dLbl>
              <c:idx val="30"/>
              <c:tx>
                <c:rich>
                  <a:bodyPr/>
                  <a:lstStyle/>
                  <a:p>
                    <a:fld id="{D9A06745-0F45-450A-A33E-EC01A8DCB2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E1E1-4EB1-BBF1-1EA3725EBC00}"/>
                </c:ext>
              </c:extLst>
            </c:dLbl>
            <c:dLbl>
              <c:idx val="31"/>
              <c:tx>
                <c:rich>
                  <a:bodyPr/>
                  <a:lstStyle/>
                  <a:p>
                    <a:fld id="{1A6014AB-A7A7-4252-8EC9-215F4F3B76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E1E1-4EB1-BBF1-1EA3725EBC00}"/>
                </c:ext>
              </c:extLst>
            </c:dLbl>
            <c:dLbl>
              <c:idx val="32"/>
              <c:tx>
                <c:rich>
                  <a:bodyPr/>
                  <a:lstStyle/>
                  <a:p>
                    <a:fld id="{EF011B8A-8E3D-409D-A357-BEBFC45D16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E1E1-4EB1-BBF1-1EA3725EBC00}"/>
                </c:ext>
              </c:extLst>
            </c:dLbl>
            <c:dLbl>
              <c:idx val="33"/>
              <c:tx>
                <c:rich>
                  <a:bodyPr/>
                  <a:lstStyle/>
                  <a:p>
                    <a:fld id="{3471B6E6-16C2-4674-95FD-D6A5971E73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E1E1-4EB1-BBF1-1EA3725EBC00}"/>
                </c:ext>
              </c:extLst>
            </c:dLbl>
            <c:dLbl>
              <c:idx val="34"/>
              <c:tx>
                <c:rich>
                  <a:bodyPr/>
                  <a:lstStyle/>
                  <a:p>
                    <a:fld id="{4FAB388A-8678-464C-B1AF-1E4A1D153E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E1E1-4EB1-BBF1-1EA3725EBC00}"/>
                </c:ext>
              </c:extLst>
            </c:dLbl>
            <c:dLbl>
              <c:idx val="35"/>
              <c:tx>
                <c:rich>
                  <a:bodyPr/>
                  <a:lstStyle/>
                  <a:p>
                    <a:fld id="{CF4F746C-09E6-4CDD-8C98-81FF2EE873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E1E1-4EB1-BBF1-1EA3725EBC00}"/>
                </c:ext>
              </c:extLst>
            </c:dLbl>
            <c:dLbl>
              <c:idx val="36"/>
              <c:tx>
                <c:rich>
                  <a:bodyPr/>
                  <a:lstStyle/>
                  <a:p>
                    <a:fld id="{A89C7AA1-F129-43DE-A627-70B80AAC4F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E1E1-4EB1-BBF1-1EA3725EBC00}"/>
                </c:ext>
              </c:extLst>
            </c:dLbl>
            <c:dLbl>
              <c:idx val="37"/>
              <c:tx>
                <c:rich>
                  <a:bodyPr/>
                  <a:lstStyle/>
                  <a:p>
                    <a:fld id="{5520CCD7-CED7-4E7A-902E-DE3D697A1B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E1E1-4EB1-BBF1-1EA3725EBC00}"/>
                </c:ext>
              </c:extLst>
            </c:dLbl>
            <c:dLbl>
              <c:idx val="38"/>
              <c:tx>
                <c:rich>
                  <a:bodyPr/>
                  <a:lstStyle/>
                  <a:p>
                    <a:fld id="{4096C227-C09F-4BE2-BAC9-55DB04B990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E1E1-4EB1-BBF1-1EA3725EBC00}"/>
                </c:ext>
              </c:extLst>
            </c:dLbl>
            <c:dLbl>
              <c:idx val="39"/>
              <c:tx>
                <c:rich>
                  <a:bodyPr/>
                  <a:lstStyle/>
                  <a:p>
                    <a:fld id="{F0A9C230-D3B6-44E4-A7B0-5AEA69AAB5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E1E1-4EB1-BBF1-1EA3725EBC00}"/>
                </c:ext>
              </c:extLst>
            </c:dLbl>
            <c:dLbl>
              <c:idx val="40"/>
              <c:tx>
                <c:rich>
                  <a:bodyPr/>
                  <a:lstStyle/>
                  <a:p>
                    <a:fld id="{0CD338FB-B69A-4445-AE43-EBB4784A29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E1E1-4EB1-BBF1-1EA3725EBC00}"/>
                </c:ext>
              </c:extLst>
            </c:dLbl>
            <c:dLbl>
              <c:idx val="41"/>
              <c:tx>
                <c:rich>
                  <a:bodyPr/>
                  <a:lstStyle/>
                  <a:p>
                    <a:fld id="{33F55BA5-E089-477A-B03D-2B6A930317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E1E1-4EB1-BBF1-1EA3725EBC00}"/>
                </c:ext>
              </c:extLst>
            </c:dLbl>
            <c:dLbl>
              <c:idx val="42"/>
              <c:tx>
                <c:rich>
                  <a:bodyPr/>
                  <a:lstStyle/>
                  <a:p>
                    <a:fld id="{2ACDC630-59BC-4BCA-B4B8-7B046F6B25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E1E1-4EB1-BBF1-1EA3725EBC00}"/>
                </c:ext>
              </c:extLst>
            </c:dLbl>
            <c:dLbl>
              <c:idx val="43"/>
              <c:tx>
                <c:rich>
                  <a:bodyPr/>
                  <a:lstStyle/>
                  <a:p>
                    <a:fld id="{2E9BAB56-C2A3-438B-8310-653B4894CB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E1E1-4EB1-BBF1-1EA3725EBC00}"/>
                </c:ext>
              </c:extLst>
            </c:dLbl>
            <c:dLbl>
              <c:idx val="44"/>
              <c:tx>
                <c:rich>
                  <a:bodyPr/>
                  <a:lstStyle/>
                  <a:p>
                    <a:fld id="{20B07CE1-5884-4DD7-9254-60B05F4CE9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E1E1-4EB1-BBF1-1EA3725EBC00}"/>
                </c:ext>
              </c:extLst>
            </c:dLbl>
            <c:dLbl>
              <c:idx val="45"/>
              <c:tx>
                <c:rich>
                  <a:bodyPr/>
                  <a:lstStyle/>
                  <a:p>
                    <a:fld id="{91E4DB18-94AA-4693-A1FB-0CE79D4317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E1E1-4EB1-BBF1-1EA3725EBC00}"/>
                </c:ext>
              </c:extLst>
            </c:dLbl>
            <c:dLbl>
              <c:idx val="46"/>
              <c:tx>
                <c:rich>
                  <a:bodyPr/>
                  <a:lstStyle/>
                  <a:p>
                    <a:fld id="{14972970-12AC-4FB7-BD0E-843DAE4019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E1E1-4EB1-BBF1-1EA3725EBC00}"/>
                </c:ext>
              </c:extLst>
            </c:dLbl>
            <c:dLbl>
              <c:idx val="47"/>
              <c:tx>
                <c:rich>
                  <a:bodyPr/>
                  <a:lstStyle/>
                  <a:p>
                    <a:fld id="{CE7B585C-CA06-48F4-8D6F-A95C2732E2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E1E1-4EB1-BBF1-1EA3725EBC00}"/>
                </c:ext>
              </c:extLst>
            </c:dLbl>
            <c:dLbl>
              <c:idx val="48"/>
              <c:tx>
                <c:rich>
                  <a:bodyPr/>
                  <a:lstStyle/>
                  <a:p>
                    <a:fld id="{148E2191-7183-460E-8CB6-195A43921A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E1E1-4EB1-BBF1-1EA3725EBC00}"/>
                </c:ext>
              </c:extLst>
            </c:dLbl>
            <c:dLbl>
              <c:idx val="49"/>
              <c:tx>
                <c:rich>
                  <a:bodyPr/>
                  <a:lstStyle/>
                  <a:p>
                    <a:fld id="{1CC1E55C-1803-4D7C-8994-98CCACB370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E1E1-4EB1-BBF1-1EA3725EBC00}"/>
                </c:ext>
              </c:extLst>
            </c:dLbl>
            <c:dLbl>
              <c:idx val="50"/>
              <c:tx>
                <c:rich>
                  <a:bodyPr/>
                  <a:lstStyle/>
                  <a:p>
                    <a:fld id="{D71E4BEF-88D8-48FE-8462-FA16193149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E1E1-4EB1-BBF1-1EA3725EBC00}"/>
                </c:ext>
              </c:extLst>
            </c:dLbl>
            <c:dLbl>
              <c:idx val="51"/>
              <c:tx>
                <c:rich>
                  <a:bodyPr/>
                  <a:lstStyle/>
                  <a:p>
                    <a:fld id="{76C401B6-C0DC-4D25-A4D5-25D8B1DFB1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E1E1-4EB1-BBF1-1EA3725EBC00}"/>
                </c:ext>
              </c:extLst>
            </c:dLbl>
            <c:dLbl>
              <c:idx val="52"/>
              <c:tx>
                <c:rich>
                  <a:bodyPr/>
                  <a:lstStyle/>
                  <a:p>
                    <a:fld id="{6E05F66D-124F-453E-A947-E717A8BAC7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E1E1-4EB1-BBF1-1EA3725EBC00}"/>
                </c:ext>
              </c:extLst>
            </c:dLbl>
            <c:dLbl>
              <c:idx val="53"/>
              <c:tx>
                <c:rich>
                  <a:bodyPr/>
                  <a:lstStyle/>
                  <a:p>
                    <a:fld id="{BFCE58D0-7A54-478F-8939-C120B88C1A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E1E1-4EB1-BBF1-1EA3725EBC00}"/>
                </c:ext>
              </c:extLst>
            </c:dLbl>
            <c:dLbl>
              <c:idx val="54"/>
              <c:tx>
                <c:rich>
                  <a:bodyPr/>
                  <a:lstStyle/>
                  <a:p>
                    <a:fld id="{7C90505B-3EBF-4393-A262-33D3BF468A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E1E1-4EB1-BBF1-1EA3725EBC00}"/>
                </c:ext>
              </c:extLst>
            </c:dLbl>
            <c:dLbl>
              <c:idx val="55"/>
              <c:tx>
                <c:rich>
                  <a:bodyPr/>
                  <a:lstStyle/>
                  <a:p>
                    <a:fld id="{D9AA8EC6-5CBB-4729-9E8A-ED319C8983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E1E1-4EB1-BBF1-1EA3725EBC00}"/>
                </c:ext>
              </c:extLst>
            </c:dLbl>
            <c:dLbl>
              <c:idx val="56"/>
              <c:tx>
                <c:rich>
                  <a:bodyPr/>
                  <a:lstStyle/>
                  <a:p>
                    <a:fld id="{875FC7A2-0F7B-49E4-884E-B2B2ED0DE4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E1E1-4EB1-BBF1-1EA3725EBC00}"/>
                </c:ext>
              </c:extLst>
            </c:dLbl>
            <c:dLbl>
              <c:idx val="57"/>
              <c:tx>
                <c:rich>
                  <a:bodyPr/>
                  <a:lstStyle/>
                  <a:p>
                    <a:fld id="{6CB2940B-F213-468E-A8C1-4DC0A577A4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E1E1-4EB1-BBF1-1EA3725EBC00}"/>
                </c:ext>
              </c:extLst>
            </c:dLbl>
            <c:dLbl>
              <c:idx val="58"/>
              <c:tx>
                <c:rich>
                  <a:bodyPr/>
                  <a:lstStyle/>
                  <a:p>
                    <a:fld id="{77E93216-B29E-480B-9E48-3C54DA59A4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E1E1-4EB1-BBF1-1EA3725EBC00}"/>
                </c:ext>
              </c:extLst>
            </c:dLbl>
            <c:dLbl>
              <c:idx val="59"/>
              <c:tx>
                <c:rich>
                  <a:bodyPr/>
                  <a:lstStyle/>
                  <a:p>
                    <a:fld id="{7395E68B-751E-4247-92E9-D93A2F894C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E1E1-4EB1-BBF1-1EA3725EBC00}"/>
                </c:ext>
              </c:extLst>
            </c:dLbl>
            <c:dLbl>
              <c:idx val="60"/>
              <c:tx>
                <c:rich>
                  <a:bodyPr/>
                  <a:lstStyle/>
                  <a:p>
                    <a:fld id="{B91E6892-EA57-45A2-95FA-63019ADB84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E1E1-4EB1-BBF1-1EA3725EBC00}"/>
                </c:ext>
              </c:extLst>
            </c:dLbl>
            <c:dLbl>
              <c:idx val="61"/>
              <c:tx>
                <c:rich>
                  <a:bodyPr/>
                  <a:lstStyle/>
                  <a:p>
                    <a:fld id="{3DC980D5-48D0-4094-968B-77CB7E784E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E1E1-4EB1-BBF1-1EA3725EBC00}"/>
                </c:ext>
              </c:extLst>
            </c:dLbl>
            <c:dLbl>
              <c:idx val="62"/>
              <c:tx>
                <c:rich>
                  <a:bodyPr/>
                  <a:lstStyle/>
                  <a:p>
                    <a:fld id="{EC270A99-42B3-4C76-AD1A-5C77E1B52C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E1E1-4EB1-BBF1-1EA3725EBC00}"/>
                </c:ext>
              </c:extLst>
            </c:dLbl>
            <c:dLbl>
              <c:idx val="63"/>
              <c:tx>
                <c:rich>
                  <a:bodyPr/>
                  <a:lstStyle/>
                  <a:p>
                    <a:fld id="{B2E280A0-2328-412F-889E-C86917C504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E1E1-4EB1-BBF1-1EA3725EBC00}"/>
                </c:ext>
              </c:extLst>
            </c:dLbl>
            <c:dLbl>
              <c:idx val="64"/>
              <c:tx>
                <c:rich>
                  <a:bodyPr/>
                  <a:lstStyle/>
                  <a:p>
                    <a:fld id="{311B5173-55D4-44BD-9C6B-7E84ABEAD7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E1E1-4EB1-BBF1-1EA3725EBC00}"/>
                </c:ext>
              </c:extLst>
            </c:dLbl>
            <c:dLbl>
              <c:idx val="65"/>
              <c:tx>
                <c:rich>
                  <a:bodyPr/>
                  <a:lstStyle/>
                  <a:p>
                    <a:fld id="{BFF1E7D0-5ECF-4E86-A8A2-E066A2304D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E1E1-4EB1-BBF1-1EA3725EBC00}"/>
                </c:ext>
              </c:extLst>
            </c:dLbl>
            <c:dLbl>
              <c:idx val="66"/>
              <c:tx>
                <c:rich>
                  <a:bodyPr/>
                  <a:lstStyle/>
                  <a:p>
                    <a:fld id="{C4FCEF4A-FE89-4B6F-A6CC-8201817FFD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E1E1-4EB1-BBF1-1EA3725EBC00}"/>
                </c:ext>
              </c:extLst>
            </c:dLbl>
            <c:dLbl>
              <c:idx val="67"/>
              <c:tx>
                <c:rich>
                  <a:bodyPr/>
                  <a:lstStyle/>
                  <a:p>
                    <a:fld id="{F6EFF7F1-EB74-413A-95F9-4DB98D05CE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E1E1-4EB1-BBF1-1EA3725EBC00}"/>
                </c:ext>
              </c:extLst>
            </c:dLbl>
            <c:dLbl>
              <c:idx val="68"/>
              <c:tx>
                <c:rich>
                  <a:bodyPr/>
                  <a:lstStyle/>
                  <a:p>
                    <a:fld id="{FD6553FD-5370-4B72-BCBE-A5B57CEFE2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E1E1-4EB1-BBF1-1EA3725EBC00}"/>
                </c:ext>
              </c:extLst>
            </c:dLbl>
            <c:dLbl>
              <c:idx val="69"/>
              <c:tx>
                <c:rich>
                  <a:bodyPr/>
                  <a:lstStyle/>
                  <a:p>
                    <a:fld id="{B3DF8521-B2DE-4263-9352-01804D05EB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E1E1-4EB1-BBF1-1EA3725EBC00}"/>
                </c:ext>
              </c:extLst>
            </c:dLbl>
            <c:dLbl>
              <c:idx val="70"/>
              <c:tx>
                <c:rich>
                  <a:bodyPr/>
                  <a:lstStyle/>
                  <a:p>
                    <a:fld id="{6A684669-4B78-4F1E-B382-71A1CCAD1F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E1E1-4EB1-BBF1-1EA3725EBC00}"/>
                </c:ext>
              </c:extLst>
            </c:dLbl>
            <c:dLbl>
              <c:idx val="71"/>
              <c:tx>
                <c:rich>
                  <a:bodyPr/>
                  <a:lstStyle/>
                  <a:p>
                    <a:fld id="{D1210095-BA5C-4203-8C6C-5A24D1246A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E1E1-4EB1-BBF1-1EA3725EBC00}"/>
                </c:ext>
              </c:extLst>
            </c:dLbl>
            <c:dLbl>
              <c:idx val="72"/>
              <c:tx>
                <c:rich>
                  <a:bodyPr/>
                  <a:lstStyle/>
                  <a:p>
                    <a:fld id="{960755E4-C4DA-4A9C-9AA6-6F496A4613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E1E1-4EB1-BBF1-1EA3725EBC00}"/>
                </c:ext>
              </c:extLst>
            </c:dLbl>
            <c:dLbl>
              <c:idx val="73"/>
              <c:tx>
                <c:rich>
                  <a:bodyPr/>
                  <a:lstStyle/>
                  <a:p>
                    <a:fld id="{CB801472-3C18-4632-A2D0-B66E0C706E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E1E1-4EB1-BBF1-1EA3725EBC00}"/>
                </c:ext>
              </c:extLst>
            </c:dLbl>
            <c:dLbl>
              <c:idx val="74"/>
              <c:tx>
                <c:rich>
                  <a:bodyPr/>
                  <a:lstStyle/>
                  <a:p>
                    <a:fld id="{72AC0345-BCC8-4823-8418-EEBB75B8BE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E1E1-4EB1-BBF1-1EA3725EBC00}"/>
                </c:ext>
              </c:extLst>
            </c:dLbl>
            <c:dLbl>
              <c:idx val="75"/>
              <c:tx>
                <c:rich>
                  <a:bodyPr/>
                  <a:lstStyle/>
                  <a:p>
                    <a:fld id="{09AF76AB-F3F8-4A83-A0C1-952E2BE203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E1E1-4EB1-BBF1-1EA3725EBC00}"/>
                </c:ext>
              </c:extLst>
            </c:dLbl>
            <c:dLbl>
              <c:idx val="76"/>
              <c:tx>
                <c:rich>
                  <a:bodyPr/>
                  <a:lstStyle/>
                  <a:p>
                    <a:fld id="{EEFB25E0-67AD-44A8-ADC8-57AE87011C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E1E1-4EB1-BBF1-1EA3725EBC00}"/>
                </c:ext>
              </c:extLst>
            </c:dLbl>
            <c:dLbl>
              <c:idx val="77"/>
              <c:tx>
                <c:rich>
                  <a:bodyPr/>
                  <a:lstStyle/>
                  <a:p>
                    <a:fld id="{258B821A-5CC9-47A4-AA5D-5A13C56EB4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E1E1-4EB1-BBF1-1EA3725EBC00}"/>
                </c:ext>
              </c:extLst>
            </c:dLbl>
            <c:dLbl>
              <c:idx val="78"/>
              <c:tx>
                <c:rich>
                  <a:bodyPr/>
                  <a:lstStyle/>
                  <a:p>
                    <a:fld id="{A5A12A65-CF4C-45E6-B3E7-27F73B661B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E1E1-4EB1-BBF1-1EA3725EBC00}"/>
                </c:ext>
              </c:extLst>
            </c:dLbl>
            <c:dLbl>
              <c:idx val="79"/>
              <c:tx>
                <c:rich>
                  <a:bodyPr/>
                  <a:lstStyle/>
                  <a:p>
                    <a:fld id="{BF139987-5855-4504-8D3A-B7DD63BB49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E1E1-4EB1-BBF1-1EA3725EBC00}"/>
                </c:ext>
              </c:extLst>
            </c:dLbl>
            <c:dLbl>
              <c:idx val="80"/>
              <c:tx>
                <c:rich>
                  <a:bodyPr/>
                  <a:lstStyle/>
                  <a:p>
                    <a:fld id="{ABF589F0-C40C-4C85-86B4-CC5BDDEB5E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E1E1-4EB1-BBF1-1EA3725EBC00}"/>
                </c:ext>
              </c:extLst>
            </c:dLbl>
            <c:dLbl>
              <c:idx val="81"/>
              <c:tx>
                <c:rich>
                  <a:bodyPr/>
                  <a:lstStyle/>
                  <a:p>
                    <a:fld id="{53A55779-89B9-43CF-B31B-CB5E8D9E96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E1E1-4EB1-BBF1-1EA3725EBC00}"/>
                </c:ext>
              </c:extLst>
            </c:dLbl>
            <c:dLbl>
              <c:idx val="82"/>
              <c:tx>
                <c:rich>
                  <a:bodyPr/>
                  <a:lstStyle/>
                  <a:p>
                    <a:fld id="{B38301AC-2137-4C75-AF89-78C7BF5193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E1E1-4EB1-BBF1-1EA3725EBC00}"/>
                </c:ext>
              </c:extLst>
            </c:dLbl>
            <c:dLbl>
              <c:idx val="83"/>
              <c:tx>
                <c:rich>
                  <a:bodyPr/>
                  <a:lstStyle/>
                  <a:p>
                    <a:fld id="{5587642C-475E-4D99-A4D5-BFFCAB283A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E1E1-4EB1-BBF1-1EA3725EBC00}"/>
                </c:ext>
              </c:extLst>
            </c:dLbl>
            <c:dLbl>
              <c:idx val="84"/>
              <c:tx>
                <c:rich>
                  <a:bodyPr/>
                  <a:lstStyle/>
                  <a:p>
                    <a:fld id="{5A9D988F-202D-4894-96B1-A0450D6F0E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E1E1-4EB1-BBF1-1EA3725EBC00}"/>
                </c:ext>
              </c:extLst>
            </c:dLbl>
            <c:dLbl>
              <c:idx val="85"/>
              <c:tx>
                <c:rich>
                  <a:bodyPr/>
                  <a:lstStyle/>
                  <a:p>
                    <a:fld id="{1BC0CAC6-0E5B-48A2-8B43-505AB9CB9F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E1E1-4EB1-BBF1-1EA3725EBC00}"/>
                </c:ext>
              </c:extLst>
            </c:dLbl>
            <c:dLbl>
              <c:idx val="86"/>
              <c:tx>
                <c:rich>
                  <a:bodyPr/>
                  <a:lstStyle/>
                  <a:p>
                    <a:fld id="{B4CCE79B-CDB2-48FE-BC95-37BF19872D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E1E1-4EB1-BBF1-1EA3725EBC00}"/>
                </c:ext>
              </c:extLst>
            </c:dLbl>
            <c:dLbl>
              <c:idx val="87"/>
              <c:tx>
                <c:rich>
                  <a:bodyPr/>
                  <a:lstStyle/>
                  <a:p>
                    <a:fld id="{F0319A35-49F2-435C-9C85-72A3E86FB8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E1E1-4EB1-BBF1-1EA3725EBC00}"/>
                </c:ext>
              </c:extLst>
            </c:dLbl>
            <c:dLbl>
              <c:idx val="88"/>
              <c:tx>
                <c:rich>
                  <a:bodyPr/>
                  <a:lstStyle/>
                  <a:p>
                    <a:fld id="{90265FEB-EDA5-4A6F-92E3-BDE763F3A4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E1E1-4EB1-BBF1-1EA3725EBC00}"/>
                </c:ext>
              </c:extLst>
            </c:dLbl>
            <c:dLbl>
              <c:idx val="89"/>
              <c:tx>
                <c:rich>
                  <a:bodyPr/>
                  <a:lstStyle/>
                  <a:p>
                    <a:fld id="{E0096B3F-8657-47C1-B2D8-E236D5EC40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E1E1-4EB1-BBF1-1EA3725EBC00}"/>
                </c:ext>
              </c:extLst>
            </c:dLbl>
            <c:dLbl>
              <c:idx val="90"/>
              <c:tx>
                <c:rich>
                  <a:bodyPr/>
                  <a:lstStyle/>
                  <a:p>
                    <a:fld id="{E31847F1-E00F-4DFD-8E00-1D1F0BDEBB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E1E1-4EB1-BBF1-1EA3725EBC00}"/>
                </c:ext>
              </c:extLst>
            </c:dLbl>
            <c:dLbl>
              <c:idx val="91"/>
              <c:tx>
                <c:rich>
                  <a:bodyPr/>
                  <a:lstStyle/>
                  <a:p>
                    <a:fld id="{E78621F1-3285-43E7-9CB8-3D225348DD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E1E1-4EB1-BBF1-1EA3725EBC00}"/>
                </c:ext>
              </c:extLst>
            </c:dLbl>
            <c:dLbl>
              <c:idx val="92"/>
              <c:tx>
                <c:rich>
                  <a:bodyPr/>
                  <a:lstStyle/>
                  <a:p>
                    <a:fld id="{5B391457-8F09-4E42-8A80-92CE1C92F7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E1E1-4EB1-BBF1-1EA3725EBC00}"/>
                </c:ext>
              </c:extLst>
            </c:dLbl>
            <c:dLbl>
              <c:idx val="93"/>
              <c:tx>
                <c:rich>
                  <a:bodyPr/>
                  <a:lstStyle/>
                  <a:p>
                    <a:fld id="{C1A4BE4F-F75C-4656-88A5-8E3D2F192B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E1E1-4EB1-BBF1-1EA3725EBC00}"/>
                </c:ext>
              </c:extLst>
            </c:dLbl>
            <c:dLbl>
              <c:idx val="94"/>
              <c:tx>
                <c:rich>
                  <a:bodyPr/>
                  <a:lstStyle/>
                  <a:p>
                    <a:fld id="{C2C28AF3-0FF1-4C56-9163-B250D3514A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E1E1-4EB1-BBF1-1EA3725EBC00}"/>
                </c:ext>
              </c:extLst>
            </c:dLbl>
            <c:dLbl>
              <c:idx val="95"/>
              <c:tx>
                <c:rich>
                  <a:bodyPr/>
                  <a:lstStyle/>
                  <a:p>
                    <a:fld id="{4BA983CF-21CC-41CA-A6EA-4EDEA9FFBD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E1E1-4EB1-BBF1-1EA3725EBC00}"/>
                </c:ext>
              </c:extLst>
            </c:dLbl>
            <c:dLbl>
              <c:idx val="96"/>
              <c:tx>
                <c:rich>
                  <a:bodyPr/>
                  <a:lstStyle/>
                  <a:p>
                    <a:fld id="{544997D0-EE03-4EDE-996C-658DC0B083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E1E1-4EB1-BBF1-1EA3725EBC00}"/>
                </c:ext>
              </c:extLst>
            </c:dLbl>
            <c:dLbl>
              <c:idx val="97"/>
              <c:tx>
                <c:rich>
                  <a:bodyPr/>
                  <a:lstStyle/>
                  <a:p>
                    <a:fld id="{F1CA5AD5-8B35-4008-9226-914F475380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E1E1-4EB1-BBF1-1EA3725EBC00}"/>
                </c:ext>
              </c:extLst>
            </c:dLbl>
            <c:dLbl>
              <c:idx val="98"/>
              <c:tx>
                <c:rich>
                  <a:bodyPr/>
                  <a:lstStyle/>
                  <a:p>
                    <a:fld id="{07200CBE-5786-428D-9DBB-CCA1E5CEF6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E1E1-4EB1-BBF1-1EA3725EBC00}"/>
                </c:ext>
              </c:extLst>
            </c:dLbl>
            <c:dLbl>
              <c:idx val="99"/>
              <c:tx>
                <c:rich>
                  <a:bodyPr/>
                  <a:lstStyle/>
                  <a:p>
                    <a:fld id="{64030A04-B5FF-45C7-99C2-D90C2E86AF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E1E1-4EB1-BBF1-1EA3725EBC00}"/>
                </c:ext>
              </c:extLst>
            </c:dLbl>
            <c:dLbl>
              <c:idx val="100"/>
              <c:tx>
                <c:rich>
                  <a:bodyPr/>
                  <a:lstStyle/>
                  <a:p>
                    <a:fld id="{08CBB125-6F10-4186-BA96-0F8A88015F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E1E1-4EB1-BBF1-1EA3725EBC00}"/>
                </c:ext>
              </c:extLst>
            </c:dLbl>
            <c:dLbl>
              <c:idx val="101"/>
              <c:tx>
                <c:rich>
                  <a:bodyPr/>
                  <a:lstStyle/>
                  <a:p>
                    <a:fld id="{DCB2F2E3-753A-4904-A44C-1853035D54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E1E1-4EB1-BBF1-1EA3725EBC00}"/>
                </c:ext>
              </c:extLst>
            </c:dLbl>
            <c:dLbl>
              <c:idx val="102"/>
              <c:tx>
                <c:rich>
                  <a:bodyPr/>
                  <a:lstStyle/>
                  <a:p>
                    <a:fld id="{EEA6BBAC-E615-4CB5-B272-A775C3490E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E1E1-4EB1-BBF1-1EA3725EBC00}"/>
                </c:ext>
              </c:extLst>
            </c:dLbl>
            <c:dLbl>
              <c:idx val="103"/>
              <c:tx>
                <c:rich>
                  <a:bodyPr/>
                  <a:lstStyle/>
                  <a:p>
                    <a:fld id="{C9523EB5-EE3D-473A-9866-727797F5A7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E1E1-4EB1-BBF1-1EA3725EBC00}"/>
                </c:ext>
              </c:extLst>
            </c:dLbl>
            <c:dLbl>
              <c:idx val="104"/>
              <c:tx>
                <c:rich>
                  <a:bodyPr/>
                  <a:lstStyle/>
                  <a:p>
                    <a:fld id="{2212F341-AF02-4AD5-AFCE-2675F10CDF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E1E1-4EB1-BBF1-1EA3725EBC00}"/>
                </c:ext>
              </c:extLst>
            </c:dLbl>
            <c:dLbl>
              <c:idx val="105"/>
              <c:tx>
                <c:rich>
                  <a:bodyPr/>
                  <a:lstStyle/>
                  <a:p>
                    <a:fld id="{F3866B44-17D8-4B8B-9543-0D9EA3DA91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E1E1-4EB1-BBF1-1EA3725EBC00}"/>
                </c:ext>
              </c:extLst>
            </c:dLbl>
            <c:dLbl>
              <c:idx val="106"/>
              <c:tx>
                <c:rich>
                  <a:bodyPr/>
                  <a:lstStyle/>
                  <a:p>
                    <a:fld id="{18922158-B845-40FD-8CF0-5E5BFBA4E6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E1E1-4EB1-BBF1-1EA3725EBC00}"/>
                </c:ext>
              </c:extLst>
            </c:dLbl>
            <c:dLbl>
              <c:idx val="107"/>
              <c:tx>
                <c:rich>
                  <a:bodyPr/>
                  <a:lstStyle/>
                  <a:p>
                    <a:fld id="{BC40F07D-7A0C-47A3-86FE-2A486D0ECD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E1E1-4EB1-BBF1-1EA3725EBC00}"/>
                </c:ext>
              </c:extLst>
            </c:dLbl>
            <c:dLbl>
              <c:idx val="108"/>
              <c:tx>
                <c:rich>
                  <a:bodyPr/>
                  <a:lstStyle/>
                  <a:p>
                    <a:fld id="{8193A14F-35FA-4765-A199-C7C9691AD4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E1E1-4EB1-BBF1-1EA3725EBC00}"/>
                </c:ext>
              </c:extLst>
            </c:dLbl>
            <c:dLbl>
              <c:idx val="109"/>
              <c:tx>
                <c:rich>
                  <a:bodyPr/>
                  <a:lstStyle/>
                  <a:p>
                    <a:fld id="{82C3AFBE-9E03-4FF9-8304-FD19808A3C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E1E1-4EB1-BBF1-1EA3725EBC00}"/>
                </c:ext>
              </c:extLst>
            </c:dLbl>
            <c:dLbl>
              <c:idx val="110"/>
              <c:tx>
                <c:rich>
                  <a:bodyPr/>
                  <a:lstStyle/>
                  <a:p>
                    <a:fld id="{0D313A79-ADB2-4FE4-B0CB-3135E80764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E1E1-4EB1-BBF1-1EA3725EBC00}"/>
                </c:ext>
              </c:extLst>
            </c:dLbl>
            <c:dLbl>
              <c:idx val="111"/>
              <c:tx>
                <c:rich>
                  <a:bodyPr/>
                  <a:lstStyle/>
                  <a:p>
                    <a:fld id="{7C15A69D-4B47-4C54-A3B4-37ECEDAFBD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E1E1-4EB1-BBF1-1EA3725EBC00}"/>
                </c:ext>
              </c:extLst>
            </c:dLbl>
            <c:dLbl>
              <c:idx val="112"/>
              <c:tx>
                <c:rich>
                  <a:bodyPr/>
                  <a:lstStyle/>
                  <a:p>
                    <a:fld id="{536B6590-814A-4000-873D-0B01CB843C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E1E1-4EB1-BBF1-1EA3725EBC00}"/>
                </c:ext>
              </c:extLst>
            </c:dLbl>
            <c:dLbl>
              <c:idx val="113"/>
              <c:tx>
                <c:rich>
                  <a:bodyPr/>
                  <a:lstStyle/>
                  <a:p>
                    <a:fld id="{213E7A54-8B46-42FF-8895-E2A52D0EFF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E1E1-4EB1-BBF1-1EA3725EBC00}"/>
                </c:ext>
              </c:extLst>
            </c:dLbl>
            <c:dLbl>
              <c:idx val="114"/>
              <c:tx>
                <c:rich>
                  <a:bodyPr/>
                  <a:lstStyle/>
                  <a:p>
                    <a:fld id="{BE9B1027-AF33-4E91-A74B-4D8F2CC342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E1E1-4EB1-BBF1-1EA3725EBC00}"/>
                </c:ext>
              </c:extLst>
            </c:dLbl>
            <c:dLbl>
              <c:idx val="115"/>
              <c:tx>
                <c:rich>
                  <a:bodyPr/>
                  <a:lstStyle/>
                  <a:p>
                    <a:fld id="{54E15286-5605-46F8-9512-2812C758E7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E1E1-4EB1-BBF1-1EA3725EBC00}"/>
                </c:ext>
              </c:extLst>
            </c:dLbl>
            <c:dLbl>
              <c:idx val="116"/>
              <c:tx>
                <c:rich>
                  <a:bodyPr/>
                  <a:lstStyle/>
                  <a:p>
                    <a:fld id="{314A4882-6CAF-47F7-92B4-BD41DB7347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E1E1-4EB1-BBF1-1EA3725EBC00}"/>
                </c:ext>
              </c:extLst>
            </c:dLbl>
            <c:dLbl>
              <c:idx val="117"/>
              <c:tx>
                <c:rich>
                  <a:bodyPr/>
                  <a:lstStyle/>
                  <a:p>
                    <a:fld id="{C97B4AA3-0973-4B76-9C18-E81865F231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E1E1-4EB1-BBF1-1EA3725EBC00}"/>
                </c:ext>
              </c:extLst>
            </c:dLbl>
            <c:dLbl>
              <c:idx val="118"/>
              <c:tx>
                <c:rich>
                  <a:bodyPr/>
                  <a:lstStyle/>
                  <a:p>
                    <a:fld id="{DA0EB8B2-A13C-49AC-A1A7-8644412AD1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E1E1-4EB1-BBF1-1EA3725EBC00}"/>
                </c:ext>
              </c:extLst>
            </c:dLbl>
            <c:dLbl>
              <c:idx val="119"/>
              <c:tx>
                <c:rich>
                  <a:bodyPr/>
                  <a:lstStyle/>
                  <a:p>
                    <a:fld id="{C2BDEED1-2C7A-4B30-BB93-082625A0CF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E1E1-4EB1-BBF1-1EA3725EBC00}"/>
                </c:ext>
              </c:extLst>
            </c:dLbl>
            <c:dLbl>
              <c:idx val="120"/>
              <c:tx>
                <c:rich>
                  <a:bodyPr/>
                  <a:lstStyle/>
                  <a:p>
                    <a:fld id="{4364E5FB-071D-47D6-8859-DC8AB6EDCB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E1E1-4EB1-BBF1-1EA3725EBC00}"/>
                </c:ext>
              </c:extLst>
            </c:dLbl>
            <c:dLbl>
              <c:idx val="121"/>
              <c:tx>
                <c:rich>
                  <a:bodyPr/>
                  <a:lstStyle/>
                  <a:p>
                    <a:fld id="{EBD96390-F210-45DA-A9FD-6FB0B8F04B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E1E1-4EB1-BBF1-1EA3725EBC00}"/>
                </c:ext>
              </c:extLst>
            </c:dLbl>
            <c:dLbl>
              <c:idx val="122"/>
              <c:tx>
                <c:rich>
                  <a:bodyPr/>
                  <a:lstStyle/>
                  <a:p>
                    <a:fld id="{E0CF372D-5D2E-4266-BA6A-408A670C8D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E1E1-4EB1-BBF1-1EA3725EBC00}"/>
                </c:ext>
              </c:extLst>
            </c:dLbl>
            <c:dLbl>
              <c:idx val="123"/>
              <c:tx>
                <c:rich>
                  <a:bodyPr/>
                  <a:lstStyle/>
                  <a:p>
                    <a:fld id="{3D59F93D-E7B0-45DE-A905-76B0FCBD64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E1E1-4EB1-BBF1-1EA3725EBC00}"/>
                </c:ext>
              </c:extLst>
            </c:dLbl>
            <c:dLbl>
              <c:idx val="124"/>
              <c:tx>
                <c:rich>
                  <a:bodyPr/>
                  <a:lstStyle/>
                  <a:p>
                    <a:fld id="{DD585953-2597-40A4-998C-42B6F375A6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E1E1-4EB1-BBF1-1EA3725EBC00}"/>
                </c:ext>
              </c:extLst>
            </c:dLbl>
            <c:dLbl>
              <c:idx val="125"/>
              <c:tx>
                <c:rich>
                  <a:bodyPr/>
                  <a:lstStyle/>
                  <a:p>
                    <a:fld id="{1F347BA8-ED01-4247-B30C-2C246F2803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E1E1-4EB1-BBF1-1EA3725EBC00}"/>
                </c:ext>
              </c:extLst>
            </c:dLbl>
            <c:dLbl>
              <c:idx val="126"/>
              <c:tx>
                <c:rich>
                  <a:bodyPr/>
                  <a:lstStyle/>
                  <a:p>
                    <a:fld id="{8C18B37D-9117-496D-89D0-19D44D1D48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E1E1-4EB1-BBF1-1EA3725EBC00}"/>
                </c:ext>
              </c:extLst>
            </c:dLbl>
            <c:dLbl>
              <c:idx val="127"/>
              <c:tx>
                <c:rich>
                  <a:bodyPr/>
                  <a:lstStyle/>
                  <a:p>
                    <a:fld id="{2DF3780C-9DB0-48B3-8F7F-311B84AEF4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E1E1-4EB1-BBF1-1EA3725EBC00}"/>
                </c:ext>
              </c:extLst>
            </c:dLbl>
            <c:dLbl>
              <c:idx val="128"/>
              <c:tx>
                <c:rich>
                  <a:bodyPr/>
                  <a:lstStyle/>
                  <a:p>
                    <a:fld id="{DE8EED87-29CF-4403-8144-4B60CB9397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E1E1-4EB1-BBF1-1EA3725EBC00}"/>
                </c:ext>
              </c:extLst>
            </c:dLbl>
            <c:dLbl>
              <c:idx val="129"/>
              <c:tx>
                <c:rich>
                  <a:bodyPr/>
                  <a:lstStyle/>
                  <a:p>
                    <a:fld id="{E4796BE5-04C1-48E2-B54C-D3DCBA85A8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E1E1-4EB1-BBF1-1EA3725EBC00}"/>
                </c:ext>
              </c:extLst>
            </c:dLbl>
            <c:dLbl>
              <c:idx val="130"/>
              <c:tx>
                <c:rich>
                  <a:bodyPr/>
                  <a:lstStyle/>
                  <a:p>
                    <a:fld id="{FF6BF714-A741-42C5-BF8B-8E54C5195A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E1E1-4EB1-BBF1-1EA3725EBC00}"/>
                </c:ext>
              </c:extLst>
            </c:dLbl>
            <c:dLbl>
              <c:idx val="131"/>
              <c:tx>
                <c:rich>
                  <a:bodyPr/>
                  <a:lstStyle/>
                  <a:p>
                    <a:fld id="{F7F740D0-04B3-4CC4-A895-93702D7F73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E1E1-4EB1-BBF1-1EA3725EBC00}"/>
                </c:ext>
              </c:extLst>
            </c:dLbl>
            <c:dLbl>
              <c:idx val="132"/>
              <c:tx>
                <c:rich>
                  <a:bodyPr/>
                  <a:lstStyle/>
                  <a:p>
                    <a:fld id="{B59165DA-7BC8-48E6-ACE2-3A216E0785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E1E1-4EB1-BBF1-1EA3725EBC00}"/>
                </c:ext>
              </c:extLst>
            </c:dLbl>
            <c:dLbl>
              <c:idx val="133"/>
              <c:tx>
                <c:rich>
                  <a:bodyPr/>
                  <a:lstStyle/>
                  <a:p>
                    <a:fld id="{575A7746-A840-4ADD-A21B-AD34CF5F62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E1E1-4EB1-BBF1-1EA3725EBC00}"/>
                </c:ext>
              </c:extLst>
            </c:dLbl>
            <c:dLbl>
              <c:idx val="134"/>
              <c:tx>
                <c:rich>
                  <a:bodyPr/>
                  <a:lstStyle/>
                  <a:p>
                    <a:fld id="{7834B191-1EC3-4A29-AA03-E5CC2EFFA6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E1E1-4EB1-BBF1-1EA3725EBC00}"/>
                </c:ext>
              </c:extLst>
            </c:dLbl>
            <c:dLbl>
              <c:idx val="135"/>
              <c:tx>
                <c:rich>
                  <a:bodyPr/>
                  <a:lstStyle/>
                  <a:p>
                    <a:fld id="{50949D86-E5F8-40AB-AF7B-FEBDBA6305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E1E1-4EB1-BBF1-1EA3725EBC00}"/>
                </c:ext>
              </c:extLst>
            </c:dLbl>
            <c:dLbl>
              <c:idx val="136"/>
              <c:tx>
                <c:rich>
                  <a:bodyPr/>
                  <a:lstStyle/>
                  <a:p>
                    <a:fld id="{1D110064-80F4-49E3-A60F-60DC5D654E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E1E1-4EB1-BBF1-1EA3725EBC00}"/>
                </c:ext>
              </c:extLst>
            </c:dLbl>
            <c:dLbl>
              <c:idx val="137"/>
              <c:tx>
                <c:rich>
                  <a:bodyPr/>
                  <a:lstStyle/>
                  <a:p>
                    <a:fld id="{A6C2C822-FA91-4C48-9C36-4AEBF6F41E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E1E1-4EB1-BBF1-1EA3725EBC00}"/>
                </c:ext>
              </c:extLst>
            </c:dLbl>
            <c:dLbl>
              <c:idx val="138"/>
              <c:tx>
                <c:rich>
                  <a:bodyPr/>
                  <a:lstStyle/>
                  <a:p>
                    <a:fld id="{EA585023-D2ED-4C72-BFC0-428C3FC4B1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E1E1-4EB1-BBF1-1EA3725EBC00}"/>
                </c:ext>
              </c:extLst>
            </c:dLbl>
            <c:dLbl>
              <c:idx val="139"/>
              <c:tx>
                <c:rich>
                  <a:bodyPr/>
                  <a:lstStyle/>
                  <a:p>
                    <a:fld id="{34B855E1-A4BC-4AAF-8ACB-E3B0708420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E1E1-4EB1-BBF1-1EA3725EBC00}"/>
                </c:ext>
              </c:extLst>
            </c:dLbl>
            <c:dLbl>
              <c:idx val="140"/>
              <c:tx>
                <c:rich>
                  <a:bodyPr/>
                  <a:lstStyle/>
                  <a:p>
                    <a:fld id="{D4413183-9F27-4587-91AA-0620A7592A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E1E1-4EB1-BBF1-1EA3725EBC00}"/>
                </c:ext>
              </c:extLst>
            </c:dLbl>
            <c:dLbl>
              <c:idx val="141"/>
              <c:tx>
                <c:rich>
                  <a:bodyPr/>
                  <a:lstStyle/>
                  <a:p>
                    <a:fld id="{0DACFF63-467C-4E15-B67F-8A1AFF2F9E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E1E1-4EB1-BBF1-1EA3725EBC00}"/>
                </c:ext>
              </c:extLst>
            </c:dLbl>
            <c:dLbl>
              <c:idx val="142"/>
              <c:tx>
                <c:rich>
                  <a:bodyPr/>
                  <a:lstStyle/>
                  <a:p>
                    <a:fld id="{C6E5A0A6-4CE7-48E6-A07D-9C8A293EEA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E1E1-4EB1-BBF1-1EA3725EBC00}"/>
                </c:ext>
              </c:extLst>
            </c:dLbl>
            <c:dLbl>
              <c:idx val="143"/>
              <c:tx>
                <c:rich>
                  <a:bodyPr/>
                  <a:lstStyle/>
                  <a:p>
                    <a:fld id="{B0AACBD1-CF1A-400F-BABF-797DBF006F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E1E1-4EB1-BBF1-1EA3725EBC00}"/>
                </c:ext>
              </c:extLst>
            </c:dLbl>
            <c:dLbl>
              <c:idx val="144"/>
              <c:tx>
                <c:rich>
                  <a:bodyPr/>
                  <a:lstStyle/>
                  <a:p>
                    <a:fld id="{CB33F56F-5CCE-44CD-9A48-B2CAB2DEF0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E1E1-4EB1-BBF1-1EA3725EBC00}"/>
                </c:ext>
              </c:extLst>
            </c:dLbl>
            <c:dLbl>
              <c:idx val="145"/>
              <c:tx>
                <c:rich>
                  <a:bodyPr/>
                  <a:lstStyle/>
                  <a:p>
                    <a:fld id="{F333F626-009A-4F18-A29B-3667BAB218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E1E1-4EB1-BBF1-1EA3725EBC00}"/>
                </c:ext>
              </c:extLst>
            </c:dLbl>
            <c:dLbl>
              <c:idx val="146"/>
              <c:tx>
                <c:rich>
                  <a:bodyPr/>
                  <a:lstStyle/>
                  <a:p>
                    <a:fld id="{0DBAEF0A-BC96-418E-B9C9-4868BFBB14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E1E1-4EB1-BBF1-1EA3725EBC00}"/>
                </c:ext>
              </c:extLst>
            </c:dLbl>
            <c:dLbl>
              <c:idx val="147"/>
              <c:tx>
                <c:rich>
                  <a:bodyPr/>
                  <a:lstStyle/>
                  <a:p>
                    <a:fld id="{DE582F11-A685-4665-A80B-837E0490F1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E1E1-4EB1-BBF1-1EA3725EBC00}"/>
                </c:ext>
              </c:extLst>
            </c:dLbl>
            <c:dLbl>
              <c:idx val="148"/>
              <c:tx>
                <c:rich>
                  <a:bodyPr/>
                  <a:lstStyle/>
                  <a:p>
                    <a:fld id="{1180011E-C31F-4086-88CA-D53914E5C3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E1E1-4EB1-BBF1-1EA3725EBC00}"/>
                </c:ext>
              </c:extLst>
            </c:dLbl>
            <c:dLbl>
              <c:idx val="149"/>
              <c:tx>
                <c:rich>
                  <a:bodyPr/>
                  <a:lstStyle/>
                  <a:p>
                    <a:fld id="{F5FC85CE-95AD-434A-BBF7-53DB7B70AA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E1E1-4EB1-BBF1-1EA3725EBC00}"/>
                </c:ext>
              </c:extLst>
            </c:dLbl>
            <c:dLbl>
              <c:idx val="150"/>
              <c:tx>
                <c:rich>
                  <a:bodyPr/>
                  <a:lstStyle/>
                  <a:p>
                    <a:fld id="{1BD79F9C-46C6-4E7B-8CFD-014B048C51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E1E1-4EB1-BBF1-1EA3725EBC00}"/>
                </c:ext>
              </c:extLst>
            </c:dLbl>
            <c:dLbl>
              <c:idx val="151"/>
              <c:tx>
                <c:rich>
                  <a:bodyPr/>
                  <a:lstStyle/>
                  <a:p>
                    <a:fld id="{1E083315-83E6-4564-8703-713D2E8527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E1E1-4EB1-BBF1-1EA3725EBC00}"/>
                </c:ext>
              </c:extLst>
            </c:dLbl>
            <c:dLbl>
              <c:idx val="152"/>
              <c:tx>
                <c:rich>
                  <a:bodyPr/>
                  <a:lstStyle/>
                  <a:p>
                    <a:fld id="{B65CD446-F8E4-473F-8734-859329129B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E1E1-4EB1-BBF1-1EA3725EBC00}"/>
                </c:ext>
              </c:extLst>
            </c:dLbl>
            <c:dLbl>
              <c:idx val="153"/>
              <c:tx>
                <c:rich>
                  <a:bodyPr/>
                  <a:lstStyle/>
                  <a:p>
                    <a:fld id="{3D152A9C-DF66-4FCF-8B51-8ED388F115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E1E1-4EB1-BBF1-1EA3725EBC00}"/>
                </c:ext>
              </c:extLst>
            </c:dLbl>
            <c:dLbl>
              <c:idx val="154"/>
              <c:tx>
                <c:rich>
                  <a:bodyPr/>
                  <a:lstStyle/>
                  <a:p>
                    <a:fld id="{08171115-F133-4E26-B9C6-7EFA0B540A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E1E1-4EB1-BBF1-1EA3725EBC00}"/>
                </c:ext>
              </c:extLst>
            </c:dLbl>
            <c:dLbl>
              <c:idx val="155"/>
              <c:tx>
                <c:rich>
                  <a:bodyPr/>
                  <a:lstStyle/>
                  <a:p>
                    <a:fld id="{996E776A-23A3-490E-80C5-E384C9E187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E1E1-4EB1-BBF1-1EA3725EBC00}"/>
                </c:ext>
              </c:extLst>
            </c:dLbl>
            <c:dLbl>
              <c:idx val="156"/>
              <c:tx>
                <c:rich>
                  <a:bodyPr/>
                  <a:lstStyle/>
                  <a:p>
                    <a:fld id="{87A08FF4-2857-441A-9CC4-E2ED4AF8CA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E1E1-4EB1-BBF1-1EA3725EBC00}"/>
                </c:ext>
              </c:extLst>
            </c:dLbl>
            <c:dLbl>
              <c:idx val="157"/>
              <c:tx>
                <c:rich>
                  <a:bodyPr/>
                  <a:lstStyle/>
                  <a:p>
                    <a:fld id="{7A64AEA3-2972-4EAA-B934-FA641D110D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E1E1-4EB1-BBF1-1EA3725EBC00}"/>
                </c:ext>
              </c:extLst>
            </c:dLbl>
            <c:dLbl>
              <c:idx val="158"/>
              <c:tx>
                <c:rich>
                  <a:bodyPr/>
                  <a:lstStyle/>
                  <a:p>
                    <a:fld id="{D2B95D95-EDF0-4C1A-B141-0B0CCA5235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E1E1-4EB1-BBF1-1EA3725EBC00}"/>
                </c:ext>
              </c:extLst>
            </c:dLbl>
            <c:dLbl>
              <c:idx val="159"/>
              <c:tx>
                <c:rich>
                  <a:bodyPr/>
                  <a:lstStyle/>
                  <a:p>
                    <a:fld id="{E09BE3D9-3796-4E25-807A-AC2B9C9901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E1E1-4EB1-BBF1-1EA3725EBC00}"/>
                </c:ext>
              </c:extLst>
            </c:dLbl>
            <c:dLbl>
              <c:idx val="160"/>
              <c:tx>
                <c:rich>
                  <a:bodyPr/>
                  <a:lstStyle/>
                  <a:p>
                    <a:fld id="{76D8C39B-87FA-4CA4-8BC4-0D65766752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E1E1-4EB1-BBF1-1EA3725EBC00}"/>
                </c:ext>
              </c:extLst>
            </c:dLbl>
            <c:dLbl>
              <c:idx val="161"/>
              <c:tx>
                <c:rich>
                  <a:bodyPr/>
                  <a:lstStyle/>
                  <a:p>
                    <a:fld id="{4407D9AF-1CCC-4A78-9140-2F03B82B53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E1E1-4EB1-BBF1-1EA3725EBC00}"/>
                </c:ext>
              </c:extLst>
            </c:dLbl>
            <c:dLbl>
              <c:idx val="162"/>
              <c:tx>
                <c:rich>
                  <a:bodyPr/>
                  <a:lstStyle/>
                  <a:p>
                    <a:fld id="{4777866C-CBB0-4BEB-B388-D89652CDEA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E1E1-4EB1-BBF1-1EA3725EBC00}"/>
                </c:ext>
              </c:extLst>
            </c:dLbl>
            <c:dLbl>
              <c:idx val="163"/>
              <c:tx>
                <c:rich>
                  <a:bodyPr/>
                  <a:lstStyle/>
                  <a:p>
                    <a:fld id="{1FF0CADA-E4D7-44A9-831D-C7FBA8B260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E1E1-4EB1-BBF1-1EA3725EBC00}"/>
                </c:ext>
              </c:extLst>
            </c:dLbl>
            <c:dLbl>
              <c:idx val="164"/>
              <c:tx>
                <c:rich>
                  <a:bodyPr/>
                  <a:lstStyle/>
                  <a:p>
                    <a:fld id="{ED40356F-794F-4146-9D42-99236E110B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E1E1-4EB1-BBF1-1EA3725EBC00}"/>
                </c:ext>
              </c:extLst>
            </c:dLbl>
            <c:dLbl>
              <c:idx val="165"/>
              <c:tx>
                <c:rich>
                  <a:bodyPr/>
                  <a:lstStyle/>
                  <a:p>
                    <a:fld id="{BC911281-68E4-4F4F-8D56-4B3D1D8943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E1E1-4EB1-BBF1-1EA3725EBC00}"/>
                </c:ext>
              </c:extLst>
            </c:dLbl>
            <c:dLbl>
              <c:idx val="166"/>
              <c:tx>
                <c:rich>
                  <a:bodyPr/>
                  <a:lstStyle/>
                  <a:p>
                    <a:fld id="{B6217E6A-354A-42A9-A344-43C2AF06F2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E1E1-4EB1-BBF1-1EA3725EBC00}"/>
                </c:ext>
              </c:extLst>
            </c:dLbl>
            <c:dLbl>
              <c:idx val="167"/>
              <c:tx>
                <c:rich>
                  <a:bodyPr/>
                  <a:lstStyle/>
                  <a:p>
                    <a:fld id="{01ED1164-C54A-49C5-8982-CF307F5468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E1E1-4EB1-BBF1-1EA3725EBC00}"/>
                </c:ext>
              </c:extLst>
            </c:dLbl>
            <c:dLbl>
              <c:idx val="168"/>
              <c:tx>
                <c:rich>
                  <a:bodyPr/>
                  <a:lstStyle/>
                  <a:p>
                    <a:fld id="{767D3DD0-646F-4DB0-B3E2-BCE1AABF1B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E1E1-4EB1-BBF1-1EA3725EBC00}"/>
                </c:ext>
              </c:extLst>
            </c:dLbl>
            <c:dLbl>
              <c:idx val="169"/>
              <c:tx>
                <c:rich>
                  <a:bodyPr/>
                  <a:lstStyle/>
                  <a:p>
                    <a:fld id="{4889FAAD-FA31-4C16-B868-25B72F21D1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E1E1-4EB1-BBF1-1EA3725EBC00}"/>
                </c:ext>
              </c:extLst>
            </c:dLbl>
            <c:dLbl>
              <c:idx val="170"/>
              <c:tx>
                <c:rich>
                  <a:bodyPr/>
                  <a:lstStyle/>
                  <a:p>
                    <a:fld id="{2E5E1BFF-CCAE-40E7-8E51-D7301F87B7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E1E1-4EB1-BBF1-1EA3725EBC00}"/>
                </c:ext>
              </c:extLst>
            </c:dLbl>
            <c:dLbl>
              <c:idx val="171"/>
              <c:tx>
                <c:rich>
                  <a:bodyPr/>
                  <a:lstStyle/>
                  <a:p>
                    <a:fld id="{2814DDFC-7830-4AC7-8A66-AF4C703B03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E1E1-4EB1-BBF1-1EA3725EBC00}"/>
                </c:ext>
              </c:extLst>
            </c:dLbl>
            <c:dLbl>
              <c:idx val="172"/>
              <c:tx>
                <c:rich>
                  <a:bodyPr/>
                  <a:lstStyle/>
                  <a:p>
                    <a:fld id="{4AA3BA4A-0311-4FDF-81B8-30C4A3A675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E1E1-4EB1-BBF1-1EA3725EBC00}"/>
                </c:ext>
              </c:extLst>
            </c:dLbl>
            <c:dLbl>
              <c:idx val="173"/>
              <c:tx>
                <c:rich>
                  <a:bodyPr/>
                  <a:lstStyle/>
                  <a:p>
                    <a:fld id="{953945CA-87BD-4B05-A398-DE552966BD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E1E1-4EB1-BBF1-1EA3725EBC00}"/>
                </c:ext>
              </c:extLst>
            </c:dLbl>
            <c:dLbl>
              <c:idx val="174"/>
              <c:tx>
                <c:rich>
                  <a:bodyPr/>
                  <a:lstStyle/>
                  <a:p>
                    <a:fld id="{1D4A3C56-B16C-42D3-9E12-83C8AD00A3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E1E1-4EB1-BBF1-1EA3725EBC00}"/>
                </c:ext>
              </c:extLst>
            </c:dLbl>
            <c:dLbl>
              <c:idx val="175"/>
              <c:tx>
                <c:rich>
                  <a:bodyPr/>
                  <a:lstStyle/>
                  <a:p>
                    <a:fld id="{E9D3211A-99AC-437D-83C6-31E3F5C55E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E1E1-4EB1-BBF1-1EA3725EBC00}"/>
                </c:ext>
              </c:extLst>
            </c:dLbl>
            <c:dLbl>
              <c:idx val="176"/>
              <c:tx>
                <c:rich>
                  <a:bodyPr/>
                  <a:lstStyle/>
                  <a:p>
                    <a:fld id="{BB17B429-4109-4574-93CE-A26FA7EB1F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E1E1-4EB1-BBF1-1EA3725EBC00}"/>
                </c:ext>
              </c:extLst>
            </c:dLbl>
            <c:dLbl>
              <c:idx val="177"/>
              <c:tx>
                <c:rich>
                  <a:bodyPr/>
                  <a:lstStyle/>
                  <a:p>
                    <a:fld id="{7AC8B901-AC6A-4C35-A91B-E5D159EA28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E1E1-4EB1-BBF1-1EA3725EBC00}"/>
                </c:ext>
              </c:extLst>
            </c:dLbl>
            <c:dLbl>
              <c:idx val="178"/>
              <c:tx>
                <c:rich>
                  <a:bodyPr/>
                  <a:lstStyle/>
                  <a:p>
                    <a:fld id="{BE38BBFB-6BED-4EC1-8E44-FD8D9D33C0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E1E1-4EB1-BBF1-1EA3725EBC00}"/>
                </c:ext>
              </c:extLst>
            </c:dLbl>
            <c:dLbl>
              <c:idx val="179"/>
              <c:tx>
                <c:rich>
                  <a:bodyPr/>
                  <a:lstStyle/>
                  <a:p>
                    <a:fld id="{A8322517-61F8-4349-B8D9-433D5E462A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E1E1-4EB1-BBF1-1EA3725EBC00}"/>
                </c:ext>
              </c:extLst>
            </c:dLbl>
            <c:dLbl>
              <c:idx val="180"/>
              <c:tx>
                <c:rich>
                  <a:bodyPr/>
                  <a:lstStyle/>
                  <a:p>
                    <a:fld id="{2F395574-E947-4BC9-96C7-CE92C1D828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E1E1-4EB1-BBF1-1EA3725EBC00}"/>
                </c:ext>
              </c:extLst>
            </c:dLbl>
            <c:dLbl>
              <c:idx val="181"/>
              <c:tx>
                <c:rich>
                  <a:bodyPr/>
                  <a:lstStyle/>
                  <a:p>
                    <a:fld id="{DD764301-9466-4A11-A75C-845F87E42B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E1E1-4EB1-BBF1-1EA3725EBC00}"/>
                </c:ext>
              </c:extLst>
            </c:dLbl>
            <c:dLbl>
              <c:idx val="182"/>
              <c:tx>
                <c:rich>
                  <a:bodyPr/>
                  <a:lstStyle/>
                  <a:p>
                    <a:fld id="{B8A09E3A-A79F-4FFF-BF27-87DB2FCDDB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E1E1-4EB1-BBF1-1EA3725EBC00}"/>
                </c:ext>
              </c:extLst>
            </c:dLbl>
            <c:dLbl>
              <c:idx val="183"/>
              <c:tx>
                <c:rich>
                  <a:bodyPr/>
                  <a:lstStyle/>
                  <a:p>
                    <a:fld id="{32E52D61-48B6-4783-805B-C9E7C7A2B6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E1E1-4EB1-BBF1-1EA3725EBC00}"/>
                </c:ext>
              </c:extLst>
            </c:dLbl>
            <c:dLbl>
              <c:idx val="184"/>
              <c:tx>
                <c:rich>
                  <a:bodyPr/>
                  <a:lstStyle/>
                  <a:p>
                    <a:fld id="{141322F3-D327-4672-B6C9-46AE41DE7B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E1E1-4EB1-BBF1-1EA3725EBC00}"/>
                </c:ext>
              </c:extLst>
            </c:dLbl>
            <c:dLbl>
              <c:idx val="185"/>
              <c:tx>
                <c:rich>
                  <a:bodyPr/>
                  <a:lstStyle/>
                  <a:p>
                    <a:fld id="{1323EF9F-946C-45F6-BE9D-838E51898F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E1E1-4EB1-BBF1-1EA3725EBC00}"/>
                </c:ext>
              </c:extLst>
            </c:dLbl>
            <c:dLbl>
              <c:idx val="186"/>
              <c:tx>
                <c:rich>
                  <a:bodyPr/>
                  <a:lstStyle/>
                  <a:p>
                    <a:fld id="{9E2126FD-9263-4A4F-9CC7-DD607B674B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E1E1-4EB1-BBF1-1EA3725EBC00}"/>
                </c:ext>
              </c:extLst>
            </c:dLbl>
            <c:dLbl>
              <c:idx val="187"/>
              <c:tx>
                <c:rich>
                  <a:bodyPr/>
                  <a:lstStyle/>
                  <a:p>
                    <a:fld id="{DD02CF04-6643-4CDF-870C-63BBB85DFD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E1E1-4EB1-BBF1-1EA3725EBC00}"/>
                </c:ext>
              </c:extLst>
            </c:dLbl>
            <c:dLbl>
              <c:idx val="188"/>
              <c:tx>
                <c:rich>
                  <a:bodyPr/>
                  <a:lstStyle/>
                  <a:p>
                    <a:fld id="{9B36F812-1210-4EAF-A14C-DEA94CA15D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E1E1-4EB1-BBF1-1EA3725EBC00}"/>
                </c:ext>
              </c:extLst>
            </c:dLbl>
            <c:dLbl>
              <c:idx val="189"/>
              <c:tx>
                <c:rich>
                  <a:bodyPr/>
                  <a:lstStyle/>
                  <a:p>
                    <a:fld id="{691A0D09-495E-4CA7-A231-AB1CDA69D1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E1E1-4EB1-BBF1-1EA3725EBC00}"/>
                </c:ext>
              </c:extLst>
            </c:dLbl>
            <c:dLbl>
              <c:idx val="190"/>
              <c:tx>
                <c:rich>
                  <a:bodyPr/>
                  <a:lstStyle/>
                  <a:p>
                    <a:fld id="{13E7C3B0-6B4B-4358-BF01-E999EE74EF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E1E1-4EB1-BBF1-1EA3725EBC00}"/>
                </c:ext>
              </c:extLst>
            </c:dLbl>
            <c:dLbl>
              <c:idx val="191"/>
              <c:tx>
                <c:rich>
                  <a:bodyPr/>
                  <a:lstStyle/>
                  <a:p>
                    <a:fld id="{EF35629E-C2A3-4E80-BB66-09A49C1E88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E1E1-4EB1-BBF1-1EA3725EBC00}"/>
                </c:ext>
              </c:extLst>
            </c:dLbl>
            <c:dLbl>
              <c:idx val="192"/>
              <c:tx>
                <c:rich>
                  <a:bodyPr/>
                  <a:lstStyle/>
                  <a:p>
                    <a:fld id="{74FAF5A8-D858-4F8A-904B-6F1CEFC9D6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E1E1-4EB1-BBF1-1EA3725EBC00}"/>
                </c:ext>
              </c:extLst>
            </c:dLbl>
            <c:dLbl>
              <c:idx val="193"/>
              <c:tx>
                <c:rich>
                  <a:bodyPr/>
                  <a:lstStyle/>
                  <a:p>
                    <a:fld id="{200AA9B5-58EB-4EB5-B1B9-77A91103EA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E1E1-4EB1-BBF1-1EA3725EBC00}"/>
                </c:ext>
              </c:extLst>
            </c:dLbl>
            <c:dLbl>
              <c:idx val="194"/>
              <c:tx>
                <c:rich>
                  <a:bodyPr/>
                  <a:lstStyle/>
                  <a:p>
                    <a:fld id="{AEA8CCA8-C52F-4D31-9592-837F21F99F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E1E1-4EB1-BBF1-1EA3725EBC00}"/>
                </c:ext>
              </c:extLst>
            </c:dLbl>
            <c:dLbl>
              <c:idx val="195"/>
              <c:tx>
                <c:rich>
                  <a:bodyPr/>
                  <a:lstStyle/>
                  <a:p>
                    <a:fld id="{BB23DDFD-25EF-4C64-ABBF-7126407158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E1E1-4EB1-BBF1-1EA3725EBC00}"/>
                </c:ext>
              </c:extLst>
            </c:dLbl>
            <c:dLbl>
              <c:idx val="196"/>
              <c:tx>
                <c:rich>
                  <a:bodyPr/>
                  <a:lstStyle/>
                  <a:p>
                    <a:fld id="{F1EC3A01-DDFF-4B64-9A1B-53FAA86625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E1E1-4EB1-BBF1-1EA3725EBC00}"/>
                </c:ext>
              </c:extLst>
            </c:dLbl>
            <c:dLbl>
              <c:idx val="197"/>
              <c:tx>
                <c:rich>
                  <a:bodyPr/>
                  <a:lstStyle/>
                  <a:p>
                    <a:fld id="{C204E7DD-0DA6-41F5-8D96-F443047703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E1E1-4EB1-BBF1-1EA3725EBC00}"/>
                </c:ext>
              </c:extLst>
            </c:dLbl>
            <c:dLbl>
              <c:idx val="198"/>
              <c:tx>
                <c:rich>
                  <a:bodyPr/>
                  <a:lstStyle/>
                  <a:p>
                    <a:fld id="{95E30634-6D9A-4C04-A3B6-AB33EDDC8C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E1E1-4EB1-BBF1-1EA3725EBC00}"/>
                </c:ext>
              </c:extLst>
            </c:dLbl>
            <c:dLbl>
              <c:idx val="199"/>
              <c:tx>
                <c:rich>
                  <a:bodyPr/>
                  <a:lstStyle/>
                  <a:p>
                    <a:fld id="{8B2361BC-FC6C-4063-A0C3-9E25CC1A7C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E1E1-4EB1-BBF1-1EA3725EBC00}"/>
                </c:ext>
              </c:extLst>
            </c:dLbl>
            <c:dLbl>
              <c:idx val="200"/>
              <c:tx>
                <c:rich>
                  <a:bodyPr/>
                  <a:lstStyle/>
                  <a:p>
                    <a:fld id="{2E06C7B9-783D-4544-862C-44C11FA2C4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E1E1-4EB1-BBF1-1EA3725EBC00}"/>
                </c:ext>
              </c:extLst>
            </c:dLbl>
            <c:dLbl>
              <c:idx val="201"/>
              <c:tx>
                <c:rich>
                  <a:bodyPr/>
                  <a:lstStyle/>
                  <a:p>
                    <a:fld id="{062B70C7-D9B5-49A0-8B5E-4F0A7283DF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E1E1-4EB1-BBF1-1EA3725EBC00}"/>
                </c:ext>
              </c:extLst>
            </c:dLbl>
            <c:dLbl>
              <c:idx val="202"/>
              <c:tx>
                <c:rich>
                  <a:bodyPr/>
                  <a:lstStyle/>
                  <a:p>
                    <a:fld id="{243D1832-E4C6-4C03-B8E0-897D11673B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E1E1-4EB1-BBF1-1EA3725EBC00}"/>
                </c:ext>
              </c:extLst>
            </c:dLbl>
            <c:dLbl>
              <c:idx val="203"/>
              <c:tx>
                <c:rich>
                  <a:bodyPr/>
                  <a:lstStyle/>
                  <a:p>
                    <a:fld id="{FBF6A89B-5359-436D-AD0F-BC64BB3AD1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E1E1-4EB1-BBF1-1EA3725EBC00}"/>
                </c:ext>
              </c:extLst>
            </c:dLbl>
            <c:dLbl>
              <c:idx val="204"/>
              <c:tx>
                <c:rich>
                  <a:bodyPr/>
                  <a:lstStyle/>
                  <a:p>
                    <a:fld id="{9D818F49-E700-4E4B-B8EB-08A4BF8B8D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E1E1-4EB1-BBF1-1EA3725EBC00}"/>
                </c:ext>
              </c:extLst>
            </c:dLbl>
            <c:dLbl>
              <c:idx val="205"/>
              <c:tx>
                <c:rich>
                  <a:bodyPr/>
                  <a:lstStyle/>
                  <a:p>
                    <a:fld id="{7D53D5BA-A96E-428E-A814-0191004BCD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E1E1-4EB1-BBF1-1EA3725EBC00}"/>
                </c:ext>
              </c:extLst>
            </c:dLbl>
            <c:dLbl>
              <c:idx val="206"/>
              <c:tx>
                <c:rich>
                  <a:bodyPr/>
                  <a:lstStyle/>
                  <a:p>
                    <a:fld id="{2BE1C747-A655-448D-801A-8DD8E931C5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E1E1-4EB1-BBF1-1EA3725EBC00}"/>
                </c:ext>
              </c:extLst>
            </c:dLbl>
            <c:dLbl>
              <c:idx val="207"/>
              <c:tx>
                <c:rich>
                  <a:bodyPr/>
                  <a:lstStyle/>
                  <a:p>
                    <a:fld id="{31AA071B-7B57-4D28-ADC7-2D6AAF0EE1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E1E1-4EB1-BBF1-1EA3725EBC00}"/>
                </c:ext>
              </c:extLst>
            </c:dLbl>
            <c:dLbl>
              <c:idx val="208"/>
              <c:tx>
                <c:rich>
                  <a:bodyPr/>
                  <a:lstStyle/>
                  <a:p>
                    <a:fld id="{32D416B2-50D2-4059-BF16-C5C29F90BC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E1E1-4EB1-BBF1-1EA3725EBC00}"/>
                </c:ext>
              </c:extLst>
            </c:dLbl>
            <c:dLbl>
              <c:idx val="209"/>
              <c:tx>
                <c:rich>
                  <a:bodyPr/>
                  <a:lstStyle/>
                  <a:p>
                    <a:fld id="{95D65C47-3B05-4656-9D84-36FCA3BF9B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E1E1-4EB1-BBF1-1EA3725EBC00}"/>
                </c:ext>
              </c:extLst>
            </c:dLbl>
            <c:dLbl>
              <c:idx val="210"/>
              <c:tx>
                <c:rich>
                  <a:bodyPr/>
                  <a:lstStyle/>
                  <a:p>
                    <a:fld id="{05064E8D-824C-4016-A39B-17A70BE975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E1E1-4EB1-BBF1-1EA3725EBC00}"/>
                </c:ext>
              </c:extLst>
            </c:dLbl>
            <c:dLbl>
              <c:idx val="211"/>
              <c:tx>
                <c:rich>
                  <a:bodyPr/>
                  <a:lstStyle/>
                  <a:p>
                    <a:fld id="{6DF826D4-C396-4747-A502-AE669234A4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E1E1-4EB1-BBF1-1EA3725EBC00}"/>
                </c:ext>
              </c:extLst>
            </c:dLbl>
            <c:dLbl>
              <c:idx val="212"/>
              <c:tx>
                <c:rich>
                  <a:bodyPr/>
                  <a:lstStyle/>
                  <a:p>
                    <a:fld id="{3B1A8893-6A40-4F8F-B1F5-FF11D6319E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E1E1-4EB1-BBF1-1EA3725EBC00}"/>
                </c:ext>
              </c:extLst>
            </c:dLbl>
            <c:dLbl>
              <c:idx val="213"/>
              <c:tx>
                <c:rich>
                  <a:bodyPr/>
                  <a:lstStyle/>
                  <a:p>
                    <a:fld id="{03D7BD7E-C231-47F3-97C0-1FCC182E7E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E1E1-4EB1-BBF1-1EA3725EBC00}"/>
                </c:ext>
              </c:extLst>
            </c:dLbl>
            <c:dLbl>
              <c:idx val="214"/>
              <c:tx>
                <c:rich>
                  <a:bodyPr/>
                  <a:lstStyle/>
                  <a:p>
                    <a:fld id="{17C1AB6E-83B4-473D-AF4E-18E292267D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E1E1-4EB1-BBF1-1EA3725EBC00}"/>
                </c:ext>
              </c:extLst>
            </c:dLbl>
            <c:dLbl>
              <c:idx val="215"/>
              <c:tx>
                <c:rich>
                  <a:bodyPr/>
                  <a:lstStyle/>
                  <a:p>
                    <a:fld id="{20F2DC98-33F2-4F44-B60B-5C079F8098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E1E1-4EB1-BBF1-1EA3725EBC00}"/>
                </c:ext>
              </c:extLst>
            </c:dLbl>
            <c:dLbl>
              <c:idx val="216"/>
              <c:tx>
                <c:rich>
                  <a:bodyPr/>
                  <a:lstStyle/>
                  <a:p>
                    <a:fld id="{4EBFAFFE-74B7-46F1-8F28-C6FB7D6375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E1E1-4EB1-BBF1-1EA3725EBC00}"/>
                </c:ext>
              </c:extLst>
            </c:dLbl>
            <c:dLbl>
              <c:idx val="217"/>
              <c:tx>
                <c:rich>
                  <a:bodyPr/>
                  <a:lstStyle/>
                  <a:p>
                    <a:fld id="{4FB0B746-BF12-4DB3-9EF0-ABF5C06108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E1E1-4EB1-BBF1-1EA3725EBC00}"/>
                </c:ext>
              </c:extLst>
            </c:dLbl>
            <c:dLbl>
              <c:idx val="218"/>
              <c:tx>
                <c:rich>
                  <a:bodyPr/>
                  <a:lstStyle/>
                  <a:p>
                    <a:fld id="{3339DC94-DF60-4D17-B011-AE90C47896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E1E1-4EB1-BBF1-1EA3725EBC00}"/>
                </c:ext>
              </c:extLst>
            </c:dLbl>
            <c:dLbl>
              <c:idx val="219"/>
              <c:tx>
                <c:rich>
                  <a:bodyPr/>
                  <a:lstStyle/>
                  <a:p>
                    <a:fld id="{0312239F-E08B-43B9-BF8F-170DCEC21E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E1E1-4EB1-BBF1-1EA3725EBC00}"/>
                </c:ext>
              </c:extLst>
            </c:dLbl>
            <c:dLbl>
              <c:idx val="220"/>
              <c:tx>
                <c:rich>
                  <a:bodyPr/>
                  <a:lstStyle/>
                  <a:p>
                    <a:fld id="{06F93873-4FEE-4E34-B35B-46FA5382AB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E1E1-4EB1-BBF1-1EA3725EBC00}"/>
                </c:ext>
              </c:extLst>
            </c:dLbl>
            <c:dLbl>
              <c:idx val="221"/>
              <c:tx>
                <c:rich>
                  <a:bodyPr/>
                  <a:lstStyle/>
                  <a:p>
                    <a:fld id="{671DA2AB-A3BD-4AD8-9A90-57A5C418BD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E1E1-4EB1-BBF1-1EA3725EBC00}"/>
                </c:ext>
              </c:extLst>
            </c:dLbl>
            <c:dLbl>
              <c:idx val="222"/>
              <c:tx>
                <c:rich>
                  <a:bodyPr/>
                  <a:lstStyle/>
                  <a:p>
                    <a:fld id="{2DCD10BD-9D13-4526-B4FE-9768A962C4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E1E1-4EB1-BBF1-1EA3725EBC00}"/>
                </c:ext>
              </c:extLst>
            </c:dLbl>
            <c:dLbl>
              <c:idx val="223"/>
              <c:tx>
                <c:rich>
                  <a:bodyPr/>
                  <a:lstStyle/>
                  <a:p>
                    <a:fld id="{973755BB-B45E-4812-8FAE-E00DB9825E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E1E1-4EB1-BBF1-1EA3725EBC00}"/>
                </c:ext>
              </c:extLst>
            </c:dLbl>
            <c:dLbl>
              <c:idx val="224"/>
              <c:tx>
                <c:rich>
                  <a:bodyPr/>
                  <a:lstStyle/>
                  <a:p>
                    <a:fld id="{E18B1F8F-C682-4647-9858-C3FADCB72F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E1E1-4EB1-BBF1-1EA3725EBC00}"/>
                </c:ext>
              </c:extLst>
            </c:dLbl>
            <c:dLbl>
              <c:idx val="225"/>
              <c:tx>
                <c:rich>
                  <a:bodyPr/>
                  <a:lstStyle/>
                  <a:p>
                    <a:fld id="{797EBB21-E512-4343-AE9D-E9B4F31B93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E1E1-4EB1-BBF1-1EA3725EBC00}"/>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E1E1-4EB1-BBF1-1EA3725EBC00}"/>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E1E1-4EB1-BBF1-1EA3725EBC00}"/>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E1E1-4EB1-BBF1-1EA3725EBC00}"/>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E1E1-4EB1-BBF1-1EA3725EBC00}"/>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E1E1-4EB1-BBF1-1EA3725EBC00}"/>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E1E1-4EB1-BBF1-1EA3725EBC00}"/>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E1E1-4EB1-BBF1-1EA3725EBC00}"/>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E1E1-4EB1-BBF1-1EA3725EBC00}"/>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E1E1-4EB1-BBF1-1EA3725EBC00}"/>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E1E1-4EB1-BBF1-1EA3725EBC00}"/>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E1E1-4EB1-BBF1-1EA3725EBC00}"/>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E1E1-4EB1-BBF1-1EA3725EBC00}"/>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E1E1-4EB1-BBF1-1EA3725EBC00}"/>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E1E1-4EB1-BBF1-1EA3725EBC00}"/>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E1E1-4EB1-BBF1-1EA3725EBC00}"/>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E1E1-4EB1-BBF1-1EA3725EBC00}"/>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E1E1-4EB1-BBF1-1EA3725EBC00}"/>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E1E1-4EB1-BBF1-1EA3725EBC00}"/>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E1E1-4EB1-BBF1-1EA3725EBC00}"/>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E1E1-4EB1-BBF1-1EA3725EBC00}"/>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E1E1-4EB1-BBF1-1EA3725EBC00}"/>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E1E1-4EB1-BBF1-1EA3725EBC00}"/>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E1E1-4EB1-BBF1-1EA3725EBC00}"/>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E1E1-4EB1-BBF1-1EA3725EBC00}"/>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E1E1-4EB1-BBF1-1EA3725EBC00}"/>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E1E1-4EB1-BBF1-1EA3725EBC00}"/>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E1E1-4EB1-BBF1-1EA3725EBC00}"/>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E1E1-4EB1-BBF1-1EA3725EBC00}"/>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E1E1-4EB1-BBF1-1EA3725EBC00}"/>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E1E1-4EB1-BBF1-1EA3725EBC00}"/>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E1E1-4EB1-BBF1-1EA3725EBC00}"/>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E1E1-4EB1-BBF1-1EA3725EBC00}"/>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E1E1-4EB1-BBF1-1EA3725EBC00}"/>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E1E1-4EB1-BBF1-1EA3725EBC00}"/>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E1E1-4EB1-BBF1-1EA3725EBC00}"/>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E1E1-4EB1-BBF1-1EA3725EBC00}"/>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E1E1-4EB1-BBF1-1EA3725EBC00}"/>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E1E1-4EB1-BBF1-1EA3725EBC00}"/>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E1E1-4EB1-BBF1-1EA3725EBC00}"/>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E1E1-4EB1-BBF1-1EA3725EBC00}"/>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E1E1-4EB1-BBF1-1EA3725EBC00}"/>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E1E1-4EB1-BBF1-1EA3725EBC00}"/>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E1E1-4EB1-BBF1-1EA3725EBC00}"/>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E1E1-4EB1-BBF1-1EA3725EBC00}"/>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E1E1-4EB1-BBF1-1EA3725EBC00}"/>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E1E1-4EB1-BBF1-1EA3725EBC00}"/>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E1E1-4EB1-BBF1-1EA3725EBC00}"/>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E1E1-4EB1-BBF1-1EA3725EBC00}"/>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E1E1-4EB1-BBF1-1EA3725EBC00}"/>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E1E1-4EB1-BBF1-1EA3725EBC00}"/>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E1E1-4EB1-BBF1-1EA3725EBC00}"/>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E1E1-4EB1-BBF1-1EA3725EBC00}"/>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E1E1-4EB1-BBF1-1EA3725EBC00}"/>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E1E1-4EB1-BBF1-1EA3725EBC00}"/>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E1E1-4EB1-BBF1-1EA3725EBC00}"/>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E1E1-4EB1-BBF1-1EA3725EBC00}"/>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E1E1-4EB1-BBF1-1EA3725EBC00}"/>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E1E1-4EB1-BBF1-1EA3725EBC00}"/>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E1E1-4EB1-BBF1-1EA3725EBC00}"/>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E1E1-4EB1-BBF1-1EA3725EBC00}"/>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E1E1-4EB1-BBF1-1EA3725EBC00}"/>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E1E1-4EB1-BBF1-1EA3725EBC00}"/>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E1E1-4EB1-BBF1-1EA3725EBC00}"/>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E1E1-4EB1-BBF1-1EA3725EBC00}"/>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E1E1-4EB1-BBF1-1EA3725EBC00}"/>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E1E1-4EB1-BBF1-1EA3725EBC00}"/>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E1E1-4EB1-BBF1-1EA3725EBC00}"/>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E1E1-4EB1-BBF1-1EA3725EBC00}"/>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E1E1-4EB1-BBF1-1EA3725EBC00}"/>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E1E1-4EB1-BBF1-1EA3725EBC00}"/>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E1E1-4EB1-BBF1-1EA3725EBC00}"/>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E1E1-4EB1-BBF1-1EA3725EBC00}"/>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E1E1-4EB1-BBF1-1EA3725EBC00}"/>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100</c:v>
                </c:pt>
                <c:pt idx="1">
                  <c:v>84.18011474609375</c:v>
                </c:pt>
                <c:pt idx="2">
                  <c:v>70.125495910644531</c:v>
                </c:pt>
                <c:pt idx="3">
                  <c:v>59.003433227539063</c:v>
                </c:pt>
                <c:pt idx="4">
                  <c:v>51.549526214599609</c:v>
                </c:pt>
                <c:pt idx="5">
                  <c:v>47.429611206054688</c:v>
                </c:pt>
                <c:pt idx="6">
                  <c:v>46.082263946533203</c:v>
                </c:pt>
                <c:pt idx="7">
                  <c:v>47.040214538574219</c:v>
                </c:pt>
                <c:pt idx="8">
                  <c:v>48.897247314453125</c:v>
                </c:pt>
                <c:pt idx="9">
                  <c:v>50.815036773681641</c:v>
                </c:pt>
                <c:pt idx="10">
                  <c:v>52.408370971679688</c:v>
                </c:pt>
                <c:pt idx="11">
                  <c:v>53.289295196533203</c:v>
                </c:pt>
                <c:pt idx="12">
                  <c:v>52.763526916503906</c:v>
                </c:pt>
                <c:pt idx="13">
                  <c:v>50.994796752929688</c:v>
                </c:pt>
                <c:pt idx="14">
                  <c:v>48.249614715576172</c:v>
                </c:pt>
                <c:pt idx="15">
                  <c:v>44.738803863525391</c:v>
                </c:pt>
                <c:pt idx="16">
                  <c:v>40.727088928222656</c:v>
                </c:pt>
                <c:pt idx="17">
                  <c:v>36.107898712158203</c:v>
                </c:pt>
                <c:pt idx="18">
                  <c:v>31.441665649414063</c:v>
                </c:pt>
                <c:pt idx="19">
                  <c:v>27.282987594604492</c:v>
                </c:pt>
                <c:pt idx="20">
                  <c:v>24.380807876586914</c:v>
                </c:pt>
                <c:pt idx="21">
                  <c:v>22.538333892822266</c:v>
                </c:pt>
                <c:pt idx="22">
                  <c:v>21.357892990112305</c:v>
                </c:pt>
                <c:pt idx="23">
                  <c:v>20.584510803222656</c:v>
                </c:pt>
                <c:pt idx="24">
                  <c:v>19.988075256347656</c:v>
                </c:pt>
                <c:pt idx="25">
                  <c:v>19.691131591796875</c:v>
                </c:pt>
                <c:pt idx="26">
                  <c:v>19.547588348388672</c:v>
                </c:pt>
                <c:pt idx="27">
                  <c:v>19.469350814819336</c:v>
                </c:pt>
                <c:pt idx="28">
                  <c:v>19.703300476074219</c:v>
                </c:pt>
                <c:pt idx="29">
                  <c:v>19.98841667175293</c:v>
                </c:pt>
                <c:pt idx="30">
                  <c:v>20.135692596435547</c:v>
                </c:pt>
                <c:pt idx="31">
                  <c:v>20.065261840820313</c:v>
                </c:pt>
                <c:pt idx="32">
                  <c:v>19.59925651550293</c:v>
                </c:pt>
                <c:pt idx="33">
                  <c:v>18.835597991943359</c:v>
                </c:pt>
                <c:pt idx="34">
                  <c:v>17.711711883544922</c:v>
                </c:pt>
                <c:pt idx="35">
                  <c:v>16.426517486572266</c:v>
                </c:pt>
                <c:pt idx="36">
                  <c:v>15.145421981811523</c:v>
                </c:pt>
                <c:pt idx="37">
                  <c:v>13.563967704772949</c:v>
                </c:pt>
                <c:pt idx="38">
                  <c:v>12.246026992797852</c:v>
                </c:pt>
                <c:pt idx="39">
                  <c:v>11.451462745666504</c:v>
                </c:pt>
                <c:pt idx="40">
                  <c:v>11.229602813720703</c:v>
                </c:pt>
                <c:pt idx="41">
                  <c:v>11.388941764831543</c:v>
                </c:pt>
                <c:pt idx="42">
                  <c:v>11.870951652526855</c:v>
                </c:pt>
                <c:pt idx="43">
                  <c:v>12.398769378662109</c:v>
                </c:pt>
                <c:pt idx="44">
                  <c:v>12.665936470031738</c:v>
                </c:pt>
                <c:pt idx="45">
                  <c:v>13.123716354370117</c:v>
                </c:pt>
                <c:pt idx="46">
                  <c:v>13.52044677734375</c:v>
                </c:pt>
                <c:pt idx="47">
                  <c:v>13.790058135986328</c:v>
                </c:pt>
                <c:pt idx="48">
                  <c:v>14.007555961608887</c:v>
                </c:pt>
                <c:pt idx="49">
                  <c:v>14.115174293518066</c:v>
                </c:pt>
                <c:pt idx="50">
                  <c:v>14.233962059020996</c:v>
                </c:pt>
                <c:pt idx="51">
                  <c:v>14.144949913024902</c:v>
                </c:pt>
                <c:pt idx="52">
                  <c:v>13.925113677978516</c:v>
                </c:pt>
                <c:pt idx="53">
                  <c:v>13.89478588104248</c:v>
                </c:pt>
                <c:pt idx="54">
                  <c:v>13.800413131713867</c:v>
                </c:pt>
                <c:pt idx="55">
                  <c:v>13.546648979187012</c:v>
                </c:pt>
                <c:pt idx="56">
                  <c:v>13.40252685546875</c:v>
                </c:pt>
                <c:pt idx="57">
                  <c:v>12.990133285522461</c:v>
                </c:pt>
                <c:pt idx="58">
                  <c:v>12.532431602478027</c:v>
                </c:pt>
                <c:pt idx="59">
                  <c:v>12.189682006835938</c:v>
                </c:pt>
                <c:pt idx="60">
                  <c:v>11.90593147277832</c:v>
                </c:pt>
                <c:pt idx="61">
                  <c:v>11.61529541015625</c:v>
                </c:pt>
                <c:pt idx="62">
                  <c:v>11.050370216369629</c:v>
                </c:pt>
                <c:pt idx="63">
                  <c:v>10.438692092895508</c:v>
                </c:pt>
                <c:pt idx="64">
                  <c:v>9.9723176956176758</c:v>
                </c:pt>
                <c:pt idx="65">
                  <c:v>9.5816326141357422</c:v>
                </c:pt>
                <c:pt idx="66">
                  <c:v>9.2963838577270508</c:v>
                </c:pt>
                <c:pt idx="67">
                  <c:v>8.9581279754638672</c:v>
                </c:pt>
                <c:pt idx="68">
                  <c:v>8.5663118362426758</c:v>
                </c:pt>
                <c:pt idx="69">
                  <c:v>8.3851871490478516</c:v>
                </c:pt>
                <c:pt idx="70">
                  <c:v>8.1467170715332031</c:v>
                </c:pt>
                <c:pt idx="71">
                  <c:v>7.7838363647460938</c:v>
                </c:pt>
                <c:pt idx="72">
                  <c:v>7.607231616973877</c:v>
                </c:pt>
                <c:pt idx="73">
                  <c:v>7.7186083793640137</c:v>
                </c:pt>
                <c:pt idx="74">
                  <c:v>7.8296170234680176</c:v>
                </c:pt>
                <c:pt idx="75">
                  <c:v>7.5830798149108887</c:v>
                </c:pt>
                <c:pt idx="76">
                  <c:v>7.2687125205993652</c:v>
                </c:pt>
                <c:pt idx="77">
                  <c:v>7.3096837997436523</c:v>
                </c:pt>
                <c:pt idx="78">
                  <c:v>7.1933403015136719</c:v>
                </c:pt>
                <c:pt idx="79">
                  <c:v>6.8575019836425781</c:v>
                </c:pt>
                <c:pt idx="80">
                  <c:v>6.6767973899841309</c:v>
                </c:pt>
                <c:pt idx="81">
                  <c:v>6.616877555847168</c:v>
                </c:pt>
                <c:pt idx="82">
                  <c:v>6.51690673828125</c:v>
                </c:pt>
                <c:pt idx="83">
                  <c:v>6.4993777275085449</c:v>
                </c:pt>
                <c:pt idx="84">
                  <c:v>6.4270534515380859</c:v>
                </c:pt>
                <c:pt idx="85">
                  <c:v>6.5041871070861816</c:v>
                </c:pt>
                <c:pt idx="86">
                  <c:v>6.466789722442627</c:v>
                </c:pt>
                <c:pt idx="87">
                  <c:v>6.2799615859985352</c:v>
                </c:pt>
                <c:pt idx="88">
                  <c:v>6.2287149429321289</c:v>
                </c:pt>
                <c:pt idx="89">
                  <c:v>6.3807735443115234</c:v>
                </c:pt>
                <c:pt idx="90">
                  <c:v>6.3785400390625</c:v>
                </c:pt>
                <c:pt idx="91">
                  <c:v>6.0757884979248047</c:v>
                </c:pt>
                <c:pt idx="92">
                  <c:v>6.2021188735961914</c:v>
                </c:pt>
                <c:pt idx="93">
                  <c:v>6.5810046195983887</c:v>
                </c:pt>
                <c:pt idx="94">
                  <c:v>6.9871959686279297</c:v>
                </c:pt>
                <c:pt idx="95">
                  <c:v>7.187164306640625</c:v>
                </c:pt>
                <c:pt idx="96">
                  <c:v>6.7465720176696777</c:v>
                </c:pt>
                <c:pt idx="97">
                  <c:v>6.5719904899597168</c:v>
                </c:pt>
                <c:pt idx="98">
                  <c:v>6.5709128379821777</c:v>
                </c:pt>
                <c:pt idx="99">
                  <c:v>6.5246858596801758</c:v>
                </c:pt>
                <c:pt idx="100">
                  <c:v>6.4251875877380371</c:v>
                </c:pt>
                <c:pt idx="101">
                  <c:v>6.0945529937744141</c:v>
                </c:pt>
                <c:pt idx="102">
                  <c:v>5.9875388145446777</c:v>
                </c:pt>
                <c:pt idx="103">
                  <c:v>6.582240104675293</c:v>
                </c:pt>
                <c:pt idx="104">
                  <c:v>6.686521053314209</c:v>
                </c:pt>
                <c:pt idx="105">
                  <c:v>6.5896248817443848</c:v>
                </c:pt>
                <c:pt idx="106">
                  <c:v>7.0170245170593262</c:v>
                </c:pt>
                <c:pt idx="107">
                  <c:v>7.148505687713623</c:v>
                </c:pt>
                <c:pt idx="108">
                  <c:v>7.1421718597412109</c:v>
                </c:pt>
                <c:pt idx="109">
                  <c:v>7.1906332969665527</c:v>
                </c:pt>
                <c:pt idx="110">
                  <c:v>7.225165843963623</c:v>
                </c:pt>
                <c:pt idx="111">
                  <c:v>7.2228794097900391</c:v>
                </c:pt>
                <c:pt idx="112">
                  <c:v>7.3236651420593262</c:v>
                </c:pt>
                <c:pt idx="113">
                  <c:v>7.2716035842895508</c:v>
                </c:pt>
                <c:pt idx="114">
                  <c:v>7.1438016891479492</c:v>
                </c:pt>
                <c:pt idx="115">
                  <c:v>7.294677734375</c:v>
                </c:pt>
                <c:pt idx="116">
                  <c:v>7.3227190971374512</c:v>
                </c:pt>
                <c:pt idx="117">
                  <c:v>7.252655029296875</c:v>
                </c:pt>
                <c:pt idx="118">
                  <c:v>7.0300593376159668</c:v>
                </c:pt>
                <c:pt idx="119">
                  <c:v>7.2886857986450195</c:v>
                </c:pt>
                <c:pt idx="120">
                  <c:v>7.5180883407592773</c:v>
                </c:pt>
                <c:pt idx="121">
                  <c:v>6.8993139266967773</c:v>
                </c:pt>
                <c:pt idx="122">
                  <c:v>6.8212084770202637</c:v>
                </c:pt>
                <c:pt idx="123">
                  <c:v>6.8654384613037109</c:v>
                </c:pt>
                <c:pt idx="124">
                  <c:v>6.5031356811523438</c:v>
                </c:pt>
                <c:pt idx="125">
                  <c:v>7.1367321014404297</c:v>
                </c:pt>
                <c:pt idx="126">
                  <c:v>7.721341609954834</c:v>
                </c:pt>
                <c:pt idx="127">
                  <c:v>7.3530206680297852</c:v>
                </c:pt>
                <c:pt idx="128">
                  <c:v>6.6270480155944824</c:v>
                </c:pt>
                <c:pt idx="129">
                  <c:v>6.3965945243835449</c:v>
                </c:pt>
                <c:pt idx="130">
                  <c:v>6.9895610809326172</c:v>
                </c:pt>
                <c:pt idx="131">
                  <c:v>7.2385163307189941</c:v>
                </c:pt>
                <c:pt idx="132">
                  <c:v>6.8305907249450684</c:v>
                </c:pt>
                <c:pt idx="133">
                  <c:v>6.3574891090393066</c:v>
                </c:pt>
                <c:pt idx="134">
                  <c:v>5.4524154663085938</c:v>
                </c:pt>
                <c:pt idx="135">
                  <c:v>5.2777814865112305</c:v>
                </c:pt>
                <c:pt idx="136">
                  <c:v>4.9807066917419434</c:v>
                </c:pt>
                <c:pt idx="137">
                  <c:v>5.1473512649536133</c:v>
                </c:pt>
                <c:pt idx="138">
                  <c:v>6.1421732902526855</c:v>
                </c:pt>
                <c:pt idx="139">
                  <c:v>6.2625904083251953</c:v>
                </c:pt>
                <c:pt idx="140">
                  <c:v>6.8066492080688477</c:v>
                </c:pt>
                <c:pt idx="141">
                  <c:v>7.2889747619628906</c:v>
                </c:pt>
                <c:pt idx="142">
                  <c:v>6.1582040786743164</c:v>
                </c:pt>
                <c:pt idx="143">
                  <c:v>5.6540918350219727</c:v>
                </c:pt>
                <c:pt idx="144">
                  <c:v>6.226165771484375</c:v>
                </c:pt>
                <c:pt idx="145">
                  <c:v>5.5975098609924316</c:v>
                </c:pt>
                <c:pt idx="146">
                  <c:v>2.2531862258911133</c:v>
                </c:pt>
                <c:pt idx="147">
                  <c:v>2</c:v>
                </c:pt>
                <c:pt idx="148">
                  <c:v>3.1076176166534424</c:v>
                </c:pt>
                <c:pt idx="149">
                  <c:v>3.8820247650146484</c:v>
                </c:pt>
                <c:pt idx="150">
                  <c:v>5.8230752944946289</c:v>
                </c:pt>
                <c:pt idx="151">
                  <c:v>6.1074042320251465</c:v>
                </c:pt>
                <c:pt idx="152">
                  <c:v>6.0666694641113281</c:v>
                </c:pt>
                <c:pt idx="153">
                  <c:v>5.5372753143310547</c:v>
                </c:pt>
                <c:pt idx="154">
                  <c:v>5.1534748077392578</c:v>
                </c:pt>
                <c:pt idx="155">
                  <c:v>5.1610174179077148</c:v>
                </c:pt>
                <c:pt idx="156">
                  <c:v>5.5276041030883789</c:v>
                </c:pt>
                <c:pt idx="157">
                  <c:v>5.4497346878051758</c:v>
                </c:pt>
                <c:pt idx="158">
                  <c:v>4.4923892021179199</c:v>
                </c:pt>
                <c:pt idx="159">
                  <c:v>5.000180721282959</c:v>
                </c:pt>
                <c:pt idx="160">
                  <c:v>5.7788190841674805</c:v>
                </c:pt>
                <c:pt idx="161">
                  <c:v>5.3262166976928711</c:v>
                </c:pt>
                <c:pt idx="162">
                  <c:v>5.8426542282104492</c:v>
                </c:pt>
                <c:pt idx="163">
                  <c:v>5.8981060981750488</c:v>
                </c:pt>
                <c:pt idx="164">
                  <c:v>5.0324530601501465</c:v>
                </c:pt>
                <c:pt idx="165">
                  <c:v>5.3751506805419922</c:v>
                </c:pt>
                <c:pt idx="166">
                  <c:v>4.3275318145751953</c:v>
                </c:pt>
                <c:pt idx="167">
                  <c:v>5.123988151550293</c:v>
                </c:pt>
                <c:pt idx="168">
                  <c:v>6.0679306983947754</c:v>
                </c:pt>
                <c:pt idx="169">
                  <c:v>5.445319652557373</c:v>
                </c:pt>
                <c:pt idx="170">
                  <c:v>6.6300969123840332</c:v>
                </c:pt>
                <c:pt idx="171">
                  <c:v>4.8713798522949219</c:v>
                </c:pt>
                <c:pt idx="172">
                  <c:v>4.9176335334777832</c:v>
                </c:pt>
                <c:pt idx="173">
                  <c:v>5.2307133674621582</c:v>
                </c:pt>
                <c:pt idx="174">
                  <c:v>5.4847140312194824</c:v>
                </c:pt>
                <c:pt idx="175">
                  <c:v>5.2878208160400391</c:v>
                </c:pt>
                <c:pt idx="176">
                  <c:v>5.4765410423278809</c:v>
                </c:pt>
                <c:pt idx="177">
                  <c:v>6.5676279067993164</c:v>
                </c:pt>
                <c:pt idx="178">
                  <c:v>5.9900617599487305</c:v>
                </c:pt>
                <c:pt idx="179">
                  <c:v>5.338200569152832</c:v>
                </c:pt>
                <c:pt idx="180">
                  <c:v>4.9910612106323242</c:v>
                </c:pt>
                <c:pt idx="181">
                  <c:v>5.5374326705932617</c:v>
                </c:pt>
                <c:pt idx="182">
                  <c:v>5.5608749389648438</c:v>
                </c:pt>
                <c:pt idx="183">
                  <c:v>4.2474288940429688</c:v>
                </c:pt>
                <c:pt idx="184">
                  <c:v>4.0272245407104492</c:v>
                </c:pt>
                <c:pt idx="185">
                  <c:v>5.4951739311218262</c:v>
                </c:pt>
                <c:pt idx="186">
                  <c:v>6.3324174880981445</c:v>
                </c:pt>
                <c:pt idx="187">
                  <c:v>6.3358602523803711</c:v>
                </c:pt>
                <c:pt idx="188">
                  <c:v>4.726837158203125</c:v>
                </c:pt>
                <c:pt idx="189">
                  <c:v>5.592832088470459</c:v>
                </c:pt>
                <c:pt idx="190">
                  <c:v>5.4644780158996582</c:v>
                </c:pt>
                <c:pt idx="191">
                  <c:v>3.7108335494995117</c:v>
                </c:pt>
                <c:pt idx="192">
                  <c:v>4.3872408866882324</c:v>
                </c:pt>
                <c:pt idx="193">
                  <c:v>4.179572582244873</c:v>
                </c:pt>
                <c:pt idx="194">
                  <c:v>6.1188888549804688</c:v>
                </c:pt>
                <c:pt idx="195">
                  <c:v>5.2779130935668945</c:v>
                </c:pt>
                <c:pt idx="196">
                  <c:v>7.3874478340148926</c:v>
                </c:pt>
                <c:pt idx="197">
                  <c:v>6.6446561813354492</c:v>
                </c:pt>
                <c:pt idx="198">
                  <c:v>5.5963797569274902</c:v>
                </c:pt>
                <c:pt idx="199">
                  <c:v>5.5430569648742676</c:v>
                </c:pt>
                <c:pt idx="200">
                  <c:v>6.4304437637329102</c:v>
                </c:pt>
                <c:pt idx="201">
                  <c:v>5.8880410194396973</c:v>
                </c:pt>
                <c:pt idx="202">
                  <c:v>3.3732607364654541</c:v>
                </c:pt>
                <c:pt idx="203">
                  <c:v>5.5298113822937012</c:v>
                </c:pt>
                <c:pt idx="204">
                  <c:v>4.8334312438964844</c:v>
                </c:pt>
                <c:pt idx="205">
                  <c:v>7.0912928581237793</c:v>
                </c:pt>
                <c:pt idx="206">
                  <c:v>4.6551704406738281</c:v>
                </c:pt>
                <c:pt idx="207">
                  <c:v>7.4482607841491699</c:v>
                </c:pt>
                <c:pt idx="208">
                  <c:v>4.9938998222351074</c:v>
                </c:pt>
                <c:pt idx="209">
                  <c:v>5.2579135894775391</c:v>
                </c:pt>
                <c:pt idx="210">
                  <c:v>4.8412628173828125</c:v>
                </c:pt>
                <c:pt idx="211">
                  <c:v>3.2873497009277344</c:v>
                </c:pt>
                <c:pt idx="212">
                  <c:v>6.448209285736084</c:v>
                </c:pt>
                <c:pt idx="213">
                  <c:v>4.8094897270202637</c:v>
                </c:pt>
                <c:pt idx="214">
                  <c:v>6.7420516014099121</c:v>
                </c:pt>
                <c:pt idx="215">
                  <c:v>3.6670241355895996</c:v>
                </c:pt>
                <c:pt idx="216">
                  <c:v>5.2522892951965332</c:v>
                </c:pt>
                <c:pt idx="217">
                  <c:v>5.4456348419189453</c:v>
                </c:pt>
                <c:pt idx="218">
                  <c:v>4.2843003273010254</c:v>
                </c:pt>
                <c:pt idx="219">
                  <c:v>7.5196914672851563</c:v>
                </c:pt>
                <c:pt idx="220">
                  <c:v>3.2866401672363281</c:v>
                </c:pt>
                <c:pt idx="221">
                  <c:v>7.0273261070251465</c:v>
                </c:pt>
                <c:pt idx="222">
                  <c:v>4.775719165802002</c:v>
                </c:pt>
                <c:pt idx="223">
                  <c:v>3.1284580230712891</c:v>
                </c:pt>
                <c:pt idx="224">
                  <c:v>7.8455958366394043</c:v>
                </c:pt>
                <c:pt idx="225">
                  <c:v>2.7694401741027832</c:v>
                </c:pt>
              </c:numCache>
            </c:numRef>
          </c:yVal>
          <c:smooth val="1"/>
          <c:extLst>
            <c:ext xmlns:c15="http://schemas.microsoft.com/office/drawing/2012/chart" uri="{02D57815-91ED-43cb-92C2-25804820EDAC}">
              <c15:datalabelsRange>
                <c15:f>PeakLabels!$B$2:$B$300</c15:f>
                <c15:dlblRangeCache>
                  <c:ptCount val="299"/>
                  <c:pt idx="11">
                    <c:v>212</c:v>
                  </c:pt>
                  <c:pt idx="30">
                    <c:v>250</c:v>
                  </c:pt>
                  <c:pt idx="50">
                    <c:v>290</c:v>
                  </c:pt>
                  <c:pt idx="62">
                    <c:v>316s</c:v>
                  </c:pt>
                  <c:pt idx="74">
                    <c:v>338</c:v>
                  </c:pt>
                  <c:pt idx="85">
                    <c:v>360</c:v>
                  </c:pt>
                  <c:pt idx="95">
                    <c:v>380</c:v>
                  </c:pt>
                  <c:pt idx="112">
                    <c:v>414</c:v>
                  </c:pt>
                  <c:pt idx="120">
                    <c:v>430</c:v>
                  </c:pt>
                  <c:pt idx="126">
                    <c:v>442</c:v>
                  </c:pt>
                  <c:pt idx="141">
                    <c:v>472</c:v>
                  </c:pt>
                  <c:pt idx="151">
                    <c:v>492</c:v>
                  </c:pt>
                  <c:pt idx="170">
                    <c:v>530</c:v>
                  </c:pt>
                  <c:pt idx="177">
                    <c:v>544</c:v>
                  </c:pt>
                  <c:pt idx="187">
                    <c:v>564</c:v>
                  </c:pt>
                  <c:pt idx="196">
                    <c:v>582</c:v>
                  </c:pt>
                  <c:pt idx="207">
                    <c:v>604</c:v>
                  </c:pt>
                  <c:pt idx="219">
                    <c:v>628</c:v>
                  </c:pt>
                </c15:dlblRangeCache>
              </c15:datalabelsRange>
            </c:ext>
            <c:ext xmlns:c16="http://schemas.microsoft.com/office/drawing/2014/chart" uri="{C3380CC4-5D6E-409C-BE32-E72D297353CC}">
              <c16:uniqueId val="{00000000-1334-4622-AA79-3BC73312FDB2}"/>
            </c:ext>
          </c:extLst>
        </c:ser>
        <c:ser>
          <c:idx val="1"/>
          <c:order val="1"/>
          <c:spPr>
            <a:ln>
              <a:noFill/>
            </a:ln>
          </c:spPr>
          <c:marker>
            <c:symbol val="star"/>
            <c:size val="2"/>
            <c:spPr>
              <a:solidFill>
                <a:srgbClr val="000000"/>
              </a:solidFill>
              <a:ln>
                <a:noFill/>
              </a:ln>
            </c:spPr>
          </c:marker>
          <c:dLbls>
            <c:dLbl>
              <c:idx val="0"/>
              <c:tx>
                <c:rich>
                  <a:bodyPr/>
                  <a:lstStyle/>
                  <a:p>
                    <a:fld id="{E9C1F128-7374-4285-9284-C738F163FB8C}"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334-4622-AA79-3BC73312FDB2}"/>
                </c:ext>
              </c:extLst>
            </c:dLbl>
            <c:dLbl>
              <c:idx val="1"/>
              <c:tx>
                <c:rich>
                  <a:bodyPr/>
                  <a:lstStyle/>
                  <a:p>
                    <a:fld id="{6504757B-004C-4A77-B497-F79A60C89A0D}"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334-4622-AA79-3BC73312FDB2}"/>
                </c:ext>
              </c:extLst>
            </c:dLbl>
            <c:dLbl>
              <c:idx val="2"/>
              <c:tx>
                <c:rich>
                  <a:bodyPr/>
                  <a:lstStyle/>
                  <a:p>
                    <a:fld id="{5B3B9348-8516-4D69-80B9-548889F3C956}"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334-4622-AA79-3BC73312FDB2}"/>
                </c:ext>
              </c:extLst>
            </c:dLbl>
            <c:dLbl>
              <c:idx val="3"/>
              <c:tx>
                <c:rich>
                  <a:bodyPr/>
                  <a:lstStyle/>
                  <a:p>
                    <a:fld id="{B191E81A-542D-4CED-BFE9-0EDE890CD0DD}"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334-4622-AA79-3BC73312FDB2}"/>
                </c:ext>
              </c:extLst>
            </c:dLbl>
            <c:dLbl>
              <c:idx val="4"/>
              <c:tx>
                <c:rich>
                  <a:bodyPr/>
                  <a:lstStyle/>
                  <a:p>
                    <a:fld id="{D55C5570-7B72-482C-913F-9CB7F0C0B4E2}"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334-4622-AA79-3BC73312FDB2}"/>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1334-4622-AA79-3BC73312FDB2}"/>
            </c:ext>
          </c:extLst>
        </c:ser>
        <c:dLbls>
          <c:showLegendKey val="0"/>
          <c:showVal val="0"/>
          <c:showCatName val="0"/>
          <c:showSerName val="0"/>
          <c:showPercent val="0"/>
          <c:showBubbleSize val="0"/>
        </c:dLbls>
        <c:axId val="1569264112"/>
        <c:axId val="1569264656"/>
      </c:scatterChart>
      <c:valAx>
        <c:axId val="1569264112"/>
        <c:scaling>
          <c:orientation val="minMax"/>
          <c:max val="610"/>
          <c:min val="190"/>
        </c:scaling>
        <c:delete val="0"/>
        <c:axPos val="b"/>
        <c:majorGridlines>
          <c:spPr>
            <a:ln w="9525" cap="flat" cmpd="sng" algn="ctr">
              <a:noFill/>
              <a:round/>
            </a:ln>
            <a:effectLst/>
          </c:spPr>
        </c:majorGridlines>
        <c:numFmt formatCode="General" sourceLinked="1"/>
        <c:majorTickMark val="none"/>
        <c:minorTickMark val="none"/>
        <c:tickLblPos val="none"/>
        <c:spPr>
          <a:noFill/>
          <a:ln w="12700"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4656"/>
        <c:crossesAt val="0"/>
        <c:crossBetween val="midCat"/>
        <c:majorUnit val="100"/>
      </c:valAx>
      <c:valAx>
        <c:axId val="1569264656"/>
        <c:scaling>
          <c:orientation val="minMax"/>
          <c:max val="124"/>
          <c:min val="0"/>
        </c:scaling>
        <c:delete val="0"/>
        <c:axPos val="l"/>
        <c:majorGridlines>
          <c:spPr>
            <a:ln w="9525" cap="flat" cmpd="sng" algn="ctr">
              <a:noFill/>
              <a:round/>
            </a:ln>
            <a:effec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4112"/>
        <c:crosses val="autoZero"/>
        <c:crossBetween val="midCat"/>
        <c:majorUnit val="25"/>
        <c:minorUnit val="5"/>
      </c:valAx>
      <c:spPr>
        <a:noFill/>
        <a:ln>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072FF2D9-1154-4F84-8B36-8136C9BC20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FD1-40FE-9188-070E6A42B998}"/>
                </c:ext>
              </c:extLst>
            </c:dLbl>
            <c:dLbl>
              <c:idx val="1"/>
              <c:tx>
                <c:rich>
                  <a:bodyPr/>
                  <a:lstStyle/>
                  <a:p>
                    <a:fld id="{B0F592B6-98EC-4FF8-87BF-7256FE44FA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FD1-40FE-9188-070E6A42B998}"/>
                </c:ext>
              </c:extLst>
            </c:dLbl>
            <c:dLbl>
              <c:idx val="2"/>
              <c:tx>
                <c:rich>
                  <a:bodyPr/>
                  <a:lstStyle/>
                  <a:p>
                    <a:fld id="{F20E9B89-DF8C-4CA6-A796-DA00C2C469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FD1-40FE-9188-070E6A42B998}"/>
                </c:ext>
              </c:extLst>
            </c:dLbl>
            <c:dLbl>
              <c:idx val="3"/>
              <c:tx>
                <c:rich>
                  <a:bodyPr/>
                  <a:lstStyle/>
                  <a:p>
                    <a:fld id="{79298A69-7A01-40E0-86F0-467CE5A7B8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FD1-40FE-9188-070E6A42B998}"/>
                </c:ext>
              </c:extLst>
            </c:dLbl>
            <c:dLbl>
              <c:idx val="4"/>
              <c:tx>
                <c:rich>
                  <a:bodyPr/>
                  <a:lstStyle/>
                  <a:p>
                    <a:fld id="{F9F36B56-E18E-49B3-8507-418BCD4D71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FD1-40FE-9188-070E6A42B998}"/>
                </c:ext>
              </c:extLst>
            </c:dLbl>
            <c:dLbl>
              <c:idx val="5"/>
              <c:tx>
                <c:rich>
                  <a:bodyPr/>
                  <a:lstStyle/>
                  <a:p>
                    <a:fld id="{6C0DFA18-2C8B-4AB1-B110-06AE46AD64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FD1-40FE-9188-070E6A42B998}"/>
                </c:ext>
              </c:extLst>
            </c:dLbl>
            <c:dLbl>
              <c:idx val="6"/>
              <c:tx>
                <c:rich>
                  <a:bodyPr/>
                  <a:lstStyle/>
                  <a:p>
                    <a:fld id="{F97BA7C1-000E-4015-85F1-7BA459B776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FD1-40FE-9188-070E6A42B998}"/>
                </c:ext>
              </c:extLst>
            </c:dLbl>
            <c:dLbl>
              <c:idx val="7"/>
              <c:tx>
                <c:rich>
                  <a:bodyPr/>
                  <a:lstStyle/>
                  <a:p>
                    <a:fld id="{31F199A9-B0A9-4202-B622-4B4C435537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FD1-40FE-9188-070E6A42B998}"/>
                </c:ext>
              </c:extLst>
            </c:dLbl>
            <c:dLbl>
              <c:idx val="8"/>
              <c:tx>
                <c:rich>
                  <a:bodyPr/>
                  <a:lstStyle/>
                  <a:p>
                    <a:fld id="{7A810523-2AE4-4E16-BEFA-9F77327A01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FD1-40FE-9188-070E6A42B998}"/>
                </c:ext>
              </c:extLst>
            </c:dLbl>
            <c:dLbl>
              <c:idx val="9"/>
              <c:tx>
                <c:rich>
                  <a:bodyPr/>
                  <a:lstStyle/>
                  <a:p>
                    <a:fld id="{19AF95BD-77EB-4A4E-84DB-3F3A3E6312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FD1-40FE-9188-070E6A42B998}"/>
                </c:ext>
              </c:extLst>
            </c:dLbl>
            <c:dLbl>
              <c:idx val="10"/>
              <c:tx>
                <c:rich>
                  <a:bodyPr/>
                  <a:lstStyle/>
                  <a:p>
                    <a:fld id="{7E16EF8A-7646-4266-A101-0F67C318D6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FD1-40FE-9188-070E6A42B998}"/>
                </c:ext>
              </c:extLst>
            </c:dLbl>
            <c:dLbl>
              <c:idx val="11"/>
              <c:tx>
                <c:rich>
                  <a:bodyPr/>
                  <a:lstStyle/>
                  <a:p>
                    <a:fld id="{68F0DB08-872B-4E11-B667-D4875D3E06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FD1-40FE-9188-070E6A42B998}"/>
                </c:ext>
              </c:extLst>
            </c:dLbl>
            <c:dLbl>
              <c:idx val="12"/>
              <c:tx>
                <c:rich>
                  <a:bodyPr/>
                  <a:lstStyle/>
                  <a:p>
                    <a:fld id="{AF48F939-AAE0-47B5-830C-EE27D57752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FD1-40FE-9188-070E6A42B998}"/>
                </c:ext>
              </c:extLst>
            </c:dLbl>
            <c:dLbl>
              <c:idx val="13"/>
              <c:tx>
                <c:rich>
                  <a:bodyPr/>
                  <a:lstStyle/>
                  <a:p>
                    <a:fld id="{416C9DE0-ECD8-4201-AA7D-D81BE6BC40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FFD1-40FE-9188-070E6A42B998}"/>
                </c:ext>
              </c:extLst>
            </c:dLbl>
            <c:dLbl>
              <c:idx val="14"/>
              <c:tx>
                <c:rich>
                  <a:bodyPr/>
                  <a:lstStyle/>
                  <a:p>
                    <a:fld id="{8D3DAE3C-904F-433E-8BB1-A35508D799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FD1-40FE-9188-070E6A42B998}"/>
                </c:ext>
              </c:extLst>
            </c:dLbl>
            <c:dLbl>
              <c:idx val="15"/>
              <c:tx>
                <c:rich>
                  <a:bodyPr/>
                  <a:lstStyle/>
                  <a:p>
                    <a:fld id="{25697C75-1509-45E8-AF87-AA79EFE762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FFD1-40FE-9188-070E6A42B998}"/>
                </c:ext>
              </c:extLst>
            </c:dLbl>
            <c:dLbl>
              <c:idx val="16"/>
              <c:tx>
                <c:rich>
                  <a:bodyPr/>
                  <a:lstStyle/>
                  <a:p>
                    <a:fld id="{3926D100-1130-4F43-A8DF-F7D4C94FAE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FFD1-40FE-9188-070E6A42B998}"/>
                </c:ext>
              </c:extLst>
            </c:dLbl>
            <c:dLbl>
              <c:idx val="17"/>
              <c:tx>
                <c:rich>
                  <a:bodyPr/>
                  <a:lstStyle/>
                  <a:p>
                    <a:fld id="{3717D606-3792-4CF5-AD87-C9B090B16F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FFD1-40FE-9188-070E6A42B998}"/>
                </c:ext>
              </c:extLst>
            </c:dLbl>
            <c:dLbl>
              <c:idx val="18"/>
              <c:tx>
                <c:rich>
                  <a:bodyPr/>
                  <a:lstStyle/>
                  <a:p>
                    <a:fld id="{A174F4EA-AA27-4151-A562-F577D5E0A4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FFD1-40FE-9188-070E6A42B998}"/>
                </c:ext>
              </c:extLst>
            </c:dLbl>
            <c:dLbl>
              <c:idx val="19"/>
              <c:tx>
                <c:rich>
                  <a:bodyPr/>
                  <a:lstStyle/>
                  <a:p>
                    <a:fld id="{A9F8345E-80FE-4651-965D-F530046AEA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FFD1-40FE-9188-070E6A42B998}"/>
                </c:ext>
              </c:extLst>
            </c:dLbl>
            <c:dLbl>
              <c:idx val="20"/>
              <c:tx>
                <c:rich>
                  <a:bodyPr/>
                  <a:lstStyle/>
                  <a:p>
                    <a:fld id="{2F006A49-A9F4-47E2-9529-0548EC35D2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FFD1-40FE-9188-070E6A42B998}"/>
                </c:ext>
              </c:extLst>
            </c:dLbl>
            <c:dLbl>
              <c:idx val="21"/>
              <c:tx>
                <c:rich>
                  <a:bodyPr/>
                  <a:lstStyle/>
                  <a:p>
                    <a:fld id="{303100C6-11E6-432E-A4D2-82242E656C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FD1-40FE-9188-070E6A42B998}"/>
                </c:ext>
              </c:extLst>
            </c:dLbl>
            <c:dLbl>
              <c:idx val="22"/>
              <c:tx>
                <c:rich>
                  <a:bodyPr/>
                  <a:lstStyle/>
                  <a:p>
                    <a:fld id="{71DA655F-7102-4FE7-8492-9343E52DA9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FD1-40FE-9188-070E6A42B998}"/>
                </c:ext>
              </c:extLst>
            </c:dLbl>
            <c:dLbl>
              <c:idx val="23"/>
              <c:tx>
                <c:rich>
                  <a:bodyPr/>
                  <a:lstStyle/>
                  <a:p>
                    <a:fld id="{12051888-786C-4D21-8E69-723FA70414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FD1-40FE-9188-070E6A42B998}"/>
                </c:ext>
              </c:extLst>
            </c:dLbl>
            <c:dLbl>
              <c:idx val="24"/>
              <c:tx>
                <c:rich>
                  <a:bodyPr/>
                  <a:lstStyle/>
                  <a:p>
                    <a:fld id="{52A9EA19-382A-4CA1-B3CD-0502ACDDDF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FD1-40FE-9188-070E6A42B998}"/>
                </c:ext>
              </c:extLst>
            </c:dLbl>
            <c:dLbl>
              <c:idx val="25"/>
              <c:tx>
                <c:rich>
                  <a:bodyPr/>
                  <a:lstStyle/>
                  <a:p>
                    <a:fld id="{6CAFE51A-3BAF-42EF-A87E-1A163EB69D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FD1-40FE-9188-070E6A42B998}"/>
                </c:ext>
              </c:extLst>
            </c:dLbl>
            <c:dLbl>
              <c:idx val="26"/>
              <c:tx>
                <c:rich>
                  <a:bodyPr/>
                  <a:lstStyle/>
                  <a:p>
                    <a:fld id="{2A968C81-1D68-4A33-B8D2-C1BA7C0500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FD1-40FE-9188-070E6A42B998}"/>
                </c:ext>
              </c:extLst>
            </c:dLbl>
            <c:dLbl>
              <c:idx val="27"/>
              <c:tx>
                <c:rich>
                  <a:bodyPr/>
                  <a:lstStyle/>
                  <a:p>
                    <a:fld id="{D025C4B8-9589-40DC-BF21-CCBE7465B5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FD1-40FE-9188-070E6A42B998}"/>
                </c:ext>
              </c:extLst>
            </c:dLbl>
            <c:dLbl>
              <c:idx val="28"/>
              <c:tx>
                <c:rich>
                  <a:bodyPr/>
                  <a:lstStyle/>
                  <a:p>
                    <a:fld id="{E52651BD-38FC-4C76-B6FF-5C68508309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FD1-40FE-9188-070E6A42B998}"/>
                </c:ext>
              </c:extLst>
            </c:dLbl>
            <c:dLbl>
              <c:idx val="29"/>
              <c:tx>
                <c:rich>
                  <a:bodyPr/>
                  <a:lstStyle/>
                  <a:p>
                    <a:fld id="{7D7F5C4B-777F-4BBE-9A0F-767C293467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FD1-40FE-9188-070E6A42B998}"/>
                </c:ext>
              </c:extLst>
            </c:dLbl>
            <c:dLbl>
              <c:idx val="30"/>
              <c:tx>
                <c:rich>
                  <a:bodyPr/>
                  <a:lstStyle/>
                  <a:p>
                    <a:fld id="{C4128C9A-C3B9-4398-A997-61D57FBB0C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FD1-40FE-9188-070E6A42B998}"/>
                </c:ext>
              </c:extLst>
            </c:dLbl>
            <c:dLbl>
              <c:idx val="31"/>
              <c:tx>
                <c:rich>
                  <a:bodyPr/>
                  <a:lstStyle/>
                  <a:p>
                    <a:fld id="{907090EB-467B-4C0C-8BAA-8E646EBC5E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FFD1-40FE-9188-070E6A42B998}"/>
                </c:ext>
              </c:extLst>
            </c:dLbl>
            <c:dLbl>
              <c:idx val="32"/>
              <c:tx>
                <c:rich>
                  <a:bodyPr/>
                  <a:lstStyle/>
                  <a:p>
                    <a:fld id="{35AED27F-8CEB-41F2-82AA-9F623288D5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FFD1-40FE-9188-070E6A42B998}"/>
                </c:ext>
              </c:extLst>
            </c:dLbl>
            <c:dLbl>
              <c:idx val="33"/>
              <c:tx>
                <c:rich>
                  <a:bodyPr/>
                  <a:lstStyle/>
                  <a:p>
                    <a:fld id="{BC41B863-6665-4135-870D-ED5E56E203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FFD1-40FE-9188-070E6A42B998}"/>
                </c:ext>
              </c:extLst>
            </c:dLbl>
            <c:dLbl>
              <c:idx val="34"/>
              <c:tx>
                <c:rich>
                  <a:bodyPr/>
                  <a:lstStyle/>
                  <a:p>
                    <a:fld id="{7F37E005-D26F-45B3-AFF8-309B9D8088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FFD1-40FE-9188-070E6A42B998}"/>
                </c:ext>
              </c:extLst>
            </c:dLbl>
            <c:dLbl>
              <c:idx val="35"/>
              <c:tx>
                <c:rich>
                  <a:bodyPr/>
                  <a:lstStyle/>
                  <a:p>
                    <a:fld id="{2B6069E7-1190-41F3-B86C-B2423F862B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FFD1-40FE-9188-070E6A42B998}"/>
                </c:ext>
              </c:extLst>
            </c:dLbl>
            <c:dLbl>
              <c:idx val="36"/>
              <c:tx>
                <c:rich>
                  <a:bodyPr/>
                  <a:lstStyle/>
                  <a:p>
                    <a:fld id="{7CBB19D7-DCB3-4CDC-BB71-AB2CDCFD5F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FFD1-40FE-9188-070E6A42B998}"/>
                </c:ext>
              </c:extLst>
            </c:dLbl>
            <c:dLbl>
              <c:idx val="37"/>
              <c:tx>
                <c:rich>
                  <a:bodyPr/>
                  <a:lstStyle/>
                  <a:p>
                    <a:fld id="{47363A3C-B917-44A6-B022-D4AC12C9C3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FFD1-40FE-9188-070E6A42B998}"/>
                </c:ext>
              </c:extLst>
            </c:dLbl>
            <c:dLbl>
              <c:idx val="38"/>
              <c:tx>
                <c:rich>
                  <a:bodyPr/>
                  <a:lstStyle/>
                  <a:p>
                    <a:fld id="{CD529ABC-01C0-4D7F-849D-232AA12E87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FFD1-40FE-9188-070E6A42B998}"/>
                </c:ext>
              </c:extLst>
            </c:dLbl>
            <c:dLbl>
              <c:idx val="39"/>
              <c:tx>
                <c:rich>
                  <a:bodyPr/>
                  <a:lstStyle/>
                  <a:p>
                    <a:fld id="{72629114-9CF1-4EB8-9036-3F2BE5597C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FFD1-40FE-9188-070E6A42B998}"/>
                </c:ext>
              </c:extLst>
            </c:dLbl>
            <c:dLbl>
              <c:idx val="40"/>
              <c:tx>
                <c:rich>
                  <a:bodyPr/>
                  <a:lstStyle/>
                  <a:p>
                    <a:fld id="{8912B226-C9D3-4AA2-B159-DD840221DD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FFD1-40FE-9188-070E6A42B998}"/>
                </c:ext>
              </c:extLst>
            </c:dLbl>
            <c:dLbl>
              <c:idx val="41"/>
              <c:tx>
                <c:rich>
                  <a:bodyPr/>
                  <a:lstStyle/>
                  <a:p>
                    <a:fld id="{FD6E16CC-530B-486C-A38C-D85D334DB6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FFD1-40FE-9188-070E6A42B998}"/>
                </c:ext>
              </c:extLst>
            </c:dLbl>
            <c:dLbl>
              <c:idx val="42"/>
              <c:tx>
                <c:rich>
                  <a:bodyPr/>
                  <a:lstStyle/>
                  <a:p>
                    <a:fld id="{7B2223C2-5D78-49BD-AEBD-639111DC5F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FFD1-40FE-9188-070E6A42B998}"/>
                </c:ext>
              </c:extLst>
            </c:dLbl>
            <c:dLbl>
              <c:idx val="43"/>
              <c:tx>
                <c:rich>
                  <a:bodyPr/>
                  <a:lstStyle/>
                  <a:p>
                    <a:fld id="{649AF685-7365-4380-B458-35227A345B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FFD1-40FE-9188-070E6A42B998}"/>
                </c:ext>
              </c:extLst>
            </c:dLbl>
            <c:dLbl>
              <c:idx val="44"/>
              <c:tx>
                <c:rich>
                  <a:bodyPr/>
                  <a:lstStyle/>
                  <a:p>
                    <a:fld id="{7AA8C560-B012-41E5-9861-CC8BE7286A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FFD1-40FE-9188-070E6A42B998}"/>
                </c:ext>
              </c:extLst>
            </c:dLbl>
            <c:dLbl>
              <c:idx val="45"/>
              <c:tx>
                <c:rich>
                  <a:bodyPr/>
                  <a:lstStyle/>
                  <a:p>
                    <a:fld id="{BCE99165-0B27-41D0-BF66-65069AC9D5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FFD1-40FE-9188-070E6A42B998}"/>
                </c:ext>
              </c:extLst>
            </c:dLbl>
            <c:dLbl>
              <c:idx val="46"/>
              <c:tx>
                <c:rich>
                  <a:bodyPr/>
                  <a:lstStyle/>
                  <a:p>
                    <a:fld id="{5BFF85D8-E049-446A-8369-570CA9AAC6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FFD1-40FE-9188-070E6A42B998}"/>
                </c:ext>
              </c:extLst>
            </c:dLbl>
            <c:dLbl>
              <c:idx val="47"/>
              <c:tx>
                <c:rich>
                  <a:bodyPr/>
                  <a:lstStyle/>
                  <a:p>
                    <a:fld id="{7C6218EE-7770-4518-BCC0-236BF22926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FFD1-40FE-9188-070E6A42B998}"/>
                </c:ext>
              </c:extLst>
            </c:dLbl>
            <c:dLbl>
              <c:idx val="48"/>
              <c:tx>
                <c:rich>
                  <a:bodyPr/>
                  <a:lstStyle/>
                  <a:p>
                    <a:fld id="{DAE438A2-9DE4-44E4-8A50-30BB99ADCA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FFD1-40FE-9188-070E6A42B998}"/>
                </c:ext>
              </c:extLst>
            </c:dLbl>
            <c:dLbl>
              <c:idx val="49"/>
              <c:tx>
                <c:rich>
                  <a:bodyPr/>
                  <a:lstStyle/>
                  <a:p>
                    <a:fld id="{F074EC7A-B63A-41AF-9809-6D0BF94C6F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FFD1-40FE-9188-070E6A42B998}"/>
                </c:ext>
              </c:extLst>
            </c:dLbl>
            <c:dLbl>
              <c:idx val="50"/>
              <c:tx>
                <c:rich>
                  <a:bodyPr/>
                  <a:lstStyle/>
                  <a:p>
                    <a:fld id="{D4444CD1-36A6-4272-9229-24C5BF3EEE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FFD1-40FE-9188-070E6A42B998}"/>
                </c:ext>
              </c:extLst>
            </c:dLbl>
            <c:dLbl>
              <c:idx val="51"/>
              <c:tx>
                <c:rich>
                  <a:bodyPr/>
                  <a:lstStyle/>
                  <a:p>
                    <a:fld id="{58AC4935-1425-44ED-AB38-3CA6D6B420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FFD1-40FE-9188-070E6A42B998}"/>
                </c:ext>
              </c:extLst>
            </c:dLbl>
            <c:dLbl>
              <c:idx val="52"/>
              <c:tx>
                <c:rich>
                  <a:bodyPr/>
                  <a:lstStyle/>
                  <a:p>
                    <a:fld id="{D9D1F630-C137-4A30-9ABC-282AC2E4C1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FFD1-40FE-9188-070E6A42B998}"/>
                </c:ext>
              </c:extLst>
            </c:dLbl>
            <c:dLbl>
              <c:idx val="53"/>
              <c:tx>
                <c:rich>
                  <a:bodyPr/>
                  <a:lstStyle/>
                  <a:p>
                    <a:fld id="{B9292906-8743-48F5-BDAB-6702183444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FFD1-40FE-9188-070E6A42B998}"/>
                </c:ext>
              </c:extLst>
            </c:dLbl>
            <c:dLbl>
              <c:idx val="54"/>
              <c:tx>
                <c:rich>
                  <a:bodyPr/>
                  <a:lstStyle/>
                  <a:p>
                    <a:fld id="{3096FB61-1001-43C7-BC3C-AE5D3BCFBA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FFD1-40FE-9188-070E6A42B998}"/>
                </c:ext>
              </c:extLst>
            </c:dLbl>
            <c:dLbl>
              <c:idx val="55"/>
              <c:tx>
                <c:rich>
                  <a:bodyPr/>
                  <a:lstStyle/>
                  <a:p>
                    <a:fld id="{18A9B87F-E483-41B8-A22B-2B9F65C639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FFD1-40FE-9188-070E6A42B998}"/>
                </c:ext>
              </c:extLst>
            </c:dLbl>
            <c:dLbl>
              <c:idx val="56"/>
              <c:tx>
                <c:rich>
                  <a:bodyPr/>
                  <a:lstStyle/>
                  <a:p>
                    <a:fld id="{F4549B73-314D-4B95-AC1F-EE914370B7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FFD1-40FE-9188-070E6A42B998}"/>
                </c:ext>
              </c:extLst>
            </c:dLbl>
            <c:dLbl>
              <c:idx val="57"/>
              <c:tx>
                <c:rich>
                  <a:bodyPr/>
                  <a:lstStyle/>
                  <a:p>
                    <a:fld id="{BC5293AE-86AC-4442-BCE9-2336B78601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FFD1-40FE-9188-070E6A42B998}"/>
                </c:ext>
              </c:extLst>
            </c:dLbl>
            <c:dLbl>
              <c:idx val="58"/>
              <c:tx>
                <c:rich>
                  <a:bodyPr/>
                  <a:lstStyle/>
                  <a:p>
                    <a:fld id="{6FA10C84-7396-4CEA-9B4E-9DE19C2CC0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FFD1-40FE-9188-070E6A42B998}"/>
                </c:ext>
              </c:extLst>
            </c:dLbl>
            <c:dLbl>
              <c:idx val="59"/>
              <c:tx>
                <c:rich>
                  <a:bodyPr/>
                  <a:lstStyle/>
                  <a:p>
                    <a:fld id="{5DBED642-C434-48EF-8310-EAB3E85F49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FFD1-40FE-9188-070E6A42B998}"/>
                </c:ext>
              </c:extLst>
            </c:dLbl>
            <c:dLbl>
              <c:idx val="60"/>
              <c:tx>
                <c:rich>
                  <a:bodyPr/>
                  <a:lstStyle/>
                  <a:p>
                    <a:fld id="{B7094504-0F2A-484A-99DD-BE29F29879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FFD1-40FE-9188-070E6A42B998}"/>
                </c:ext>
              </c:extLst>
            </c:dLbl>
            <c:dLbl>
              <c:idx val="61"/>
              <c:tx>
                <c:rich>
                  <a:bodyPr/>
                  <a:lstStyle/>
                  <a:p>
                    <a:fld id="{1235C44A-092F-4040-9F5B-5403D87AD9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FFD1-40FE-9188-070E6A42B998}"/>
                </c:ext>
              </c:extLst>
            </c:dLbl>
            <c:dLbl>
              <c:idx val="62"/>
              <c:tx>
                <c:rich>
                  <a:bodyPr/>
                  <a:lstStyle/>
                  <a:p>
                    <a:fld id="{255AD518-C4F0-4B57-81DB-5C8B82145A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FFD1-40FE-9188-070E6A42B998}"/>
                </c:ext>
              </c:extLst>
            </c:dLbl>
            <c:dLbl>
              <c:idx val="63"/>
              <c:tx>
                <c:rich>
                  <a:bodyPr/>
                  <a:lstStyle/>
                  <a:p>
                    <a:fld id="{14E82594-0AF2-4478-AAB9-4F3A37BE77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FFD1-40FE-9188-070E6A42B998}"/>
                </c:ext>
              </c:extLst>
            </c:dLbl>
            <c:dLbl>
              <c:idx val="64"/>
              <c:tx>
                <c:rich>
                  <a:bodyPr/>
                  <a:lstStyle/>
                  <a:p>
                    <a:fld id="{17FA53E0-A1D6-4DDA-93DC-EC28429976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FFD1-40FE-9188-070E6A42B998}"/>
                </c:ext>
              </c:extLst>
            </c:dLbl>
            <c:dLbl>
              <c:idx val="65"/>
              <c:tx>
                <c:rich>
                  <a:bodyPr/>
                  <a:lstStyle/>
                  <a:p>
                    <a:fld id="{C963D262-E52D-4973-A317-13B8063B0E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FFD1-40FE-9188-070E6A42B998}"/>
                </c:ext>
              </c:extLst>
            </c:dLbl>
            <c:dLbl>
              <c:idx val="66"/>
              <c:tx>
                <c:rich>
                  <a:bodyPr/>
                  <a:lstStyle/>
                  <a:p>
                    <a:fld id="{349597A1-6225-419D-88C7-463F7E6260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FFD1-40FE-9188-070E6A42B998}"/>
                </c:ext>
              </c:extLst>
            </c:dLbl>
            <c:dLbl>
              <c:idx val="67"/>
              <c:tx>
                <c:rich>
                  <a:bodyPr/>
                  <a:lstStyle/>
                  <a:p>
                    <a:fld id="{522C9E73-3258-40BD-8A6B-5543DCEB42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FFD1-40FE-9188-070E6A42B998}"/>
                </c:ext>
              </c:extLst>
            </c:dLbl>
            <c:dLbl>
              <c:idx val="68"/>
              <c:tx>
                <c:rich>
                  <a:bodyPr/>
                  <a:lstStyle/>
                  <a:p>
                    <a:fld id="{B38375EB-21A6-45A6-BBD7-CA08396B26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FFD1-40FE-9188-070E6A42B998}"/>
                </c:ext>
              </c:extLst>
            </c:dLbl>
            <c:dLbl>
              <c:idx val="69"/>
              <c:tx>
                <c:rich>
                  <a:bodyPr/>
                  <a:lstStyle/>
                  <a:p>
                    <a:fld id="{F39C5F9D-1509-4410-82CD-1A535F7DDE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FFD1-40FE-9188-070E6A42B998}"/>
                </c:ext>
              </c:extLst>
            </c:dLbl>
            <c:dLbl>
              <c:idx val="70"/>
              <c:tx>
                <c:rich>
                  <a:bodyPr/>
                  <a:lstStyle/>
                  <a:p>
                    <a:fld id="{FB83CFEE-F522-4EBA-AEAC-82BA42ED28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FFD1-40FE-9188-070E6A42B998}"/>
                </c:ext>
              </c:extLst>
            </c:dLbl>
            <c:dLbl>
              <c:idx val="71"/>
              <c:tx>
                <c:rich>
                  <a:bodyPr/>
                  <a:lstStyle/>
                  <a:p>
                    <a:fld id="{839D66BC-CC3A-49EE-8468-86DCFFF8D1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FFD1-40FE-9188-070E6A42B998}"/>
                </c:ext>
              </c:extLst>
            </c:dLbl>
            <c:dLbl>
              <c:idx val="72"/>
              <c:tx>
                <c:rich>
                  <a:bodyPr/>
                  <a:lstStyle/>
                  <a:p>
                    <a:fld id="{516381DB-D3BA-4A81-8AC8-BB5D0A8D4F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FFD1-40FE-9188-070E6A42B998}"/>
                </c:ext>
              </c:extLst>
            </c:dLbl>
            <c:dLbl>
              <c:idx val="73"/>
              <c:tx>
                <c:rich>
                  <a:bodyPr/>
                  <a:lstStyle/>
                  <a:p>
                    <a:fld id="{FE14246C-C5F5-4AAB-AB45-611F77805E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FFD1-40FE-9188-070E6A42B998}"/>
                </c:ext>
              </c:extLst>
            </c:dLbl>
            <c:dLbl>
              <c:idx val="74"/>
              <c:tx>
                <c:rich>
                  <a:bodyPr/>
                  <a:lstStyle/>
                  <a:p>
                    <a:fld id="{EC273815-5BD9-4512-9884-401AF817D8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FFD1-40FE-9188-070E6A42B998}"/>
                </c:ext>
              </c:extLst>
            </c:dLbl>
            <c:dLbl>
              <c:idx val="75"/>
              <c:tx>
                <c:rich>
                  <a:bodyPr/>
                  <a:lstStyle/>
                  <a:p>
                    <a:fld id="{88605C8B-6815-4AC0-827C-B31AA82699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FFD1-40FE-9188-070E6A42B998}"/>
                </c:ext>
              </c:extLst>
            </c:dLbl>
            <c:dLbl>
              <c:idx val="76"/>
              <c:tx>
                <c:rich>
                  <a:bodyPr/>
                  <a:lstStyle/>
                  <a:p>
                    <a:fld id="{08ABB1DE-08B0-4962-9CDD-DDDF4B7D1B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FFD1-40FE-9188-070E6A42B998}"/>
                </c:ext>
              </c:extLst>
            </c:dLbl>
            <c:dLbl>
              <c:idx val="77"/>
              <c:tx>
                <c:rich>
                  <a:bodyPr/>
                  <a:lstStyle/>
                  <a:p>
                    <a:fld id="{10FBD960-029B-4FE0-AD15-7BD4B0E8E2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FFD1-40FE-9188-070E6A42B998}"/>
                </c:ext>
              </c:extLst>
            </c:dLbl>
            <c:dLbl>
              <c:idx val="78"/>
              <c:tx>
                <c:rich>
                  <a:bodyPr/>
                  <a:lstStyle/>
                  <a:p>
                    <a:fld id="{1A376F5E-6965-460B-A230-D33A3C97D7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FFD1-40FE-9188-070E6A42B998}"/>
                </c:ext>
              </c:extLst>
            </c:dLbl>
            <c:dLbl>
              <c:idx val="79"/>
              <c:tx>
                <c:rich>
                  <a:bodyPr/>
                  <a:lstStyle/>
                  <a:p>
                    <a:fld id="{310AE940-A59C-4710-92C4-16E69B75B3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FFD1-40FE-9188-070E6A42B998}"/>
                </c:ext>
              </c:extLst>
            </c:dLbl>
            <c:dLbl>
              <c:idx val="80"/>
              <c:tx>
                <c:rich>
                  <a:bodyPr/>
                  <a:lstStyle/>
                  <a:p>
                    <a:fld id="{DEFD0C46-A588-4C45-96F3-7EEB6C8816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FFD1-40FE-9188-070E6A42B998}"/>
                </c:ext>
              </c:extLst>
            </c:dLbl>
            <c:dLbl>
              <c:idx val="81"/>
              <c:tx>
                <c:rich>
                  <a:bodyPr/>
                  <a:lstStyle/>
                  <a:p>
                    <a:fld id="{CD76D69D-93DB-46B9-A730-53BD1877DD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FFD1-40FE-9188-070E6A42B998}"/>
                </c:ext>
              </c:extLst>
            </c:dLbl>
            <c:dLbl>
              <c:idx val="82"/>
              <c:tx>
                <c:rich>
                  <a:bodyPr/>
                  <a:lstStyle/>
                  <a:p>
                    <a:fld id="{4ABF37A2-07DF-4361-B125-09895EC586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FFD1-40FE-9188-070E6A42B998}"/>
                </c:ext>
              </c:extLst>
            </c:dLbl>
            <c:dLbl>
              <c:idx val="83"/>
              <c:tx>
                <c:rich>
                  <a:bodyPr/>
                  <a:lstStyle/>
                  <a:p>
                    <a:fld id="{706594C5-ED27-4A84-840C-5CFDCD5B90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FFD1-40FE-9188-070E6A42B998}"/>
                </c:ext>
              </c:extLst>
            </c:dLbl>
            <c:dLbl>
              <c:idx val="84"/>
              <c:tx>
                <c:rich>
                  <a:bodyPr/>
                  <a:lstStyle/>
                  <a:p>
                    <a:fld id="{7D0DE09E-BAF9-4B9A-B013-77E6261A76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FFD1-40FE-9188-070E6A42B998}"/>
                </c:ext>
              </c:extLst>
            </c:dLbl>
            <c:dLbl>
              <c:idx val="85"/>
              <c:tx>
                <c:rich>
                  <a:bodyPr/>
                  <a:lstStyle/>
                  <a:p>
                    <a:fld id="{5905C2F6-E188-4736-A1C6-F6EF49CA1E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FFD1-40FE-9188-070E6A42B998}"/>
                </c:ext>
              </c:extLst>
            </c:dLbl>
            <c:dLbl>
              <c:idx val="86"/>
              <c:tx>
                <c:rich>
                  <a:bodyPr/>
                  <a:lstStyle/>
                  <a:p>
                    <a:fld id="{413717B4-B40E-4A47-A2F8-4FBF04D64F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FFD1-40FE-9188-070E6A42B998}"/>
                </c:ext>
              </c:extLst>
            </c:dLbl>
            <c:dLbl>
              <c:idx val="87"/>
              <c:tx>
                <c:rich>
                  <a:bodyPr/>
                  <a:lstStyle/>
                  <a:p>
                    <a:fld id="{5DA22F54-98B6-4F95-84D8-F52FCC1D9E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FFD1-40FE-9188-070E6A42B998}"/>
                </c:ext>
              </c:extLst>
            </c:dLbl>
            <c:dLbl>
              <c:idx val="88"/>
              <c:tx>
                <c:rich>
                  <a:bodyPr/>
                  <a:lstStyle/>
                  <a:p>
                    <a:fld id="{BD19FBFE-DAF5-4433-BCA6-83FC367749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FFD1-40FE-9188-070E6A42B998}"/>
                </c:ext>
              </c:extLst>
            </c:dLbl>
            <c:dLbl>
              <c:idx val="89"/>
              <c:tx>
                <c:rich>
                  <a:bodyPr/>
                  <a:lstStyle/>
                  <a:p>
                    <a:fld id="{95ABB6B9-6754-4DC5-97B3-C19E6C0975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FFD1-40FE-9188-070E6A42B998}"/>
                </c:ext>
              </c:extLst>
            </c:dLbl>
            <c:dLbl>
              <c:idx val="90"/>
              <c:tx>
                <c:rich>
                  <a:bodyPr/>
                  <a:lstStyle/>
                  <a:p>
                    <a:fld id="{F78C97AB-5D2B-4323-AA84-0A359F8F6D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FFD1-40FE-9188-070E6A42B998}"/>
                </c:ext>
              </c:extLst>
            </c:dLbl>
            <c:dLbl>
              <c:idx val="91"/>
              <c:tx>
                <c:rich>
                  <a:bodyPr/>
                  <a:lstStyle/>
                  <a:p>
                    <a:fld id="{4A81BBE4-5AA5-46C6-AFF6-59372AB41A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FFD1-40FE-9188-070E6A42B998}"/>
                </c:ext>
              </c:extLst>
            </c:dLbl>
            <c:dLbl>
              <c:idx val="92"/>
              <c:tx>
                <c:rich>
                  <a:bodyPr/>
                  <a:lstStyle/>
                  <a:p>
                    <a:fld id="{10100A58-B822-48E3-B053-AD30EAA43F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FFD1-40FE-9188-070E6A42B998}"/>
                </c:ext>
              </c:extLst>
            </c:dLbl>
            <c:dLbl>
              <c:idx val="93"/>
              <c:tx>
                <c:rich>
                  <a:bodyPr/>
                  <a:lstStyle/>
                  <a:p>
                    <a:fld id="{FD45D37F-29E1-4D02-B2A3-EA56096140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FFD1-40FE-9188-070E6A42B998}"/>
                </c:ext>
              </c:extLst>
            </c:dLbl>
            <c:dLbl>
              <c:idx val="94"/>
              <c:tx>
                <c:rich>
                  <a:bodyPr/>
                  <a:lstStyle/>
                  <a:p>
                    <a:fld id="{EC969DC1-87FD-40A7-B584-FB0120EDAF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FFD1-40FE-9188-070E6A42B998}"/>
                </c:ext>
              </c:extLst>
            </c:dLbl>
            <c:dLbl>
              <c:idx val="95"/>
              <c:tx>
                <c:rich>
                  <a:bodyPr/>
                  <a:lstStyle/>
                  <a:p>
                    <a:fld id="{268BF702-24AF-4E33-B647-A1B387A49B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FFD1-40FE-9188-070E6A42B998}"/>
                </c:ext>
              </c:extLst>
            </c:dLbl>
            <c:dLbl>
              <c:idx val="96"/>
              <c:tx>
                <c:rich>
                  <a:bodyPr/>
                  <a:lstStyle/>
                  <a:p>
                    <a:fld id="{A45E0E65-1909-495A-A7D1-F4C9D9DA11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FFD1-40FE-9188-070E6A42B998}"/>
                </c:ext>
              </c:extLst>
            </c:dLbl>
            <c:dLbl>
              <c:idx val="97"/>
              <c:tx>
                <c:rich>
                  <a:bodyPr/>
                  <a:lstStyle/>
                  <a:p>
                    <a:fld id="{BEA86CA1-5C9B-42D3-9190-7313B325D0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FFD1-40FE-9188-070E6A42B998}"/>
                </c:ext>
              </c:extLst>
            </c:dLbl>
            <c:dLbl>
              <c:idx val="98"/>
              <c:tx>
                <c:rich>
                  <a:bodyPr/>
                  <a:lstStyle/>
                  <a:p>
                    <a:fld id="{CACECB27-C830-4C49-A7BF-6C0C8B7176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FFD1-40FE-9188-070E6A42B998}"/>
                </c:ext>
              </c:extLst>
            </c:dLbl>
            <c:dLbl>
              <c:idx val="99"/>
              <c:tx>
                <c:rich>
                  <a:bodyPr/>
                  <a:lstStyle/>
                  <a:p>
                    <a:fld id="{76A707C1-AE71-42EE-B19F-E797F0D596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FFD1-40FE-9188-070E6A42B998}"/>
                </c:ext>
              </c:extLst>
            </c:dLbl>
            <c:dLbl>
              <c:idx val="100"/>
              <c:tx>
                <c:rich>
                  <a:bodyPr/>
                  <a:lstStyle/>
                  <a:p>
                    <a:fld id="{582AFBB1-4EA7-4C0A-AB2E-1FFB2B189F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FFD1-40FE-9188-070E6A42B998}"/>
                </c:ext>
              </c:extLst>
            </c:dLbl>
            <c:dLbl>
              <c:idx val="101"/>
              <c:tx>
                <c:rich>
                  <a:bodyPr/>
                  <a:lstStyle/>
                  <a:p>
                    <a:fld id="{EDCE3D4A-63EC-4D06-A734-BAE61471A7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FFD1-40FE-9188-070E6A42B998}"/>
                </c:ext>
              </c:extLst>
            </c:dLbl>
            <c:dLbl>
              <c:idx val="102"/>
              <c:tx>
                <c:rich>
                  <a:bodyPr/>
                  <a:lstStyle/>
                  <a:p>
                    <a:fld id="{9A43EADF-F665-4864-B58C-DA7F4B4105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FFD1-40FE-9188-070E6A42B998}"/>
                </c:ext>
              </c:extLst>
            </c:dLbl>
            <c:dLbl>
              <c:idx val="103"/>
              <c:tx>
                <c:rich>
                  <a:bodyPr/>
                  <a:lstStyle/>
                  <a:p>
                    <a:fld id="{797EB05A-9813-4CDE-A348-FE522BF760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FFD1-40FE-9188-070E6A42B998}"/>
                </c:ext>
              </c:extLst>
            </c:dLbl>
            <c:dLbl>
              <c:idx val="104"/>
              <c:tx>
                <c:rich>
                  <a:bodyPr/>
                  <a:lstStyle/>
                  <a:p>
                    <a:fld id="{B42F77B9-06DF-4CC7-839B-987C9B54D9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FFD1-40FE-9188-070E6A42B998}"/>
                </c:ext>
              </c:extLst>
            </c:dLbl>
            <c:dLbl>
              <c:idx val="105"/>
              <c:tx>
                <c:rich>
                  <a:bodyPr/>
                  <a:lstStyle/>
                  <a:p>
                    <a:fld id="{B8E2BCC4-F882-456D-B7AF-779113BE5F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FFD1-40FE-9188-070E6A42B998}"/>
                </c:ext>
              </c:extLst>
            </c:dLbl>
            <c:dLbl>
              <c:idx val="106"/>
              <c:tx>
                <c:rich>
                  <a:bodyPr/>
                  <a:lstStyle/>
                  <a:p>
                    <a:fld id="{573CF1D9-E7F0-49A1-9B40-AC276A7DF1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FFD1-40FE-9188-070E6A42B998}"/>
                </c:ext>
              </c:extLst>
            </c:dLbl>
            <c:dLbl>
              <c:idx val="107"/>
              <c:tx>
                <c:rich>
                  <a:bodyPr/>
                  <a:lstStyle/>
                  <a:p>
                    <a:fld id="{2CC94EF8-B099-4A9C-B15A-F83E2E1418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FFD1-40FE-9188-070E6A42B998}"/>
                </c:ext>
              </c:extLst>
            </c:dLbl>
            <c:dLbl>
              <c:idx val="108"/>
              <c:tx>
                <c:rich>
                  <a:bodyPr/>
                  <a:lstStyle/>
                  <a:p>
                    <a:fld id="{8A55FD5D-651D-4E35-8FF4-30FEF7FF16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FFD1-40FE-9188-070E6A42B998}"/>
                </c:ext>
              </c:extLst>
            </c:dLbl>
            <c:dLbl>
              <c:idx val="109"/>
              <c:tx>
                <c:rich>
                  <a:bodyPr/>
                  <a:lstStyle/>
                  <a:p>
                    <a:fld id="{C1F1D1EE-8829-4D58-A6FD-2CCCFE3E64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FFD1-40FE-9188-070E6A42B998}"/>
                </c:ext>
              </c:extLst>
            </c:dLbl>
            <c:dLbl>
              <c:idx val="110"/>
              <c:tx>
                <c:rich>
                  <a:bodyPr/>
                  <a:lstStyle/>
                  <a:p>
                    <a:fld id="{BF5EF4ED-FFF5-42B7-836B-B3E4F8C78C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FFD1-40FE-9188-070E6A42B998}"/>
                </c:ext>
              </c:extLst>
            </c:dLbl>
            <c:dLbl>
              <c:idx val="111"/>
              <c:tx>
                <c:rich>
                  <a:bodyPr/>
                  <a:lstStyle/>
                  <a:p>
                    <a:fld id="{4EC3A6B9-159D-481A-84D5-E39B34A40B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FFD1-40FE-9188-070E6A42B998}"/>
                </c:ext>
              </c:extLst>
            </c:dLbl>
            <c:dLbl>
              <c:idx val="112"/>
              <c:tx>
                <c:rich>
                  <a:bodyPr/>
                  <a:lstStyle/>
                  <a:p>
                    <a:fld id="{F0FAF19A-35D8-4039-80B4-399BDBD7C7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FFD1-40FE-9188-070E6A42B998}"/>
                </c:ext>
              </c:extLst>
            </c:dLbl>
            <c:dLbl>
              <c:idx val="113"/>
              <c:tx>
                <c:rich>
                  <a:bodyPr/>
                  <a:lstStyle/>
                  <a:p>
                    <a:fld id="{8E1D93E7-4D5F-41E4-8155-4D6E4685EA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FFD1-40FE-9188-070E6A42B998}"/>
                </c:ext>
              </c:extLst>
            </c:dLbl>
            <c:dLbl>
              <c:idx val="114"/>
              <c:tx>
                <c:rich>
                  <a:bodyPr/>
                  <a:lstStyle/>
                  <a:p>
                    <a:fld id="{21D6F232-6CEF-4024-8EA8-D29827F37F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FFD1-40FE-9188-070E6A42B998}"/>
                </c:ext>
              </c:extLst>
            </c:dLbl>
            <c:dLbl>
              <c:idx val="115"/>
              <c:tx>
                <c:rich>
                  <a:bodyPr/>
                  <a:lstStyle/>
                  <a:p>
                    <a:fld id="{513DA8EC-E77E-4513-BFD3-8CFD1AF2DB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FFD1-40FE-9188-070E6A42B998}"/>
                </c:ext>
              </c:extLst>
            </c:dLbl>
            <c:dLbl>
              <c:idx val="116"/>
              <c:tx>
                <c:rich>
                  <a:bodyPr/>
                  <a:lstStyle/>
                  <a:p>
                    <a:fld id="{58445D51-A0A1-4D03-8BBB-6C1D1E19BC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FFD1-40FE-9188-070E6A42B998}"/>
                </c:ext>
              </c:extLst>
            </c:dLbl>
            <c:dLbl>
              <c:idx val="117"/>
              <c:tx>
                <c:rich>
                  <a:bodyPr/>
                  <a:lstStyle/>
                  <a:p>
                    <a:fld id="{42EDA1E9-03B4-4163-B5EF-B03D320C71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FFD1-40FE-9188-070E6A42B998}"/>
                </c:ext>
              </c:extLst>
            </c:dLbl>
            <c:dLbl>
              <c:idx val="118"/>
              <c:tx>
                <c:rich>
                  <a:bodyPr/>
                  <a:lstStyle/>
                  <a:p>
                    <a:fld id="{CEF12FE0-6DA9-4F2A-82B8-9E2881E80F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FFD1-40FE-9188-070E6A42B998}"/>
                </c:ext>
              </c:extLst>
            </c:dLbl>
            <c:dLbl>
              <c:idx val="119"/>
              <c:tx>
                <c:rich>
                  <a:bodyPr/>
                  <a:lstStyle/>
                  <a:p>
                    <a:fld id="{5B45A267-27D6-4EB3-8E34-065325F8DF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FFD1-40FE-9188-070E6A42B998}"/>
                </c:ext>
              </c:extLst>
            </c:dLbl>
            <c:dLbl>
              <c:idx val="120"/>
              <c:tx>
                <c:rich>
                  <a:bodyPr/>
                  <a:lstStyle/>
                  <a:p>
                    <a:fld id="{D2D0F0F5-A843-4F55-B9C6-2EAF856DBF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FFD1-40FE-9188-070E6A42B998}"/>
                </c:ext>
              </c:extLst>
            </c:dLbl>
            <c:dLbl>
              <c:idx val="121"/>
              <c:tx>
                <c:rich>
                  <a:bodyPr/>
                  <a:lstStyle/>
                  <a:p>
                    <a:fld id="{BBF635B4-63C6-4DF1-8001-1F01369A74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FFD1-40FE-9188-070E6A42B998}"/>
                </c:ext>
              </c:extLst>
            </c:dLbl>
            <c:dLbl>
              <c:idx val="122"/>
              <c:tx>
                <c:rich>
                  <a:bodyPr/>
                  <a:lstStyle/>
                  <a:p>
                    <a:fld id="{B5784169-EEA5-4A68-A28E-D503C4E462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FFD1-40FE-9188-070E6A42B998}"/>
                </c:ext>
              </c:extLst>
            </c:dLbl>
            <c:dLbl>
              <c:idx val="123"/>
              <c:tx>
                <c:rich>
                  <a:bodyPr/>
                  <a:lstStyle/>
                  <a:p>
                    <a:fld id="{991E3D9B-F951-46E3-B560-3BA4BF7BC8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FFD1-40FE-9188-070E6A42B998}"/>
                </c:ext>
              </c:extLst>
            </c:dLbl>
            <c:dLbl>
              <c:idx val="124"/>
              <c:tx>
                <c:rich>
                  <a:bodyPr/>
                  <a:lstStyle/>
                  <a:p>
                    <a:fld id="{2D0E67E8-F7FE-4AF0-B49B-A70C04F179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FFD1-40FE-9188-070E6A42B998}"/>
                </c:ext>
              </c:extLst>
            </c:dLbl>
            <c:dLbl>
              <c:idx val="125"/>
              <c:tx>
                <c:rich>
                  <a:bodyPr/>
                  <a:lstStyle/>
                  <a:p>
                    <a:fld id="{3B3B9C3A-90D8-4C71-9949-2D294FCCFA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FFD1-40FE-9188-070E6A42B998}"/>
                </c:ext>
              </c:extLst>
            </c:dLbl>
            <c:dLbl>
              <c:idx val="126"/>
              <c:tx>
                <c:rich>
                  <a:bodyPr/>
                  <a:lstStyle/>
                  <a:p>
                    <a:fld id="{4828656A-8E89-4E88-B83A-3BF8E6E59A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FFD1-40FE-9188-070E6A42B998}"/>
                </c:ext>
              </c:extLst>
            </c:dLbl>
            <c:dLbl>
              <c:idx val="127"/>
              <c:tx>
                <c:rich>
                  <a:bodyPr/>
                  <a:lstStyle/>
                  <a:p>
                    <a:fld id="{7DC48FD6-F4E1-4447-9490-EBCE231BC3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FFD1-40FE-9188-070E6A42B998}"/>
                </c:ext>
              </c:extLst>
            </c:dLbl>
            <c:dLbl>
              <c:idx val="128"/>
              <c:tx>
                <c:rich>
                  <a:bodyPr/>
                  <a:lstStyle/>
                  <a:p>
                    <a:fld id="{F961E09E-8528-491D-92EE-0FA5551A85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FFD1-40FE-9188-070E6A42B998}"/>
                </c:ext>
              </c:extLst>
            </c:dLbl>
            <c:dLbl>
              <c:idx val="129"/>
              <c:tx>
                <c:rich>
                  <a:bodyPr/>
                  <a:lstStyle/>
                  <a:p>
                    <a:fld id="{2C48C8D1-949B-4168-8EDD-8BF321C038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FFD1-40FE-9188-070E6A42B998}"/>
                </c:ext>
              </c:extLst>
            </c:dLbl>
            <c:dLbl>
              <c:idx val="130"/>
              <c:tx>
                <c:rich>
                  <a:bodyPr/>
                  <a:lstStyle/>
                  <a:p>
                    <a:fld id="{F3E5D880-C08F-4C93-B911-C638B120E8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FFD1-40FE-9188-070E6A42B998}"/>
                </c:ext>
              </c:extLst>
            </c:dLbl>
            <c:dLbl>
              <c:idx val="131"/>
              <c:tx>
                <c:rich>
                  <a:bodyPr/>
                  <a:lstStyle/>
                  <a:p>
                    <a:fld id="{A1DFFAFF-089B-4ABA-B2D5-A8659945F8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FFD1-40FE-9188-070E6A42B998}"/>
                </c:ext>
              </c:extLst>
            </c:dLbl>
            <c:dLbl>
              <c:idx val="132"/>
              <c:tx>
                <c:rich>
                  <a:bodyPr/>
                  <a:lstStyle/>
                  <a:p>
                    <a:fld id="{D5461D4D-1329-4B8F-92C6-05497A7772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FFD1-40FE-9188-070E6A42B998}"/>
                </c:ext>
              </c:extLst>
            </c:dLbl>
            <c:dLbl>
              <c:idx val="133"/>
              <c:tx>
                <c:rich>
                  <a:bodyPr/>
                  <a:lstStyle/>
                  <a:p>
                    <a:fld id="{B4C65FCF-D552-4BC1-B2F5-1D4F561CC8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FFD1-40FE-9188-070E6A42B998}"/>
                </c:ext>
              </c:extLst>
            </c:dLbl>
            <c:dLbl>
              <c:idx val="134"/>
              <c:tx>
                <c:rich>
                  <a:bodyPr/>
                  <a:lstStyle/>
                  <a:p>
                    <a:fld id="{6A038DBB-4F8E-4C7B-AFF1-7895623352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FFD1-40FE-9188-070E6A42B998}"/>
                </c:ext>
              </c:extLst>
            </c:dLbl>
            <c:dLbl>
              <c:idx val="135"/>
              <c:tx>
                <c:rich>
                  <a:bodyPr/>
                  <a:lstStyle/>
                  <a:p>
                    <a:fld id="{58A47427-DA41-4F96-AA62-5FB09157E0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FFD1-40FE-9188-070E6A42B998}"/>
                </c:ext>
              </c:extLst>
            </c:dLbl>
            <c:dLbl>
              <c:idx val="136"/>
              <c:tx>
                <c:rich>
                  <a:bodyPr/>
                  <a:lstStyle/>
                  <a:p>
                    <a:fld id="{FC8AAC39-C74D-40EE-B621-2BD9C0515A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FFD1-40FE-9188-070E6A42B998}"/>
                </c:ext>
              </c:extLst>
            </c:dLbl>
            <c:dLbl>
              <c:idx val="137"/>
              <c:tx>
                <c:rich>
                  <a:bodyPr/>
                  <a:lstStyle/>
                  <a:p>
                    <a:fld id="{AAEA767C-EFB2-4CC8-BFF5-E042F01548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FFD1-40FE-9188-070E6A42B998}"/>
                </c:ext>
              </c:extLst>
            </c:dLbl>
            <c:dLbl>
              <c:idx val="138"/>
              <c:tx>
                <c:rich>
                  <a:bodyPr/>
                  <a:lstStyle/>
                  <a:p>
                    <a:fld id="{254DD03F-8380-4A0C-AF0D-317D0F0435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FFD1-40FE-9188-070E6A42B998}"/>
                </c:ext>
              </c:extLst>
            </c:dLbl>
            <c:dLbl>
              <c:idx val="139"/>
              <c:tx>
                <c:rich>
                  <a:bodyPr/>
                  <a:lstStyle/>
                  <a:p>
                    <a:fld id="{6A39F3F3-0914-412F-8F9D-FA01517977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FFD1-40FE-9188-070E6A42B998}"/>
                </c:ext>
              </c:extLst>
            </c:dLbl>
            <c:dLbl>
              <c:idx val="140"/>
              <c:tx>
                <c:rich>
                  <a:bodyPr/>
                  <a:lstStyle/>
                  <a:p>
                    <a:fld id="{643DE630-7CAE-4694-8C30-544C4903E8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FFD1-40FE-9188-070E6A42B998}"/>
                </c:ext>
              </c:extLst>
            </c:dLbl>
            <c:dLbl>
              <c:idx val="141"/>
              <c:tx>
                <c:rich>
                  <a:bodyPr/>
                  <a:lstStyle/>
                  <a:p>
                    <a:fld id="{8655C84A-8D39-4C55-B068-260927F33F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FFD1-40FE-9188-070E6A42B998}"/>
                </c:ext>
              </c:extLst>
            </c:dLbl>
            <c:dLbl>
              <c:idx val="142"/>
              <c:tx>
                <c:rich>
                  <a:bodyPr/>
                  <a:lstStyle/>
                  <a:p>
                    <a:fld id="{8C4E2B12-A8A3-47F4-96A2-8F50ED70B2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FFD1-40FE-9188-070E6A42B998}"/>
                </c:ext>
              </c:extLst>
            </c:dLbl>
            <c:dLbl>
              <c:idx val="143"/>
              <c:tx>
                <c:rich>
                  <a:bodyPr/>
                  <a:lstStyle/>
                  <a:p>
                    <a:fld id="{7CB646AD-205D-4313-8411-826F10B880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FFD1-40FE-9188-070E6A42B998}"/>
                </c:ext>
              </c:extLst>
            </c:dLbl>
            <c:dLbl>
              <c:idx val="144"/>
              <c:tx>
                <c:rich>
                  <a:bodyPr/>
                  <a:lstStyle/>
                  <a:p>
                    <a:fld id="{61A503E4-B5CE-41B1-BD6E-36D3E98327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FFD1-40FE-9188-070E6A42B998}"/>
                </c:ext>
              </c:extLst>
            </c:dLbl>
            <c:dLbl>
              <c:idx val="145"/>
              <c:tx>
                <c:rich>
                  <a:bodyPr/>
                  <a:lstStyle/>
                  <a:p>
                    <a:fld id="{44B1901A-CA98-44CC-81E6-35F9B3B5F9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FFD1-40FE-9188-070E6A42B998}"/>
                </c:ext>
              </c:extLst>
            </c:dLbl>
            <c:dLbl>
              <c:idx val="146"/>
              <c:tx>
                <c:rich>
                  <a:bodyPr/>
                  <a:lstStyle/>
                  <a:p>
                    <a:fld id="{2F254C5B-E8BA-4BEE-B59B-2CE250C3EB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FFD1-40FE-9188-070E6A42B998}"/>
                </c:ext>
              </c:extLst>
            </c:dLbl>
            <c:dLbl>
              <c:idx val="147"/>
              <c:tx>
                <c:rich>
                  <a:bodyPr/>
                  <a:lstStyle/>
                  <a:p>
                    <a:fld id="{1DB35A78-E31B-4490-B949-23F83700FB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FFD1-40FE-9188-070E6A42B998}"/>
                </c:ext>
              </c:extLst>
            </c:dLbl>
            <c:dLbl>
              <c:idx val="148"/>
              <c:tx>
                <c:rich>
                  <a:bodyPr/>
                  <a:lstStyle/>
                  <a:p>
                    <a:fld id="{A7E9E9C4-59E1-4CAD-AD2A-7AE02C32C0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FFD1-40FE-9188-070E6A42B998}"/>
                </c:ext>
              </c:extLst>
            </c:dLbl>
            <c:dLbl>
              <c:idx val="149"/>
              <c:tx>
                <c:rich>
                  <a:bodyPr/>
                  <a:lstStyle/>
                  <a:p>
                    <a:fld id="{F6081AD0-396C-4336-9EFA-474A39B579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FFD1-40FE-9188-070E6A42B998}"/>
                </c:ext>
              </c:extLst>
            </c:dLbl>
            <c:dLbl>
              <c:idx val="150"/>
              <c:tx>
                <c:rich>
                  <a:bodyPr/>
                  <a:lstStyle/>
                  <a:p>
                    <a:fld id="{D50BCF91-D8F2-4225-9C5E-CD78C936E9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FFD1-40FE-9188-070E6A42B998}"/>
                </c:ext>
              </c:extLst>
            </c:dLbl>
            <c:dLbl>
              <c:idx val="151"/>
              <c:tx>
                <c:rich>
                  <a:bodyPr/>
                  <a:lstStyle/>
                  <a:p>
                    <a:fld id="{09D987D0-5A36-4185-993F-BD84D1EE9E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FFD1-40FE-9188-070E6A42B998}"/>
                </c:ext>
              </c:extLst>
            </c:dLbl>
            <c:dLbl>
              <c:idx val="152"/>
              <c:tx>
                <c:rich>
                  <a:bodyPr/>
                  <a:lstStyle/>
                  <a:p>
                    <a:fld id="{53CB9A31-671F-49F1-96FC-1CF7709D56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FFD1-40FE-9188-070E6A42B998}"/>
                </c:ext>
              </c:extLst>
            </c:dLbl>
            <c:dLbl>
              <c:idx val="153"/>
              <c:tx>
                <c:rich>
                  <a:bodyPr/>
                  <a:lstStyle/>
                  <a:p>
                    <a:fld id="{ED346B59-CDF3-43E0-84D0-BC78480FDB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FFD1-40FE-9188-070E6A42B998}"/>
                </c:ext>
              </c:extLst>
            </c:dLbl>
            <c:dLbl>
              <c:idx val="154"/>
              <c:tx>
                <c:rich>
                  <a:bodyPr/>
                  <a:lstStyle/>
                  <a:p>
                    <a:fld id="{10F0FAB0-B094-4C5A-91E5-540B2A18FE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FFD1-40FE-9188-070E6A42B998}"/>
                </c:ext>
              </c:extLst>
            </c:dLbl>
            <c:dLbl>
              <c:idx val="155"/>
              <c:tx>
                <c:rich>
                  <a:bodyPr/>
                  <a:lstStyle/>
                  <a:p>
                    <a:fld id="{C96A04C3-4E22-42C5-8150-73C6C5BF8F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FFD1-40FE-9188-070E6A42B998}"/>
                </c:ext>
              </c:extLst>
            </c:dLbl>
            <c:dLbl>
              <c:idx val="156"/>
              <c:tx>
                <c:rich>
                  <a:bodyPr/>
                  <a:lstStyle/>
                  <a:p>
                    <a:fld id="{289DB942-A400-4917-9F27-B0A6681ECB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FFD1-40FE-9188-070E6A42B998}"/>
                </c:ext>
              </c:extLst>
            </c:dLbl>
            <c:dLbl>
              <c:idx val="157"/>
              <c:tx>
                <c:rich>
                  <a:bodyPr/>
                  <a:lstStyle/>
                  <a:p>
                    <a:fld id="{E533B1BD-1CD3-4F27-9C54-8C18018E22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FFD1-40FE-9188-070E6A42B998}"/>
                </c:ext>
              </c:extLst>
            </c:dLbl>
            <c:dLbl>
              <c:idx val="158"/>
              <c:tx>
                <c:rich>
                  <a:bodyPr/>
                  <a:lstStyle/>
                  <a:p>
                    <a:fld id="{0C45ED82-56F2-498C-94CD-D9D781FE1F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FFD1-40FE-9188-070E6A42B998}"/>
                </c:ext>
              </c:extLst>
            </c:dLbl>
            <c:dLbl>
              <c:idx val="159"/>
              <c:tx>
                <c:rich>
                  <a:bodyPr/>
                  <a:lstStyle/>
                  <a:p>
                    <a:fld id="{1911DB29-1F8B-44EE-80D3-6AA31AECAB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FFD1-40FE-9188-070E6A42B998}"/>
                </c:ext>
              </c:extLst>
            </c:dLbl>
            <c:dLbl>
              <c:idx val="160"/>
              <c:tx>
                <c:rich>
                  <a:bodyPr/>
                  <a:lstStyle/>
                  <a:p>
                    <a:fld id="{215E8CF7-2FAA-4B23-80E6-EDD1B45BCE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FFD1-40FE-9188-070E6A42B998}"/>
                </c:ext>
              </c:extLst>
            </c:dLbl>
            <c:dLbl>
              <c:idx val="161"/>
              <c:tx>
                <c:rich>
                  <a:bodyPr/>
                  <a:lstStyle/>
                  <a:p>
                    <a:fld id="{81DDE4D3-E6EF-4BED-8F94-4C9E2BCB77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FFD1-40FE-9188-070E6A42B998}"/>
                </c:ext>
              </c:extLst>
            </c:dLbl>
            <c:dLbl>
              <c:idx val="162"/>
              <c:tx>
                <c:rich>
                  <a:bodyPr/>
                  <a:lstStyle/>
                  <a:p>
                    <a:fld id="{F1817F19-4238-49E3-872A-E6549502C8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FFD1-40FE-9188-070E6A42B998}"/>
                </c:ext>
              </c:extLst>
            </c:dLbl>
            <c:dLbl>
              <c:idx val="163"/>
              <c:tx>
                <c:rich>
                  <a:bodyPr/>
                  <a:lstStyle/>
                  <a:p>
                    <a:fld id="{EF1582D0-62EA-478E-972E-155E9BAC2E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FFD1-40FE-9188-070E6A42B998}"/>
                </c:ext>
              </c:extLst>
            </c:dLbl>
            <c:dLbl>
              <c:idx val="164"/>
              <c:tx>
                <c:rich>
                  <a:bodyPr/>
                  <a:lstStyle/>
                  <a:p>
                    <a:fld id="{4F6A7787-1EB9-4473-94C2-12C0F80234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FFD1-40FE-9188-070E6A42B998}"/>
                </c:ext>
              </c:extLst>
            </c:dLbl>
            <c:dLbl>
              <c:idx val="165"/>
              <c:tx>
                <c:rich>
                  <a:bodyPr/>
                  <a:lstStyle/>
                  <a:p>
                    <a:fld id="{B2536D9A-1FA3-4CF6-AF70-6E6A2A3513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FFD1-40FE-9188-070E6A42B998}"/>
                </c:ext>
              </c:extLst>
            </c:dLbl>
            <c:dLbl>
              <c:idx val="166"/>
              <c:tx>
                <c:rich>
                  <a:bodyPr/>
                  <a:lstStyle/>
                  <a:p>
                    <a:fld id="{6E9F4DA1-4341-4A5B-B306-8B3C70FD67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FFD1-40FE-9188-070E6A42B998}"/>
                </c:ext>
              </c:extLst>
            </c:dLbl>
            <c:dLbl>
              <c:idx val="167"/>
              <c:tx>
                <c:rich>
                  <a:bodyPr/>
                  <a:lstStyle/>
                  <a:p>
                    <a:fld id="{5ABE548A-9F52-4588-B7FA-7369F5CFE5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FFD1-40FE-9188-070E6A42B998}"/>
                </c:ext>
              </c:extLst>
            </c:dLbl>
            <c:dLbl>
              <c:idx val="168"/>
              <c:tx>
                <c:rich>
                  <a:bodyPr/>
                  <a:lstStyle/>
                  <a:p>
                    <a:fld id="{E0C2A6FA-4DEF-4069-83E9-BAFF3C8F3B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FFD1-40FE-9188-070E6A42B998}"/>
                </c:ext>
              </c:extLst>
            </c:dLbl>
            <c:dLbl>
              <c:idx val="169"/>
              <c:tx>
                <c:rich>
                  <a:bodyPr/>
                  <a:lstStyle/>
                  <a:p>
                    <a:fld id="{A6665A5E-93E8-4DE6-9A37-E0C4699BF1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FFD1-40FE-9188-070E6A42B998}"/>
                </c:ext>
              </c:extLst>
            </c:dLbl>
            <c:dLbl>
              <c:idx val="170"/>
              <c:tx>
                <c:rich>
                  <a:bodyPr/>
                  <a:lstStyle/>
                  <a:p>
                    <a:fld id="{319B7FC7-EF8F-479E-A282-690B996135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FFD1-40FE-9188-070E6A42B998}"/>
                </c:ext>
              </c:extLst>
            </c:dLbl>
            <c:dLbl>
              <c:idx val="171"/>
              <c:tx>
                <c:rich>
                  <a:bodyPr/>
                  <a:lstStyle/>
                  <a:p>
                    <a:fld id="{652221D1-71FC-4718-B523-ADB4986A7F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FFD1-40FE-9188-070E6A42B998}"/>
                </c:ext>
              </c:extLst>
            </c:dLbl>
            <c:dLbl>
              <c:idx val="172"/>
              <c:tx>
                <c:rich>
                  <a:bodyPr/>
                  <a:lstStyle/>
                  <a:p>
                    <a:fld id="{11C31656-4B72-4BB7-B0AA-5D032A6A8C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FFD1-40FE-9188-070E6A42B998}"/>
                </c:ext>
              </c:extLst>
            </c:dLbl>
            <c:dLbl>
              <c:idx val="173"/>
              <c:tx>
                <c:rich>
                  <a:bodyPr/>
                  <a:lstStyle/>
                  <a:p>
                    <a:fld id="{9E1E5EB1-0BF3-415D-9CAF-D2E8ABD6FA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FFD1-40FE-9188-070E6A42B998}"/>
                </c:ext>
              </c:extLst>
            </c:dLbl>
            <c:dLbl>
              <c:idx val="174"/>
              <c:tx>
                <c:rich>
                  <a:bodyPr/>
                  <a:lstStyle/>
                  <a:p>
                    <a:fld id="{29DBFC19-B80E-4D50-B818-08EDC746B0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FFD1-40FE-9188-070E6A42B998}"/>
                </c:ext>
              </c:extLst>
            </c:dLbl>
            <c:dLbl>
              <c:idx val="175"/>
              <c:tx>
                <c:rich>
                  <a:bodyPr/>
                  <a:lstStyle/>
                  <a:p>
                    <a:fld id="{FD57DC79-EA48-4E28-B98B-097E9AD543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FFD1-40FE-9188-070E6A42B998}"/>
                </c:ext>
              </c:extLst>
            </c:dLbl>
            <c:dLbl>
              <c:idx val="176"/>
              <c:tx>
                <c:rich>
                  <a:bodyPr/>
                  <a:lstStyle/>
                  <a:p>
                    <a:fld id="{F7B6CF68-BBD6-4457-B35F-03ABE503A7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FFD1-40FE-9188-070E6A42B998}"/>
                </c:ext>
              </c:extLst>
            </c:dLbl>
            <c:dLbl>
              <c:idx val="177"/>
              <c:tx>
                <c:rich>
                  <a:bodyPr/>
                  <a:lstStyle/>
                  <a:p>
                    <a:fld id="{FE8596D6-B430-44E7-A265-4AFCE5B937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FFD1-40FE-9188-070E6A42B998}"/>
                </c:ext>
              </c:extLst>
            </c:dLbl>
            <c:dLbl>
              <c:idx val="178"/>
              <c:tx>
                <c:rich>
                  <a:bodyPr/>
                  <a:lstStyle/>
                  <a:p>
                    <a:fld id="{A4A5C83B-A81F-478E-B4B4-735C7B0D05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FFD1-40FE-9188-070E6A42B998}"/>
                </c:ext>
              </c:extLst>
            </c:dLbl>
            <c:dLbl>
              <c:idx val="179"/>
              <c:tx>
                <c:rich>
                  <a:bodyPr/>
                  <a:lstStyle/>
                  <a:p>
                    <a:fld id="{CC20F4D5-DD95-4644-A3DF-B3040F285A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FFD1-40FE-9188-070E6A42B998}"/>
                </c:ext>
              </c:extLst>
            </c:dLbl>
            <c:dLbl>
              <c:idx val="180"/>
              <c:tx>
                <c:rich>
                  <a:bodyPr/>
                  <a:lstStyle/>
                  <a:p>
                    <a:fld id="{5BEE6B3B-DBC3-4C58-80FB-1913392D72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FFD1-40FE-9188-070E6A42B998}"/>
                </c:ext>
              </c:extLst>
            </c:dLbl>
            <c:dLbl>
              <c:idx val="181"/>
              <c:tx>
                <c:rich>
                  <a:bodyPr/>
                  <a:lstStyle/>
                  <a:p>
                    <a:fld id="{50CAD129-C9AB-4721-BC66-AEDFDE346C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FFD1-40FE-9188-070E6A42B998}"/>
                </c:ext>
              </c:extLst>
            </c:dLbl>
            <c:dLbl>
              <c:idx val="182"/>
              <c:tx>
                <c:rich>
                  <a:bodyPr/>
                  <a:lstStyle/>
                  <a:p>
                    <a:fld id="{A5FCCEBD-610B-49E1-A769-B492D7DD52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FFD1-40FE-9188-070E6A42B998}"/>
                </c:ext>
              </c:extLst>
            </c:dLbl>
            <c:dLbl>
              <c:idx val="183"/>
              <c:tx>
                <c:rich>
                  <a:bodyPr/>
                  <a:lstStyle/>
                  <a:p>
                    <a:fld id="{0B16D220-50D1-459A-8215-82A0B8EC32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FFD1-40FE-9188-070E6A42B998}"/>
                </c:ext>
              </c:extLst>
            </c:dLbl>
            <c:dLbl>
              <c:idx val="184"/>
              <c:tx>
                <c:rich>
                  <a:bodyPr/>
                  <a:lstStyle/>
                  <a:p>
                    <a:fld id="{99CF4309-4A3E-40B9-A9C1-FC52007BD0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FFD1-40FE-9188-070E6A42B998}"/>
                </c:ext>
              </c:extLst>
            </c:dLbl>
            <c:dLbl>
              <c:idx val="185"/>
              <c:tx>
                <c:rich>
                  <a:bodyPr/>
                  <a:lstStyle/>
                  <a:p>
                    <a:fld id="{622EA308-CEB6-4E23-A6AC-E3E2C86E5E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FFD1-40FE-9188-070E6A42B998}"/>
                </c:ext>
              </c:extLst>
            </c:dLbl>
            <c:dLbl>
              <c:idx val="186"/>
              <c:tx>
                <c:rich>
                  <a:bodyPr/>
                  <a:lstStyle/>
                  <a:p>
                    <a:fld id="{F4ECB255-6644-46F4-B41F-A0EB339638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FFD1-40FE-9188-070E6A42B998}"/>
                </c:ext>
              </c:extLst>
            </c:dLbl>
            <c:dLbl>
              <c:idx val="187"/>
              <c:tx>
                <c:rich>
                  <a:bodyPr/>
                  <a:lstStyle/>
                  <a:p>
                    <a:fld id="{DFD71342-AF4A-4AF3-B85D-407476A72D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FFD1-40FE-9188-070E6A42B998}"/>
                </c:ext>
              </c:extLst>
            </c:dLbl>
            <c:dLbl>
              <c:idx val="188"/>
              <c:tx>
                <c:rich>
                  <a:bodyPr/>
                  <a:lstStyle/>
                  <a:p>
                    <a:fld id="{81CF02F3-BD56-41C7-BCDA-2C2BE4B235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FFD1-40FE-9188-070E6A42B998}"/>
                </c:ext>
              </c:extLst>
            </c:dLbl>
            <c:dLbl>
              <c:idx val="189"/>
              <c:tx>
                <c:rich>
                  <a:bodyPr/>
                  <a:lstStyle/>
                  <a:p>
                    <a:fld id="{8D50E178-E4CD-4432-B918-AA5020145B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FFD1-40FE-9188-070E6A42B998}"/>
                </c:ext>
              </c:extLst>
            </c:dLbl>
            <c:dLbl>
              <c:idx val="190"/>
              <c:tx>
                <c:rich>
                  <a:bodyPr/>
                  <a:lstStyle/>
                  <a:p>
                    <a:fld id="{576F0504-32D7-4590-836A-630C4D9EDB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FFD1-40FE-9188-070E6A42B998}"/>
                </c:ext>
              </c:extLst>
            </c:dLbl>
            <c:dLbl>
              <c:idx val="191"/>
              <c:tx>
                <c:rich>
                  <a:bodyPr/>
                  <a:lstStyle/>
                  <a:p>
                    <a:fld id="{45F4AC7B-6921-425F-9CA8-51C1E23B40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FFD1-40FE-9188-070E6A42B998}"/>
                </c:ext>
              </c:extLst>
            </c:dLbl>
            <c:dLbl>
              <c:idx val="192"/>
              <c:tx>
                <c:rich>
                  <a:bodyPr/>
                  <a:lstStyle/>
                  <a:p>
                    <a:fld id="{D487F42D-08F4-49AB-A90C-722F27F122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FFD1-40FE-9188-070E6A42B998}"/>
                </c:ext>
              </c:extLst>
            </c:dLbl>
            <c:dLbl>
              <c:idx val="193"/>
              <c:tx>
                <c:rich>
                  <a:bodyPr/>
                  <a:lstStyle/>
                  <a:p>
                    <a:fld id="{B2445BF3-EC22-44B0-B3D2-BC58764388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FFD1-40FE-9188-070E6A42B998}"/>
                </c:ext>
              </c:extLst>
            </c:dLbl>
            <c:dLbl>
              <c:idx val="194"/>
              <c:tx>
                <c:rich>
                  <a:bodyPr/>
                  <a:lstStyle/>
                  <a:p>
                    <a:fld id="{00890CA1-FCFA-436A-8E3B-1790D4A54F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FFD1-40FE-9188-070E6A42B998}"/>
                </c:ext>
              </c:extLst>
            </c:dLbl>
            <c:dLbl>
              <c:idx val="195"/>
              <c:tx>
                <c:rich>
                  <a:bodyPr/>
                  <a:lstStyle/>
                  <a:p>
                    <a:fld id="{336F2584-C3E0-4FCD-BFE1-13A608CC86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FFD1-40FE-9188-070E6A42B998}"/>
                </c:ext>
              </c:extLst>
            </c:dLbl>
            <c:dLbl>
              <c:idx val="196"/>
              <c:tx>
                <c:rich>
                  <a:bodyPr/>
                  <a:lstStyle/>
                  <a:p>
                    <a:fld id="{37E217D0-C4B6-4207-9D41-C99EF7CFD4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FFD1-40FE-9188-070E6A42B998}"/>
                </c:ext>
              </c:extLst>
            </c:dLbl>
            <c:dLbl>
              <c:idx val="197"/>
              <c:tx>
                <c:rich>
                  <a:bodyPr/>
                  <a:lstStyle/>
                  <a:p>
                    <a:fld id="{6765DC3B-5D31-4F29-A872-A211D038A4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FFD1-40FE-9188-070E6A42B998}"/>
                </c:ext>
              </c:extLst>
            </c:dLbl>
            <c:dLbl>
              <c:idx val="198"/>
              <c:tx>
                <c:rich>
                  <a:bodyPr/>
                  <a:lstStyle/>
                  <a:p>
                    <a:fld id="{329B0B05-563A-42D2-8A0E-2DF2989651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FFD1-40FE-9188-070E6A42B998}"/>
                </c:ext>
              </c:extLst>
            </c:dLbl>
            <c:dLbl>
              <c:idx val="199"/>
              <c:tx>
                <c:rich>
                  <a:bodyPr/>
                  <a:lstStyle/>
                  <a:p>
                    <a:fld id="{7EBEF573-B399-4774-8B14-B1FF81F9D5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FFD1-40FE-9188-070E6A42B998}"/>
                </c:ext>
              </c:extLst>
            </c:dLbl>
            <c:dLbl>
              <c:idx val="200"/>
              <c:tx>
                <c:rich>
                  <a:bodyPr/>
                  <a:lstStyle/>
                  <a:p>
                    <a:fld id="{DE22E9D7-5550-4285-8791-DCF71C3ABF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FFD1-40FE-9188-070E6A42B998}"/>
                </c:ext>
              </c:extLst>
            </c:dLbl>
            <c:dLbl>
              <c:idx val="201"/>
              <c:tx>
                <c:rich>
                  <a:bodyPr/>
                  <a:lstStyle/>
                  <a:p>
                    <a:fld id="{238DCBFA-A162-431B-9CC8-FEA7559DC8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FFD1-40FE-9188-070E6A42B998}"/>
                </c:ext>
              </c:extLst>
            </c:dLbl>
            <c:dLbl>
              <c:idx val="202"/>
              <c:tx>
                <c:rich>
                  <a:bodyPr/>
                  <a:lstStyle/>
                  <a:p>
                    <a:fld id="{ABA7D3A5-A146-415A-85C1-64A6648FD1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FFD1-40FE-9188-070E6A42B998}"/>
                </c:ext>
              </c:extLst>
            </c:dLbl>
            <c:dLbl>
              <c:idx val="203"/>
              <c:tx>
                <c:rich>
                  <a:bodyPr/>
                  <a:lstStyle/>
                  <a:p>
                    <a:fld id="{8AF9B7C9-4992-4132-95A3-B8F569D4FB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FFD1-40FE-9188-070E6A42B998}"/>
                </c:ext>
              </c:extLst>
            </c:dLbl>
            <c:dLbl>
              <c:idx val="204"/>
              <c:tx>
                <c:rich>
                  <a:bodyPr/>
                  <a:lstStyle/>
                  <a:p>
                    <a:fld id="{D4C9D1F5-02F0-47C7-962D-2246F32D93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FFD1-40FE-9188-070E6A42B998}"/>
                </c:ext>
              </c:extLst>
            </c:dLbl>
            <c:dLbl>
              <c:idx val="205"/>
              <c:tx>
                <c:rich>
                  <a:bodyPr/>
                  <a:lstStyle/>
                  <a:p>
                    <a:fld id="{48FC359C-B8DC-4674-AEE1-9CFD8929D0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FFD1-40FE-9188-070E6A42B998}"/>
                </c:ext>
              </c:extLst>
            </c:dLbl>
            <c:dLbl>
              <c:idx val="206"/>
              <c:tx>
                <c:rich>
                  <a:bodyPr/>
                  <a:lstStyle/>
                  <a:p>
                    <a:fld id="{4015CE60-AEDA-4855-8AC9-183CD06EB8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FFD1-40FE-9188-070E6A42B998}"/>
                </c:ext>
              </c:extLst>
            </c:dLbl>
            <c:dLbl>
              <c:idx val="207"/>
              <c:tx>
                <c:rich>
                  <a:bodyPr/>
                  <a:lstStyle/>
                  <a:p>
                    <a:fld id="{BA99F0D9-23A7-43F9-A663-F9B372AF11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FFD1-40FE-9188-070E6A42B998}"/>
                </c:ext>
              </c:extLst>
            </c:dLbl>
            <c:dLbl>
              <c:idx val="208"/>
              <c:tx>
                <c:rich>
                  <a:bodyPr/>
                  <a:lstStyle/>
                  <a:p>
                    <a:fld id="{C184AED7-6C27-48E7-A34F-E25A265189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FFD1-40FE-9188-070E6A42B998}"/>
                </c:ext>
              </c:extLst>
            </c:dLbl>
            <c:dLbl>
              <c:idx val="209"/>
              <c:tx>
                <c:rich>
                  <a:bodyPr/>
                  <a:lstStyle/>
                  <a:p>
                    <a:fld id="{688335F6-2B64-4074-8951-2A9BE33D67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FFD1-40FE-9188-070E6A42B998}"/>
                </c:ext>
              </c:extLst>
            </c:dLbl>
            <c:dLbl>
              <c:idx val="210"/>
              <c:tx>
                <c:rich>
                  <a:bodyPr/>
                  <a:lstStyle/>
                  <a:p>
                    <a:fld id="{1BBD737D-F277-4A3D-B599-315611204B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FFD1-40FE-9188-070E6A42B998}"/>
                </c:ext>
              </c:extLst>
            </c:dLbl>
            <c:dLbl>
              <c:idx val="211"/>
              <c:tx>
                <c:rich>
                  <a:bodyPr/>
                  <a:lstStyle/>
                  <a:p>
                    <a:fld id="{FD403F68-2380-4C9F-9D73-F41903F846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FFD1-40FE-9188-070E6A42B998}"/>
                </c:ext>
              </c:extLst>
            </c:dLbl>
            <c:dLbl>
              <c:idx val="212"/>
              <c:tx>
                <c:rich>
                  <a:bodyPr/>
                  <a:lstStyle/>
                  <a:p>
                    <a:fld id="{35AF0624-A4AC-4305-AD00-60BA09E785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FFD1-40FE-9188-070E6A42B998}"/>
                </c:ext>
              </c:extLst>
            </c:dLbl>
            <c:dLbl>
              <c:idx val="213"/>
              <c:tx>
                <c:rich>
                  <a:bodyPr/>
                  <a:lstStyle/>
                  <a:p>
                    <a:fld id="{104A49B4-9702-4946-93E3-B6FF30A9B4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FFD1-40FE-9188-070E6A42B998}"/>
                </c:ext>
              </c:extLst>
            </c:dLbl>
            <c:dLbl>
              <c:idx val="214"/>
              <c:tx>
                <c:rich>
                  <a:bodyPr/>
                  <a:lstStyle/>
                  <a:p>
                    <a:fld id="{3EFF28EF-A22B-4A6E-8587-BE943A5C58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FFD1-40FE-9188-070E6A42B998}"/>
                </c:ext>
              </c:extLst>
            </c:dLbl>
            <c:dLbl>
              <c:idx val="215"/>
              <c:tx>
                <c:rich>
                  <a:bodyPr/>
                  <a:lstStyle/>
                  <a:p>
                    <a:fld id="{B9C9E4AA-AB4A-4C77-9076-ABDC1A46BA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FFD1-40FE-9188-070E6A42B998}"/>
                </c:ext>
              </c:extLst>
            </c:dLbl>
            <c:dLbl>
              <c:idx val="216"/>
              <c:tx>
                <c:rich>
                  <a:bodyPr/>
                  <a:lstStyle/>
                  <a:p>
                    <a:fld id="{E1ABD303-6AD9-489D-96B3-5462C135BA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FFD1-40FE-9188-070E6A42B998}"/>
                </c:ext>
              </c:extLst>
            </c:dLbl>
            <c:dLbl>
              <c:idx val="217"/>
              <c:tx>
                <c:rich>
                  <a:bodyPr/>
                  <a:lstStyle/>
                  <a:p>
                    <a:fld id="{19C0842E-1E7D-4358-857F-D474379A90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FFD1-40FE-9188-070E6A42B998}"/>
                </c:ext>
              </c:extLst>
            </c:dLbl>
            <c:dLbl>
              <c:idx val="218"/>
              <c:tx>
                <c:rich>
                  <a:bodyPr/>
                  <a:lstStyle/>
                  <a:p>
                    <a:fld id="{C29289C0-3932-470C-AA51-AEA1C60FCF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FFD1-40FE-9188-070E6A42B998}"/>
                </c:ext>
              </c:extLst>
            </c:dLbl>
            <c:dLbl>
              <c:idx val="219"/>
              <c:tx>
                <c:rich>
                  <a:bodyPr/>
                  <a:lstStyle/>
                  <a:p>
                    <a:fld id="{107FB2F6-9F3D-4649-BA35-949D916CE7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FFD1-40FE-9188-070E6A42B998}"/>
                </c:ext>
              </c:extLst>
            </c:dLbl>
            <c:dLbl>
              <c:idx val="220"/>
              <c:tx>
                <c:rich>
                  <a:bodyPr/>
                  <a:lstStyle/>
                  <a:p>
                    <a:fld id="{74D64E82-3509-4E70-95BF-EA3B9D3E53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FFD1-40FE-9188-070E6A42B998}"/>
                </c:ext>
              </c:extLst>
            </c:dLbl>
            <c:dLbl>
              <c:idx val="221"/>
              <c:tx>
                <c:rich>
                  <a:bodyPr/>
                  <a:lstStyle/>
                  <a:p>
                    <a:fld id="{E3607BCB-5205-4FE9-91BE-6D74897783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FFD1-40FE-9188-070E6A42B998}"/>
                </c:ext>
              </c:extLst>
            </c:dLbl>
            <c:dLbl>
              <c:idx val="222"/>
              <c:tx>
                <c:rich>
                  <a:bodyPr/>
                  <a:lstStyle/>
                  <a:p>
                    <a:fld id="{A0FFE253-ED9C-4B1C-A389-A17EB7555B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FFD1-40FE-9188-070E6A42B998}"/>
                </c:ext>
              </c:extLst>
            </c:dLbl>
            <c:dLbl>
              <c:idx val="223"/>
              <c:tx>
                <c:rich>
                  <a:bodyPr/>
                  <a:lstStyle/>
                  <a:p>
                    <a:fld id="{4ECE915E-FD88-433A-9B82-92B746A817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FFD1-40FE-9188-070E6A42B998}"/>
                </c:ext>
              </c:extLst>
            </c:dLbl>
            <c:dLbl>
              <c:idx val="224"/>
              <c:tx>
                <c:rich>
                  <a:bodyPr/>
                  <a:lstStyle/>
                  <a:p>
                    <a:fld id="{21C98035-29F8-49DE-8669-430969404B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FFD1-40FE-9188-070E6A42B998}"/>
                </c:ext>
              </c:extLst>
            </c:dLbl>
            <c:dLbl>
              <c:idx val="225"/>
              <c:tx>
                <c:rich>
                  <a:bodyPr/>
                  <a:lstStyle/>
                  <a:p>
                    <a:fld id="{88B2FB55-2832-41D9-A670-D389DAD557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FFD1-40FE-9188-070E6A42B998}"/>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FD1-40FE-9188-070E6A42B998}"/>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FD1-40FE-9188-070E6A42B998}"/>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FD1-40FE-9188-070E6A42B998}"/>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FD1-40FE-9188-070E6A42B998}"/>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FD1-40FE-9188-070E6A42B998}"/>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FD1-40FE-9188-070E6A42B998}"/>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FD1-40FE-9188-070E6A42B998}"/>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FD1-40FE-9188-070E6A42B998}"/>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FD1-40FE-9188-070E6A42B998}"/>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FD1-40FE-9188-070E6A42B998}"/>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FD1-40FE-9188-070E6A42B998}"/>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FD1-40FE-9188-070E6A42B998}"/>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FD1-40FE-9188-070E6A42B998}"/>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FD1-40FE-9188-070E6A42B998}"/>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FD1-40FE-9188-070E6A42B998}"/>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FD1-40FE-9188-070E6A42B998}"/>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FD1-40FE-9188-070E6A42B998}"/>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FD1-40FE-9188-070E6A42B998}"/>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FD1-40FE-9188-070E6A42B998}"/>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FD1-40FE-9188-070E6A42B998}"/>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FD1-40FE-9188-070E6A42B998}"/>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FD1-40FE-9188-070E6A42B998}"/>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FD1-40FE-9188-070E6A42B998}"/>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FD1-40FE-9188-070E6A42B998}"/>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FD1-40FE-9188-070E6A42B998}"/>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FD1-40FE-9188-070E6A42B998}"/>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FD1-40FE-9188-070E6A42B998}"/>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FD1-40FE-9188-070E6A42B998}"/>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FD1-40FE-9188-070E6A42B998}"/>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FD1-40FE-9188-070E6A42B998}"/>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FD1-40FE-9188-070E6A42B998}"/>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FD1-40FE-9188-070E6A42B998}"/>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FD1-40FE-9188-070E6A42B998}"/>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FD1-40FE-9188-070E6A42B998}"/>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FD1-40FE-9188-070E6A42B998}"/>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FD1-40FE-9188-070E6A42B998}"/>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FD1-40FE-9188-070E6A42B998}"/>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FD1-40FE-9188-070E6A42B998}"/>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FD1-40FE-9188-070E6A42B998}"/>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FD1-40FE-9188-070E6A42B998}"/>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FD1-40FE-9188-070E6A42B998}"/>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FD1-40FE-9188-070E6A42B998}"/>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FD1-40FE-9188-070E6A42B998}"/>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FD1-40FE-9188-070E6A42B998}"/>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FD1-40FE-9188-070E6A42B998}"/>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FD1-40FE-9188-070E6A42B998}"/>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FD1-40FE-9188-070E6A42B998}"/>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FD1-40FE-9188-070E6A42B998}"/>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FD1-40FE-9188-070E6A42B998}"/>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FD1-40FE-9188-070E6A42B998}"/>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FD1-40FE-9188-070E6A42B998}"/>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FD1-40FE-9188-070E6A42B998}"/>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FD1-40FE-9188-070E6A42B998}"/>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FD1-40FE-9188-070E6A42B998}"/>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FD1-40FE-9188-070E6A42B998}"/>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FD1-40FE-9188-070E6A42B998}"/>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FD1-40FE-9188-070E6A42B998}"/>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FD1-40FE-9188-070E6A42B998}"/>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FD1-40FE-9188-070E6A42B998}"/>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FD1-40FE-9188-070E6A42B998}"/>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FD1-40FE-9188-070E6A42B998}"/>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FD1-40FE-9188-070E6A42B998}"/>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FD1-40FE-9188-070E6A42B998}"/>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FD1-40FE-9188-070E6A42B998}"/>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FD1-40FE-9188-070E6A42B998}"/>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FD1-40FE-9188-070E6A42B998}"/>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FD1-40FE-9188-070E6A42B998}"/>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FD1-40FE-9188-070E6A42B998}"/>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FD1-40FE-9188-070E6A42B998}"/>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FD1-40FE-9188-070E6A42B998}"/>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FD1-40FE-9188-070E6A42B998}"/>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FD1-40FE-9188-070E6A42B998}"/>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FD1-40FE-9188-070E6A42B998}"/>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55.889392852783203</c:v>
                </c:pt>
                <c:pt idx="1">
                  <c:v>54.661392211914063</c:v>
                </c:pt>
                <c:pt idx="2">
                  <c:v>53.409122467041016</c:v>
                </c:pt>
                <c:pt idx="3">
                  <c:v>52.62017822265625</c:v>
                </c:pt>
                <c:pt idx="4">
                  <c:v>52.760089874267578</c:v>
                </c:pt>
                <c:pt idx="5">
                  <c:v>54.649894714355469</c:v>
                </c:pt>
                <c:pt idx="6">
                  <c:v>59.084308624267578</c:v>
                </c:pt>
                <c:pt idx="7">
                  <c:v>66.044105529785156</c:v>
                </c:pt>
                <c:pt idx="8">
                  <c:v>74.592208862304688</c:v>
                </c:pt>
                <c:pt idx="9">
                  <c:v>83.886405944824219</c:v>
                </c:pt>
                <c:pt idx="10">
                  <c:v>91.923873901367188</c:v>
                </c:pt>
                <c:pt idx="11">
                  <c:v>97.599861145019531</c:v>
                </c:pt>
                <c:pt idx="12">
                  <c:v>99.999992370605469</c:v>
                </c:pt>
                <c:pt idx="13">
                  <c:v>99.147613525390625</c:v>
                </c:pt>
                <c:pt idx="14">
                  <c:v>96.001640319824219</c:v>
                </c:pt>
                <c:pt idx="15">
                  <c:v>91.216896057128906</c:v>
                </c:pt>
                <c:pt idx="16">
                  <c:v>84.376785278320313</c:v>
                </c:pt>
                <c:pt idx="17">
                  <c:v>74.724876403808594</c:v>
                </c:pt>
                <c:pt idx="18">
                  <c:v>63.507514953613281</c:v>
                </c:pt>
                <c:pt idx="19">
                  <c:v>52.920326232910156</c:v>
                </c:pt>
                <c:pt idx="20">
                  <c:v>45.275135040283203</c:v>
                </c:pt>
                <c:pt idx="21">
                  <c:v>40.417812347412109</c:v>
                </c:pt>
                <c:pt idx="22">
                  <c:v>37.616847991943359</c:v>
                </c:pt>
                <c:pt idx="23">
                  <c:v>36.10894775390625</c:v>
                </c:pt>
                <c:pt idx="24">
                  <c:v>35.096569061279297</c:v>
                </c:pt>
                <c:pt idx="25">
                  <c:v>34.322574615478516</c:v>
                </c:pt>
                <c:pt idx="26">
                  <c:v>33.780612945556641</c:v>
                </c:pt>
                <c:pt idx="27">
                  <c:v>33.775867462158203</c:v>
                </c:pt>
                <c:pt idx="28">
                  <c:v>34.368484497070313</c:v>
                </c:pt>
                <c:pt idx="29">
                  <c:v>35.213302612304688</c:v>
                </c:pt>
                <c:pt idx="30">
                  <c:v>35.714405059814453</c:v>
                </c:pt>
                <c:pt idx="31">
                  <c:v>35.283885955810547</c:v>
                </c:pt>
                <c:pt idx="32">
                  <c:v>33.833145141601563</c:v>
                </c:pt>
                <c:pt idx="33">
                  <c:v>31.509349822998047</c:v>
                </c:pt>
                <c:pt idx="34">
                  <c:v>28.506931304931641</c:v>
                </c:pt>
                <c:pt idx="35">
                  <c:v>24.691051483154297</c:v>
                </c:pt>
                <c:pt idx="36">
                  <c:v>20.286096572875977</c:v>
                </c:pt>
                <c:pt idx="37">
                  <c:v>15.727624893188477</c:v>
                </c:pt>
                <c:pt idx="38">
                  <c:v>11.927992820739746</c:v>
                </c:pt>
                <c:pt idx="39">
                  <c:v>9.3046045303344727</c:v>
                </c:pt>
                <c:pt idx="40">
                  <c:v>8.0070362091064453</c:v>
                </c:pt>
                <c:pt idx="41">
                  <c:v>7.6428713798522949</c:v>
                </c:pt>
                <c:pt idx="42">
                  <c:v>7.7787976264953613</c:v>
                </c:pt>
                <c:pt idx="43">
                  <c:v>8.1862096786499023</c:v>
                </c:pt>
                <c:pt idx="44">
                  <c:v>8.6800346374511719</c:v>
                </c:pt>
                <c:pt idx="45">
                  <c:v>9.2260665893554688</c:v>
                </c:pt>
                <c:pt idx="46">
                  <c:v>9.7816505432128906</c:v>
                </c:pt>
                <c:pt idx="47">
                  <c:v>10.313471794128418</c:v>
                </c:pt>
                <c:pt idx="48">
                  <c:v>10.774637222290039</c:v>
                </c:pt>
                <c:pt idx="49">
                  <c:v>11.173943519592285</c:v>
                </c:pt>
                <c:pt idx="50">
                  <c:v>11.533088684082031</c:v>
                </c:pt>
                <c:pt idx="51">
                  <c:v>11.871551513671875</c:v>
                </c:pt>
                <c:pt idx="52">
                  <c:v>12.276987075805664</c:v>
                </c:pt>
                <c:pt idx="53">
                  <c:v>12.740976333618164</c:v>
                </c:pt>
                <c:pt idx="54">
                  <c:v>13.216762542724609</c:v>
                </c:pt>
                <c:pt idx="55">
                  <c:v>13.719448089599609</c:v>
                </c:pt>
                <c:pt idx="56">
                  <c:v>14.22400951385498</c:v>
                </c:pt>
                <c:pt idx="57">
                  <c:v>14.646254539489746</c:v>
                </c:pt>
                <c:pt idx="58">
                  <c:v>14.940304756164551</c:v>
                </c:pt>
                <c:pt idx="59">
                  <c:v>15.047256469726563</c:v>
                </c:pt>
                <c:pt idx="60">
                  <c:v>15.024728775024414</c:v>
                </c:pt>
                <c:pt idx="61">
                  <c:v>14.844626426696777</c:v>
                </c:pt>
                <c:pt idx="62">
                  <c:v>14.484945297241211</c:v>
                </c:pt>
                <c:pt idx="63">
                  <c:v>13.937690734863281</c:v>
                </c:pt>
                <c:pt idx="64">
                  <c:v>13.258457183837891</c:v>
                </c:pt>
                <c:pt idx="65">
                  <c:v>12.415014266967773</c:v>
                </c:pt>
                <c:pt idx="66">
                  <c:v>11.605366706848145</c:v>
                </c:pt>
                <c:pt idx="67">
                  <c:v>10.792507171630859</c:v>
                </c:pt>
                <c:pt idx="68">
                  <c:v>10.047019004821777</c:v>
                </c:pt>
                <c:pt idx="69">
                  <c:v>9.3699922561645508</c:v>
                </c:pt>
                <c:pt idx="70">
                  <c:v>8.7404031753540039</c:v>
                </c:pt>
                <c:pt idx="71">
                  <c:v>8.2144794464111328</c:v>
                </c:pt>
                <c:pt idx="72">
                  <c:v>7.7318096160888672</c:v>
                </c:pt>
                <c:pt idx="73">
                  <c:v>7.2463836669921875</c:v>
                </c:pt>
                <c:pt idx="74">
                  <c:v>6.7560443878173828</c:v>
                </c:pt>
                <c:pt idx="75">
                  <c:v>6.2866926193237305</c:v>
                </c:pt>
                <c:pt idx="76">
                  <c:v>5.7770552635192871</c:v>
                </c:pt>
                <c:pt idx="77">
                  <c:v>5.2717700004577637</c:v>
                </c:pt>
                <c:pt idx="78">
                  <c:v>4.8368678092956543</c:v>
                </c:pt>
                <c:pt idx="79">
                  <c:v>4.468226432800293</c:v>
                </c:pt>
                <c:pt idx="80">
                  <c:v>4.1319141387939453</c:v>
                </c:pt>
                <c:pt idx="81">
                  <c:v>3.8050980567932129</c:v>
                </c:pt>
                <c:pt idx="82">
                  <c:v>3.6349654197692871</c:v>
                </c:pt>
                <c:pt idx="83">
                  <c:v>3.4843738079071045</c:v>
                </c:pt>
                <c:pt idx="84">
                  <c:v>3.2598893642425537</c:v>
                </c:pt>
                <c:pt idx="85">
                  <c:v>3.1145663261413574</c:v>
                </c:pt>
                <c:pt idx="86">
                  <c:v>3.0484986305236816</c:v>
                </c:pt>
                <c:pt idx="87">
                  <c:v>2.9224984645843506</c:v>
                </c:pt>
                <c:pt idx="88">
                  <c:v>2.8201980590820313</c:v>
                </c:pt>
                <c:pt idx="89">
                  <c:v>2.7964670658111572</c:v>
                </c:pt>
                <c:pt idx="90">
                  <c:v>2.7619678974151611</c:v>
                </c:pt>
                <c:pt idx="91">
                  <c:v>2.6235723495483398</c:v>
                </c:pt>
                <c:pt idx="92">
                  <c:v>2.5345280170440674</c:v>
                </c:pt>
                <c:pt idx="93">
                  <c:v>2.5830998420715332</c:v>
                </c:pt>
                <c:pt idx="94">
                  <c:v>2.6370713710784912</c:v>
                </c:pt>
                <c:pt idx="95">
                  <c:v>2.668041467666626</c:v>
                </c:pt>
                <c:pt idx="96">
                  <c:v>2.6527466773986816</c:v>
                </c:pt>
                <c:pt idx="97">
                  <c:v>2.6174681186676025</c:v>
                </c:pt>
                <c:pt idx="98">
                  <c:v>2.6175241470336914</c:v>
                </c:pt>
                <c:pt idx="99">
                  <c:v>2.6052098274230957</c:v>
                </c:pt>
                <c:pt idx="100">
                  <c:v>2.5393352508544922</c:v>
                </c:pt>
                <c:pt idx="101">
                  <c:v>2.5298891067504883</c:v>
                </c:pt>
                <c:pt idx="102">
                  <c:v>2.5490310192108154</c:v>
                </c:pt>
                <c:pt idx="103">
                  <c:v>2.5732545852661133</c:v>
                </c:pt>
                <c:pt idx="104">
                  <c:v>2.5853695869445801</c:v>
                </c:pt>
                <c:pt idx="105">
                  <c:v>2.5463624000549316</c:v>
                </c:pt>
                <c:pt idx="106">
                  <c:v>2.5053598880767822</c:v>
                </c:pt>
                <c:pt idx="107">
                  <c:v>2.4468677043914795</c:v>
                </c:pt>
                <c:pt idx="108">
                  <c:v>2.4662778377532959</c:v>
                </c:pt>
                <c:pt idx="109">
                  <c:v>2.5085334777832031</c:v>
                </c:pt>
                <c:pt idx="110">
                  <c:v>2.4699878692626953</c:v>
                </c:pt>
                <c:pt idx="111">
                  <c:v>2.4389429092407227</c:v>
                </c:pt>
                <c:pt idx="112">
                  <c:v>2.4799890518188477</c:v>
                </c:pt>
                <c:pt idx="113">
                  <c:v>2.4894413948059082</c:v>
                </c:pt>
                <c:pt idx="114">
                  <c:v>2.375319242477417</c:v>
                </c:pt>
                <c:pt idx="115">
                  <c:v>2.3582413196563721</c:v>
                </c:pt>
                <c:pt idx="116">
                  <c:v>2.4291350841522217</c:v>
                </c:pt>
                <c:pt idx="117">
                  <c:v>2.3914060592651367</c:v>
                </c:pt>
                <c:pt idx="118">
                  <c:v>2.3683609962463379</c:v>
                </c:pt>
                <c:pt idx="119">
                  <c:v>2.3919172286987305</c:v>
                </c:pt>
                <c:pt idx="120">
                  <c:v>2.3174569606781006</c:v>
                </c:pt>
                <c:pt idx="121">
                  <c:v>2.32015061378479</c:v>
                </c:pt>
                <c:pt idx="122">
                  <c:v>2.3784432411193848</c:v>
                </c:pt>
                <c:pt idx="123">
                  <c:v>2.3131484985351563</c:v>
                </c:pt>
                <c:pt idx="124">
                  <c:v>2.3196020126342773</c:v>
                </c:pt>
                <c:pt idx="125">
                  <c:v>2.3723077774047852</c:v>
                </c:pt>
                <c:pt idx="126">
                  <c:v>2.308222770690918</c:v>
                </c:pt>
                <c:pt idx="127">
                  <c:v>2.3278510570526123</c:v>
                </c:pt>
                <c:pt idx="128">
                  <c:v>2.345116138458252</c:v>
                </c:pt>
                <c:pt idx="129">
                  <c:v>2.3201630115509033</c:v>
                </c:pt>
                <c:pt idx="130">
                  <c:v>2.4213910102844238</c:v>
                </c:pt>
                <c:pt idx="131">
                  <c:v>2.4254875183105469</c:v>
                </c:pt>
                <c:pt idx="132">
                  <c:v>2.3706803321838379</c:v>
                </c:pt>
                <c:pt idx="133">
                  <c:v>2.3558406829833984</c:v>
                </c:pt>
                <c:pt idx="134">
                  <c:v>2.3766162395477295</c:v>
                </c:pt>
                <c:pt idx="135">
                  <c:v>2.4555346965789795</c:v>
                </c:pt>
                <c:pt idx="136">
                  <c:v>3.3306646347045898</c:v>
                </c:pt>
                <c:pt idx="137">
                  <c:v>3.7435321807861328</c:v>
                </c:pt>
                <c:pt idx="138">
                  <c:v>2.8816020488739014</c:v>
                </c:pt>
                <c:pt idx="139">
                  <c:v>2.4287359714508057</c:v>
                </c:pt>
                <c:pt idx="140">
                  <c:v>2.3726942539215088</c:v>
                </c:pt>
                <c:pt idx="141">
                  <c:v>2.3228192329406738</c:v>
                </c:pt>
                <c:pt idx="142">
                  <c:v>2.3908073902130127</c:v>
                </c:pt>
                <c:pt idx="143">
                  <c:v>2.3873469829559326</c:v>
                </c:pt>
                <c:pt idx="144">
                  <c:v>2.4212226867675781</c:v>
                </c:pt>
                <c:pt idx="145">
                  <c:v>2.4343287944793701</c:v>
                </c:pt>
                <c:pt idx="146">
                  <c:v>2.5036826133728027</c:v>
                </c:pt>
                <c:pt idx="147">
                  <c:v>2.3834624290466309</c:v>
                </c:pt>
                <c:pt idx="148">
                  <c:v>2.3740599155426025</c:v>
                </c:pt>
                <c:pt idx="149">
                  <c:v>2.3935883045196533</c:v>
                </c:pt>
                <c:pt idx="150">
                  <c:v>2.319788932800293</c:v>
                </c:pt>
                <c:pt idx="151">
                  <c:v>2.3947107791900635</c:v>
                </c:pt>
                <c:pt idx="152">
                  <c:v>2.295621395111084</c:v>
                </c:pt>
                <c:pt idx="153">
                  <c:v>2.3207118511199951</c:v>
                </c:pt>
                <c:pt idx="154">
                  <c:v>2.3135662078857422</c:v>
                </c:pt>
                <c:pt idx="155">
                  <c:v>2.3161849975585938</c:v>
                </c:pt>
                <c:pt idx="156">
                  <c:v>2.3783247470855713</c:v>
                </c:pt>
                <c:pt idx="157">
                  <c:v>2.4660909175872803</c:v>
                </c:pt>
                <c:pt idx="158">
                  <c:v>2.4160099029541016</c:v>
                </c:pt>
                <c:pt idx="159">
                  <c:v>2.2931337356567383</c:v>
                </c:pt>
                <c:pt idx="160">
                  <c:v>2.3584718704223633</c:v>
                </c:pt>
                <c:pt idx="161">
                  <c:v>2.3215723037719727</c:v>
                </c:pt>
                <c:pt idx="162">
                  <c:v>2.3196704387664795</c:v>
                </c:pt>
                <c:pt idx="163">
                  <c:v>2.4070625305175781</c:v>
                </c:pt>
                <c:pt idx="164">
                  <c:v>2.351207971572876</c:v>
                </c:pt>
                <c:pt idx="165">
                  <c:v>2.3984143733978271</c:v>
                </c:pt>
                <c:pt idx="166">
                  <c:v>2.3810930252075195</c:v>
                </c:pt>
                <c:pt idx="167">
                  <c:v>2.3183362483978271</c:v>
                </c:pt>
                <c:pt idx="168">
                  <c:v>2.4377083778381348</c:v>
                </c:pt>
                <c:pt idx="169">
                  <c:v>2.3265914916992188</c:v>
                </c:pt>
                <c:pt idx="170">
                  <c:v>2.3335561752319336</c:v>
                </c:pt>
                <c:pt idx="171">
                  <c:v>2.1932089328765869</c:v>
                </c:pt>
                <c:pt idx="172">
                  <c:v>2.213604211807251</c:v>
                </c:pt>
                <c:pt idx="173">
                  <c:v>2.2903029918670654</c:v>
                </c:pt>
                <c:pt idx="174">
                  <c:v>2.2184364795684814</c:v>
                </c:pt>
                <c:pt idx="175">
                  <c:v>2.2315676212310791</c:v>
                </c:pt>
                <c:pt idx="176">
                  <c:v>2.3079795837402344</c:v>
                </c:pt>
                <c:pt idx="177">
                  <c:v>2.360835075378418</c:v>
                </c:pt>
                <c:pt idx="178">
                  <c:v>2.3662409782409668</c:v>
                </c:pt>
                <c:pt idx="179">
                  <c:v>2.515460729598999</c:v>
                </c:pt>
                <c:pt idx="180">
                  <c:v>2.4001102447509766</c:v>
                </c:pt>
                <c:pt idx="181">
                  <c:v>2.2276644706726074</c:v>
                </c:pt>
                <c:pt idx="182">
                  <c:v>2.2038774490356445</c:v>
                </c:pt>
                <c:pt idx="183">
                  <c:v>2.2974858283996582</c:v>
                </c:pt>
                <c:pt idx="184">
                  <c:v>2.3354017734527588</c:v>
                </c:pt>
                <c:pt idx="185">
                  <c:v>2.4247641563415527</c:v>
                </c:pt>
                <c:pt idx="186">
                  <c:v>2.4769089221954346</c:v>
                </c:pt>
                <c:pt idx="187">
                  <c:v>2.3450539112091064</c:v>
                </c:pt>
                <c:pt idx="188">
                  <c:v>2.3279197216033936</c:v>
                </c:pt>
                <c:pt idx="189">
                  <c:v>2.3653554916381836</c:v>
                </c:pt>
                <c:pt idx="190">
                  <c:v>2.4016067981719971</c:v>
                </c:pt>
                <c:pt idx="191">
                  <c:v>2.3595879077911377</c:v>
                </c:pt>
                <c:pt idx="192">
                  <c:v>2.3233928680419922</c:v>
                </c:pt>
                <c:pt idx="193">
                  <c:v>2.3322343826293945</c:v>
                </c:pt>
                <c:pt idx="194">
                  <c:v>2.4334123134613037</c:v>
                </c:pt>
                <c:pt idx="195">
                  <c:v>2.3404772281646729</c:v>
                </c:pt>
                <c:pt idx="196">
                  <c:v>2.4862117767333984</c:v>
                </c:pt>
                <c:pt idx="197">
                  <c:v>2.3740661144256592</c:v>
                </c:pt>
                <c:pt idx="198">
                  <c:v>2.2592394351959229</c:v>
                </c:pt>
                <c:pt idx="199">
                  <c:v>2.3241848945617676</c:v>
                </c:pt>
                <c:pt idx="200">
                  <c:v>2.3583970069885254</c:v>
                </c:pt>
                <c:pt idx="201">
                  <c:v>2.4630169868469238</c:v>
                </c:pt>
                <c:pt idx="202">
                  <c:v>2.2875657081604004</c:v>
                </c:pt>
                <c:pt idx="203">
                  <c:v>2.3302888870239258</c:v>
                </c:pt>
                <c:pt idx="204">
                  <c:v>2.2406210899353027</c:v>
                </c:pt>
                <c:pt idx="205">
                  <c:v>2.3679368495941162</c:v>
                </c:pt>
                <c:pt idx="206">
                  <c:v>2.2872600555419922</c:v>
                </c:pt>
                <c:pt idx="207">
                  <c:v>2.3200445175170898</c:v>
                </c:pt>
                <c:pt idx="208">
                  <c:v>2.2320663928985596</c:v>
                </c:pt>
                <c:pt idx="209">
                  <c:v>2.2737672328948975</c:v>
                </c:pt>
                <c:pt idx="210">
                  <c:v>2.3055479526519775</c:v>
                </c:pt>
                <c:pt idx="211">
                  <c:v>2.1709556579589844</c:v>
                </c:pt>
                <c:pt idx="212">
                  <c:v>2.3130862712860107</c:v>
                </c:pt>
                <c:pt idx="213">
                  <c:v>2.275407075881958</c:v>
                </c:pt>
                <c:pt idx="214">
                  <c:v>2.4391798973083496</c:v>
                </c:pt>
                <c:pt idx="215">
                  <c:v>2.2959394454956055</c:v>
                </c:pt>
                <c:pt idx="216">
                  <c:v>2.2818853855133057</c:v>
                </c:pt>
                <c:pt idx="217">
                  <c:v>2.3777074813842773</c:v>
                </c:pt>
                <c:pt idx="218">
                  <c:v>2.3779754638671875</c:v>
                </c:pt>
                <c:pt idx="219">
                  <c:v>2.6676485538482666</c:v>
                </c:pt>
                <c:pt idx="220">
                  <c:v>2.4942736625671387</c:v>
                </c:pt>
                <c:pt idx="221">
                  <c:v>2.4381136894226074</c:v>
                </c:pt>
                <c:pt idx="222">
                  <c:v>2.3637843132019043</c:v>
                </c:pt>
                <c:pt idx="223">
                  <c:v>2</c:v>
                </c:pt>
                <c:pt idx="224">
                  <c:v>2.351370096206665</c:v>
                </c:pt>
                <c:pt idx="225">
                  <c:v>2.2016327381134033</c:v>
                </c:pt>
              </c:numCache>
            </c:numRef>
          </c:yVal>
          <c:smooth val="1"/>
          <c:extLst>
            <c:ext xmlns:c15="http://schemas.microsoft.com/office/drawing/2012/chart" uri="{02D57815-91ED-43cb-92C2-25804820EDAC}">
              <c15:datalabelsRange>
                <c15:f>PeakLabels!$C$2:$C$300</c15:f>
                <c15:dlblRangeCache>
                  <c:ptCount val="299"/>
                  <c:pt idx="12">
                    <c:v>214</c:v>
                  </c:pt>
                  <c:pt idx="30">
                    <c:v>250</c:v>
                  </c:pt>
                  <c:pt idx="59">
                    <c:v>308</c:v>
                  </c:pt>
                  <c:pt idx="71">
                    <c:v>334s</c:v>
                  </c:pt>
                </c15:dlblRangeCache>
              </c15:datalabelsRange>
            </c:ext>
            <c:ext xmlns:c16="http://schemas.microsoft.com/office/drawing/2014/chart" uri="{C3380CC4-5D6E-409C-BE32-E72D297353CC}">
              <c16:uniqueId val="{00000000-98A0-47F1-B2CE-1A7C52667A6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6F7A818E-3A0A-43D5-876F-A958E58454DD}"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8A0-47F1-B2CE-1A7C52667A65}"/>
                </c:ext>
              </c:extLst>
            </c:dLbl>
            <c:dLbl>
              <c:idx val="1"/>
              <c:tx>
                <c:rich>
                  <a:bodyPr/>
                  <a:lstStyle/>
                  <a:p>
                    <a:fld id="{FB6E20F8-1B55-45F1-BA51-21F1169409DF}"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8A0-47F1-B2CE-1A7C52667A65}"/>
                </c:ext>
              </c:extLst>
            </c:dLbl>
            <c:dLbl>
              <c:idx val="2"/>
              <c:tx>
                <c:rich>
                  <a:bodyPr/>
                  <a:lstStyle/>
                  <a:p>
                    <a:fld id="{CBC06931-B5A9-43E8-A2C2-DF6AE43F7132}"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8A0-47F1-B2CE-1A7C52667A65}"/>
                </c:ext>
              </c:extLst>
            </c:dLbl>
            <c:dLbl>
              <c:idx val="3"/>
              <c:tx>
                <c:rich>
                  <a:bodyPr/>
                  <a:lstStyle/>
                  <a:p>
                    <a:fld id="{AEB035C6-3912-45A4-B958-7CA9DEC94226}"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8A0-47F1-B2CE-1A7C52667A65}"/>
                </c:ext>
              </c:extLst>
            </c:dLbl>
            <c:dLbl>
              <c:idx val="4"/>
              <c:tx>
                <c:rich>
                  <a:bodyPr/>
                  <a:lstStyle/>
                  <a:p>
                    <a:fld id="{B7C8EE4D-41E3-4583-B56A-EB5D55C54DF5}"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8A0-47F1-B2CE-1A7C52667A6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8A0-47F1-B2CE-1A7C52667A65}"/>
            </c:ext>
          </c:extLst>
        </c:ser>
        <c:dLbls>
          <c:showLegendKey val="0"/>
          <c:showVal val="0"/>
          <c:showCatName val="0"/>
          <c:showSerName val="0"/>
          <c:showPercent val="0"/>
          <c:showBubbleSize val="0"/>
        </c:dLbls>
        <c:axId val="1569267376"/>
        <c:axId val="1569265200"/>
      </c:scatterChart>
      <c:valAx>
        <c:axId val="1569267376"/>
        <c:scaling>
          <c:orientation val="minMax"/>
          <c:max val="610"/>
          <c:min val="19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5200"/>
        <c:crossesAt val="0"/>
        <c:crossBetween val="midCat"/>
        <c:majorUnit val="100"/>
      </c:valAx>
      <c:valAx>
        <c:axId val="156926520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7376"/>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9A251B9B-94ED-4DEA-BA5B-225FA31CE0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F2F-427E-B306-4A569C0FC428}"/>
                </c:ext>
              </c:extLst>
            </c:dLbl>
            <c:dLbl>
              <c:idx val="1"/>
              <c:tx>
                <c:rich>
                  <a:bodyPr/>
                  <a:lstStyle/>
                  <a:p>
                    <a:fld id="{6BC1FB37-7C21-4A9C-858C-FEEF89AEC5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F2F-427E-B306-4A569C0FC428}"/>
                </c:ext>
              </c:extLst>
            </c:dLbl>
            <c:dLbl>
              <c:idx val="2"/>
              <c:tx>
                <c:rich>
                  <a:bodyPr/>
                  <a:lstStyle/>
                  <a:p>
                    <a:fld id="{740E7E6C-AB25-4D58-BCD4-07A38574D3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F2F-427E-B306-4A569C0FC428}"/>
                </c:ext>
              </c:extLst>
            </c:dLbl>
            <c:dLbl>
              <c:idx val="3"/>
              <c:tx>
                <c:rich>
                  <a:bodyPr/>
                  <a:lstStyle/>
                  <a:p>
                    <a:fld id="{50E6CCA8-DC84-4DAE-8AB2-CF9A407B9E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F2F-427E-B306-4A569C0FC428}"/>
                </c:ext>
              </c:extLst>
            </c:dLbl>
            <c:dLbl>
              <c:idx val="4"/>
              <c:tx>
                <c:rich>
                  <a:bodyPr/>
                  <a:lstStyle/>
                  <a:p>
                    <a:fld id="{5FFE329C-36DD-49C7-91D7-A0A6A09E4E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F2F-427E-B306-4A569C0FC428}"/>
                </c:ext>
              </c:extLst>
            </c:dLbl>
            <c:dLbl>
              <c:idx val="5"/>
              <c:tx>
                <c:rich>
                  <a:bodyPr/>
                  <a:lstStyle/>
                  <a:p>
                    <a:fld id="{85A616D6-883C-489B-94CB-1F721413B7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F2F-427E-B306-4A569C0FC428}"/>
                </c:ext>
              </c:extLst>
            </c:dLbl>
            <c:dLbl>
              <c:idx val="6"/>
              <c:tx>
                <c:rich>
                  <a:bodyPr/>
                  <a:lstStyle/>
                  <a:p>
                    <a:fld id="{FAC17756-D473-49BF-A6BE-FDA45707A5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F2F-427E-B306-4A569C0FC428}"/>
                </c:ext>
              </c:extLst>
            </c:dLbl>
            <c:dLbl>
              <c:idx val="7"/>
              <c:tx>
                <c:rich>
                  <a:bodyPr/>
                  <a:lstStyle/>
                  <a:p>
                    <a:fld id="{107B175C-0839-49BD-88E9-C335EAE790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F2F-427E-B306-4A569C0FC428}"/>
                </c:ext>
              </c:extLst>
            </c:dLbl>
            <c:dLbl>
              <c:idx val="8"/>
              <c:tx>
                <c:rich>
                  <a:bodyPr/>
                  <a:lstStyle/>
                  <a:p>
                    <a:fld id="{58AD3441-38CE-4AC1-B3A3-72DB91C2CA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F2F-427E-B306-4A569C0FC428}"/>
                </c:ext>
              </c:extLst>
            </c:dLbl>
            <c:dLbl>
              <c:idx val="9"/>
              <c:tx>
                <c:rich>
                  <a:bodyPr/>
                  <a:lstStyle/>
                  <a:p>
                    <a:fld id="{B8A8F492-42C4-4631-B3B5-19B348F444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F2F-427E-B306-4A569C0FC428}"/>
                </c:ext>
              </c:extLst>
            </c:dLbl>
            <c:dLbl>
              <c:idx val="10"/>
              <c:tx>
                <c:rich>
                  <a:bodyPr/>
                  <a:lstStyle/>
                  <a:p>
                    <a:fld id="{A4CA00BF-1AAB-4737-9A20-F0CE6D0C4F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F2F-427E-B306-4A569C0FC428}"/>
                </c:ext>
              </c:extLst>
            </c:dLbl>
            <c:dLbl>
              <c:idx val="11"/>
              <c:tx>
                <c:rich>
                  <a:bodyPr/>
                  <a:lstStyle/>
                  <a:p>
                    <a:fld id="{9ED6F33D-3E65-42A0-886D-48783BC38B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F2F-427E-B306-4A569C0FC428}"/>
                </c:ext>
              </c:extLst>
            </c:dLbl>
            <c:dLbl>
              <c:idx val="12"/>
              <c:tx>
                <c:rich>
                  <a:bodyPr/>
                  <a:lstStyle/>
                  <a:p>
                    <a:fld id="{829072E0-FAF8-4C75-9573-3541917C18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F2F-427E-B306-4A569C0FC428}"/>
                </c:ext>
              </c:extLst>
            </c:dLbl>
            <c:dLbl>
              <c:idx val="13"/>
              <c:tx>
                <c:rich>
                  <a:bodyPr/>
                  <a:lstStyle/>
                  <a:p>
                    <a:fld id="{18D7B0CF-2B96-4234-95AE-568FFF96D8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1F2F-427E-B306-4A569C0FC428}"/>
                </c:ext>
              </c:extLst>
            </c:dLbl>
            <c:dLbl>
              <c:idx val="14"/>
              <c:tx>
                <c:rich>
                  <a:bodyPr/>
                  <a:lstStyle/>
                  <a:p>
                    <a:fld id="{C5140401-52B0-4B1D-9825-9D68C97960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F2F-427E-B306-4A569C0FC428}"/>
                </c:ext>
              </c:extLst>
            </c:dLbl>
            <c:dLbl>
              <c:idx val="15"/>
              <c:tx>
                <c:rich>
                  <a:bodyPr/>
                  <a:lstStyle/>
                  <a:p>
                    <a:fld id="{F34BF2AA-CE00-4A93-AF75-A2AA230E04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F2F-427E-B306-4A569C0FC428}"/>
                </c:ext>
              </c:extLst>
            </c:dLbl>
            <c:dLbl>
              <c:idx val="16"/>
              <c:tx>
                <c:rich>
                  <a:bodyPr/>
                  <a:lstStyle/>
                  <a:p>
                    <a:fld id="{3DA78575-CB42-4B49-8472-9B86078320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F2F-427E-B306-4A569C0FC428}"/>
                </c:ext>
              </c:extLst>
            </c:dLbl>
            <c:dLbl>
              <c:idx val="17"/>
              <c:tx>
                <c:rich>
                  <a:bodyPr/>
                  <a:lstStyle/>
                  <a:p>
                    <a:fld id="{55621405-D7A6-4648-9218-983A7DA3E6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F2F-427E-B306-4A569C0FC428}"/>
                </c:ext>
              </c:extLst>
            </c:dLbl>
            <c:dLbl>
              <c:idx val="18"/>
              <c:tx>
                <c:rich>
                  <a:bodyPr/>
                  <a:lstStyle/>
                  <a:p>
                    <a:fld id="{B652B88B-00A6-4267-8FEE-CC320B48D7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F2F-427E-B306-4A569C0FC428}"/>
                </c:ext>
              </c:extLst>
            </c:dLbl>
            <c:dLbl>
              <c:idx val="19"/>
              <c:tx>
                <c:rich>
                  <a:bodyPr/>
                  <a:lstStyle/>
                  <a:p>
                    <a:fld id="{12F8124F-0FEA-4320-A8B4-EF018CA683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1F2F-427E-B306-4A569C0FC428}"/>
                </c:ext>
              </c:extLst>
            </c:dLbl>
            <c:dLbl>
              <c:idx val="20"/>
              <c:tx>
                <c:rich>
                  <a:bodyPr/>
                  <a:lstStyle/>
                  <a:p>
                    <a:fld id="{D8F6D9EF-7F59-44AD-B43B-F9392DA093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F2F-427E-B306-4A569C0FC428}"/>
                </c:ext>
              </c:extLst>
            </c:dLbl>
            <c:dLbl>
              <c:idx val="21"/>
              <c:tx>
                <c:rich>
                  <a:bodyPr/>
                  <a:lstStyle/>
                  <a:p>
                    <a:fld id="{F7A786C6-1839-40DB-9A3D-F5F81991A9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1F2F-427E-B306-4A569C0FC428}"/>
                </c:ext>
              </c:extLst>
            </c:dLbl>
            <c:dLbl>
              <c:idx val="22"/>
              <c:tx>
                <c:rich>
                  <a:bodyPr/>
                  <a:lstStyle/>
                  <a:p>
                    <a:fld id="{6808A11C-E7A8-46AD-8DA9-1F2A2F6381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1F2F-427E-B306-4A569C0FC428}"/>
                </c:ext>
              </c:extLst>
            </c:dLbl>
            <c:dLbl>
              <c:idx val="23"/>
              <c:tx>
                <c:rich>
                  <a:bodyPr/>
                  <a:lstStyle/>
                  <a:p>
                    <a:fld id="{256E12E4-EDA2-4A65-8172-88CB8EF4C0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1F2F-427E-B306-4A569C0FC428}"/>
                </c:ext>
              </c:extLst>
            </c:dLbl>
            <c:dLbl>
              <c:idx val="24"/>
              <c:tx>
                <c:rich>
                  <a:bodyPr/>
                  <a:lstStyle/>
                  <a:p>
                    <a:fld id="{02C12E31-DE28-4E7A-9AFF-C5BB636FBA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1F2F-427E-B306-4A569C0FC428}"/>
                </c:ext>
              </c:extLst>
            </c:dLbl>
            <c:dLbl>
              <c:idx val="25"/>
              <c:tx>
                <c:rich>
                  <a:bodyPr/>
                  <a:lstStyle/>
                  <a:p>
                    <a:fld id="{51C82660-327A-40FF-994F-9BA9C93298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1F2F-427E-B306-4A569C0FC428}"/>
                </c:ext>
              </c:extLst>
            </c:dLbl>
            <c:dLbl>
              <c:idx val="26"/>
              <c:tx>
                <c:rich>
                  <a:bodyPr/>
                  <a:lstStyle/>
                  <a:p>
                    <a:fld id="{38F6FB5F-E644-4BE7-837C-53E38FDEDF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1F2F-427E-B306-4A569C0FC428}"/>
                </c:ext>
              </c:extLst>
            </c:dLbl>
            <c:dLbl>
              <c:idx val="27"/>
              <c:tx>
                <c:rich>
                  <a:bodyPr/>
                  <a:lstStyle/>
                  <a:p>
                    <a:fld id="{6AFFF592-A732-4525-9B59-BC2C6E7844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1F2F-427E-B306-4A569C0FC428}"/>
                </c:ext>
              </c:extLst>
            </c:dLbl>
            <c:dLbl>
              <c:idx val="28"/>
              <c:tx>
                <c:rich>
                  <a:bodyPr/>
                  <a:lstStyle/>
                  <a:p>
                    <a:fld id="{0969D5D7-4093-4512-8C04-ECDA35C909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1F2F-427E-B306-4A569C0FC428}"/>
                </c:ext>
              </c:extLst>
            </c:dLbl>
            <c:dLbl>
              <c:idx val="29"/>
              <c:tx>
                <c:rich>
                  <a:bodyPr/>
                  <a:lstStyle/>
                  <a:p>
                    <a:fld id="{0470CE03-57F0-425A-998D-9E135F7611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1F2F-427E-B306-4A569C0FC428}"/>
                </c:ext>
              </c:extLst>
            </c:dLbl>
            <c:dLbl>
              <c:idx val="30"/>
              <c:tx>
                <c:rich>
                  <a:bodyPr/>
                  <a:lstStyle/>
                  <a:p>
                    <a:fld id="{6CE87759-EEEC-42C2-A6F9-3C12D79243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1F2F-427E-B306-4A569C0FC428}"/>
                </c:ext>
              </c:extLst>
            </c:dLbl>
            <c:dLbl>
              <c:idx val="31"/>
              <c:tx>
                <c:rich>
                  <a:bodyPr/>
                  <a:lstStyle/>
                  <a:p>
                    <a:fld id="{6AC6B6FB-BE67-48DE-9CDF-015BF93CC6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1F2F-427E-B306-4A569C0FC428}"/>
                </c:ext>
              </c:extLst>
            </c:dLbl>
            <c:dLbl>
              <c:idx val="32"/>
              <c:tx>
                <c:rich>
                  <a:bodyPr/>
                  <a:lstStyle/>
                  <a:p>
                    <a:fld id="{617E1072-A7DA-45CC-B234-6558D79DF9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1F2F-427E-B306-4A569C0FC428}"/>
                </c:ext>
              </c:extLst>
            </c:dLbl>
            <c:dLbl>
              <c:idx val="33"/>
              <c:tx>
                <c:rich>
                  <a:bodyPr/>
                  <a:lstStyle/>
                  <a:p>
                    <a:fld id="{1AF75A73-FD90-4080-A9C4-7460321C5F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1F2F-427E-B306-4A569C0FC428}"/>
                </c:ext>
              </c:extLst>
            </c:dLbl>
            <c:dLbl>
              <c:idx val="34"/>
              <c:tx>
                <c:rich>
                  <a:bodyPr/>
                  <a:lstStyle/>
                  <a:p>
                    <a:fld id="{2398707E-98F7-41CE-96BE-F2FCF8E88F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1F2F-427E-B306-4A569C0FC428}"/>
                </c:ext>
              </c:extLst>
            </c:dLbl>
            <c:dLbl>
              <c:idx val="35"/>
              <c:tx>
                <c:rich>
                  <a:bodyPr/>
                  <a:lstStyle/>
                  <a:p>
                    <a:fld id="{046D9CCB-A195-4A43-B0BA-011B8F0AC5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1F2F-427E-B306-4A569C0FC428}"/>
                </c:ext>
              </c:extLst>
            </c:dLbl>
            <c:dLbl>
              <c:idx val="36"/>
              <c:tx>
                <c:rich>
                  <a:bodyPr/>
                  <a:lstStyle/>
                  <a:p>
                    <a:fld id="{64E74516-E88F-4C10-9F49-E388AC56FF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1F2F-427E-B306-4A569C0FC428}"/>
                </c:ext>
              </c:extLst>
            </c:dLbl>
            <c:dLbl>
              <c:idx val="37"/>
              <c:tx>
                <c:rich>
                  <a:bodyPr/>
                  <a:lstStyle/>
                  <a:p>
                    <a:fld id="{FD5E9E36-61C6-486C-B4A6-712DF0AD62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1F2F-427E-B306-4A569C0FC428}"/>
                </c:ext>
              </c:extLst>
            </c:dLbl>
            <c:dLbl>
              <c:idx val="38"/>
              <c:tx>
                <c:rich>
                  <a:bodyPr/>
                  <a:lstStyle/>
                  <a:p>
                    <a:fld id="{0A2CD889-7016-4C0A-9F43-8C03E1CC09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1F2F-427E-B306-4A569C0FC428}"/>
                </c:ext>
              </c:extLst>
            </c:dLbl>
            <c:dLbl>
              <c:idx val="39"/>
              <c:tx>
                <c:rich>
                  <a:bodyPr/>
                  <a:lstStyle/>
                  <a:p>
                    <a:fld id="{7FCB22BA-CA3C-4838-B876-9A930F7E1E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1F2F-427E-B306-4A569C0FC428}"/>
                </c:ext>
              </c:extLst>
            </c:dLbl>
            <c:dLbl>
              <c:idx val="40"/>
              <c:tx>
                <c:rich>
                  <a:bodyPr/>
                  <a:lstStyle/>
                  <a:p>
                    <a:fld id="{923F3BDD-8100-4EFB-8143-E8D54EE115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1F2F-427E-B306-4A569C0FC428}"/>
                </c:ext>
              </c:extLst>
            </c:dLbl>
            <c:dLbl>
              <c:idx val="41"/>
              <c:tx>
                <c:rich>
                  <a:bodyPr/>
                  <a:lstStyle/>
                  <a:p>
                    <a:fld id="{329AC11E-E411-49DB-B0EA-143086142E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1F2F-427E-B306-4A569C0FC428}"/>
                </c:ext>
              </c:extLst>
            </c:dLbl>
            <c:dLbl>
              <c:idx val="42"/>
              <c:tx>
                <c:rich>
                  <a:bodyPr/>
                  <a:lstStyle/>
                  <a:p>
                    <a:fld id="{3D483166-18A2-4945-9CCE-6B92F16582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1F2F-427E-B306-4A569C0FC428}"/>
                </c:ext>
              </c:extLst>
            </c:dLbl>
            <c:dLbl>
              <c:idx val="43"/>
              <c:tx>
                <c:rich>
                  <a:bodyPr/>
                  <a:lstStyle/>
                  <a:p>
                    <a:fld id="{8B2992B2-9E5F-4A61-A919-CDE5F9B43B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1F2F-427E-B306-4A569C0FC428}"/>
                </c:ext>
              </c:extLst>
            </c:dLbl>
            <c:dLbl>
              <c:idx val="44"/>
              <c:tx>
                <c:rich>
                  <a:bodyPr/>
                  <a:lstStyle/>
                  <a:p>
                    <a:fld id="{24412888-E16B-4B06-8D09-C366FF8F5C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1F2F-427E-B306-4A569C0FC428}"/>
                </c:ext>
              </c:extLst>
            </c:dLbl>
            <c:dLbl>
              <c:idx val="45"/>
              <c:tx>
                <c:rich>
                  <a:bodyPr/>
                  <a:lstStyle/>
                  <a:p>
                    <a:fld id="{C2B51652-6FEB-4A82-AEB1-F6EAFE363B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1F2F-427E-B306-4A569C0FC428}"/>
                </c:ext>
              </c:extLst>
            </c:dLbl>
            <c:dLbl>
              <c:idx val="46"/>
              <c:tx>
                <c:rich>
                  <a:bodyPr/>
                  <a:lstStyle/>
                  <a:p>
                    <a:fld id="{47C65F0C-8BFD-4409-B1AF-31DC17148C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1F2F-427E-B306-4A569C0FC428}"/>
                </c:ext>
              </c:extLst>
            </c:dLbl>
            <c:dLbl>
              <c:idx val="47"/>
              <c:tx>
                <c:rich>
                  <a:bodyPr/>
                  <a:lstStyle/>
                  <a:p>
                    <a:fld id="{FD922019-1259-492F-92CC-DB00C38750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1F2F-427E-B306-4A569C0FC428}"/>
                </c:ext>
              </c:extLst>
            </c:dLbl>
            <c:dLbl>
              <c:idx val="48"/>
              <c:tx>
                <c:rich>
                  <a:bodyPr/>
                  <a:lstStyle/>
                  <a:p>
                    <a:fld id="{FBD46EA8-7AF4-493A-AB8A-B174DF17B1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1F2F-427E-B306-4A569C0FC428}"/>
                </c:ext>
              </c:extLst>
            </c:dLbl>
            <c:dLbl>
              <c:idx val="49"/>
              <c:tx>
                <c:rich>
                  <a:bodyPr/>
                  <a:lstStyle/>
                  <a:p>
                    <a:fld id="{4C2523EE-DEF8-4276-89DC-586D93E5B7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1F2F-427E-B306-4A569C0FC428}"/>
                </c:ext>
              </c:extLst>
            </c:dLbl>
            <c:dLbl>
              <c:idx val="50"/>
              <c:tx>
                <c:rich>
                  <a:bodyPr/>
                  <a:lstStyle/>
                  <a:p>
                    <a:fld id="{A8E41E27-5B9D-42B5-A5BC-EC722153A5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1F2F-427E-B306-4A569C0FC428}"/>
                </c:ext>
              </c:extLst>
            </c:dLbl>
            <c:dLbl>
              <c:idx val="51"/>
              <c:tx>
                <c:rich>
                  <a:bodyPr/>
                  <a:lstStyle/>
                  <a:p>
                    <a:fld id="{A74247C9-55E0-4B3A-AB08-27A4D56072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1F2F-427E-B306-4A569C0FC428}"/>
                </c:ext>
              </c:extLst>
            </c:dLbl>
            <c:dLbl>
              <c:idx val="52"/>
              <c:tx>
                <c:rich>
                  <a:bodyPr/>
                  <a:lstStyle/>
                  <a:p>
                    <a:fld id="{DB2BC46F-8D49-43DA-9841-A02F87D6E6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1F2F-427E-B306-4A569C0FC428}"/>
                </c:ext>
              </c:extLst>
            </c:dLbl>
            <c:dLbl>
              <c:idx val="53"/>
              <c:tx>
                <c:rich>
                  <a:bodyPr/>
                  <a:lstStyle/>
                  <a:p>
                    <a:fld id="{D8510B72-6426-44BB-B37A-33E45EB58C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1F2F-427E-B306-4A569C0FC428}"/>
                </c:ext>
              </c:extLst>
            </c:dLbl>
            <c:dLbl>
              <c:idx val="54"/>
              <c:tx>
                <c:rich>
                  <a:bodyPr/>
                  <a:lstStyle/>
                  <a:p>
                    <a:fld id="{A9692A19-E9D1-42EB-9221-E32E7FDE20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1F2F-427E-B306-4A569C0FC428}"/>
                </c:ext>
              </c:extLst>
            </c:dLbl>
            <c:dLbl>
              <c:idx val="55"/>
              <c:tx>
                <c:rich>
                  <a:bodyPr/>
                  <a:lstStyle/>
                  <a:p>
                    <a:fld id="{B16CBAD6-5DF8-4BAA-9BCB-00FF8C855B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1F2F-427E-B306-4A569C0FC428}"/>
                </c:ext>
              </c:extLst>
            </c:dLbl>
            <c:dLbl>
              <c:idx val="56"/>
              <c:tx>
                <c:rich>
                  <a:bodyPr/>
                  <a:lstStyle/>
                  <a:p>
                    <a:fld id="{658B81FC-99D5-4F93-91A9-206688F88D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1F2F-427E-B306-4A569C0FC428}"/>
                </c:ext>
              </c:extLst>
            </c:dLbl>
            <c:dLbl>
              <c:idx val="57"/>
              <c:tx>
                <c:rich>
                  <a:bodyPr/>
                  <a:lstStyle/>
                  <a:p>
                    <a:fld id="{CF36C3FE-415B-45C9-8E6B-1A437A22F2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1F2F-427E-B306-4A569C0FC428}"/>
                </c:ext>
              </c:extLst>
            </c:dLbl>
            <c:dLbl>
              <c:idx val="58"/>
              <c:tx>
                <c:rich>
                  <a:bodyPr/>
                  <a:lstStyle/>
                  <a:p>
                    <a:fld id="{3F0415AA-91C5-4112-B785-AC63797DA0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1F2F-427E-B306-4A569C0FC428}"/>
                </c:ext>
              </c:extLst>
            </c:dLbl>
            <c:dLbl>
              <c:idx val="59"/>
              <c:tx>
                <c:rich>
                  <a:bodyPr/>
                  <a:lstStyle/>
                  <a:p>
                    <a:fld id="{F9C860E3-2BC5-481E-8180-BE0ADF59F7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1F2F-427E-B306-4A569C0FC428}"/>
                </c:ext>
              </c:extLst>
            </c:dLbl>
            <c:dLbl>
              <c:idx val="60"/>
              <c:tx>
                <c:rich>
                  <a:bodyPr/>
                  <a:lstStyle/>
                  <a:p>
                    <a:fld id="{56CA0548-3225-4B1D-B5BF-F24185267A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1F2F-427E-B306-4A569C0FC428}"/>
                </c:ext>
              </c:extLst>
            </c:dLbl>
            <c:dLbl>
              <c:idx val="61"/>
              <c:tx>
                <c:rich>
                  <a:bodyPr/>
                  <a:lstStyle/>
                  <a:p>
                    <a:fld id="{D4405AE4-03A5-4AC9-B08E-DFF8B40E70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1F2F-427E-B306-4A569C0FC428}"/>
                </c:ext>
              </c:extLst>
            </c:dLbl>
            <c:dLbl>
              <c:idx val="62"/>
              <c:tx>
                <c:rich>
                  <a:bodyPr/>
                  <a:lstStyle/>
                  <a:p>
                    <a:fld id="{ED5BC532-B460-443C-A3B8-B93143BAEF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1F2F-427E-B306-4A569C0FC428}"/>
                </c:ext>
              </c:extLst>
            </c:dLbl>
            <c:dLbl>
              <c:idx val="63"/>
              <c:tx>
                <c:rich>
                  <a:bodyPr/>
                  <a:lstStyle/>
                  <a:p>
                    <a:fld id="{B22836DD-6D9E-4570-90E2-467B7BDA50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1F2F-427E-B306-4A569C0FC428}"/>
                </c:ext>
              </c:extLst>
            </c:dLbl>
            <c:dLbl>
              <c:idx val="64"/>
              <c:tx>
                <c:rich>
                  <a:bodyPr/>
                  <a:lstStyle/>
                  <a:p>
                    <a:fld id="{5554197F-8ECD-4FB0-982B-ADFB946413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1F2F-427E-B306-4A569C0FC428}"/>
                </c:ext>
              </c:extLst>
            </c:dLbl>
            <c:dLbl>
              <c:idx val="65"/>
              <c:tx>
                <c:rich>
                  <a:bodyPr/>
                  <a:lstStyle/>
                  <a:p>
                    <a:fld id="{87230C34-456F-4B23-9E94-5DF4AF1E1B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1F2F-427E-B306-4A569C0FC428}"/>
                </c:ext>
              </c:extLst>
            </c:dLbl>
            <c:dLbl>
              <c:idx val="66"/>
              <c:tx>
                <c:rich>
                  <a:bodyPr/>
                  <a:lstStyle/>
                  <a:p>
                    <a:fld id="{E147A078-C2DC-4E10-A43A-BBC2A4396A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1F2F-427E-B306-4A569C0FC428}"/>
                </c:ext>
              </c:extLst>
            </c:dLbl>
            <c:dLbl>
              <c:idx val="67"/>
              <c:tx>
                <c:rich>
                  <a:bodyPr/>
                  <a:lstStyle/>
                  <a:p>
                    <a:fld id="{26825CEE-2E19-443A-9407-2FB53B7202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1F2F-427E-B306-4A569C0FC428}"/>
                </c:ext>
              </c:extLst>
            </c:dLbl>
            <c:dLbl>
              <c:idx val="68"/>
              <c:tx>
                <c:rich>
                  <a:bodyPr/>
                  <a:lstStyle/>
                  <a:p>
                    <a:fld id="{8B9997E7-D23A-47EE-8FCB-19F7E8FB62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1F2F-427E-B306-4A569C0FC428}"/>
                </c:ext>
              </c:extLst>
            </c:dLbl>
            <c:dLbl>
              <c:idx val="69"/>
              <c:tx>
                <c:rich>
                  <a:bodyPr/>
                  <a:lstStyle/>
                  <a:p>
                    <a:fld id="{87D457E0-C4BF-4AE0-B4EC-95804AF402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1F2F-427E-B306-4A569C0FC428}"/>
                </c:ext>
              </c:extLst>
            </c:dLbl>
            <c:dLbl>
              <c:idx val="70"/>
              <c:tx>
                <c:rich>
                  <a:bodyPr/>
                  <a:lstStyle/>
                  <a:p>
                    <a:fld id="{803194BA-3AD4-413F-8F9B-066619E1E6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1F2F-427E-B306-4A569C0FC428}"/>
                </c:ext>
              </c:extLst>
            </c:dLbl>
            <c:dLbl>
              <c:idx val="71"/>
              <c:tx>
                <c:rich>
                  <a:bodyPr/>
                  <a:lstStyle/>
                  <a:p>
                    <a:fld id="{CD73C638-6511-4817-B2A0-C05F1648B1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1F2F-427E-B306-4A569C0FC428}"/>
                </c:ext>
              </c:extLst>
            </c:dLbl>
            <c:dLbl>
              <c:idx val="72"/>
              <c:tx>
                <c:rich>
                  <a:bodyPr/>
                  <a:lstStyle/>
                  <a:p>
                    <a:fld id="{58E3EC73-AC5F-4698-9F8C-6E6ABDF9E1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1F2F-427E-B306-4A569C0FC428}"/>
                </c:ext>
              </c:extLst>
            </c:dLbl>
            <c:dLbl>
              <c:idx val="73"/>
              <c:tx>
                <c:rich>
                  <a:bodyPr/>
                  <a:lstStyle/>
                  <a:p>
                    <a:fld id="{74CE6E37-29AC-4450-A820-72B7E34F0A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1F2F-427E-B306-4A569C0FC428}"/>
                </c:ext>
              </c:extLst>
            </c:dLbl>
            <c:dLbl>
              <c:idx val="74"/>
              <c:tx>
                <c:rich>
                  <a:bodyPr/>
                  <a:lstStyle/>
                  <a:p>
                    <a:fld id="{3DFD5CFA-6FB0-48C3-A59E-A3289BD665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1F2F-427E-B306-4A569C0FC428}"/>
                </c:ext>
              </c:extLst>
            </c:dLbl>
            <c:dLbl>
              <c:idx val="75"/>
              <c:tx>
                <c:rich>
                  <a:bodyPr/>
                  <a:lstStyle/>
                  <a:p>
                    <a:fld id="{998DBEAC-E422-4947-99A4-357CFD1CB0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1F2F-427E-B306-4A569C0FC428}"/>
                </c:ext>
              </c:extLst>
            </c:dLbl>
            <c:dLbl>
              <c:idx val="76"/>
              <c:tx>
                <c:rich>
                  <a:bodyPr/>
                  <a:lstStyle/>
                  <a:p>
                    <a:fld id="{152951E4-1510-4B1F-9501-4958BA60F7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1F2F-427E-B306-4A569C0FC428}"/>
                </c:ext>
              </c:extLst>
            </c:dLbl>
            <c:dLbl>
              <c:idx val="77"/>
              <c:tx>
                <c:rich>
                  <a:bodyPr/>
                  <a:lstStyle/>
                  <a:p>
                    <a:fld id="{4D5B3452-1CB0-41D4-BD77-8C62688D6E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1F2F-427E-B306-4A569C0FC428}"/>
                </c:ext>
              </c:extLst>
            </c:dLbl>
            <c:dLbl>
              <c:idx val="78"/>
              <c:tx>
                <c:rich>
                  <a:bodyPr/>
                  <a:lstStyle/>
                  <a:p>
                    <a:fld id="{A54A4AE7-2E21-4091-9525-7CC648E2D4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1F2F-427E-B306-4A569C0FC428}"/>
                </c:ext>
              </c:extLst>
            </c:dLbl>
            <c:dLbl>
              <c:idx val="79"/>
              <c:tx>
                <c:rich>
                  <a:bodyPr/>
                  <a:lstStyle/>
                  <a:p>
                    <a:fld id="{FDA2951D-68C2-4FF2-A25E-FCC272EFA6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1F2F-427E-B306-4A569C0FC428}"/>
                </c:ext>
              </c:extLst>
            </c:dLbl>
            <c:dLbl>
              <c:idx val="80"/>
              <c:tx>
                <c:rich>
                  <a:bodyPr/>
                  <a:lstStyle/>
                  <a:p>
                    <a:fld id="{7B5893AF-1BE2-40B1-996E-2EA10F3058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1F2F-427E-B306-4A569C0FC428}"/>
                </c:ext>
              </c:extLst>
            </c:dLbl>
            <c:dLbl>
              <c:idx val="81"/>
              <c:tx>
                <c:rich>
                  <a:bodyPr/>
                  <a:lstStyle/>
                  <a:p>
                    <a:fld id="{D4D0D191-D619-4651-BB31-95A823FD99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1F2F-427E-B306-4A569C0FC428}"/>
                </c:ext>
              </c:extLst>
            </c:dLbl>
            <c:dLbl>
              <c:idx val="82"/>
              <c:tx>
                <c:rich>
                  <a:bodyPr/>
                  <a:lstStyle/>
                  <a:p>
                    <a:fld id="{6D2DEB35-BC4A-4CC6-AA37-29953E8468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1F2F-427E-B306-4A569C0FC428}"/>
                </c:ext>
              </c:extLst>
            </c:dLbl>
            <c:dLbl>
              <c:idx val="83"/>
              <c:tx>
                <c:rich>
                  <a:bodyPr/>
                  <a:lstStyle/>
                  <a:p>
                    <a:fld id="{42CEEBD7-8C67-42B3-BF55-467401E968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1F2F-427E-B306-4A569C0FC428}"/>
                </c:ext>
              </c:extLst>
            </c:dLbl>
            <c:dLbl>
              <c:idx val="84"/>
              <c:tx>
                <c:rich>
                  <a:bodyPr/>
                  <a:lstStyle/>
                  <a:p>
                    <a:fld id="{3AF51EFA-CA75-4F9F-A0C6-F60A09A0D7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1F2F-427E-B306-4A569C0FC428}"/>
                </c:ext>
              </c:extLst>
            </c:dLbl>
            <c:dLbl>
              <c:idx val="85"/>
              <c:tx>
                <c:rich>
                  <a:bodyPr/>
                  <a:lstStyle/>
                  <a:p>
                    <a:fld id="{4AF949CF-7370-44D2-82F8-22A8F63D87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1F2F-427E-B306-4A569C0FC428}"/>
                </c:ext>
              </c:extLst>
            </c:dLbl>
            <c:dLbl>
              <c:idx val="86"/>
              <c:tx>
                <c:rich>
                  <a:bodyPr/>
                  <a:lstStyle/>
                  <a:p>
                    <a:fld id="{F8A4E80D-5CDD-4566-82D5-DE5C0F688E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1F2F-427E-B306-4A569C0FC428}"/>
                </c:ext>
              </c:extLst>
            </c:dLbl>
            <c:dLbl>
              <c:idx val="87"/>
              <c:tx>
                <c:rich>
                  <a:bodyPr/>
                  <a:lstStyle/>
                  <a:p>
                    <a:fld id="{6B286124-1A00-46B1-A2A7-EAE54092AD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1F2F-427E-B306-4A569C0FC428}"/>
                </c:ext>
              </c:extLst>
            </c:dLbl>
            <c:dLbl>
              <c:idx val="88"/>
              <c:tx>
                <c:rich>
                  <a:bodyPr/>
                  <a:lstStyle/>
                  <a:p>
                    <a:fld id="{CD41CCE2-35AA-4C98-93C2-35261AE794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1F2F-427E-B306-4A569C0FC428}"/>
                </c:ext>
              </c:extLst>
            </c:dLbl>
            <c:dLbl>
              <c:idx val="89"/>
              <c:tx>
                <c:rich>
                  <a:bodyPr/>
                  <a:lstStyle/>
                  <a:p>
                    <a:fld id="{2489E862-1868-45A9-9477-AFF54F0879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1F2F-427E-B306-4A569C0FC428}"/>
                </c:ext>
              </c:extLst>
            </c:dLbl>
            <c:dLbl>
              <c:idx val="90"/>
              <c:tx>
                <c:rich>
                  <a:bodyPr/>
                  <a:lstStyle/>
                  <a:p>
                    <a:fld id="{1488F1DA-2CF0-4EB3-B189-699075FCD1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1F2F-427E-B306-4A569C0FC428}"/>
                </c:ext>
              </c:extLst>
            </c:dLbl>
            <c:dLbl>
              <c:idx val="91"/>
              <c:tx>
                <c:rich>
                  <a:bodyPr/>
                  <a:lstStyle/>
                  <a:p>
                    <a:fld id="{115F0913-4D32-485E-9508-53CD83B7F0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1F2F-427E-B306-4A569C0FC428}"/>
                </c:ext>
              </c:extLst>
            </c:dLbl>
            <c:dLbl>
              <c:idx val="92"/>
              <c:tx>
                <c:rich>
                  <a:bodyPr/>
                  <a:lstStyle/>
                  <a:p>
                    <a:fld id="{7BC836E6-6C17-46F7-9F1F-CCE1FED0E8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1F2F-427E-B306-4A569C0FC428}"/>
                </c:ext>
              </c:extLst>
            </c:dLbl>
            <c:dLbl>
              <c:idx val="93"/>
              <c:tx>
                <c:rich>
                  <a:bodyPr/>
                  <a:lstStyle/>
                  <a:p>
                    <a:fld id="{DF145683-956E-4AF4-AFC3-F55CD02055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1F2F-427E-B306-4A569C0FC428}"/>
                </c:ext>
              </c:extLst>
            </c:dLbl>
            <c:dLbl>
              <c:idx val="94"/>
              <c:tx>
                <c:rich>
                  <a:bodyPr/>
                  <a:lstStyle/>
                  <a:p>
                    <a:fld id="{1ADE278A-59A0-4F0D-9776-53ABC75C51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1F2F-427E-B306-4A569C0FC428}"/>
                </c:ext>
              </c:extLst>
            </c:dLbl>
            <c:dLbl>
              <c:idx val="95"/>
              <c:tx>
                <c:rich>
                  <a:bodyPr/>
                  <a:lstStyle/>
                  <a:p>
                    <a:fld id="{698FAD9B-CAED-4555-ABB1-EA47F5C2B2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1F2F-427E-B306-4A569C0FC428}"/>
                </c:ext>
              </c:extLst>
            </c:dLbl>
            <c:dLbl>
              <c:idx val="96"/>
              <c:tx>
                <c:rich>
                  <a:bodyPr/>
                  <a:lstStyle/>
                  <a:p>
                    <a:fld id="{61DE4116-29F0-49DE-B010-C6B871F5B4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1F2F-427E-B306-4A569C0FC428}"/>
                </c:ext>
              </c:extLst>
            </c:dLbl>
            <c:dLbl>
              <c:idx val="97"/>
              <c:tx>
                <c:rich>
                  <a:bodyPr/>
                  <a:lstStyle/>
                  <a:p>
                    <a:fld id="{D391D6E9-438B-4BA3-9E65-2787B64AD9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1F2F-427E-B306-4A569C0FC428}"/>
                </c:ext>
              </c:extLst>
            </c:dLbl>
            <c:dLbl>
              <c:idx val="98"/>
              <c:tx>
                <c:rich>
                  <a:bodyPr/>
                  <a:lstStyle/>
                  <a:p>
                    <a:fld id="{683FB93D-AED1-4960-ABA2-FAA5A1DE82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1F2F-427E-B306-4A569C0FC428}"/>
                </c:ext>
              </c:extLst>
            </c:dLbl>
            <c:dLbl>
              <c:idx val="99"/>
              <c:tx>
                <c:rich>
                  <a:bodyPr/>
                  <a:lstStyle/>
                  <a:p>
                    <a:fld id="{A9BC5CF9-5530-4BFB-9952-464B5037E2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1F2F-427E-B306-4A569C0FC428}"/>
                </c:ext>
              </c:extLst>
            </c:dLbl>
            <c:dLbl>
              <c:idx val="100"/>
              <c:tx>
                <c:rich>
                  <a:bodyPr/>
                  <a:lstStyle/>
                  <a:p>
                    <a:fld id="{A6D72D09-E8AD-45E4-8ED5-637C582B84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1F2F-427E-B306-4A569C0FC428}"/>
                </c:ext>
              </c:extLst>
            </c:dLbl>
            <c:dLbl>
              <c:idx val="101"/>
              <c:tx>
                <c:rich>
                  <a:bodyPr/>
                  <a:lstStyle/>
                  <a:p>
                    <a:fld id="{06B0E67A-1B2C-44B0-9CCB-35F17F4CCF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1F2F-427E-B306-4A569C0FC428}"/>
                </c:ext>
              </c:extLst>
            </c:dLbl>
            <c:dLbl>
              <c:idx val="102"/>
              <c:tx>
                <c:rich>
                  <a:bodyPr/>
                  <a:lstStyle/>
                  <a:p>
                    <a:fld id="{037785BC-FD51-4B67-9E9E-FD7D106CB4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1F2F-427E-B306-4A569C0FC428}"/>
                </c:ext>
              </c:extLst>
            </c:dLbl>
            <c:dLbl>
              <c:idx val="103"/>
              <c:tx>
                <c:rich>
                  <a:bodyPr/>
                  <a:lstStyle/>
                  <a:p>
                    <a:fld id="{15D94AFA-42F2-4911-8C4B-629BBDB545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1F2F-427E-B306-4A569C0FC428}"/>
                </c:ext>
              </c:extLst>
            </c:dLbl>
            <c:dLbl>
              <c:idx val="104"/>
              <c:tx>
                <c:rich>
                  <a:bodyPr/>
                  <a:lstStyle/>
                  <a:p>
                    <a:fld id="{9E0836D4-3B2C-4EA2-AAC3-F378D924EB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1F2F-427E-B306-4A569C0FC428}"/>
                </c:ext>
              </c:extLst>
            </c:dLbl>
            <c:dLbl>
              <c:idx val="105"/>
              <c:tx>
                <c:rich>
                  <a:bodyPr/>
                  <a:lstStyle/>
                  <a:p>
                    <a:fld id="{465B58A5-DE7B-4A24-9D0A-95EF831CBB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1F2F-427E-B306-4A569C0FC428}"/>
                </c:ext>
              </c:extLst>
            </c:dLbl>
            <c:dLbl>
              <c:idx val="106"/>
              <c:tx>
                <c:rich>
                  <a:bodyPr/>
                  <a:lstStyle/>
                  <a:p>
                    <a:fld id="{EA464F38-5DBF-470A-87A1-46533E8904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1F2F-427E-B306-4A569C0FC428}"/>
                </c:ext>
              </c:extLst>
            </c:dLbl>
            <c:dLbl>
              <c:idx val="107"/>
              <c:tx>
                <c:rich>
                  <a:bodyPr/>
                  <a:lstStyle/>
                  <a:p>
                    <a:fld id="{A24FF5F5-6AD6-48CA-90E5-008466F60A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1F2F-427E-B306-4A569C0FC428}"/>
                </c:ext>
              </c:extLst>
            </c:dLbl>
            <c:dLbl>
              <c:idx val="108"/>
              <c:tx>
                <c:rich>
                  <a:bodyPr/>
                  <a:lstStyle/>
                  <a:p>
                    <a:fld id="{A07A1BDA-1D4C-4D7E-A7D4-B10BA6A609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1F2F-427E-B306-4A569C0FC428}"/>
                </c:ext>
              </c:extLst>
            </c:dLbl>
            <c:dLbl>
              <c:idx val="109"/>
              <c:tx>
                <c:rich>
                  <a:bodyPr/>
                  <a:lstStyle/>
                  <a:p>
                    <a:fld id="{EA38C457-D60F-4B55-AFC7-D9A87D62DC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1F2F-427E-B306-4A569C0FC428}"/>
                </c:ext>
              </c:extLst>
            </c:dLbl>
            <c:dLbl>
              <c:idx val="110"/>
              <c:tx>
                <c:rich>
                  <a:bodyPr/>
                  <a:lstStyle/>
                  <a:p>
                    <a:fld id="{E0174439-8AC8-46AC-86EA-A0051763BD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1F2F-427E-B306-4A569C0FC428}"/>
                </c:ext>
              </c:extLst>
            </c:dLbl>
            <c:dLbl>
              <c:idx val="111"/>
              <c:tx>
                <c:rich>
                  <a:bodyPr/>
                  <a:lstStyle/>
                  <a:p>
                    <a:fld id="{21274A76-DA96-42BC-90CE-C4A3D6713D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1F2F-427E-B306-4A569C0FC428}"/>
                </c:ext>
              </c:extLst>
            </c:dLbl>
            <c:dLbl>
              <c:idx val="112"/>
              <c:tx>
                <c:rich>
                  <a:bodyPr/>
                  <a:lstStyle/>
                  <a:p>
                    <a:fld id="{DF1032B6-66D9-4229-9E7A-F2DE7AEB42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1F2F-427E-B306-4A569C0FC428}"/>
                </c:ext>
              </c:extLst>
            </c:dLbl>
            <c:dLbl>
              <c:idx val="113"/>
              <c:tx>
                <c:rich>
                  <a:bodyPr/>
                  <a:lstStyle/>
                  <a:p>
                    <a:fld id="{B8F743FD-58BA-4810-B24F-08F7099135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1F2F-427E-B306-4A569C0FC428}"/>
                </c:ext>
              </c:extLst>
            </c:dLbl>
            <c:dLbl>
              <c:idx val="114"/>
              <c:tx>
                <c:rich>
                  <a:bodyPr/>
                  <a:lstStyle/>
                  <a:p>
                    <a:fld id="{1E4AABEB-4975-4F6B-B69F-F220215381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1F2F-427E-B306-4A569C0FC428}"/>
                </c:ext>
              </c:extLst>
            </c:dLbl>
            <c:dLbl>
              <c:idx val="115"/>
              <c:tx>
                <c:rich>
                  <a:bodyPr/>
                  <a:lstStyle/>
                  <a:p>
                    <a:fld id="{CCE24B0A-881E-45EE-B99C-432688E884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1F2F-427E-B306-4A569C0FC428}"/>
                </c:ext>
              </c:extLst>
            </c:dLbl>
            <c:dLbl>
              <c:idx val="116"/>
              <c:tx>
                <c:rich>
                  <a:bodyPr/>
                  <a:lstStyle/>
                  <a:p>
                    <a:fld id="{E7CFFB85-77C7-4BF4-910D-C4906A5872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1F2F-427E-B306-4A569C0FC428}"/>
                </c:ext>
              </c:extLst>
            </c:dLbl>
            <c:dLbl>
              <c:idx val="117"/>
              <c:tx>
                <c:rich>
                  <a:bodyPr/>
                  <a:lstStyle/>
                  <a:p>
                    <a:fld id="{9A18E33B-7B38-4BBB-8DCB-9F9DCBBBB7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1F2F-427E-B306-4A569C0FC428}"/>
                </c:ext>
              </c:extLst>
            </c:dLbl>
            <c:dLbl>
              <c:idx val="118"/>
              <c:tx>
                <c:rich>
                  <a:bodyPr/>
                  <a:lstStyle/>
                  <a:p>
                    <a:fld id="{8F2D0D04-6E7E-4743-8697-D9832F35FB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1F2F-427E-B306-4A569C0FC428}"/>
                </c:ext>
              </c:extLst>
            </c:dLbl>
            <c:dLbl>
              <c:idx val="119"/>
              <c:tx>
                <c:rich>
                  <a:bodyPr/>
                  <a:lstStyle/>
                  <a:p>
                    <a:fld id="{3F25DCDD-F7D5-48A4-B6CD-8E74F7A50A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1F2F-427E-B306-4A569C0FC428}"/>
                </c:ext>
              </c:extLst>
            </c:dLbl>
            <c:dLbl>
              <c:idx val="120"/>
              <c:tx>
                <c:rich>
                  <a:bodyPr/>
                  <a:lstStyle/>
                  <a:p>
                    <a:fld id="{716D76BD-214D-4A84-9CC1-C84A615833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1F2F-427E-B306-4A569C0FC428}"/>
                </c:ext>
              </c:extLst>
            </c:dLbl>
            <c:dLbl>
              <c:idx val="121"/>
              <c:tx>
                <c:rich>
                  <a:bodyPr/>
                  <a:lstStyle/>
                  <a:p>
                    <a:fld id="{6BF6CCC1-0EC2-47B9-9439-E2606DCD06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1F2F-427E-B306-4A569C0FC428}"/>
                </c:ext>
              </c:extLst>
            </c:dLbl>
            <c:dLbl>
              <c:idx val="122"/>
              <c:tx>
                <c:rich>
                  <a:bodyPr/>
                  <a:lstStyle/>
                  <a:p>
                    <a:fld id="{433D6016-C52C-400A-A30A-2836FBE06C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1F2F-427E-B306-4A569C0FC428}"/>
                </c:ext>
              </c:extLst>
            </c:dLbl>
            <c:dLbl>
              <c:idx val="123"/>
              <c:tx>
                <c:rich>
                  <a:bodyPr/>
                  <a:lstStyle/>
                  <a:p>
                    <a:fld id="{8BE4D261-E9AC-4A12-9534-B71939292F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1F2F-427E-B306-4A569C0FC428}"/>
                </c:ext>
              </c:extLst>
            </c:dLbl>
            <c:dLbl>
              <c:idx val="124"/>
              <c:tx>
                <c:rich>
                  <a:bodyPr/>
                  <a:lstStyle/>
                  <a:p>
                    <a:fld id="{40D31AA0-9D0D-4155-96CB-A3F79362A3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1F2F-427E-B306-4A569C0FC428}"/>
                </c:ext>
              </c:extLst>
            </c:dLbl>
            <c:dLbl>
              <c:idx val="125"/>
              <c:tx>
                <c:rich>
                  <a:bodyPr/>
                  <a:lstStyle/>
                  <a:p>
                    <a:fld id="{10258D89-6C3B-4BD4-B3D7-A502496628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1F2F-427E-B306-4A569C0FC428}"/>
                </c:ext>
              </c:extLst>
            </c:dLbl>
            <c:dLbl>
              <c:idx val="126"/>
              <c:tx>
                <c:rich>
                  <a:bodyPr/>
                  <a:lstStyle/>
                  <a:p>
                    <a:fld id="{885F3D89-9864-4836-A3C4-94317B5D39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1F2F-427E-B306-4A569C0FC428}"/>
                </c:ext>
              </c:extLst>
            </c:dLbl>
            <c:dLbl>
              <c:idx val="127"/>
              <c:tx>
                <c:rich>
                  <a:bodyPr/>
                  <a:lstStyle/>
                  <a:p>
                    <a:fld id="{DB9C6557-7DB3-444E-B820-80F1089DE3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1F2F-427E-B306-4A569C0FC428}"/>
                </c:ext>
              </c:extLst>
            </c:dLbl>
            <c:dLbl>
              <c:idx val="128"/>
              <c:tx>
                <c:rich>
                  <a:bodyPr/>
                  <a:lstStyle/>
                  <a:p>
                    <a:fld id="{870B44CA-6B7A-4021-8879-93ED71B604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1F2F-427E-B306-4A569C0FC428}"/>
                </c:ext>
              </c:extLst>
            </c:dLbl>
            <c:dLbl>
              <c:idx val="129"/>
              <c:tx>
                <c:rich>
                  <a:bodyPr/>
                  <a:lstStyle/>
                  <a:p>
                    <a:fld id="{46E996A1-F7CD-4278-B951-3008CCDFC1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1F2F-427E-B306-4A569C0FC428}"/>
                </c:ext>
              </c:extLst>
            </c:dLbl>
            <c:dLbl>
              <c:idx val="130"/>
              <c:tx>
                <c:rich>
                  <a:bodyPr/>
                  <a:lstStyle/>
                  <a:p>
                    <a:fld id="{0F0D975B-A0DA-47F3-82FA-4C065FF9F8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1F2F-427E-B306-4A569C0FC428}"/>
                </c:ext>
              </c:extLst>
            </c:dLbl>
            <c:dLbl>
              <c:idx val="131"/>
              <c:tx>
                <c:rich>
                  <a:bodyPr/>
                  <a:lstStyle/>
                  <a:p>
                    <a:fld id="{D54816BC-DB28-46FD-BBC7-53FAAB6206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1F2F-427E-B306-4A569C0FC428}"/>
                </c:ext>
              </c:extLst>
            </c:dLbl>
            <c:dLbl>
              <c:idx val="132"/>
              <c:tx>
                <c:rich>
                  <a:bodyPr/>
                  <a:lstStyle/>
                  <a:p>
                    <a:fld id="{D59B5139-83AA-4A14-B736-FD64520BFB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1F2F-427E-B306-4A569C0FC428}"/>
                </c:ext>
              </c:extLst>
            </c:dLbl>
            <c:dLbl>
              <c:idx val="133"/>
              <c:tx>
                <c:rich>
                  <a:bodyPr/>
                  <a:lstStyle/>
                  <a:p>
                    <a:fld id="{835D8A12-1DDA-401B-8CD1-6B2EC48D13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1F2F-427E-B306-4A569C0FC428}"/>
                </c:ext>
              </c:extLst>
            </c:dLbl>
            <c:dLbl>
              <c:idx val="134"/>
              <c:tx>
                <c:rich>
                  <a:bodyPr/>
                  <a:lstStyle/>
                  <a:p>
                    <a:fld id="{8698D34D-90E4-44A6-9116-4B4F7AD281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1F2F-427E-B306-4A569C0FC428}"/>
                </c:ext>
              </c:extLst>
            </c:dLbl>
            <c:dLbl>
              <c:idx val="135"/>
              <c:tx>
                <c:rich>
                  <a:bodyPr/>
                  <a:lstStyle/>
                  <a:p>
                    <a:fld id="{4AB083AA-963F-43C7-B3EA-3473FC491C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1F2F-427E-B306-4A569C0FC428}"/>
                </c:ext>
              </c:extLst>
            </c:dLbl>
            <c:dLbl>
              <c:idx val="136"/>
              <c:tx>
                <c:rich>
                  <a:bodyPr/>
                  <a:lstStyle/>
                  <a:p>
                    <a:fld id="{A934142C-D1D1-4A93-AC77-AC17A235D8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1F2F-427E-B306-4A569C0FC428}"/>
                </c:ext>
              </c:extLst>
            </c:dLbl>
            <c:dLbl>
              <c:idx val="137"/>
              <c:tx>
                <c:rich>
                  <a:bodyPr/>
                  <a:lstStyle/>
                  <a:p>
                    <a:fld id="{6192F06C-D2D5-4AB8-B45F-B66DB65B37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1F2F-427E-B306-4A569C0FC428}"/>
                </c:ext>
              </c:extLst>
            </c:dLbl>
            <c:dLbl>
              <c:idx val="138"/>
              <c:tx>
                <c:rich>
                  <a:bodyPr/>
                  <a:lstStyle/>
                  <a:p>
                    <a:fld id="{2D4035E8-F95B-4FCB-957D-B014F651CE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1F2F-427E-B306-4A569C0FC428}"/>
                </c:ext>
              </c:extLst>
            </c:dLbl>
            <c:dLbl>
              <c:idx val="139"/>
              <c:tx>
                <c:rich>
                  <a:bodyPr/>
                  <a:lstStyle/>
                  <a:p>
                    <a:fld id="{FE7A074C-B382-44B8-8100-1F604EDBB7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1F2F-427E-B306-4A569C0FC428}"/>
                </c:ext>
              </c:extLst>
            </c:dLbl>
            <c:dLbl>
              <c:idx val="140"/>
              <c:tx>
                <c:rich>
                  <a:bodyPr/>
                  <a:lstStyle/>
                  <a:p>
                    <a:fld id="{6040CF1D-B55B-408E-8BA5-3C974A5911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1F2F-427E-B306-4A569C0FC428}"/>
                </c:ext>
              </c:extLst>
            </c:dLbl>
            <c:dLbl>
              <c:idx val="141"/>
              <c:tx>
                <c:rich>
                  <a:bodyPr/>
                  <a:lstStyle/>
                  <a:p>
                    <a:fld id="{63306259-9B8B-4BEA-BFF8-B9F899A37E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1F2F-427E-B306-4A569C0FC428}"/>
                </c:ext>
              </c:extLst>
            </c:dLbl>
            <c:dLbl>
              <c:idx val="142"/>
              <c:tx>
                <c:rich>
                  <a:bodyPr/>
                  <a:lstStyle/>
                  <a:p>
                    <a:fld id="{70EC1B4F-958F-44E0-BAAC-EFE420F8DF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1F2F-427E-B306-4A569C0FC428}"/>
                </c:ext>
              </c:extLst>
            </c:dLbl>
            <c:dLbl>
              <c:idx val="143"/>
              <c:tx>
                <c:rich>
                  <a:bodyPr/>
                  <a:lstStyle/>
                  <a:p>
                    <a:fld id="{73465601-3943-4AEE-B845-0616C46029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1F2F-427E-B306-4A569C0FC428}"/>
                </c:ext>
              </c:extLst>
            </c:dLbl>
            <c:dLbl>
              <c:idx val="144"/>
              <c:tx>
                <c:rich>
                  <a:bodyPr/>
                  <a:lstStyle/>
                  <a:p>
                    <a:fld id="{3CE70491-3898-481A-A5F6-91BB83DA38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1F2F-427E-B306-4A569C0FC428}"/>
                </c:ext>
              </c:extLst>
            </c:dLbl>
            <c:dLbl>
              <c:idx val="145"/>
              <c:tx>
                <c:rich>
                  <a:bodyPr/>
                  <a:lstStyle/>
                  <a:p>
                    <a:fld id="{F53D2FDE-9DC2-4D0C-8DDD-E02C9997A6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1F2F-427E-B306-4A569C0FC428}"/>
                </c:ext>
              </c:extLst>
            </c:dLbl>
            <c:dLbl>
              <c:idx val="146"/>
              <c:tx>
                <c:rich>
                  <a:bodyPr/>
                  <a:lstStyle/>
                  <a:p>
                    <a:fld id="{E947F4F4-7FB5-427D-B6DF-93486E1294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1F2F-427E-B306-4A569C0FC428}"/>
                </c:ext>
              </c:extLst>
            </c:dLbl>
            <c:dLbl>
              <c:idx val="147"/>
              <c:tx>
                <c:rich>
                  <a:bodyPr/>
                  <a:lstStyle/>
                  <a:p>
                    <a:fld id="{A0DDA435-1974-42D6-9D9B-A56115B699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1F2F-427E-B306-4A569C0FC428}"/>
                </c:ext>
              </c:extLst>
            </c:dLbl>
            <c:dLbl>
              <c:idx val="148"/>
              <c:tx>
                <c:rich>
                  <a:bodyPr/>
                  <a:lstStyle/>
                  <a:p>
                    <a:fld id="{345A1D9A-1DCD-4195-9CE5-1B80BDAE16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1F2F-427E-B306-4A569C0FC428}"/>
                </c:ext>
              </c:extLst>
            </c:dLbl>
            <c:dLbl>
              <c:idx val="149"/>
              <c:tx>
                <c:rich>
                  <a:bodyPr/>
                  <a:lstStyle/>
                  <a:p>
                    <a:fld id="{E82CB4D5-4618-4361-B2F3-8A9FCE9AF5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1F2F-427E-B306-4A569C0FC428}"/>
                </c:ext>
              </c:extLst>
            </c:dLbl>
            <c:dLbl>
              <c:idx val="150"/>
              <c:tx>
                <c:rich>
                  <a:bodyPr/>
                  <a:lstStyle/>
                  <a:p>
                    <a:fld id="{6BC1D12B-8B16-42ED-9606-5B43369136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1F2F-427E-B306-4A569C0FC428}"/>
                </c:ext>
              </c:extLst>
            </c:dLbl>
            <c:dLbl>
              <c:idx val="151"/>
              <c:tx>
                <c:rich>
                  <a:bodyPr/>
                  <a:lstStyle/>
                  <a:p>
                    <a:fld id="{8B70E42F-451E-4796-910C-321A4253F2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1F2F-427E-B306-4A569C0FC428}"/>
                </c:ext>
              </c:extLst>
            </c:dLbl>
            <c:dLbl>
              <c:idx val="152"/>
              <c:tx>
                <c:rich>
                  <a:bodyPr/>
                  <a:lstStyle/>
                  <a:p>
                    <a:fld id="{C2356465-D78E-4DC6-8D2D-8DB94C1948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1F2F-427E-B306-4A569C0FC428}"/>
                </c:ext>
              </c:extLst>
            </c:dLbl>
            <c:dLbl>
              <c:idx val="153"/>
              <c:tx>
                <c:rich>
                  <a:bodyPr/>
                  <a:lstStyle/>
                  <a:p>
                    <a:fld id="{6BD38464-AA06-4E7E-91A9-E4960C45FF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1F2F-427E-B306-4A569C0FC428}"/>
                </c:ext>
              </c:extLst>
            </c:dLbl>
            <c:dLbl>
              <c:idx val="154"/>
              <c:tx>
                <c:rich>
                  <a:bodyPr/>
                  <a:lstStyle/>
                  <a:p>
                    <a:fld id="{34606F18-1D50-4E19-B502-D7DAD7D944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1F2F-427E-B306-4A569C0FC428}"/>
                </c:ext>
              </c:extLst>
            </c:dLbl>
            <c:dLbl>
              <c:idx val="155"/>
              <c:tx>
                <c:rich>
                  <a:bodyPr/>
                  <a:lstStyle/>
                  <a:p>
                    <a:fld id="{BB1E4148-51D5-4144-B866-4D0CC86B11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1F2F-427E-B306-4A569C0FC428}"/>
                </c:ext>
              </c:extLst>
            </c:dLbl>
            <c:dLbl>
              <c:idx val="156"/>
              <c:tx>
                <c:rich>
                  <a:bodyPr/>
                  <a:lstStyle/>
                  <a:p>
                    <a:fld id="{8B0FB3CF-4EA9-4E65-886F-AA9ACAEEE3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1F2F-427E-B306-4A569C0FC428}"/>
                </c:ext>
              </c:extLst>
            </c:dLbl>
            <c:dLbl>
              <c:idx val="157"/>
              <c:tx>
                <c:rich>
                  <a:bodyPr/>
                  <a:lstStyle/>
                  <a:p>
                    <a:fld id="{0004B344-9B45-42D7-A7B6-4F544B0C60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1F2F-427E-B306-4A569C0FC428}"/>
                </c:ext>
              </c:extLst>
            </c:dLbl>
            <c:dLbl>
              <c:idx val="158"/>
              <c:tx>
                <c:rich>
                  <a:bodyPr/>
                  <a:lstStyle/>
                  <a:p>
                    <a:fld id="{92DB53D1-9733-41CB-91B8-2264931A76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1F2F-427E-B306-4A569C0FC428}"/>
                </c:ext>
              </c:extLst>
            </c:dLbl>
            <c:dLbl>
              <c:idx val="159"/>
              <c:tx>
                <c:rich>
                  <a:bodyPr/>
                  <a:lstStyle/>
                  <a:p>
                    <a:fld id="{3D96D361-3D94-4A38-BD72-A548FDE0F9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1F2F-427E-B306-4A569C0FC428}"/>
                </c:ext>
              </c:extLst>
            </c:dLbl>
            <c:dLbl>
              <c:idx val="160"/>
              <c:tx>
                <c:rich>
                  <a:bodyPr/>
                  <a:lstStyle/>
                  <a:p>
                    <a:fld id="{477FD80A-4D2D-4895-8EF1-B2CDD6099F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1F2F-427E-B306-4A569C0FC428}"/>
                </c:ext>
              </c:extLst>
            </c:dLbl>
            <c:dLbl>
              <c:idx val="161"/>
              <c:tx>
                <c:rich>
                  <a:bodyPr/>
                  <a:lstStyle/>
                  <a:p>
                    <a:fld id="{1FE3EC2C-F3B9-4DBA-9B88-FB85698371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1F2F-427E-B306-4A569C0FC428}"/>
                </c:ext>
              </c:extLst>
            </c:dLbl>
            <c:dLbl>
              <c:idx val="162"/>
              <c:tx>
                <c:rich>
                  <a:bodyPr/>
                  <a:lstStyle/>
                  <a:p>
                    <a:fld id="{8A7DE688-6F84-4F91-A9EB-FD901E984E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1F2F-427E-B306-4A569C0FC428}"/>
                </c:ext>
              </c:extLst>
            </c:dLbl>
            <c:dLbl>
              <c:idx val="163"/>
              <c:tx>
                <c:rich>
                  <a:bodyPr/>
                  <a:lstStyle/>
                  <a:p>
                    <a:fld id="{D31110F3-D35C-416C-9187-09DD2BE06C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1F2F-427E-B306-4A569C0FC428}"/>
                </c:ext>
              </c:extLst>
            </c:dLbl>
            <c:dLbl>
              <c:idx val="164"/>
              <c:tx>
                <c:rich>
                  <a:bodyPr/>
                  <a:lstStyle/>
                  <a:p>
                    <a:fld id="{19ECC006-2C3A-466F-857B-A4B9BEAA2E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1F2F-427E-B306-4A569C0FC428}"/>
                </c:ext>
              </c:extLst>
            </c:dLbl>
            <c:dLbl>
              <c:idx val="165"/>
              <c:tx>
                <c:rich>
                  <a:bodyPr/>
                  <a:lstStyle/>
                  <a:p>
                    <a:fld id="{3152C361-3844-47B5-8E38-068613CD12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1F2F-427E-B306-4A569C0FC428}"/>
                </c:ext>
              </c:extLst>
            </c:dLbl>
            <c:dLbl>
              <c:idx val="166"/>
              <c:tx>
                <c:rich>
                  <a:bodyPr/>
                  <a:lstStyle/>
                  <a:p>
                    <a:fld id="{8A0C993E-8EDC-49A8-AFBB-A88984954E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1F2F-427E-B306-4A569C0FC428}"/>
                </c:ext>
              </c:extLst>
            </c:dLbl>
            <c:dLbl>
              <c:idx val="167"/>
              <c:tx>
                <c:rich>
                  <a:bodyPr/>
                  <a:lstStyle/>
                  <a:p>
                    <a:fld id="{F83AE05D-6563-4D2F-81E0-0E86D27191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1F2F-427E-B306-4A569C0FC428}"/>
                </c:ext>
              </c:extLst>
            </c:dLbl>
            <c:dLbl>
              <c:idx val="168"/>
              <c:tx>
                <c:rich>
                  <a:bodyPr/>
                  <a:lstStyle/>
                  <a:p>
                    <a:fld id="{8645AF9C-0624-442F-B521-C74113E80D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1F2F-427E-B306-4A569C0FC428}"/>
                </c:ext>
              </c:extLst>
            </c:dLbl>
            <c:dLbl>
              <c:idx val="169"/>
              <c:tx>
                <c:rich>
                  <a:bodyPr/>
                  <a:lstStyle/>
                  <a:p>
                    <a:fld id="{79EE4C8C-D37D-4770-9D57-B54355E9B8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1F2F-427E-B306-4A569C0FC428}"/>
                </c:ext>
              </c:extLst>
            </c:dLbl>
            <c:dLbl>
              <c:idx val="170"/>
              <c:tx>
                <c:rich>
                  <a:bodyPr/>
                  <a:lstStyle/>
                  <a:p>
                    <a:fld id="{0D944731-E7B3-475B-B6C2-DBD4C67591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1F2F-427E-B306-4A569C0FC428}"/>
                </c:ext>
              </c:extLst>
            </c:dLbl>
            <c:dLbl>
              <c:idx val="171"/>
              <c:tx>
                <c:rich>
                  <a:bodyPr/>
                  <a:lstStyle/>
                  <a:p>
                    <a:fld id="{5CC5B20A-8A41-4460-B162-60E5CEA3E2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1F2F-427E-B306-4A569C0FC428}"/>
                </c:ext>
              </c:extLst>
            </c:dLbl>
            <c:dLbl>
              <c:idx val="172"/>
              <c:tx>
                <c:rich>
                  <a:bodyPr/>
                  <a:lstStyle/>
                  <a:p>
                    <a:fld id="{F59B5518-3199-4305-BA16-48F900A386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1F2F-427E-B306-4A569C0FC428}"/>
                </c:ext>
              </c:extLst>
            </c:dLbl>
            <c:dLbl>
              <c:idx val="173"/>
              <c:tx>
                <c:rich>
                  <a:bodyPr/>
                  <a:lstStyle/>
                  <a:p>
                    <a:fld id="{53D6A9A8-08A6-4F83-A284-4F17F98878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1F2F-427E-B306-4A569C0FC428}"/>
                </c:ext>
              </c:extLst>
            </c:dLbl>
            <c:dLbl>
              <c:idx val="174"/>
              <c:tx>
                <c:rich>
                  <a:bodyPr/>
                  <a:lstStyle/>
                  <a:p>
                    <a:fld id="{F665D059-2F82-437A-82FE-5362ECD81B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1F2F-427E-B306-4A569C0FC428}"/>
                </c:ext>
              </c:extLst>
            </c:dLbl>
            <c:dLbl>
              <c:idx val="175"/>
              <c:tx>
                <c:rich>
                  <a:bodyPr/>
                  <a:lstStyle/>
                  <a:p>
                    <a:fld id="{D37F6DD0-BC9A-4796-97E1-3C97BF6149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1F2F-427E-B306-4A569C0FC428}"/>
                </c:ext>
              </c:extLst>
            </c:dLbl>
            <c:dLbl>
              <c:idx val="176"/>
              <c:tx>
                <c:rich>
                  <a:bodyPr/>
                  <a:lstStyle/>
                  <a:p>
                    <a:fld id="{2894C102-C49F-4C5D-8142-F29B16F556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1F2F-427E-B306-4A569C0FC428}"/>
                </c:ext>
              </c:extLst>
            </c:dLbl>
            <c:dLbl>
              <c:idx val="177"/>
              <c:tx>
                <c:rich>
                  <a:bodyPr/>
                  <a:lstStyle/>
                  <a:p>
                    <a:fld id="{776D6721-1124-4AA9-B0B9-4F6A30985B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1F2F-427E-B306-4A569C0FC428}"/>
                </c:ext>
              </c:extLst>
            </c:dLbl>
            <c:dLbl>
              <c:idx val="178"/>
              <c:tx>
                <c:rich>
                  <a:bodyPr/>
                  <a:lstStyle/>
                  <a:p>
                    <a:fld id="{CE2BECC5-2FDA-4D4E-A438-A9849B1FCD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1F2F-427E-B306-4A569C0FC428}"/>
                </c:ext>
              </c:extLst>
            </c:dLbl>
            <c:dLbl>
              <c:idx val="179"/>
              <c:tx>
                <c:rich>
                  <a:bodyPr/>
                  <a:lstStyle/>
                  <a:p>
                    <a:fld id="{05AEEFC6-DE32-4802-BE8D-BCAB64DB18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1F2F-427E-B306-4A569C0FC428}"/>
                </c:ext>
              </c:extLst>
            </c:dLbl>
            <c:dLbl>
              <c:idx val="180"/>
              <c:tx>
                <c:rich>
                  <a:bodyPr/>
                  <a:lstStyle/>
                  <a:p>
                    <a:fld id="{D61E8BD6-C52C-4C02-B847-0710D3AB71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1F2F-427E-B306-4A569C0FC428}"/>
                </c:ext>
              </c:extLst>
            </c:dLbl>
            <c:dLbl>
              <c:idx val="181"/>
              <c:tx>
                <c:rich>
                  <a:bodyPr/>
                  <a:lstStyle/>
                  <a:p>
                    <a:fld id="{8B456983-A9F4-4AEB-8AB9-7E2762A776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1F2F-427E-B306-4A569C0FC428}"/>
                </c:ext>
              </c:extLst>
            </c:dLbl>
            <c:dLbl>
              <c:idx val="182"/>
              <c:tx>
                <c:rich>
                  <a:bodyPr/>
                  <a:lstStyle/>
                  <a:p>
                    <a:fld id="{2BFE7DFB-22AC-41F9-9E49-A4A92D94C5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1F2F-427E-B306-4A569C0FC428}"/>
                </c:ext>
              </c:extLst>
            </c:dLbl>
            <c:dLbl>
              <c:idx val="183"/>
              <c:tx>
                <c:rich>
                  <a:bodyPr/>
                  <a:lstStyle/>
                  <a:p>
                    <a:fld id="{F8144BB2-921E-48AD-8465-81C3C8DB02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1F2F-427E-B306-4A569C0FC428}"/>
                </c:ext>
              </c:extLst>
            </c:dLbl>
            <c:dLbl>
              <c:idx val="184"/>
              <c:tx>
                <c:rich>
                  <a:bodyPr/>
                  <a:lstStyle/>
                  <a:p>
                    <a:fld id="{F64231D3-A99F-44CB-8100-D891E0B8D1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1F2F-427E-B306-4A569C0FC428}"/>
                </c:ext>
              </c:extLst>
            </c:dLbl>
            <c:dLbl>
              <c:idx val="185"/>
              <c:tx>
                <c:rich>
                  <a:bodyPr/>
                  <a:lstStyle/>
                  <a:p>
                    <a:fld id="{0BFB750D-9EBC-45AF-8D77-A7A85021EF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1F2F-427E-B306-4A569C0FC428}"/>
                </c:ext>
              </c:extLst>
            </c:dLbl>
            <c:dLbl>
              <c:idx val="186"/>
              <c:tx>
                <c:rich>
                  <a:bodyPr/>
                  <a:lstStyle/>
                  <a:p>
                    <a:fld id="{92DBAAFB-C035-4582-88F4-CF5AA28D3A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1F2F-427E-B306-4A569C0FC428}"/>
                </c:ext>
              </c:extLst>
            </c:dLbl>
            <c:dLbl>
              <c:idx val="187"/>
              <c:tx>
                <c:rich>
                  <a:bodyPr/>
                  <a:lstStyle/>
                  <a:p>
                    <a:fld id="{29EC0FA9-C678-4BCC-861F-EB253553D4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1F2F-427E-B306-4A569C0FC428}"/>
                </c:ext>
              </c:extLst>
            </c:dLbl>
            <c:dLbl>
              <c:idx val="188"/>
              <c:tx>
                <c:rich>
                  <a:bodyPr/>
                  <a:lstStyle/>
                  <a:p>
                    <a:fld id="{B7A2A303-51D9-44CB-AB58-FAFE5861D3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1F2F-427E-B306-4A569C0FC428}"/>
                </c:ext>
              </c:extLst>
            </c:dLbl>
            <c:dLbl>
              <c:idx val="189"/>
              <c:tx>
                <c:rich>
                  <a:bodyPr/>
                  <a:lstStyle/>
                  <a:p>
                    <a:fld id="{7AE0AD79-58EB-4358-8685-673DEAD0EB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1F2F-427E-B306-4A569C0FC428}"/>
                </c:ext>
              </c:extLst>
            </c:dLbl>
            <c:dLbl>
              <c:idx val="190"/>
              <c:tx>
                <c:rich>
                  <a:bodyPr/>
                  <a:lstStyle/>
                  <a:p>
                    <a:fld id="{74D00971-207A-4250-B046-1C90292B21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1F2F-427E-B306-4A569C0FC428}"/>
                </c:ext>
              </c:extLst>
            </c:dLbl>
            <c:dLbl>
              <c:idx val="191"/>
              <c:tx>
                <c:rich>
                  <a:bodyPr/>
                  <a:lstStyle/>
                  <a:p>
                    <a:fld id="{4B8E690E-098C-4567-96AE-A80B072702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1F2F-427E-B306-4A569C0FC428}"/>
                </c:ext>
              </c:extLst>
            </c:dLbl>
            <c:dLbl>
              <c:idx val="192"/>
              <c:tx>
                <c:rich>
                  <a:bodyPr/>
                  <a:lstStyle/>
                  <a:p>
                    <a:fld id="{7E0B876B-6F1B-46E4-B6C8-4D88F9DA06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1F2F-427E-B306-4A569C0FC428}"/>
                </c:ext>
              </c:extLst>
            </c:dLbl>
            <c:dLbl>
              <c:idx val="193"/>
              <c:tx>
                <c:rich>
                  <a:bodyPr/>
                  <a:lstStyle/>
                  <a:p>
                    <a:fld id="{FB4346E4-3910-4F3D-BB62-4406BB3F81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1F2F-427E-B306-4A569C0FC428}"/>
                </c:ext>
              </c:extLst>
            </c:dLbl>
            <c:dLbl>
              <c:idx val="194"/>
              <c:tx>
                <c:rich>
                  <a:bodyPr/>
                  <a:lstStyle/>
                  <a:p>
                    <a:fld id="{91A1863B-E69F-4382-8A0D-38EC0ED1EB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1F2F-427E-B306-4A569C0FC428}"/>
                </c:ext>
              </c:extLst>
            </c:dLbl>
            <c:dLbl>
              <c:idx val="195"/>
              <c:tx>
                <c:rich>
                  <a:bodyPr/>
                  <a:lstStyle/>
                  <a:p>
                    <a:fld id="{247F260F-B599-4B20-B876-063655F4DD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1F2F-427E-B306-4A569C0FC428}"/>
                </c:ext>
              </c:extLst>
            </c:dLbl>
            <c:dLbl>
              <c:idx val="196"/>
              <c:tx>
                <c:rich>
                  <a:bodyPr/>
                  <a:lstStyle/>
                  <a:p>
                    <a:fld id="{5CE42835-CEFD-4588-AE2B-26D375C72B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1F2F-427E-B306-4A569C0FC428}"/>
                </c:ext>
              </c:extLst>
            </c:dLbl>
            <c:dLbl>
              <c:idx val="197"/>
              <c:tx>
                <c:rich>
                  <a:bodyPr/>
                  <a:lstStyle/>
                  <a:p>
                    <a:fld id="{50ACC76C-1FEE-4192-8A93-BC528507B7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1F2F-427E-B306-4A569C0FC428}"/>
                </c:ext>
              </c:extLst>
            </c:dLbl>
            <c:dLbl>
              <c:idx val="198"/>
              <c:tx>
                <c:rich>
                  <a:bodyPr/>
                  <a:lstStyle/>
                  <a:p>
                    <a:fld id="{184EF70C-2FAF-43E9-B3B7-A965D94248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1F2F-427E-B306-4A569C0FC428}"/>
                </c:ext>
              </c:extLst>
            </c:dLbl>
            <c:dLbl>
              <c:idx val="199"/>
              <c:tx>
                <c:rich>
                  <a:bodyPr/>
                  <a:lstStyle/>
                  <a:p>
                    <a:fld id="{3C4501C5-707A-4DE2-931A-7E546487B8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1F2F-427E-B306-4A569C0FC428}"/>
                </c:ext>
              </c:extLst>
            </c:dLbl>
            <c:dLbl>
              <c:idx val="200"/>
              <c:tx>
                <c:rich>
                  <a:bodyPr/>
                  <a:lstStyle/>
                  <a:p>
                    <a:fld id="{9DC33E76-DCA8-49D4-A5E3-367D0EE0C0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1F2F-427E-B306-4A569C0FC428}"/>
                </c:ext>
              </c:extLst>
            </c:dLbl>
            <c:dLbl>
              <c:idx val="201"/>
              <c:tx>
                <c:rich>
                  <a:bodyPr/>
                  <a:lstStyle/>
                  <a:p>
                    <a:fld id="{CE58DB54-9493-4F4C-9ADF-B9095BD219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1F2F-427E-B306-4A569C0FC428}"/>
                </c:ext>
              </c:extLst>
            </c:dLbl>
            <c:dLbl>
              <c:idx val="202"/>
              <c:tx>
                <c:rich>
                  <a:bodyPr/>
                  <a:lstStyle/>
                  <a:p>
                    <a:fld id="{731E6BED-E2E1-4889-9916-17B86C3405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1F2F-427E-B306-4A569C0FC428}"/>
                </c:ext>
              </c:extLst>
            </c:dLbl>
            <c:dLbl>
              <c:idx val="203"/>
              <c:tx>
                <c:rich>
                  <a:bodyPr/>
                  <a:lstStyle/>
                  <a:p>
                    <a:fld id="{9CE8D45E-F93D-495B-B349-CFBD7961CC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1F2F-427E-B306-4A569C0FC428}"/>
                </c:ext>
              </c:extLst>
            </c:dLbl>
            <c:dLbl>
              <c:idx val="204"/>
              <c:tx>
                <c:rich>
                  <a:bodyPr/>
                  <a:lstStyle/>
                  <a:p>
                    <a:fld id="{AF1F461D-6779-4096-B839-D6013F0607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1F2F-427E-B306-4A569C0FC428}"/>
                </c:ext>
              </c:extLst>
            </c:dLbl>
            <c:dLbl>
              <c:idx val="205"/>
              <c:tx>
                <c:rich>
                  <a:bodyPr/>
                  <a:lstStyle/>
                  <a:p>
                    <a:fld id="{330BF52E-4191-4305-8ADC-4C1E498309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1F2F-427E-B306-4A569C0FC428}"/>
                </c:ext>
              </c:extLst>
            </c:dLbl>
            <c:dLbl>
              <c:idx val="206"/>
              <c:tx>
                <c:rich>
                  <a:bodyPr/>
                  <a:lstStyle/>
                  <a:p>
                    <a:fld id="{666A6C9B-7698-4AAA-87DB-ACAC6D0326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1F2F-427E-B306-4A569C0FC428}"/>
                </c:ext>
              </c:extLst>
            </c:dLbl>
            <c:dLbl>
              <c:idx val="207"/>
              <c:tx>
                <c:rich>
                  <a:bodyPr/>
                  <a:lstStyle/>
                  <a:p>
                    <a:fld id="{92A98972-161B-414A-86A0-8E8B3EF076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1F2F-427E-B306-4A569C0FC428}"/>
                </c:ext>
              </c:extLst>
            </c:dLbl>
            <c:dLbl>
              <c:idx val="208"/>
              <c:tx>
                <c:rich>
                  <a:bodyPr/>
                  <a:lstStyle/>
                  <a:p>
                    <a:fld id="{57FE592B-7A8F-4415-AB0F-BA762B1FA6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1F2F-427E-B306-4A569C0FC428}"/>
                </c:ext>
              </c:extLst>
            </c:dLbl>
            <c:dLbl>
              <c:idx val="209"/>
              <c:tx>
                <c:rich>
                  <a:bodyPr/>
                  <a:lstStyle/>
                  <a:p>
                    <a:fld id="{F3A66394-013D-4EF4-8D1B-EEA66BF948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1F2F-427E-B306-4A569C0FC428}"/>
                </c:ext>
              </c:extLst>
            </c:dLbl>
            <c:dLbl>
              <c:idx val="210"/>
              <c:tx>
                <c:rich>
                  <a:bodyPr/>
                  <a:lstStyle/>
                  <a:p>
                    <a:fld id="{A01B1606-3186-4F7D-98BA-92D7D9B76C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1F2F-427E-B306-4A569C0FC428}"/>
                </c:ext>
              </c:extLst>
            </c:dLbl>
            <c:dLbl>
              <c:idx val="211"/>
              <c:tx>
                <c:rich>
                  <a:bodyPr/>
                  <a:lstStyle/>
                  <a:p>
                    <a:fld id="{A403F590-B73A-40F2-BA50-D93CBBD32D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1F2F-427E-B306-4A569C0FC428}"/>
                </c:ext>
              </c:extLst>
            </c:dLbl>
            <c:dLbl>
              <c:idx val="212"/>
              <c:tx>
                <c:rich>
                  <a:bodyPr/>
                  <a:lstStyle/>
                  <a:p>
                    <a:fld id="{0326C39F-F517-4627-BAB0-D8DF926735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1F2F-427E-B306-4A569C0FC428}"/>
                </c:ext>
              </c:extLst>
            </c:dLbl>
            <c:dLbl>
              <c:idx val="213"/>
              <c:tx>
                <c:rich>
                  <a:bodyPr/>
                  <a:lstStyle/>
                  <a:p>
                    <a:fld id="{0992608D-2E3F-4C75-B4AD-30C343F597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1F2F-427E-B306-4A569C0FC428}"/>
                </c:ext>
              </c:extLst>
            </c:dLbl>
            <c:dLbl>
              <c:idx val="214"/>
              <c:tx>
                <c:rich>
                  <a:bodyPr/>
                  <a:lstStyle/>
                  <a:p>
                    <a:fld id="{534DFD97-EE43-4163-AA3F-3F37F01BB9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1F2F-427E-B306-4A569C0FC428}"/>
                </c:ext>
              </c:extLst>
            </c:dLbl>
            <c:dLbl>
              <c:idx val="215"/>
              <c:tx>
                <c:rich>
                  <a:bodyPr/>
                  <a:lstStyle/>
                  <a:p>
                    <a:fld id="{1DDCAF0A-C31F-4CEE-9732-EFB8C3D333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1F2F-427E-B306-4A569C0FC428}"/>
                </c:ext>
              </c:extLst>
            </c:dLbl>
            <c:dLbl>
              <c:idx val="216"/>
              <c:tx>
                <c:rich>
                  <a:bodyPr/>
                  <a:lstStyle/>
                  <a:p>
                    <a:fld id="{5A77A150-3D04-45CC-BC83-68FF814CFA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1F2F-427E-B306-4A569C0FC428}"/>
                </c:ext>
              </c:extLst>
            </c:dLbl>
            <c:dLbl>
              <c:idx val="217"/>
              <c:tx>
                <c:rich>
                  <a:bodyPr/>
                  <a:lstStyle/>
                  <a:p>
                    <a:fld id="{890955FD-966F-4348-8E10-9D6AEA664E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1F2F-427E-B306-4A569C0FC428}"/>
                </c:ext>
              </c:extLst>
            </c:dLbl>
            <c:dLbl>
              <c:idx val="218"/>
              <c:tx>
                <c:rich>
                  <a:bodyPr/>
                  <a:lstStyle/>
                  <a:p>
                    <a:fld id="{6FBE8D56-60A1-446C-8FFA-38745F241A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1F2F-427E-B306-4A569C0FC428}"/>
                </c:ext>
              </c:extLst>
            </c:dLbl>
            <c:dLbl>
              <c:idx val="219"/>
              <c:tx>
                <c:rich>
                  <a:bodyPr/>
                  <a:lstStyle/>
                  <a:p>
                    <a:fld id="{4B113D0F-D7CB-44F0-9960-8D36AE47E5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1F2F-427E-B306-4A569C0FC428}"/>
                </c:ext>
              </c:extLst>
            </c:dLbl>
            <c:dLbl>
              <c:idx val="220"/>
              <c:tx>
                <c:rich>
                  <a:bodyPr/>
                  <a:lstStyle/>
                  <a:p>
                    <a:fld id="{8C959A34-581C-490D-88E2-3068297467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1F2F-427E-B306-4A569C0FC428}"/>
                </c:ext>
              </c:extLst>
            </c:dLbl>
            <c:dLbl>
              <c:idx val="221"/>
              <c:tx>
                <c:rich>
                  <a:bodyPr/>
                  <a:lstStyle/>
                  <a:p>
                    <a:fld id="{538A6D1A-3DDF-449C-9D87-ECF9FD2A7A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1F2F-427E-B306-4A569C0FC428}"/>
                </c:ext>
              </c:extLst>
            </c:dLbl>
            <c:dLbl>
              <c:idx val="222"/>
              <c:tx>
                <c:rich>
                  <a:bodyPr/>
                  <a:lstStyle/>
                  <a:p>
                    <a:fld id="{FEB319FC-4B20-465E-8593-E7F00A5F03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1F2F-427E-B306-4A569C0FC428}"/>
                </c:ext>
              </c:extLst>
            </c:dLbl>
            <c:dLbl>
              <c:idx val="223"/>
              <c:tx>
                <c:rich>
                  <a:bodyPr/>
                  <a:lstStyle/>
                  <a:p>
                    <a:fld id="{CA70B17F-B5AF-41FE-B327-CD4D65A83F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1F2F-427E-B306-4A569C0FC428}"/>
                </c:ext>
              </c:extLst>
            </c:dLbl>
            <c:dLbl>
              <c:idx val="224"/>
              <c:tx>
                <c:rich>
                  <a:bodyPr/>
                  <a:lstStyle/>
                  <a:p>
                    <a:fld id="{69C15FB2-B168-4C23-BEBD-F33E71FE77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1F2F-427E-B306-4A569C0FC428}"/>
                </c:ext>
              </c:extLst>
            </c:dLbl>
            <c:dLbl>
              <c:idx val="225"/>
              <c:tx>
                <c:rich>
                  <a:bodyPr/>
                  <a:lstStyle/>
                  <a:p>
                    <a:fld id="{0663CC4A-0825-4187-A7DF-272CD7FAD7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1F2F-427E-B306-4A569C0FC428}"/>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1F2F-427E-B306-4A569C0FC428}"/>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1F2F-427E-B306-4A569C0FC428}"/>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1F2F-427E-B306-4A569C0FC428}"/>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1F2F-427E-B306-4A569C0FC428}"/>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1F2F-427E-B306-4A569C0FC428}"/>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1F2F-427E-B306-4A569C0FC428}"/>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1F2F-427E-B306-4A569C0FC428}"/>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1F2F-427E-B306-4A569C0FC428}"/>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1F2F-427E-B306-4A569C0FC428}"/>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1F2F-427E-B306-4A569C0FC428}"/>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1F2F-427E-B306-4A569C0FC428}"/>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1F2F-427E-B306-4A569C0FC428}"/>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1F2F-427E-B306-4A569C0FC428}"/>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1F2F-427E-B306-4A569C0FC428}"/>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1F2F-427E-B306-4A569C0FC428}"/>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1F2F-427E-B306-4A569C0FC428}"/>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1F2F-427E-B306-4A569C0FC428}"/>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1F2F-427E-B306-4A569C0FC428}"/>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1F2F-427E-B306-4A569C0FC428}"/>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1F2F-427E-B306-4A569C0FC428}"/>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1F2F-427E-B306-4A569C0FC428}"/>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1F2F-427E-B306-4A569C0FC428}"/>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1F2F-427E-B306-4A569C0FC428}"/>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1F2F-427E-B306-4A569C0FC428}"/>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1F2F-427E-B306-4A569C0FC428}"/>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1F2F-427E-B306-4A569C0FC428}"/>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1F2F-427E-B306-4A569C0FC428}"/>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1F2F-427E-B306-4A569C0FC428}"/>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1F2F-427E-B306-4A569C0FC428}"/>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1F2F-427E-B306-4A569C0FC428}"/>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1F2F-427E-B306-4A569C0FC428}"/>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1F2F-427E-B306-4A569C0FC428}"/>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1F2F-427E-B306-4A569C0FC428}"/>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1F2F-427E-B306-4A569C0FC428}"/>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1F2F-427E-B306-4A569C0FC428}"/>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1F2F-427E-B306-4A569C0FC428}"/>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1F2F-427E-B306-4A569C0FC428}"/>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1F2F-427E-B306-4A569C0FC428}"/>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1F2F-427E-B306-4A569C0FC428}"/>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1F2F-427E-B306-4A569C0FC428}"/>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1F2F-427E-B306-4A569C0FC428}"/>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1F2F-427E-B306-4A569C0FC428}"/>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1F2F-427E-B306-4A569C0FC428}"/>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1F2F-427E-B306-4A569C0FC428}"/>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1F2F-427E-B306-4A569C0FC428}"/>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1F2F-427E-B306-4A569C0FC428}"/>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1F2F-427E-B306-4A569C0FC428}"/>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1F2F-427E-B306-4A569C0FC428}"/>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1F2F-427E-B306-4A569C0FC428}"/>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1F2F-427E-B306-4A569C0FC428}"/>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1F2F-427E-B306-4A569C0FC428}"/>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1F2F-427E-B306-4A569C0FC428}"/>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1F2F-427E-B306-4A569C0FC428}"/>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1F2F-427E-B306-4A569C0FC428}"/>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1F2F-427E-B306-4A569C0FC428}"/>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1F2F-427E-B306-4A569C0FC428}"/>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1F2F-427E-B306-4A569C0FC428}"/>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1F2F-427E-B306-4A569C0FC428}"/>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1F2F-427E-B306-4A569C0FC428}"/>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1F2F-427E-B306-4A569C0FC428}"/>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1F2F-427E-B306-4A569C0FC428}"/>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1F2F-427E-B306-4A569C0FC428}"/>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1F2F-427E-B306-4A569C0FC428}"/>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1F2F-427E-B306-4A569C0FC428}"/>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1F2F-427E-B306-4A569C0FC428}"/>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1F2F-427E-B306-4A569C0FC428}"/>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1F2F-427E-B306-4A569C0FC428}"/>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1F2F-427E-B306-4A569C0FC428}"/>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1F2F-427E-B306-4A569C0FC428}"/>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1F2F-427E-B306-4A569C0FC428}"/>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1F2F-427E-B306-4A569C0FC428}"/>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1F2F-427E-B306-4A569C0FC428}"/>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1F2F-427E-B306-4A569C0FC428}"/>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71.868148803710938</c:v>
                </c:pt>
                <c:pt idx="1">
                  <c:v>69.054214477539063</c:v>
                </c:pt>
                <c:pt idx="2">
                  <c:v>65.788444519042969</c:v>
                </c:pt>
                <c:pt idx="3">
                  <c:v>63.130088806152344</c:v>
                </c:pt>
                <c:pt idx="4">
                  <c:v>61.789306640625</c:v>
                </c:pt>
                <c:pt idx="5">
                  <c:v>62.497287750244141</c:v>
                </c:pt>
                <c:pt idx="6">
                  <c:v>65.970695495605469</c:v>
                </c:pt>
                <c:pt idx="7">
                  <c:v>72.044532775878906</c:v>
                </c:pt>
                <c:pt idx="8">
                  <c:v>79.516525268554688</c:v>
                </c:pt>
                <c:pt idx="9">
                  <c:v>87.438461303710938</c:v>
                </c:pt>
                <c:pt idx="10">
                  <c:v>94.007270812988281</c:v>
                </c:pt>
                <c:pt idx="11">
                  <c:v>98.375961303710938</c:v>
                </c:pt>
                <c:pt idx="12">
                  <c:v>100</c:v>
                </c:pt>
                <c:pt idx="13">
                  <c:v>99.113929748535156</c:v>
                </c:pt>
                <c:pt idx="14">
                  <c:v>96.299201965332031</c:v>
                </c:pt>
                <c:pt idx="15">
                  <c:v>91.601737976074219</c:v>
                </c:pt>
                <c:pt idx="16">
                  <c:v>84.2674560546875</c:v>
                </c:pt>
                <c:pt idx="17">
                  <c:v>73.912948608398438</c:v>
                </c:pt>
                <c:pt idx="18">
                  <c:v>62.142513275146484</c:v>
                </c:pt>
                <c:pt idx="19">
                  <c:v>50.984291076660156</c:v>
                </c:pt>
                <c:pt idx="20">
                  <c:v>42.551288604736328</c:v>
                </c:pt>
                <c:pt idx="21">
                  <c:v>36.802043914794922</c:v>
                </c:pt>
                <c:pt idx="22">
                  <c:v>33.191246032714844</c:v>
                </c:pt>
                <c:pt idx="23">
                  <c:v>31.246896743774414</c:v>
                </c:pt>
                <c:pt idx="24">
                  <c:v>30.252285003662109</c:v>
                </c:pt>
                <c:pt idx="25">
                  <c:v>30.002439498901367</c:v>
                </c:pt>
                <c:pt idx="26">
                  <c:v>30.456409454345703</c:v>
                </c:pt>
                <c:pt idx="27">
                  <c:v>31.541248321533203</c:v>
                </c:pt>
                <c:pt idx="28">
                  <c:v>33.105426788330078</c:v>
                </c:pt>
                <c:pt idx="29">
                  <c:v>34.652408599853516</c:v>
                </c:pt>
                <c:pt idx="30">
                  <c:v>35.602035522460938</c:v>
                </c:pt>
                <c:pt idx="31">
                  <c:v>35.424289703369141</c:v>
                </c:pt>
                <c:pt idx="32">
                  <c:v>34.066184997558594</c:v>
                </c:pt>
                <c:pt idx="33">
                  <c:v>31.735658645629883</c:v>
                </c:pt>
                <c:pt idx="34">
                  <c:v>28.772682189941406</c:v>
                </c:pt>
                <c:pt idx="35">
                  <c:v>24.95612907409668</c:v>
                </c:pt>
                <c:pt idx="36">
                  <c:v>20.314479827880859</c:v>
                </c:pt>
                <c:pt idx="37">
                  <c:v>15.330424308776855</c:v>
                </c:pt>
                <c:pt idx="38">
                  <c:v>10.899614334106445</c:v>
                </c:pt>
                <c:pt idx="39">
                  <c:v>7.5867404937744141</c:v>
                </c:pt>
                <c:pt idx="40">
                  <c:v>5.6774802207946777</c:v>
                </c:pt>
                <c:pt idx="41">
                  <c:v>4.7372794151306152</c:v>
                </c:pt>
                <c:pt idx="42">
                  <c:v>4.4183483123779297</c:v>
                </c:pt>
                <c:pt idx="43">
                  <c:v>4.5180530548095703</c:v>
                </c:pt>
                <c:pt idx="44">
                  <c:v>4.7450213432312012</c:v>
                </c:pt>
                <c:pt idx="45">
                  <c:v>5.1027021408081055</c:v>
                </c:pt>
                <c:pt idx="46">
                  <c:v>5.6141443252563477</c:v>
                </c:pt>
                <c:pt idx="47">
                  <c:v>6.1744999885559082</c:v>
                </c:pt>
                <c:pt idx="48">
                  <c:v>6.7855587005615234</c:v>
                </c:pt>
                <c:pt idx="49">
                  <c:v>7.4680280685424805</c:v>
                </c:pt>
                <c:pt idx="50">
                  <c:v>8.200282096862793</c:v>
                </c:pt>
                <c:pt idx="51">
                  <c:v>9.0006675720214844</c:v>
                </c:pt>
                <c:pt idx="52">
                  <c:v>9.8020191192626953</c:v>
                </c:pt>
                <c:pt idx="53">
                  <c:v>10.615827560424805</c:v>
                </c:pt>
                <c:pt idx="54">
                  <c:v>11.501297950744629</c:v>
                </c:pt>
                <c:pt idx="55">
                  <c:v>12.281281471252441</c:v>
                </c:pt>
                <c:pt idx="56">
                  <c:v>12.969064712524414</c:v>
                </c:pt>
                <c:pt idx="57">
                  <c:v>13.588116645812988</c:v>
                </c:pt>
                <c:pt idx="58">
                  <c:v>14.108456611633301</c:v>
                </c:pt>
                <c:pt idx="59">
                  <c:v>14.399998664855957</c:v>
                </c:pt>
                <c:pt idx="60">
                  <c:v>14.455634117126465</c:v>
                </c:pt>
                <c:pt idx="61">
                  <c:v>14.333513259887695</c:v>
                </c:pt>
                <c:pt idx="62">
                  <c:v>14.045052528381348</c:v>
                </c:pt>
                <c:pt idx="63">
                  <c:v>13.530209541320801</c:v>
                </c:pt>
                <c:pt idx="64">
                  <c:v>12.758988380432129</c:v>
                </c:pt>
                <c:pt idx="65">
                  <c:v>11.844992637634277</c:v>
                </c:pt>
                <c:pt idx="66">
                  <c:v>10.873062133789063</c:v>
                </c:pt>
                <c:pt idx="67">
                  <c:v>9.7595548629760742</c:v>
                </c:pt>
                <c:pt idx="68">
                  <c:v>8.6292514801025391</c:v>
                </c:pt>
                <c:pt idx="69">
                  <c:v>7.4784913063049316</c:v>
                </c:pt>
                <c:pt idx="70">
                  <c:v>6.4421095848083496</c:v>
                </c:pt>
                <c:pt idx="71">
                  <c:v>5.5594482421875</c:v>
                </c:pt>
                <c:pt idx="72">
                  <c:v>4.8272218704223633</c:v>
                </c:pt>
                <c:pt idx="73">
                  <c:v>4.3035340309143066</c:v>
                </c:pt>
                <c:pt idx="74">
                  <c:v>3.8552918434143066</c:v>
                </c:pt>
                <c:pt idx="75">
                  <c:v>3.4861955642700195</c:v>
                </c:pt>
                <c:pt idx="76">
                  <c:v>3.2002384662628174</c:v>
                </c:pt>
                <c:pt idx="77">
                  <c:v>2.9635419845581055</c:v>
                </c:pt>
                <c:pt idx="78">
                  <c:v>2.7775616645812988</c:v>
                </c:pt>
                <c:pt idx="79">
                  <c:v>2.6563460826873779</c:v>
                </c:pt>
                <c:pt idx="80">
                  <c:v>2.5167689323425293</c:v>
                </c:pt>
                <c:pt idx="81">
                  <c:v>2.4136288166046143</c:v>
                </c:pt>
                <c:pt idx="82">
                  <c:v>2.4142887592315674</c:v>
                </c:pt>
                <c:pt idx="83">
                  <c:v>2.4144315719604492</c:v>
                </c:pt>
                <c:pt idx="84">
                  <c:v>2.3318977355957031</c:v>
                </c:pt>
                <c:pt idx="85">
                  <c:v>2.2845895290374756</c:v>
                </c:pt>
                <c:pt idx="86">
                  <c:v>2.2622213363647461</c:v>
                </c:pt>
                <c:pt idx="87">
                  <c:v>2.1883611679077148</c:v>
                </c:pt>
                <c:pt idx="88">
                  <c:v>2.2189884185791016</c:v>
                </c:pt>
                <c:pt idx="89">
                  <c:v>2.2875692844390869</c:v>
                </c:pt>
                <c:pt idx="90">
                  <c:v>2.2414653301239014</c:v>
                </c:pt>
                <c:pt idx="91">
                  <c:v>2.159747838973999</c:v>
                </c:pt>
                <c:pt idx="92">
                  <c:v>2.0940513610839844</c:v>
                </c:pt>
                <c:pt idx="93">
                  <c:v>2.1711974143981934</c:v>
                </c:pt>
                <c:pt idx="94">
                  <c:v>2.2064368724822998</c:v>
                </c:pt>
                <c:pt idx="95">
                  <c:v>2.0971739292144775</c:v>
                </c:pt>
                <c:pt idx="96">
                  <c:v>2.1071403026580811</c:v>
                </c:pt>
                <c:pt idx="97">
                  <c:v>2.167482852935791</c:v>
                </c:pt>
                <c:pt idx="98">
                  <c:v>2.1969330310821533</c:v>
                </c:pt>
                <c:pt idx="99">
                  <c:v>2.126345157623291</c:v>
                </c:pt>
                <c:pt idx="100">
                  <c:v>2.0740370750427246</c:v>
                </c:pt>
                <c:pt idx="101">
                  <c:v>2.1790616512298584</c:v>
                </c:pt>
                <c:pt idx="102">
                  <c:v>2.1813745498657227</c:v>
                </c:pt>
                <c:pt idx="103">
                  <c:v>2.2250702381134033</c:v>
                </c:pt>
                <c:pt idx="104">
                  <c:v>2.256425142288208</c:v>
                </c:pt>
                <c:pt idx="105">
                  <c:v>2.1372570991516113</c:v>
                </c:pt>
                <c:pt idx="106">
                  <c:v>2.0990855693817139</c:v>
                </c:pt>
                <c:pt idx="107">
                  <c:v>2.1283724308013916</c:v>
                </c:pt>
                <c:pt idx="108">
                  <c:v>2.148883581161499</c:v>
                </c:pt>
                <c:pt idx="109">
                  <c:v>2.1725919246673584</c:v>
                </c:pt>
                <c:pt idx="110">
                  <c:v>2.2391660213470459</c:v>
                </c:pt>
                <c:pt idx="111">
                  <c:v>2.2592213153839111</c:v>
                </c:pt>
                <c:pt idx="112">
                  <c:v>2.2586770057678223</c:v>
                </c:pt>
                <c:pt idx="113">
                  <c:v>2.2667453289031982</c:v>
                </c:pt>
                <c:pt idx="114">
                  <c:v>2.2689495086669922</c:v>
                </c:pt>
                <c:pt idx="115">
                  <c:v>2.271432638168335</c:v>
                </c:pt>
                <c:pt idx="116">
                  <c:v>2.1876060962677002</c:v>
                </c:pt>
                <c:pt idx="117">
                  <c:v>2.1810071468353271</c:v>
                </c:pt>
                <c:pt idx="118">
                  <c:v>2.3132915496826172</c:v>
                </c:pt>
                <c:pt idx="119">
                  <c:v>2.2904400825500488</c:v>
                </c:pt>
                <c:pt idx="120">
                  <c:v>2.228294849395752</c:v>
                </c:pt>
                <c:pt idx="121">
                  <c:v>2.2811405658721924</c:v>
                </c:pt>
                <c:pt idx="122">
                  <c:v>2.3275165557861328</c:v>
                </c:pt>
                <c:pt idx="123">
                  <c:v>2.3944647312164307</c:v>
                </c:pt>
                <c:pt idx="124">
                  <c:v>2.3282580375671387</c:v>
                </c:pt>
                <c:pt idx="125">
                  <c:v>2.2967736721038818</c:v>
                </c:pt>
                <c:pt idx="126">
                  <c:v>2.3617899417877197</c:v>
                </c:pt>
                <c:pt idx="127">
                  <c:v>2.3199174404144287</c:v>
                </c:pt>
                <c:pt idx="128">
                  <c:v>2.3138289451599121</c:v>
                </c:pt>
                <c:pt idx="129">
                  <c:v>2.3645179271697998</c:v>
                </c:pt>
                <c:pt idx="130">
                  <c:v>2.3368024826049805</c:v>
                </c:pt>
                <c:pt idx="131">
                  <c:v>2.3287546634674072</c:v>
                </c:pt>
                <c:pt idx="132">
                  <c:v>2.3615381717681885</c:v>
                </c:pt>
                <c:pt idx="133">
                  <c:v>2.3443946838378906</c:v>
                </c:pt>
                <c:pt idx="134">
                  <c:v>2.2685005664825439</c:v>
                </c:pt>
                <c:pt idx="135">
                  <c:v>2.2761673927307129</c:v>
                </c:pt>
                <c:pt idx="136">
                  <c:v>3.2441041469573975</c:v>
                </c:pt>
                <c:pt idx="137">
                  <c:v>3.7950172424316406</c:v>
                </c:pt>
                <c:pt idx="138">
                  <c:v>2.8908247947692871</c:v>
                </c:pt>
                <c:pt idx="139">
                  <c:v>2.2198114395141602</c:v>
                </c:pt>
                <c:pt idx="140">
                  <c:v>2.2955560684204102</c:v>
                </c:pt>
                <c:pt idx="141">
                  <c:v>2.3019509315490723</c:v>
                </c:pt>
                <c:pt idx="142">
                  <c:v>2.1845719814300537</c:v>
                </c:pt>
                <c:pt idx="143">
                  <c:v>2.2944674491882324</c:v>
                </c:pt>
                <c:pt idx="144">
                  <c:v>2.3442926406860352</c:v>
                </c:pt>
                <c:pt idx="145">
                  <c:v>2.1849937438964844</c:v>
                </c:pt>
                <c:pt idx="146">
                  <c:v>2.2291111946105957</c:v>
                </c:pt>
                <c:pt idx="147">
                  <c:v>2.249894380569458</c:v>
                </c:pt>
                <c:pt idx="148">
                  <c:v>2.2205326557159424</c:v>
                </c:pt>
                <c:pt idx="149">
                  <c:v>2.213416576385498</c:v>
                </c:pt>
                <c:pt idx="150">
                  <c:v>2.239356517791748</c:v>
                </c:pt>
                <c:pt idx="151">
                  <c:v>2.3256185054779053</c:v>
                </c:pt>
                <c:pt idx="152">
                  <c:v>2.2807052135467529</c:v>
                </c:pt>
                <c:pt idx="153">
                  <c:v>2.2978215217590332</c:v>
                </c:pt>
                <c:pt idx="154">
                  <c:v>2.3678786754608154</c:v>
                </c:pt>
                <c:pt idx="155">
                  <c:v>2.2504794597625732</c:v>
                </c:pt>
                <c:pt idx="156">
                  <c:v>2.2274715900421143</c:v>
                </c:pt>
                <c:pt idx="157">
                  <c:v>2.198559045791626</c:v>
                </c:pt>
                <c:pt idx="158">
                  <c:v>2.2034502029418945</c:v>
                </c:pt>
                <c:pt idx="159">
                  <c:v>2.3280880451202393</c:v>
                </c:pt>
                <c:pt idx="160">
                  <c:v>2.2653372287750244</c:v>
                </c:pt>
                <c:pt idx="161">
                  <c:v>2.2515950202941895</c:v>
                </c:pt>
                <c:pt idx="162">
                  <c:v>2.3107266426086426</c:v>
                </c:pt>
                <c:pt idx="163">
                  <c:v>2.2805962562561035</c:v>
                </c:pt>
                <c:pt idx="164">
                  <c:v>2.3030052185058594</c:v>
                </c:pt>
                <c:pt idx="165">
                  <c:v>2.2159066200256348</c:v>
                </c:pt>
                <c:pt idx="166">
                  <c:v>2.2765076160430908</c:v>
                </c:pt>
                <c:pt idx="167">
                  <c:v>2.3739674091339111</c:v>
                </c:pt>
                <c:pt idx="168">
                  <c:v>2.2643234729766846</c:v>
                </c:pt>
                <c:pt idx="169">
                  <c:v>2.2619900703430176</c:v>
                </c:pt>
                <c:pt idx="170">
                  <c:v>2.2522072792053223</c:v>
                </c:pt>
                <c:pt idx="171">
                  <c:v>2.360238790512085</c:v>
                </c:pt>
                <c:pt idx="172">
                  <c:v>2.3234822750091553</c:v>
                </c:pt>
                <c:pt idx="173">
                  <c:v>2.2310364246368408</c:v>
                </c:pt>
                <c:pt idx="174">
                  <c:v>2.3211965560913086</c:v>
                </c:pt>
                <c:pt idx="175">
                  <c:v>2.2710244655609131</c:v>
                </c:pt>
                <c:pt idx="176">
                  <c:v>2.2257301807403564</c:v>
                </c:pt>
                <c:pt idx="177">
                  <c:v>2.2631533145904541</c:v>
                </c:pt>
                <c:pt idx="178">
                  <c:v>2.2136752605438232</c:v>
                </c:pt>
                <c:pt idx="179">
                  <c:v>2.1983344554901123</c:v>
                </c:pt>
                <c:pt idx="180">
                  <c:v>2.2575953006744385</c:v>
                </c:pt>
                <c:pt idx="181">
                  <c:v>2.2544660568237305</c:v>
                </c:pt>
                <c:pt idx="182">
                  <c:v>2.2360775470733643</c:v>
                </c:pt>
                <c:pt idx="183">
                  <c:v>2.2049469947814941</c:v>
                </c:pt>
                <c:pt idx="184">
                  <c:v>2.1682379245758057</c:v>
                </c:pt>
                <c:pt idx="185">
                  <c:v>2.2329413890838623</c:v>
                </c:pt>
                <c:pt idx="186">
                  <c:v>2.2043347358703613</c:v>
                </c:pt>
                <c:pt idx="187">
                  <c:v>2.2225463390350342</c:v>
                </c:pt>
                <c:pt idx="188">
                  <c:v>2.3206045627593994</c:v>
                </c:pt>
                <c:pt idx="189">
                  <c:v>2.2050967216491699</c:v>
                </c:pt>
                <c:pt idx="190">
                  <c:v>2.1845855712890625</c:v>
                </c:pt>
                <c:pt idx="191">
                  <c:v>2.2375876903533936</c:v>
                </c:pt>
                <c:pt idx="192">
                  <c:v>2.125420093536377</c:v>
                </c:pt>
                <c:pt idx="193">
                  <c:v>2.1199436187744141</c:v>
                </c:pt>
                <c:pt idx="194">
                  <c:v>2.1615438461303711</c:v>
                </c:pt>
                <c:pt idx="195">
                  <c:v>2.1392912864685059</c:v>
                </c:pt>
                <c:pt idx="196">
                  <c:v>2.1111881732940674</c:v>
                </c:pt>
                <c:pt idx="197">
                  <c:v>2.1539857387542725</c:v>
                </c:pt>
                <c:pt idx="198">
                  <c:v>2.1520264148712158</c:v>
                </c:pt>
                <c:pt idx="199">
                  <c:v>2.1281547546386719</c:v>
                </c:pt>
                <c:pt idx="200">
                  <c:v>2.1429717540740967</c:v>
                </c:pt>
                <c:pt idx="201">
                  <c:v>2.0601248741149902</c:v>
                </c:pt>
                <c:pt idx="202">
                  <c:v>2.1021332740783691</c:v>
                </c:pt>
                <c:pt idx="203">
                  <c:v>2.1599996089935303</c:v>
                </c:pt>
                <c:pt idx="204">
                  <c:v>2.1448085308074951</c:v>
                </c:pt>
                <c:pt idx="205">
                  <c:v>2.1159162521362305</c:v>
                </c:pt>
                <c:pt idx="206">
                  <c:v>2.1415975093841553</c:v>
                </c:pt>
                <c:pt idx="207">
                  <c:v>2.1377742290496826</c:v>
                </c:pt>
                <c:pt idx="208">
                  <c:v>2.1045756340026855</c:v>
                </c:pt>
                <c:pt idx="209">
                  <c:v>2.1474411487579346</c:v>
                </c:pt>
                <c:pt idx="210">
                  <c:v>2.1727960109710693</c:v>
                </c:pt>
                <c:pt idx="211">
                  <c:v>2.1145012378692627</c:v>
                </c:pt>
                <c:pt idx="212">
                  <c:v>2.094813346862793</c:v>
                </c:pt>
                <c:pt idx="213">
                  <c:v>2.1492917537689209</c:v>
                </c:pt>
                <c:pt idx="214">
                  <c:v>2.1009836196899414</c:v>
                </c:pt>
                <c:pt idx="215">
                  <c:v>2.1242430210113525</c:v>
                </c:pt>
                <c:pt idx="216">
                  <c:v>2.176619291305542</c:v>
                </c:pt>
                <c:pt idx="217">
                  <c:v>2</c:v>
                </c:pt>
                <c:pt idx="218">
                  <c:v>2.0182116031646729</c:v>
                </c:pt>
                <c:pt idx="219">
                  <c:v>2.1603736877441406</c:v>
                </c:pt>
                <c:pt idx="220">
                  <c:v>2.1584620475769043</c:v>
                </c:pt>
                <c:pt idx="221">
                  <c:v>2.1095690727233887</c:v>
                </c:pt>
                <c:pt idx="222">
                  <c:v>2.1208961009979248</c:v>
                </c:pt>
                <c:pt idx="223">
                  <c:v>2.1821908950805664</c:v>
                </c:pt>
                <c:pt idx="224">
                  <c:v>2.0994870662689209</c:v>
                </c:pt>
                <c:pt idx="225">
                  <c:v>2.2223286628723145</c:v>
                </c:pt>
              </c:numCache>
            </c:numRef>
          </c:yVal>
          <c:smooth val="1"/>
          <c:extLst>
            <c:ext xmlns:c15="http://schemas.microsoft.com/office/drawing/2012/chart" uri="{02D57815-91ED-43cb-92C2-25804820EDAC}">
              <c15:datalabelsRange>
                <c15:f>PeakLabels!$D$2:$D$300</c15:f>
                <c15:dlblRangeCache>
                  <c:ptCount val="299"/>
                  <c:pt idx="12">
                    <c:v>214</c:v>
                  </c:pt>
                  <c:pt idx="30">
                    <c:v>250</c:v>
                  </c:pt>
                  <c:pt idx="53">
                    <c:v>298s</c:v>
                  </c:pt>
                  <c:pt idx="60">
                    <c:v>310</c:v>
                  </c:pt>
                </c15:dlblRangeCache>
              </c15:datalabelsRange>
            </c:ext>
            <c:ext xmlns:c16="http://schemas.microsoft.com/office/drawing/2014/chart" uri="{C3380CC4-5D6E-409C-BE32-E72D297353CC}">
              <c16:uniqueId val="{00000000-E32E-4E94-AD62-9B15C91FD271}"/>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8A03574E-2690-4B3C-A633-7F1F91E4CA2A}"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32E-4E94-AD62-9B15C91FD271}"/>
                </c:ext>
              </c:extLst>
            </c:dLbl>
            <c:dLbl>
              <c:idx val="1"/>
              <c:tx>
                <c:rich>
                  <a:bodyPr/>
                  <a:lstStyle/>
                  <a:p>
                    <a:fld id="{4A8BA173-76C7-4C75-A450-CA82B78792FA}"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32E-4E94-AD62-9B15C91FD271}"/>
                </c:ext>
              </c:extLst>
            </c:dLbl>
            <c:dLbl>
              <c:idx val="2"/>
              <c:tx>
                <c:rich>
                  <a:bodyPr/>
                  <a:lstStyle/>
                  <a:p>
                    <a:fld id="{B18F3FAB-CD89-4608-B0DB-937FDFA87BC5}"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32E-4E94-AD62-9B15C91FD271}"/>
                </c:ext>
              </c:extLst>
            </c:dLbl>
            <c:dLbl>
              <c:idx val="3"/>
              <c:tx>
                <c:rich>
                  <a:bodyPr/>
                  <a:lstStyle/>
                  <a:p>
                    <a:fld id="{7A1BA800-F905-42A5-A478-06F04FDA18F9}"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32E-4E94-AD62-9B15C91FD271}"/>
                </c:ext>
              </c:extLst>
            </c:dLbl>
            <c:dLbl>
              <c:idx val="4"/>
              <c:tx>
                <c:rich>
                  <a:bodyPr/>
                  <a:lstStyle/>
                  <a:p>
                    <a:fld id="{7CC224BE-03E9-41D8-B623-D98D2CC9E9E0}"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32E-4E94-AD62-9B15C91FD271}"/>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E32E-4E94-AD62-9B15C91FD271}"/>
            </c:ext>
          </c:extLst>
        </c:ser>
        <c:dLbls>
          <c:showLegendKey val="0"/>
          <c:showVal val="0"/>
          <c:showCatName val="0"/>
          <c:showSerName val="0"/>
          <c:showPercent val="0"/>
          <c:showBubbleSize val="0"/>
        </c:dLbls>
        <c:axId val="1569265744"/>
        <c:axId val="1569266288"/>
      </c:scatterChart>
      <c:valAx>
        <c:axId val="156926574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6288"/>
        <c:crossesAt val="0"/>
        <c:crossBetween val="midCat"/>
        <c:majorUnit val="100"/>
      </c:valAx>
      <c:valAx>
        <c:axId val="1569266288"/>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574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61687C63-AA07-423D-A714-902E1A755D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530-499B-8B30-184D7CD3B07E}"/>
                </c:ext>
              </c:extLst>
            </c:dLbl>
            <c:dLbl>
              <c:idx val="1"/>
              <c:tx>
                <c:rich>
                  <a:bodyPr/>
                  <a:lstStyle/>
                  <a:p>
                    <a:fld id="{1C282A57-4CC5-4EA0-92BD-EA305F85FB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530-499B-8B30-184D7CD3B07E}"/>
                </c:ext>
              </c:extLst>
            </c:dLbl>
            <c:dLbl>
              <c:idx val="2"/>
              <c:tx>
                <c:rich>
                  <a:bodyPr/>
                  <a:lstStyle/>
                  <a:p>
                    <a:fld id="{A64C8F98-13E2-4338-9D1D-D5039B30A6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530-499B-8B30-184D7CD3B07E}"/>
                </c:ext>
              </c:extLst>
            </c:dLbl>
            <c:dLbl>
              <c:idx val="3"/>
              <c:tx>
                <c:rich>
                  <a:bodyPr/>
                  <a:lstStyle/>
                  <a:p>
                    <a:fld id="{CE44733D-8B91-4BDC-9CDF-4E14A8C4EB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530-499B-8B30-184D7CD3B07E}"/>
                </c:ext>
              </c:extLst>
            </c:dLbl>
            <c:dLbl>
              <c:idx val="4"/>
              <c:tx>
                <c:rich>
                  <a:bodyPr/>
                  <a:lstStyle/>
                  <a:p>
                    <a:fld id="{655A0786-67FF-482B-9985-A4E9805935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530-499B-8B30-184D7CD3B07E}"/>
                </c:ext>
              </c:extLst>
            </c:dLbl>
            <c:dLbl>
              <c:idx val="5"/>
              <c:tx>
                <c:rich>
                  <a:bodyPr/>
                  <a:lstStyle/>
                  <a:p>
                    <a:fld id="{2CD7EA93-C118-43D6-9A38-D8C56963F3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530-499B-8B30-184D7CD3B07E}"/>
                </c:ext>
              </c:extLst>
            </c:dLbl>
            <c:dLbl>
              <c:idx val="6"/>
              <c:tx>
                <c:rich>
                  <a:bodyPr/>
                  <a:lstStyle/>
                  <a:p>
                    <a:fld id="{931644BB-9DAE-4B14-AC99-D6E7B6D25F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530-499B-8B30-184D7CD3B07E}"/>
                </c:ext>
              </c:extLst>
            </c:dLbl>
            <c:dLbl>
              <c:idx val="7"/>
              <c:tx>
                <c:rich>
                  <a:bodyPr/>
                  <a:lstStyle/>
                  <a:p>
                    <a:fld id="{4374C09D-D182-40E1-878F-72504A3A31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530-499B-8B30-184D7CD3B07E}"/>
                </c:ext>
              </c:extLst>
            </c:dLbl>
            <c:dLbl>
              <c:idx val="8"/>
              <c:tx>
                <c:rich>
                  <a:bodyPr/>
                  <a:lstStyle/>
                  <a:p>
                    <a:fld id="{054D040C-AE92-4FE5-9DDC-9CD9C1C087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530-499B-8B30-184D7CD3B07E}"/>
                </c:ext>
              </c:extLst>
            </c:dLbl>
            <c:dLbl>
              <c:idx val="9"/>
              <c:tx>
                <c:rich>
                  <a:bodyPr/>
                  <a:lstStyle/>
                  <a:p>
                    <a:fld id="{41838B9D-F5F5-4544-AB4B-FBC415E379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530-499B-8B30-184D7CD3B07E}"/>
                </c:ext>
              </c:extLst>
            </c:dLbl>
            <c:dLbl>
              <c:idx val="10"/>
              <c:tx>
                <c:rich>
                  <a:bodyPr/>
                  <a:lstStyle/>
                  <a:p>
                    <a:fld id="{0A4BD2A3-E1EF-4019-9493-24B4FB655E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530-499B-8B30-184D7CD3B07E}"/>
                </c:ext>
              </c:extLst>
            </c:dLbl>
            <c:dLbl>
              <c:idx val="11"/>
              <c:tx>
                <c:rich>
                  <a:bodyPr/>
                  <a:lstStyle/>
                  <a:p>
                    <a:fld id="{B1C6B923-2D38-4E24-89FD-CEB06623F5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530-499B-8B30-184D7CD3B07E}"/>
                </c:ext>
              </c:extLst>
            </c:dLbl>
            <c:dLbl>
              <c:idx val="12"/>
              <c:tx>
                <c:rich>
                  <a:bodyPr/>
                  <a:lstStyle/>
                  <a:p>
                    <a:fld id="{85F7097F-A4C0-4D63-8A61-9D12D1A132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530-499B-8B30-184D7CD3B07E}"/>
                </c:ext>
              </c:extLst>
            </c:dLbl>
            <c:dLbl>
              <c:idx val="13"/>
              <c:tx>
                <c:rich>
                  <a:bodyPr/>
                  <a:lstStyle/>
                  <a:p>
                    <a:fld id="{DBE7F08D-CE8A-451C-976E-40AF940CB5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530-499B-8B30-184D7CD3B07E}"/>
                </c:ext>
              </c:extLst>
            </c:dLbl>
            <c:dLbl>
              <c:idx val="14"/>
              <c:tx>
                <c:rich>
                  <a:bodyPr/>
                  <a:lstStyle/>
                  <a:p>
                    <a:fld id="{03D6DB00-8978-4DDF-9406-16A7B1260A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530-499B-8B30-184D7CD3B07E}"/>
                </c:ext>
              </c:extLst>
            </c:dLbl>
            <c:dLbl>
              <c:idx val="15"/>
              <c:tx>
                <c:rich>
                  <a:bodyPr/>
                  <a:lstStyle/>
                  <a:p>
                    <a:fld id="{3D2CDE85-54D5-444C-8AE0-AFCACEC950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530-499B-8B30-184D7CD3B07E}"/>
                </c:ext>
              </c:extLst>
            </c:dLbl>
            <c:dLbl>
              <c:idx val="16"/>
              <c:tx>
                <c:rich>
                  <a:bodyPr/>
                  <a:lstStyle/>
                  <a:p>
                    <a:fld id="{F77D6AD9-EEF5-4390-AB49-2CD6E95C8A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530-499B-8B30-184D7CD3B07E}"/>
                </c:ext>
              </c:extLst>
            </c:dLbl>
            <c:dLbl>
              <c:idx val="17"/>
              <c:tx>
                <c:rich>
                  <a:bodyPr/>
                  <a:lstStyle/>
                  <a:p>
                    <a:fld id="{625E2027-406B-4E5E-A59F-48EE19DDBD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530-499B-8B30-184D7CD3B07E}"/>
                </c:ext>
              </c:extLst>
            </c:dLbl>
            <c:dLbl>
              <c:idx val="18"/>
              <c:tx>
                <c:rich>
                  <a:bodyPr/>
                  <a:lstStyle/>
                  <a:p>
                    <a:fld id="{11383041-CE78-4715-8C14-E4EB1B9447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530-499B-8B30-184D7CD3B07E}"/>
                </c:ext>
              </c:extLst>
            </c:dLbl>
            <c:dLbl>
              <c:idx val="19"/>
              <c:tx>
                <c:rich>
                  <a:bodyPr/>
                  <a:lstStyle/>
                  <a:p>
                    <a:fld id="{70C17D17-419E-4A4F-A368-25EC44ACB7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D530-499B-8B30-184D7CD3B07E}"/>
                </c:ext>
              </c:extLst>
            </c:dLbl>
            <c:dLbl>
              <c:idx val="20"/>
              <c:tx>
                <c:rich>
                  <a:bodyPr/>
                  <a:lstStyle/>
                  <a:p>
                    <a:fld id="{FE205ABA-1DB4-4991-92BA-970BD495B5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D530-499B-8B30-184D7CD3B07E}"/>
                </c:ext>
              </c:extLst>
            </c:dLbl>
            <c:dLbl>
              <c:idx val="21"/>
              <c:tx>
                <c:rich>
                  <a:bodyPr/>
                  <a:lstStyle/>
                  <a:p>
                    <a:fld id="{66D6B00C-F334-40F7-8921-01CE36105A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D530-499B-8B30-184D7CD3B07E}"/>
                </c:ext>
              </c:extLst>
            </c:dLbl>
            <c:dLbl>
              <c:idx val="22"/>
              <c:tx>
                <c:rich>
                  <a:bodyPr/>
                  <a:lstStyle/>
                  <a:p>
                    <a:fld id="{466F8F33-561A-4732-8F09-75C4A1D96E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D530-499B-8B30-184D7CD3B07E}"/>
                </c:ext>
              </c:extLst>
            </c:dLbl>
            <c:dLbl>
              <c:idx val="23"/>
              <c:tx>
                <c:rich>
                  <a:bodyPr/>
                  <a:lstStyle/>
                  <a:p>
                    <a:fld id="{8F422CF5-C3DE-460F-94D8-013152B7CD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D530-499B-8B30-184D7CD3B07E}"/>
                </c:ext>
              </c:extLst>
            </c:dLbl>
            <c:dLbl>
              <c:idx val="24"/>
              <c:tx>
                <c:rich>
                  <a:bodyPr/>
                  <a:lstStyle/>
                  <a:p>
                    <a:fld id="{55A992A4-E6AF-47C9-AF4A-1D3CDD480C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D530-499B-8B30-184D7CD3B07E}"/>
                </c:ext>
              </c:extLst>
            </c:dLbl>
            <c:dLbl>
              <c:idx val="25"/>
              <c:tx>
                <c:rich>
                  <a:bodyPr/>
                  <a:lstStyle/>
                  <a:p>
                    <a:fld id="{C9DA19F2-B439-487C-BD42-4ABB28E44C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D530-499B-8B30-184D7CD3B07E}"/>
                </c:ext>
              </c:extLst>
            </c:dLbl>
            <c:dLbl>
              <c:idx val="26"/>
              <c:tx>
                <c:rich>
                  <a:bodyPr/>
                  <a:lstStyle/>
                  <a:p>
                    <a:fld id="{3F18B0C3-D6FB-4953-81F3-03361D4AC4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D530-499B-8B30-184D7CD3B07E}"/>
                </c:ext>
              </c:extLst>
            </c:dLbl>
            <c:dLbl>
              <c:idx val="27"/>
              <c:tx>
                <c:rich>
                  <a:bodyPr/>
                  <a:lstStyle/>
                  <a:p>
                    <a:fld id="{9805DD26-C5D5-4E74-9A6B-CFC3B7CA56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D530-499B-8B30-184D7CD3B07E}"/>
                </c:ext>
              </c:extLst>
            </c:dLbl>
            <c:dLbl>
              <c:idx val="28"/>
              <c:tx>
                <c:rich>
                  <a:bodyPr/>
                  <a:lstStyle/>
                  <a:p>
                    <a:fld id="{80F8B95A-D118-4E31-954B-AE4143113E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D530-499B-8B30-184D7CD3B07E}"/>
                </c:ext>
              </c:extLst>
            </c:dLbl>
            <c:dLbl>
              <c:idx val="29"/>
              <c:tx>
                <c:rich>
                  <a:bodyPr/>
                  <a:lstStyle/>
                  <a:p>
                    <a:fld id="{E1B31495-31C5-4C89-BB63-2EC29AB54B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D530-499B-8B30-184D7CD3B07E}"/>
                </c:ext>
              </c:extLst>
            </c:dLbl>
            <c:dLbl>
              <c:idx val="30"/>
              <c:tx>
                <c:rich>
                  <a:bodyPr/>
                  <a:lstStyle/>
                  <a:p>
                    <a:fld id="{236586BC-A30A-48F2-B162-10AC2A3DCE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D530-499B-8B30-184D7CD3B07E}"/>
                </c:ext>
              </c:extLst>
            </c:dLbl>
            <c:dLbl>
              <c:idx val="31"/>
              <c:tx>
                <c:rich>
                  <a:bodyPr/>
                  <a:lstStyle/>
                  <a:p>
                    <a:fld id="{57269211-E23D-4811-82F9-FC81858BBF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D530-499B-8B30-184D7CD3B07E}"/>
                </c:ext>
              </c:extLst>
            </c:dLbl>
            <c:dLbl>
              <c:idx val="32"/>
              <c:tx>
                <c:rich>
                  <a:bodyPr/>
                  <a:lstStyle/>
                  <a:p>
                    <a:fld id="{93EB4E11-2BD0-47D5-A691-C44B928419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D530-499B-8B30-184D7CD3B07E}"/>
                </c:ext>
              </c:extLst>
            </c:dLbl>
            <c:dLbl>
              <c:idx val="33"/>
              <c:tx>
                <c:rich>
                  <a:bodyPr/>
                  <a:lstStyle/>
                  <a:p>
                    <a:fld id="{1EF7EF0E-8926-464D-BE06-986ECE162B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D530-499B-8B30-184D7CD3B07E}"/>
                </c:ext>
              </c:extLst>
            </c:dLbl>
            <c:dLbl>
              <c:idx val="34"/>
              <c:tx>
                <c:rich>
                  <a:bodyPr/>
                  <a:lstStyle/>
                  <a:p>
                    <a:fld id="{26EC9C87-81AF-4033-A3C4-07614BDC8E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D530-499B-8B30-184D7CD3B07E}"/>
                </c:ext>
              </c:extLst>
            </c:dLbl>
            <c:dLbl>
              <c:idx val="35"/>
              <c:tx>
                <c:rich>
                  <a:bodyPr/>
                  <a:lstStyle/>
                  <a:p>
                    <a:fld id="{58679D7F-B6F0-4556-AC8F-F965A044F3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D530-499B-8B30-184D7CD3B07E}"/>
                </c:ext>
              </c:extLst>
            </c:dLbl>
            <c:dLbl>
              <c:idx val="36"/>
              <c:tx>
                <c:rich>
                  <a:bodyPr/>
                  <a:lstStyle/>
                  <a:p>
                    <a:fld id="{092D3465-8A71-4781-9CB8-1C3191FB32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D530-499B-8B30-184D7CD3B07E}"/>
                </c:ext>
              </c:extLst>
            </c:dLbl>
            <c:dLbl>
              <c:idx val="37"/>
              <c:tx>
                <c:rich>
                  <a:bodyPr/>
                  <a:lstStyle/>
                  <a:p>
                    <a:fld id="{E1C39837-71B2-4960-99CA-FF5D6BFEE5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D530-499B-8B30-184D7CD3B07E}"/>
                </c:ext>
              </c:extLst>
            </c:dLbl>
            <c:dLbl>
              <c:idx val="38"/>
              <c:tx>
                <c:rich>
                  <a:bodyPr/>
                  <a:lstStyle/>
                  <a:p>
                    <a:fld id="{5B0A2AEE-1BD8-49A6-A34D-686FEF26AE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D530-499B-8B30-184D7CD3B07E}"/>
                </c:ext>
              </c:extLst>
            </c:dLbl>
            <c:dLbl>
              <c:idx val="39"/>
              <c:tx>
                <c:rich>
                  <a:bodyPr/>
                  <a:lstStyle/>
                  <a:p>
                    <a:fld id="{50D927BB-B410-44EF-8524-DCDB7B8AD6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D530-499B-8B30-184D7CD3B07E}"/>
                </c:ext>
              </c:extLst>
            </c:dLbl>
            <c:dLbl>
              <c:idx val="40"/>
              <c:tx>
                <c:rich>
                  <a:bodyPr/>
                  <a:lstStyle/>
                  <a:p>
                    <a:fld id="{C5EA199F-79A8-46CF-97B0-8D1C5F34F9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D530-499B-8B30-184D7CD3B07E}"/>
                </c:ext>
              </c:extLst>
            </c:dLbl>
            <c:dLbl>
              <c:idx val="41"/>
              <c:tx>
                <c:rich>
                  <a:bodyPr/>
                  <a:lstStyle/>
                  <a:p>
                    <a:fld id="{CAAED6C9-87D3-4B2C-A046-92B303CFEF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D530-499B-8B30-184D7CD3B07E}"/>
                </c:ext>
              </c:extLst>
            </c:dLbl>
            <c:dLbl>
              <c:idx val="42"/>
              <c:tx>
                <c:rich>
                  <a:bodyPr/>
                  <a:lstStyle/>
                  <a:p>
                    <a:fld id="{A501A576-C17A-4019-B46F-CB88169D1F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D530-499B-8B30-184D7CD3B07E}"/>
                </c:ext>
              </c:extLst>
            </c:dLbl>
            <c:dLbl>
              <c:idx val="43"/>
              <c:tx>
                <c:rich>
                  <a:bodyPr/>
                  <a:lstStyle/>
                  <a:p>
                    <a:fld id="{8C1FB2AC-26AE-40BE-84C6-5ADB7A9E4E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D530-499B-8B30-184D7CD3B07E}"/>
                </c:ext>
              </c:extLst>
            </c:dLbl>
            <c:dLbl>
              <c:idx val="44"/>
              <c:tx>
                <c:rich>
                  <a:bodyPr/>
                  <a:lstStyle/>
                  <a:p>
                    <a:fld id="{2DC82BCF-D9B5-4CB0-8F68-3685B03552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D530-499B-8B30-184D7CD3B07E}"/>
                </c:ext>
              </c:extLst>
            </c:dLbl>
            <c:dLbl>
              <c:idx val="45"/>
              <c:tx>
                <c:rich>
                  <a:bodyPr/>
                  <a:lstStyle/>
                  <a:p>
                    <a:fld id="{500E1792-197C-4C42-A19A-0EE1477D8F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D530-499B-8B30-184D7CD3B07E}"/>
                </c:ext>
              </c:extLst>
            </c:dLbl>
            <c:dLbl>
              <c:idx val="46"/>
              <c:tx>
                <c:rich>
                  <a:bodyPr/>
                  <a:lstStyle/>
                  <a:p>
                    <a:fld id="{7F0AC02D-2275-4149-926B-A99C363A69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D530-499B-8B30-184D7CD3B07E}"/>
                </c:ext>
              </c:extLst>
            </c:dLbl>
            <c:dLbl>
              <c:idx val="47"/>
              <c:tx>
                <c:rich>
                  <a:bodyPr/>
                  <a:lstStyle/>
                  <a:p>
                    <a:fld id="{54164D50-09E5-41B3-92FA-6810D1AA6B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D530-499B-8B30-184D7CD3B07E}"/>
                </c:ext>
              </c:extLst>
            </c:dLbl>
            <c:dLbl>
              <c:idx val="48"/>
              <c:tx>
                <c:rich>
                  <a:bodyPr/>
                  <a:lstStyle/>
                  <a:p>
                    <a:fld id="{EFE88DD6-18DF-465F-BA14-EFEA6B1914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D530-499B-8B30-184D7CD3B07E}"/>
                </c:ext>
              </c:extLst>
            </c:dLbl>
            <c:dLbl>
              <c:idx val="49"/>
              <c:tx>
                <c:rich>
                  <a:bodyPr/>
                  <a:lstStyle/>
                  <a:p>
                    <a:fld id="{7643D1A6-D945-4937-A4DC-2C1E2BAC8E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D530-499B-8B30-184D7CD3B07E}"/>
                </c:ext>
              </c:extLst>
            </c:dLbl>
            <c:dLbl>
              <c:idx val="50"/>
              <c:tx>
                <c:rich>
                  <a:bodyPr/>
                  <a:lstStyle/>
                  <a:p>
                    <a:fld id="{28EE2A39-5850-4B53-9E71-E65C803EEA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D530-499B-8B30-184D7CD3B07E}"/>
                </c:ext>
              </c:extLst>
            </c:dLbl>
            <c:dLbl>
              <c:idx val="51"/>
              <c:tx>
                <c:rich>
                  <a:bodyPr/>
                  <a:lstStyle/>
                  <a:p>
                    <a:fld id="{0C2DE5A1-5827-4B61-A5A0-370B0C3224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D530-499B-8B30-184D7CD3B07E}"/>
                </c:ext>
              </c:extLst>
            </c:dLbl>
            <c:dLbl>
              <c:idx val="52"/>
              <c:tx>
                <c:rich>
                  <a:bodyPr/>
                  <a:lstStyle/>
                  <a:p>
                    <a:fld id="{640DA305-0169-4040-98A4-713DC6F51A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D530-499B-8B30-184D7CD3B07E}"/>
                </c:ext>
              </c:extLst>
            </c:dLbl>
            <c:dLbl>
              <c:idx val="53"/>
              <c:tx>
                <c:rich>
                  <a:bodyPr/>
                  <a:lstStyle/>
                  <a:p>
                    <a:fld id="{D0377EC5-66BD-4832-94B0-2266EE7561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D530-499B-8B30-184D7CD3B07E}"/>
                </c:ext>
              </c:extLst>
            </c:dLbl>
            <c:dLbl>
              <c:idx val="54"/>
              <c:tx>
                <c:rich>
                  <a:bodyPr/>
                  <a:lstStyle/>
                  <a:p>
                    <a:fld id="{740F4223-BDFC-42AF-89CF-C866AED547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D530-499B-8B30-184D7CD3B07E}"/>
                </c:ext>
              </c:extLst>
            </c:dLbl>
            <c:dLbl>
              <c:idx val="55"/>
              <c:tx>
                <c:rich>
                  <a:bodyPr/>
                  <a:lstStyle/>
                  <a:p>
                    <a:fld id="{EB5004A4-7B70-40F2-93DA-E4AA263355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D530-499B-8B30-184D7CD3B07E}"/>
                </c:ext>
              </c:extLst>
            </c:dLbl>
            <c:dLbl>
              <c:idx val="56"/>
              <c:tx>
                <c:rich>
                  <a:bodyPr/>
                  <a:lstStyle/>
                  <a:p>
                    <a:fld id="{C652B544-81EB-460E-B821-3902A97526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D530-499B-8B30-184D7CD3B07E}"/>
                </c:ext>
              </c:extLst>
            </c:dLbl>
            <c:dLbl>
              <c:idx val="57"/>
              <c:tx>
                <c:rich>
                  <a:bodyPr/>
                  <a:lstStyle/>
                  <a:p>
                    <a:fld id="{EB89FBB5-AE55-466A-BD09-516B02DFB1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D530-499B-8B30-184D7CD3B07E}"/>
                </c:ext>
              </c:extLst>
            </c:dLbl>
            <c:dLbl>
              <c:idx val="58"/>
              <c:tx>
                <c:rich>
                  <a:bodyPr/>
                  <a:lstStyle/>
                  <a:p>
                    <a:fld id="{FA170C57-3D13-4F7E-975A-A1F624E1ED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D530-499B-8B30-184D7CD3B07E}"/>
                </c:ext>
              </c:extLst>
            </c:dLbl>
            <c:dLbl>
              <c:idx val="59"/>
              <c:tx>
                <c:rich>
                  <a:bodyPr/>
                  <a:lstStyle/>
                  <a:p>
                    <a:fld id="{4940B2C2-5EF0-4CDF-A13E-398BB98A7F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D530-499B-8B30-184D7CD3B07E}"/>
                </c:ext>
              </c:extLst>
            </c:dLbl>
            <c:dLbl>
              <c:idx val="60"/>
              <c:tx>
                <c:rich>
                  <a:bodyPr/>
                  <a:lstStyle/>
                  <a:p>
                    <a:fld id="{482AB5C5-557B-46BA-A7EE-D50733C1DA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D530-499B-8B30-184D7CD3B07E}"/>
                </c:ext>
              </c:extLst>
            </c:dLbl>
            <c:dLbl>
              <c:idx val="61"/>
              <c:tx>
                <c:rich>
                  <a:bodyPr/>
                  <a:lstStyle/>
                  <a:p>
                    <a:fld id="{031D3C37-D47A-4222-9C49-FDC630094F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D530-499B-8B30-184D7CD3B07E}"/>
                </c:ext>
              </c:extLst>
            </c:dLbl>
            <c:dLbl>
              <c:idx val="62"/>
              <c:tx>
                <c:rich>
                  <a:bodyPr/>
                  <a:lstStyle/>
                  <a:p>
                    <a:fld id="{AD296901-E895-4A69-8B20-EF7DE9ED5B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D530-499B-8B30-184D7CD3B07E}"/>
                </c:ext>
              </c:extLst>
            </c:dLbl>
            <c:dLbl>
              <c:idx val="63"/>
              <c:tx>
                <c:rich>
                  <a:bodyPr/>
                  <a:lstStyle/>
                  <a:p>
                    <a:fld id="{62A3D790-6F65-4A4D-8C6D-1577D2ED6C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D530-499B-8B30-184D7CD3B07E}"/>
                </c:ext>
              </c:extLst>
            </c:dLbl>
            <c:dLbl>
              <c:idx val="64"/>
              <c:tx>
                <c:rich>
                  <a:bodyPr/>
                  <a:lstStyle/>
                  <a:p>
                    <a:fld id="{E67D6A48-65C5-4EB3-AD6A-CDB02F20EA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D530-499B-8B30-184D7CD3B07E}"/>
                </c:ext>
              </c:extLst>
            </c:dLbl>
            <c:dLbl>
              <c:idx val="65"/>
              <c:tx>
                <c:rich>
                  <a:bodyPr/>
                  <a:lstStyle/>
                  <a:p>
                    <a:fld id="{41F5E5F3-3BA5-44AA-965E-55519A1DA2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D530-499B-8B30-184D7CD3B07E}"/>
                </c:ext>
              </c:extLst>
            </c:dLbl>
            <c:dLbl>
              <c:idx val="66"/>
              <c:tx>
                <c:rich>
                  <a:bodyPr/>
                  <a:lstStyle/>
                  <a:p>
                    <a:fld id="{DA7B4131-01C0-4E55-9A02-2C96EA84C0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D530-499B-8B30-184D7CD3B07E}"/>
                </c:ext>
              </c:extLst>
            </c:dLbl>
            <c:dLbl>
              <c:idx val="67"/>
              <c:tx>
                <c:rich>
                  <a:bodyPr/>
                  <a:lstStyle/>
                  <a:p>
                    <a:fld id="{CE1E0AC5-E216-4D0E-A9A3-6F8ED2B04A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D530-499B-8B30-184D7CD3B07E}"/>
                </c:ext>
              </c:extLst>
            </c:dLbl>
            <c:dLbl>
              <c:idx val="68"/>
              <c:tx>
                <c:rich>
                  <a:bodyPr/>
                  <a:lstStyle/>
                  <a:p>
                    <a:fld id="{6A1ADCBD-7251-4147-BC6A-49B76310B6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D530-499B-8B30-184D7CD3B07E}"/>
                </c:ext>
              </c:extLst>
            </c:dLbl>
            <c:dLbl>
              <c:idx val="69"/>
              <c:tx>
                <c:rich>
                  <a:bodyPr/>
                  <a:lstStyle/>
                  <a:p>
                    <a:fld id="{B4931109-F3E1-49C3-A88D-330B3B0F3B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D530-499B-8B30-184D7CD3B07E}"/>
                </c:ext>
              </c:extLst>
            </c:dLbl>
            <c:dLbl>
              <c:idx val="70"/>
              <c:tx>
                <c:rich>
                  <a:bodyPr/>
                  <a:lstStyle/>
                  <a:p>
                    <a:fld id="{45E4D2C2-03D6-40E1-9A1D-E0AABA63F0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D530-499B-8B30-184D7CD3B07E}"/>
                </c:ext>
              </c:extLst>
            </c:dLbl>
            <c:dLbl>
              <c:idx val="71"/>
              <c:tx>
                <c:rich>
                  <a:bodyPr/>
                  <a:lstStyle/>
                  <a:p>
                    <a:fld id="{5767CA71-2C8E-4342-AF29-B3449082AE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D530-499B-8B30-184D7CD3B07E}"/>
                </c:ext>
              </c:extLst>
            </c:dLbl>
            <c:dLbl>
              <c:idx val="72"/>
              <c:tx>
                <c:rich>
                  <a:bodyPr/>
                  <a:lstStyle/>
                  <a:p>
                    <a:fld id="{688C79C6-2B67-4EE3-8C28-A2EC47ED30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D530-499B-8B30-184D7CD3B07E}"/>
                </c:ext>
              </c:extLst>
            </c:dLbl>
            <c:dLbl>
              <c:idx val="73"/>
              <c:tx>
                <c:rich>
                  <a:bodyPr/>
                  <a:lstStyle/>
                  <a:p>
                    <a:fld id="{B30C73D2-225D-45E4-A5CA-39A6C134E9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D530-499B-8B30-184D7CD3B07E}"/>
                </c:ext>
              </c:extLst>
            </c:dLbl>
            <c:dLbl>
              <c:idx val="74"/>
              <c:tx>
                <c:rich>
                  <a:bodyPr/>
                  <a:lstStyle/>
                  <a:p>
                    <a:fld id="{38774646-EA73-4631-AB32-26FAC3DA54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D530-499B-8B30-184D7CD3B07E}"/>
                </c:ext>
              </c:extLst>
            </c:dLbl>
            <c:dLbl>
              <c:idx val="75"/>
              <c:tx>
                <c:rich>
                  <a:bodyPr/>
                  <a:lstStyle/>
                  <a:p>
                    <a:fld id="{B9C176E5-9F46-4836-85C5-E379E9ED78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D530-499B-8B30-184D7CD3B07E}"/>
                </c:ext>
              </c:extLst>
            </c:dLbl>
            <c:dLbl>
              <c:idx val="76"/>
              <c:tx>
                <c:rich>
                  <a:bodyPr/>
                  <a:lstStyle/>
                  <a:p>
                    <a:fld id="{D5A91DB2-E587-4BCF-A3D6-1C975F34D9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D530-499B-8B30-184D7CD3B07E}"/>
                </c:ext>
              </c:extLst>
            </c:dLbl>
            <c:dLbl>
              <c:idx val="77"/>
              <c:tx>
                <c:rich>
                  <a:bodyPr/>
                  <a:lstStyle/>
                  <a:p>
                    <a:fld id="{8478022F-BB43-4905-A6D3-B83E6D3524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D530-499B-8B30-184D7CD3B07E}"/>
                </c:ext>
              </c:extLst>
            </c:dLbl>
            <c:dLbl>
              <c:idx val="78"/>
              <c:tx>
                <c:rich>
                  <a:bodyPr/>
                  <a:lstStyle/>
                  <a:p>
                    <a:fld id="{DB582F0B-F230-4E27-8F18-B0DC83A5A0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D530-499B-8B30-184D7CD3B07E}"/>
                </c:ext>
              </c:extLst>
            </c:dLbl>
            <c:dLbl>
              <c:idx val="79"/>
              <c:tx>
                <c:rich>
                  <a:bodyPr/>
                  <a:lstStyle/>
                  <a:p>
                    <a:fld id="{C0F03D1B-7625-4570-BC71-48F800CE3B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D530-499B-8B30-184D7CD3B07E}"/>
                </c:ext>
              </c:extLst>
            </c:dLbl>
            <c:dLbl>
              <c:idx val="80"/>
              <c:tx>
                <c:rich>
                  <a:bodyPr/>
                  <a:lstStyle/>
                  <a:p>
                    <a:fld id="{BCEDC054-EE98-4AF7-B81D-B4D7751C1F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D530-499B-8B30-184D7CD3B07E}"/>
                </c:ext>
              </c:extLst>
            </c:dLbl>
            <c:dLbl>
              <c:idx val="81"/>
              <c:tx>
                <c:rich>
                  <a:bodyPr/>
                  <a:lstStyle/>
                  <a:p>
                    <a:fld id="{DF54706D-58A5-4685-AF00-21B53CA642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D530-499B-8B30-184D7CD3B07E}"/>
                </c:ext>
              </c:extLst>
            </c:dLbl>
            <c:dLbl>
              <c:idx val="82"/>
              <c:tx>
                <c:rich>
                  <a:bodyPr/>
                  <a:lstStyle/>
                  <a:p>
                    <a:fld id="{541DE78F-8357-46E0-B29B-AA7703E1C1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D530-499B-8B30-184D7CD3B07E}"/>
                </c:ext>
              </c:extLst>
            </c:dLbl>
            <c:dLbl>
              <c:idx val="83"/>
              <c:tx>
                <c:rich>
                  <a:bodyPr/>
                  <a:lstStyle/>
                  <a:p>
                    <a:fld id="{29D4DB64-ECB8-4161-9D79-BA882008D8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D530-499B-8B30-184D7CD3B07E}"/>
                </c:ext>
              </c:extLst>
            </c:dLbl>
            <c:dLbl>
              <c:idx val="84"/>
              <c:tx>
                <c:rich>
                  <a:bodyPr/>
                  <a:lstStyle/>
                  <a:p>
                    <a:fld id="{14D3B243-5C72-4BAF-B81A-054B980678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D530-499B-8B30-184D7CD3B07E}"/>
                </c:ext>
              </c:extLst>
            </c:dLbl>
            <c:dLbl>
              <c:idx val="85"/>
              <c:tx>
                <c:rich>
                  <a:bodyPr/>
                  <a:lstStyle/>
                  <a:p>
                    <a:fld id="{3C82FB0E-2C8B-40D8-A755-1619ECE9AD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D530-499B-8B30-184D7CD3B07E}"/>
                </c:ext>
              </c:extLst>
            </c:dLbl>
            <c:dLbl>
              <c:idx val="86"/>
              <c:tx>
                <c:rich>
                  <a:bodyPr/>
                  <a:lstStyle/>
                  <a:p>
                    <a:fld id="{3BDE9E5A-86ED-4ECD-9B0D-67A7117991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D530-499B-8B30-184D7CD3B07E}"/>
                </c:ext>
              </c:extLst>
            </c:dLbl>
            <c:dLbl>
              <c:idx val="87"/>
              <c:tx>
                <c:rich>
                  <a:bodyPr/>
                  <a:lstStyle/>
                  <a:p>
                    <a:fld id="{E5268076-8564-4FB7-B3D2-5075B53D5D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D530-499B-8B30-184D7CD3B07E}"/>
                </c:ext>
              </c:extLst>
            </c:dLbl>
            <c:dLbl>
              <c:idx val="88"/>
              <c:tx>
                <c:rich>
                  <a:bodyPr/>
                  <a:lstStyle/>
                  <a:p>
                    <a:fld id="{C0AB6D1D-6146-48ED-87D6-C071EA4269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D530-499B-8B30-184D7CD3B07E}"/>
                </c:ext>
              </c:extLst>
            </c:dLbl>
            <c:dLbl>
              <c:idx val="89"/>
              <c:tx>
                <c:rich>
                  <a:bodyPr/>
                  <a:lstStyle/>
                  <a:p>
                    <a:fld id="{16D24672-7143-49BE-BA85-C9831E5156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D530-499B-8B30-184D7CD3B07E}"/>
                </c:ext>
              </c:extLst>
            </c:dLbl>
            <c:dLbl>
              <c:idx val="90"/>
              <c:tx>
                <c:rich>
                  <a:bodyPr/>
                  <a:lstStyle/>
                  <a:p>
                    <a:fld id="{1B6AAB8F-9AF4-4413-ABA7-BCE9AE08E2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D530-499B-8B30-184D7CD3B07E}"/>
                </c:ext>
              </c:extLst>
            </c:dLbl>
            <c:dLbl>
              <c:idx val="91"/>
              <c:tx>
                <c:rich>
                  <a:bodyPr/>
                  <a:lstStyle/>
                  <a:p>
                    <a:fld id="{3F47F719-76C3-418A-8844-5D49EE65A4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D530-499B-8B30-184D7CD3B07E}"/>
                </c:ext>
              </c:extLst>
            </c:dLbl>
            <c:dLbl>
              <c:idx val="92"/>
              <c:tx>
                <c:rich>
                  <a:bodyPr/>
                  <a:lstStyle/>
                  <a:p>
                    <a:fld id="{46BDCA87-73A8-4E0A-A775-7E9EFBB79D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D530-499B-8B30-184D7CD3B07E}"/>
                </c:ext>
              </c:extLst>
            </c:dLbl>
            <c:dLbl>
              <c:idx val="93"/>
              <c:tx>
                <c:rich>
                  <a:bodyPr/>
                  <a:lstStyle/>
                  <a:p>
                    <a:fld id="{B17D6D38-962F-4A45-91C8-493DD92230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D530-499B-8B30-184D7CD3B07E}"/>
                </c:ext>
              </c:extLst>
            </c:dLbl>
            <c:dLbl>
              <c:idx val="94"/>
              <c:tx>
                <c:rich>
                  <a:bodyPr/>
                  <a:lstStyle/>
                  <a:p>
                    <a:fld id="{0BFE40CC-CD28-48C4-B22F-975167DF5D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D530-499B-8B30-184D7CD3B07E}"/>
                </c:ext>
              </c:extLst>
            </c:dLbl>
            <c:dLbl>
              <c:idx val="95"/>
              <c:tx>
                <c:rich>
                  <a:bodyPr/>
                  <a:lstStyle/>
                  <a:p>
                    <a:fld id="{E869681E-0EEA-4326-8B8C-4BDE8B1DEF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D530-499B-8B30-184D7CD3B07E}"/>
                </c:ext>
              </c:extLst>
            </c:dLbl>
            <c:dLbl>
              <c:idx val="96"/>
              <c:tx>
                <c:rich>
                  <a:bodyPr/>
                  <a:lstStyle/>
                  <a:p>
                    <a:fld id="{C7C86EDD-299A-40B4-A905-7E45E58071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D530-499B-8B30-184D7CD3B07E}"/>
                </c:ext>
              </c:extLst>
            </c:dLbl>
            <c:dLbl>
              <c:idx val="97"/>
              <c:tx>
                <c:rich>
                  <a:bodyPr/>
                  <a:lstStyle/>
                  <a:p>
                    <a:fld id="{E2276F19-4F16-4FCA-9C9F-7D084AF82D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D530-499B-8B30-184D7CD3B07E}"/>
                </c:ext>
              </c:extLst>
            </c:dLbl>
            <c:dLbl>
              <c:idx val="98"/>
              <c:tx>
                <c:rich>
                  <a:bodyPr/>
                  <a:lstStyle/>
                  <a:p>
                    <a:fld id="{6CC46A3D-343A-4D17-86E9-52CF77C258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D530-499B-8B30-184D7CD3B07E}"/>
                </c:ext>
              </c:extLst>
            </c:dLbl>
            <c:dLbl>
              <c:idx val="99"/>
              <c:tx>
                <c:rich>
                  <a:bodyPr/>
                  <a:lstStyle/>
                  <a:p>
                    <a:fld id="{8A9F094E-BEF7-4FC9-AEB5-014CBA018E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D530-499B-8B30-184D7CD3B07E}"/>
                </c:ext>
              </c:extLst>
            </c:dLbl>
            <c:dLbl>
              <c:idx val="100"/>
              <c:tx>
                <c:rich>
                  <a:bodyPr/>
                  <a:lstStyle/>
                  <a:p>
                    <a:fld id="{0C2D3713-87BE-465B-BB04-BB5F2B3EB1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D530-499B-8B30-184D7CD3B07E}"/>
                </c:ext>
              </c:extLst>
            </c:dLbl>
            <c:dLbl>
              <c:idx val="101"/>
              <c:tx>
                <c:rich>
                  <a:bodyPr/>
                  <a:lstStyle/>
                  <a:p>
                    <a:fld id="{76BAD41F-08A0-4A5E-84B3-0A52687242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D530-499B-8B30-184D7CD3B07E}"/>
                </c:ext>
              </c:extLst>
            </c:dLbl>
            <c:dLbl>
              <c:idx val="102"/>
              <c:tx>
                <c:rich>
                  <a:bodyPr/>
                  <a:lstStyle/>
                  <a:p>
                    <a:fld id="{7C6AED75-4239-4411-BB0A-9624DE0806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D530-499B-8B30-184D7CD3B07E}"/>
                </c:ext>
              </c:extLst>
            </c:dLbl>
            <c:dLbl>
              <c:idx val="103"/>
              <c:tx>
                <c:rich>
                  <a:bodyPr/>
                  <a:lstStyle/>
                  <a:p>
                    <a:fld id="{A341E6C8-59A3-4DF2-A49C-A0A7E10001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D530-499B-8B30-184D7CD3B07E}"/>
                </c:ext>
              </c:extLst>
            </c:dLbl>
            <c:dLbl>
              <c:idx val="104"/>
              <c:tx>
                <c:rich>
                  <a:bodyPr/>
                  <a:lstStyle/>
                  <a:p>
                    <a:fld id="{45EF2C52-8BDE-46AC-B8EB-3BA73BB9A8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D530-499B-8B30-184D7CD3B07E}"/>
                </c:ext>
              </c:extLst>
            </c:dLbl>
            <c:dLbl>
              <c:idx val="105"/>
              <c:tx>
                <c:rich>
                  <a:bodyPr/>
                  <a:lstStyle/>
                  <a:p>
                    <a:fld id="{C3A59C77-050C-44C3-A8DA-67AC43B8C7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D530-499B-8B30-184D7CD3B07E}"/>
                </c:ext>
              </c:extLst>
            </c:dLbl>
            <c:dLbl>
              <c:idx val="106"/>
              <c:tx>
                <c:rich>
                  <a:bodyPr/>
                  <a:lstStyle/>
                  <a:p>
                    <a:fld id="{F1E83A22-1D8A-4739-8DC7-CB88D87C9D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D530-499B-8B30-184D7CD3B07E}"/>
                </c:ext>
              </c:extLst>
            </c:dLbl>
            <c:dLbl>
              <c:idx val="107"/>
              <c:tx>
                <c:rich>
                  <a:bodyPr/>
                  <a:lstStyle/>
                  <a:p>
                    <a:fld id="{D2874FEF-7327-4316-8A28-9550D86157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D530-499B-8B30-184D7CD3B07E}"/>
                </c:ext>
              </c:extLst>
            </c:dLbl>
            <c:dLbl>
              <c:idx val="108"/>
              <c:tx>
                <c:rich>
                  <a:bodyPr/>
                  <a:lstStyle/>
                  <a:p>
                    <a:fld id="{F2C2DE48-6CCF-4F4C-92B9-6BCEBC5DCB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D530-499B-8B30-184D7CD3B07E}"/>
                </c:ext>
              </c:extLst>
            </c:dLbl>
            <c:dLbl>
              <c:idx val="109"/>
              <c:tx>
                <c:rich>
                  <a:bodyPr/>
                  <a:lstStyle/>
                  <a:p>
                    <a:fld id="{B22065CD-BFBD-4B6F-A563-FA3656D211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D530-499B-8B30-184D7CD3B07E}"/>
                </c:ext>
              </c:extLst>
            </c:dLbl>
            <c:dLbl>
              <c:idx val="110"/>
              <c:tx>
                <c:rich>
                  <a:bodyPr/>
                  <a:lstStyle/>
                  <a:p>
                    <a:fld id="{5912611F-21D8-456E-BE48-067D76FBCC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D530-499B-8B30-184D7CD3B07E}"/>
                </c:ext>
              </c:extLst>
            </c:dLbl>
            <c:dLbl>
              <c:idx val="111"/>
              <c:tx>
                <c:rich>
                  <a:bodyPr/>
                  <a:lstStyle/>
                  <a:p>
                    <a:fld id="{089D0C2A-EAE9-441D-83FE-9895C06216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D530-499B-8B30-184D7CD3B07E}"/>
                </c:ext>
              </c:extLst>
            </c:dLbl>
            <c:dLbl>
              <c:idx val="112"/>
              <c:tx>
                <c:rich>
                  <a:bodyPr/>
                  <a:lstStyle/>
                  <a:p>
                    <a:fld id="{3253592F-F58C-49B7-9C14-6AD8049D70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D530-499B-8B30-184D7CD3B07E}"/>
                </c:ext>
              </c:extLst>
            </c:dLbl>
            <c:dLbl>
              <c:idx val="113"/>
              <c:tx>
                <c:rich>
                  <a:bodyPr/>
                  <a:lstStyle/>
                  <a:p>
                    <a:fld id="{850435F3-9C78-44E8-ADAA-EC34F7DBEA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D530-499B-8B30-184D7CD3B07E}"/>
                </c:ext>
              </c:extLst>
            </c:dLbl>
            <c:dLbl>
              <c:idx val="114"/>
              <c:tx>
                <c:rich>
                  <a:bodyPr/>
                  <a:lstStyle/>
                  <a:p>
                    <a:fld id="{4AE6A4A3-E537-4D25-AFD3-6042400E98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D530-499B-8B30-184D7CD3B07E}"/>
                </c:ext>
              </c:extLst>
            </c:dLbl>
            <c:dLbl>
              <c:idx val="115"/>
              <c:tx>
                <c:rich>
                  <a:bodyPr/>
                  <a:lstStyle/>
                  <a:p>
                    <a:fld id="{A2D7FBB2-C291-4161-A86E-8BB16C7F66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D530-499B-8B30-184D7CD3B07E}"/>
                </c:ext>
              </c:extLst>
            </c:dLbl>
            <c:dLbl>
              <c:idx val="116"/>
              <c:tx>
                <c:rich>
                  <a:bodyPr/>
                  <a:lstStyle/>
                  <a:p>
                    <a:fld id="{A39CB493-FFD4-4AC9-B384-DD4B16B979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D530-499B-8B30-184D7CD3B07E}"/>
                </c:ext>
              </c:extLst>
            </c:dLbl>
            <c:dLbl>
              <c:idx val="117"/>
              <c:tx>
                <c:rich>
                  <a:bodyPr/>
                  <a:lstStyle/>
                  <a:p>
                    <a:fld id="{55FE3E12-4814-497B-A3BA-B9F71C017C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D530-499B-8B30-184D7CD3B07E}"/>
                </c:ext>
              </c:extLst>
            </c:dLbl>
            <c:dLbl>
              <c:idx val="118"/>
              <c:tx>
                <c:rich>
                  <a:bodyPr/>
                  <a:lstStyle/>
                  <a:p>
                    <a:fld id="{05938830-0FC9-4E4B-9D6F-6350170F70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D530-499B-8B30-184D7CD3B07E}"/>
                </c:ext>
              </c:extLst>
            </c:dLbl>
            <c:dLbl>
              <c:idx val="119"/>
              <c:tx>
                <c:rich>
                  <a:bodyPr/>
                  <a:lstStyle/>
                  <a:p>
                    <a:fld id="{C9C29F9E-7F6E-4F15-BB77-3709C0FBDC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D530-499B-8B30-184D7CD3B07E}"/>
                </c:ext>
              </c:extLst>
            </c:dLbl>
            <c:dLbl>
              <c:idx val="120"/>
              <c:tx>
                <c:rich>
                  <a:bodyPr/>
                  <a:lstStyle/>
                  <a:p>
                    <a:fld id="{7DE9BDBB-A7C9-4741-B3C2-55A0012316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D530-499B-8B30-184D7CD3B07E}"/>
                </c:ext>
              </c:extLst>
            </c:dLbl>
            <c:dLbl>
              <c:idx val="121"/>
              <c:tx>
                <c:rich>
                  <a:bodyPr/>
                  <a:lstStyle/>
                  <a:p>
                    <a:fld id="{525DD850-5F63-47B5-8C5D-38EBB7E51F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D530-499B-8B30-184D7CD3B07E}"/>
                </c:ext>
              </c:extLst>
            </c:dLbl>
            <c:dLbl>
              <c:idx val="122"/>
              <c:tx>
                <c:rich>
                  <a:bodyPr/>
                  <a:lstStyle/>
                  <a:p>
                    <a:fld id="{BF6FA909-A613-4E65-9193-899DB2D201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D530-499B-8B30-184D7CD3B07E}"/>
                </c:ext>
              </c:extLst>
            </c:dLbl>
            <c:dLbl>
              <c:idx val="123"/>
              <c:tx>
                <c:rich>
                  <a:bodyPr/>
                  <a:lstStyle/>
                  <a:p>
                    <a:fld id="{33C74F0A-FECF-44F9-B40F-C484F74B23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D530-499B-8B30-184D7CD3B07E}"/>
                </c:ext>
              </c:extLst>
            </c:dLbl>
            <c:dLbl>
              <c:idx val="124"/>
              <c:tx>
                <c:rich>
                  <a:bodyPr/>
                  <a:lstStyle/>
                  <a:p>
                    <a:fld id="{8FAC6EBA-B710-424A-9744-AE717B19F7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D530-499B-8B30-184D7CD3B07E}"/>
                </c:ext>
              </c:extLst>
            </c:dLbl>
            <c:dLbl>
              <c:idx val="125"/>
              <c:tx>
                <c:rich>
                  <a:bodyPr/>
                  <a:lstStyle/>
                  <a:p>
                    <a:fld id="{55E6840D-2160-4363-90A2-DE0CBE7489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D530-499B-8B30-184D7CD3B07E}"/>
                </c:ext>
              </c:extLst>
            </c:dLbl>
            <c:dLbl>
              <c:idx val="126"/>
              <c:tx>
                <c:rich>
                  <a:bodyPr/>
                  <a:lstStyle/>
                  <a:p>
                    <a:fld id="{E3F38FC0-B587-41A8-A6ED-2A929D7452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D530-499B-8B30-184D7CD3B07E}"/>
                </c:ext>
              </c:extLst>
            </c:dLbl>
            <c:dLbl>
              <c:idx val="127"/>
              <c:tx>
                <c:rich>
                  <a:bodyPr/>
                  <a:lstStyle/>
                  <a:p>
                    <a:fld id="{11D5BFAB-DD5B-49B1-BDDA-EFC3791985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D530-499B-8B30-184D7CD3B07E}"/>
                </c:ext>
              </c:extLst>
            </c:dLbl>
            <c:dLbl>
              <c:idx val="128"/>
              <c:tx>
                <c:rich>
                  <a:bodyPr/>
                  <a:lstStyle/>
                  <a:p>
                    <a:fld id="{7D5A1750-5313-4EBC-8DA3-79FCAF9568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D530-499B-8B30-184D7CD3B07E}"/>
                </c:ext>
              </c:extLst>
            </c:dLbl>
            <c:dLbl>
              <c:idx val="129"/>
              <c:tx>
                <c:rich>
                  <a:bodyPr/>
                  <a:lstStyle/>
                  <a:p>
                    <a:fld id="{E50E0BD9-D18C-445A-862B-7F7C12751B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D530-499B-8B30-184D7CD3B07E}"/>
                </c:ext>
              </c:extLst>
            </c:dLbl>
            <c:dLbl>
              <c:idx val="130"/>
              <c:tx>
                <c:rich>
                  <a:bodyPr/>
                  <a:lstStyle/>
                  <a:p>
                    <a:fld id="{07798EF4-4E4C-40F8-8A14-8D5816FB37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D530-499B-8B30-184D7CD3B07E}"/>
                </c:ext>
              </c:extLst>
            </c:dLbl>
            <c:dLbl>
              <c:idx val="131"/>
              <c:tx>
                <c:rich>
                  <a:bodyPr/>
                  <a:lstStyle/>
                  <a:p>
                    <a:fld id="{5FA1A5C3-77B2-4FCC-A8D4-E42620E761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D530-499B-8B30-184D7CD3B07E}"/>
                </c:ext>
              </c:extLst>
            </c:dLbl>
            <c:dLbl>
              <c:idx val="132"/>
              <c:tx>
                <c:rich>
                  <a:bodyPr/>
                  <a:lstStyle/>
                  <a:p>
                    <a:fld id="{29940B87-06BD-4167-9B05-60E201E4B0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D530-499B-8B30-184D7CD3B07E}"/>
                </c:ext>
              </c:extLst>
            </c:dLbl>
            <c:dLbl>
              <c:idx val="133"/>
              <c:tx>
                <c:rich>
                  <a:bodyPr/>
                  <a:lstStyle/>
                  <a:p>
                    <a:fld id="{6DE79C9C-1471-409D-B93A-18CDFE5C99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D530-499B-8B30-184D7CD3B07E}"/>
                </c:ext>
              </c:extLst>
            </c:dLbl>
            <c:dLbl>
              <c:idx val="134"/>
              <c:tx>
                <c:rich>
                  <a:bodyPr/>
                  <a:lstStyle/>
                  <a:p>
                    <a:fld id="{096B7DDD-B5B6-4078-877D-3DAD675760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D530-499B-8B30-184D7CD3B07E}"/>
                </c:ext>
              </c:extLst>
            </c:dLbl>
            <c:dLbl>
              <c:idx val="135"/>
              <c:tx>
                <c:rich>
                  <a:bodyPr/>
                  <a:lstStyle/>
                  <a:p>
                    <a:fld id="{2ECEB2CF-DF90-47D6-A851-B3265755BD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D530-499B-8B30-184D7CD3B07E}"/>
                </c:ext>
              </c:extLst>
            </c:dLbl>
            <c:dLbl>
              <c:idx val="136"/>
              <c:tx>
                <c:rich>
                  <a:bodyPr/>
                  <a:lstStyle/>
                  <a:p>
                    <a:fld id="{CD5D1243-87C3-452F-8C81-AE9BC2EC5D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D530-499B-8B30-184D7CD3B07E}"/>
                </c:ext>
              </c:extLst>
            </c:dLbl>
            <c:dLbl>
              <c:idx val="137"/>
              <c:tx>
                <c:rich>
                  <a:bodyPr/>
                  <a:lstStyle/>
                  <a:p>
                    <a:fld id="{ED38317A-0D00-4DB5-9D7C-03F42BC92B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D530-499B-8B30-184D7CD3B07E}"/>
                </c:ext>
              </c:extLst>
            </c:dLbl>
            <c:dLbl>
              <c:idx val="138"/>
              <c:tx>
                <c:rich>
                  <a:bodyPr/>
                  <a:lstStyle/>
                  <a:p>
                    <a:fld id="{2B619793-730D-4EB7-98C0-CAA5BB193B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D530-499B-8B30-184D7CD3B07E}"/>
                </c:ext>
              </c:extLst>
            </c:dLbl>
            <c:dLbl>
              <c:idx val="139"/>
              <c:tx>
                <c:rich>
                  <a:bodyPr/>
                  <a:lstStyle/>
                  <a:p>
                    <a:fld id="{194E69F0-F99D-427F-B092-332EC9FDE0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D530-499B-8B30-184D7CD3B07E}"/>
                </c:ext>
              </c:extLst>
            </c:dLbl>
            <c:dLbl>
              <c:idx val="140"/>
              <c:tx>
                <c:rich>
                  <a:bodyPr/>
                  <a:lstStyle/>
                  <a:p>
                    <a:fld id="{6856206E-DBFA-4B09-85E1-8F5ADC0EF0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D530-499B-8B30-184D7CD3B07E}"/>
                </c:ext>
              </c:extLst>
            </c:dLbl>
            <c:dLbl>
              <c:idx val="141"/>
              <c:tx>
                <c:rich>
                  <a:bodyPr/>
                  <a:lstStyle/>
                  <a:p>
                    <a:fld id="{BDE94EA6-1EFB-446A-B9FD-3560358557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D530-499B-8B30-184D7CD3B07E}"/>
                </c:ext>
              </c:extLst>
            </c:dLbl>
            <c:dLbl>
              <c:idx val="142"/>
              <c:tx>
                <c:rich>
                  <a:bodyPr/>
                  <a:lstStyle/>
                  <a:p>
                    <a:fld id="{F898A6A9-C004-4D68-8D3D-EC3EB7024E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D530-499B-8B30-184D7CD3B07E}"/>
                </c:ext>
              </c:extLst>
            </c:dLbl>
            <c:dLbl>
              <c:idx val="143"/>
              <c:tx>
                <c:rich>
                  <a:bodyPr/>
                  <a:lstStyle/>
                  <a:p>
                    <a:fld id="{3B0EDF5C-AB8F-4DEE-81EF-84F837917E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D530-499B-8B30-184D7CD3B07E}"/>
                </c:ext>
              </c:extLst>
            </c:dLbl>
            <c:dLbl>
              <c:idx val="144"/>
              <c:tx>
                <c:rich>
                  <a:bodyPr/>
                  <a:lstStyle/>
                  <a:p>
                    <a:fld id="{FE6E4577-7063-4EBD-849F-3B29B339DF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D530-499B-8B30-184D7CD3B07E}"/>
                </c:ext>
              </c:extLst>
            </c:dLbl>
            <c:dLbl>
              <c:idx val="145"/>
              <c:tx>
                <c:rich>
                  <a:bodyPr/>
                  <a:lstStyle/>
                  <a:p>
                    <a:fld id="{D9D07F24-608A-4B73-BD6D-0B6185A297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D530-499B-8B30-184D7CD3B07E}"/>
                </c:ext>
              </c:extLst>
            </c:dLbl>
            <c:dLbl>
              <c:idx val="146"/>
              <c:tx>
                <c:rich>
                  <a:bodyPr/>
                  <a:lstStyle/>
                  <a:p>
                    <a:fld id="{62DE09BF-5C85-4535-8012-EA1EE204BF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D530-499B-8B30-184D7CD3B07E}"/>
                </c:ext>
              </c:extLst>
            </c:dLbl>
            <c:dLbl>
              <c:idx val="147"/>
              <c:tx>
                <c:rich>
                  <a:bodyPr/>
                  <a:lstStyle/>
                  <a:p>
                    <a:fld id="{7B03BA70-91F2-4553-A143-2456BB9DB7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D530-499B-8B30-184D7CD3B07E}"/>
                </c:ext>
              </c:extLst>
            </c:dLbl>
            <c:dLbl>
              <c:idx val="148"/>
              <c:tx>
                <c:rich>
                  <a:bodyPr/>
                  <a:lstStyle/>
                  <a:p>
                    <a:fld id="{E74C2564-959A-4BE9-B62C-332B2603C4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D530-499B-8B30-184D7CD3B07E}"/>
                </c:ext>
              </c:extLst>
            </c:dLbl>
            <c:dLbl>
              <c:idx val="149"/>
              <c:tx>
                <c:rich>
                  <a:bodyPr/>
                  <a:lstStyle/>
                  <a:p>
                    <a:fld id="{7C54D8BB-8D4D-47DF-A0B8-1C624F7A98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D530-499B-8B30-184D7CD3B07E}"/>
                </c:ext>
              </c:extLst>
            </c:dLbl>
            <c:dLbl>
              <c:idx val="150"/>
              <c:tx>
                <c:rich>
                  <a:bodyPr/>
                  <a:lstStyle/>
                  <a:p>
                    <a:fld id="{132490C0-1002-4CF0-A170-1EF5C5B2E1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D530-499B-8B30-184D7CD3B07E}"/>
                </c:ext>
              </c:extLst>
            </c:dLbl>
            <c:dLbl>
              <c:idx val="151"/>
              <c:tx>
                <c:rich>
                  <a:bodyPr/>
                  <a:lstStyle/>
                  <a:p>
                    <a:fld id="{FEE30A8B-F0B2-4F9F-AAE4-53C3EC8AC6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D530-499B-8B30-184D7CD3B07E}"/>
                </c:ext>
              </c:extLst>
            </c:dLbl>
            <c:dLbl>
              <c:idx val="152"/>
              <c:tx>
                <c:rich>
                  <a:bodyPr/>
                  <a:lstStyle/>
                  <a:p>
                    <a:fld id="{A00E51C0-3461-41F7-8D9E-BB414C28CA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D530-499B-8B30-184D7CD3B07E}"/>
                </c:ext>
              </c:extLst>
            </c:dLbl>
            <c:dLbl>
              <c:idx val="153"/>
              <c:tx>
                <c:rich>
                  <a:bodyPr/>
                  <a:lstStyle/>
                  <a:p>
                    <a:fld id="{D39DFBBC-D66D-42AC-A89E-81BEBD471A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D530-499B-8B30-184D7CD3B07E}"/>
                </c:ext>
              </c:extLst>
            </c:dLbl>
            <c:dLbl>
              <c:idx val="154"/>
              <c:tx>
                <c:rich>
                  <a:bodyPr/>
                  <a:lstStyle/>
                  <a:p>
                    <a:fld id="{0136E063-3C14-45ED-89CE-F24E054CFC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D530-499B-8B30-184D7CD3B07E}"/>
                </c:ext>
              </c:extLst>
            </c:dLbl>
            <c:dLbl>
              <c:idx val="155"/>
              <c:tx>
                <c:rich>
                  <a:bodyPr/>
                  <a:lstStyle/>
                  <a:p>
                    <a:fld id="{BDCFAF38-7F40-4F92-9E27-7E091E9E1E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D530-499B-8B30-184D7CD3B07E}"/>
                </c:ext>
              </c:extLst>
            </c:dLbl>
            <c:dLbl>
              <c:idx val="156"/>
              <c:tx>
                <c:rich>
                  <a:bodyPr/>
                  <a:lstStyle/>
                  <a:p>
                    <a:fld id="{7B89749E-A831-4314-B155-F6A976ABF7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D530-499B-8B30-184D7CD3B07E}"/>
                </c:ext>
              </c:extLst>
            </c:dLbl>
            <c:dLbl>
              <c:idx val="157"/>
              <c:tx>
                <c:rich>
                  <a:bodyPr/>
                  <a:lstStyle/>
                  <a:p>
                    <a:fld id="{2D51F53D-B812-4C97-B7C8-F33E570B2A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D530-499B-8B30-184D7CD3B07E}"/>
                </c:ext>
              </c:extLst>
            </c:dLbl>
            <c:dLbl>
              <c:idx val="158"/>
              <c:tx>
                <c:rich>
                  <a:bodyPr/>
                  <a:lstStyle/>
                  <a:p>
                    <a:fld id="{1E9ED73F-F48D-48C4-BD0B-A4758AC095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D530-499B-8B30-184D7CD3B07E}"/>
                </c:ext>
              </c:extLst>
            </c:dLbl>
            <c:dLbl>
              <c:idx val="159"/>
              <c:tx>
                <c:rich>
                  <a:bodyPr/>
                  <a:lstStyle/>
                  <a:p>
                    <a:fld id="{998707EA-0199-4027-9BE1-EB13284D4E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D530-499B-8B30-184D7CD3B07E}"/>
                </c:ext>
              </c:extLst>
            </c:dLbl>
            <c:dLbl>
              <c:idx val="160"/>
              <c:tx>
                <c:rich>
                  <a:bodyPr/>
                  <a:lstStyle/>
                  <a:p>
                    <a:fld id="{EACAB461-44B4-46E6-A7BF-0625F947E5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D530-499B-8B30-184D7CD3B07E}"/>
                </c:ext>
              </c:extLst>
            </c:dLbl>
            <c:dLbl>
              <c:idx val="161"/>
              <c:tx>
                <c:rich>
                  <a:bodyPr/>
                  <a:lstStyle/>
                  <a:p>
                    <a:fld id="{8D4ABA3C-7908-4EF0-8138-15B4CADE0F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D530-499B-8B30-184D7CD3B07E}"/>
                </c:ext>
              </c:extLst>
            </c:dLbl>
            <c:dLbl>
              <c:idx val="162"/>
              <c:tx>
                <c:rich>
                  <a:bodyPr/>
                  <a:lstStyle/>
                  <a:p>
                    <a:fld id="{1A7A3875-44EE-4480-8257-8ABEF7CF21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D530-499B-8B30-184D7CD3B07E}"/>
                </c:ext>
              </c:extLst>
            </c:dLbl>
            <c:dLbl>
              <c:idx val="163"/>
              <c:tx>
                <c:rich>
                  <a:bodyPr/>
                  <a:lstStyle/>
                  <a:p>
                    <a:fld id="{1B19B485-87A0-429E-A90D-E64D351A4D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D530-499B-8B30-184D7CD3B07E}"/>
                </c:ext>
              </c:extLst>
            </c:dLbl>
            <c:dLbl>
              <c:idx val="164"/>
              <c:tx>
                <c:rich>
                  <a:bodyPr/>
                  <a:lstStyle/>
                  <a:p>
                    <a:fld id="{CEAD4FD0-3397-4294-A3F4-4B3D444E5C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D530-499B-8B30-184D7CD3B07E}"/>
                </c:ext>
              </c:extLst>
            </c:dLbl>
            <c:dLbl>
              <c:idx val="165"/>
              <c:tx>
                <c:rich>
                  <a:bodyPr/>
                  <a:lstStyle/>
                  <a:p>
                    <a:fld id="{FFB12372-3654-4FDA-B699-5F118E5C6A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D530-499B-8B30-184D7CD3B07E}"/>
                </c:ext>
              </c:extLst>
            </c:dLbl>
            <c:dLbl>
              <c:idx val="166"/>
              <c:tx>
                <c:rich>
                  <a:bodyPr/>
                  <a:lstStyle/>
                  <a:p>
                    <a:fld id="{10456E7F-5417-4D4C-B0AF-ACB50A6646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D530-499B-8B30-184D7CD3B07E}"/>
                </c:ext>
              </c:extLst>
            </c:dLbl>
            <c:dLbl>
              <c:idx val="167"/>
              <c:tx>
                <c:rich>
                  <a:bodyPr/>
                  <a:lstStyle/>
                  <a:p>
                    <a:fld id="{C34AFEEA-980C-431F-A286-A75E6E7C56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D530-499B-8B30-184D7CD3B07E}"/>
                </c:ext>
              </c:extLst>
            </c:dLbl>
            <c:dLbl>
              <c:idx val="168"/>
              <c:tx>
                <c:rich>
                  <a:bodyPr/>
                  <a:lstStyle/>
                  <a:p>
                    <a:fld id="{170F87A4-E407-4313-A5B6-DC4A8D0678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D530-499B-8B30-184D7CD3B07E}"/>
                </c:ext>
              </c:extLst>
            </c:dLbl>
            <c:dLbl>
              <c:idx val="169"/>
              <c:tx>
                <c:rich>
                  <a:bodyPr/>
                  <a:lstStyle/>
                  <a:p>
                    <a:fld id="{0AFFDA14-D9F0-4CD3-BCAA-015626781E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D530-499B-8B30-184D7CD3B07E}"/>
                </c:ext>
              </c:extLst>
            </c:dLbl>
            <c:dLbl>
              <c:idx val="170"/>
              <c:tx>
                <c:rich>
                  <a:bodyPr/>
                  <a:lstStyle/>
                  <a:p>
                    <a:fld id="{D883C61F-63F7-40D4-8B76-EF8A7FA3D6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D530-499B-8B30-184D7CD3B07E}"/>
                </c:ext>
              </c:extLst>
            </c:dLbl>
            <c:dLbl>
              <c:idx val="171"/>
              <c:tx>
                <c:rich>
                  <a:bodyPr/>
                  <a:lstStyle/>
                  <a:p>
                    <a:fld id="{D07BFB20-0C86-41FA-85E4-A7F881643C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D530-499B-8B30-184D7CD3B07E}"/>
                </c:ext>
              </c:extLst>
            </c:dLbl>
            <c:dLbl>
              <c:idx val="172"/>
              <c:tx>
                <c:rich>
                  <a:bodyPr/>
                  <a:lstStyle/>
                  <a:p>
                    <a:fld id="{28DF1C9A-1076-4E8B-AA19-A1A8D6A6BC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D530-499B-8B30-184D7CD3B07E}"/>
                </c:ext>
              </c:extLst>
            </c:dLbl>
            <c:dLbl>
              <c:idx val="173"/>
              <c:tx>
                <c:rich>
                  <a:bodyPr/>
                  <a:lstStyle/>
                  <a:p>
                    <a:fld id="{880CAE66-4A5B-45E8-A5C6-6A71A21F4F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D530-499B-8B30-184D7CD3B07E}"/>
                </c:ext>
              </c:extLst>
            </c:dLbl>
            <c:dLbl>
              <c:idx val="174"/>
              <c:tx>
                <c:rich>
                  <a:bodyPr/>
                  <a:lstStyle/>
                  <a:p>
                    <a:fld id="{5BA9C9F0-CDCE-4A7F-AC69-922BBB80E1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D530-499B-8B30-184D7CD3B07E}"/>
                </c:ext>
              </c:extLst>
            </c:dLbl>
            <c:dLbl>
              <c:idx val="175"/>
              <c:tx>
                <c:rich>
                  <a:bodyPr/>
                  <a:lstStyle/>
                  <a:p>
                    <a:fld id="{8B49FB04-63C4-4219-AD13-7BFBF546BF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D530-499B-8B30-184D7CD3B07E}"/>
                </c:ext>
              </c:extLst>
            </c:dLbl>
            <c:dLbl>
              <c:idx val="176"/>
              <c:tx>
                <c:rich>
                  <a:bodyPr/>
                  <a:lstStyle/>
                  <a:p>
                    <a:fld id="{081CBD50-1D9B-4457-84D3-0383AACE6B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D530-499B-8B30-184D7CD3B07E}"/>
                </c:ext>
              </c:extLst>
            </c:dLbl>
            <c:dLbl>
              <c:idx val="177"/>
              <c:tx>
                <c:rich>
                  <a:bodyPr/>
                  <a:lstStyle/>
                  <a:p>
                    <a:fld id="{5F6613E2-B03C-41B3-BC03-7F56589390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D530-499B-8B30-184D7CD3B07E}"/>
                </c:ext>
              </c:extLst>
            </c:dLbl>
            <c:dLbl>
              <c:idx val="178"/>
              <c:tx>
                <c:rich>
                  <a:bodyPr/>
                  <a:lstStyle/>
                  <a:p>
                    <a:fld id="{BB5426C6-75C9-44EB-9603-94412485B4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D530-499B-8B30-184D7CD3B07E}"/>
                </c:ext>
              </c:extLst>
            </c:dLbl>
            <c:dLbl>
              <c:idx val="179"/>
              <c:tx>
                <c:rich>
                  <a:bodyPr/>
                  <a:lstStyle/>
                  <a:p>
                    <a:fld id="{DA156A01-CAFD-42D9-9230-227C5DF070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D530-499B-8B30-184D7CD3B07E}"/>
                </c:ext>
              </c:extLst>
            </c:dLbl>
            <c:dLbl>
              <c:idx val="180"/>
              <c:tx>
                <c:rich>
                  <a:bodyPr/>
                  <a:lstStyle/>
                  <a:p>
                    <a:fld id="{F9ED6CFF-D445-48FC-B9A4-37EDC98BC8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D530-499B-8B30-184D7CD3B07E}"/>
                </c:ext>
              </c:extLst>
            </c:dLbl>
            <c:dLbl>
              <c:idx val="181"/>
              <c:tx>
                <c:rich>
                  <a:bodyPr/>
                  <a:lstStyle/>
                  <a:p>
                    <a:fld id="{F52B3BF9-8136-4B84-AC6A-4F87EAE806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D530-499B-8B30-184D7CD3B07E}"/>
                </c:ext>
              </c:extLst>
            </c:dLbl>
            <c:dLbl>
              <c:idx val="182"/>
              <c:tx>
                <c:rich>
                  <a:bodyPr/>
                  <a:lstStyle/>
                  <a:p>
                    <a:fld id="{A163DC19-C6DD-4B37-AF5B-2C7B24F9AB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D530-499B-8B30-184D7CD3B07E}"/>
                </c:ext>
              </c:extLst>
            </c:dLbl>
            <c:dLbl>
              <c:idx val="183"/>
              <c:tx>
                <c:rich>
                  <a:bodyPr/>
                  <a:lstStyle/>
                  <a:p>
                    <a:fld id="{C8F48305-B560-49D4-98C0-F0E1F1A813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D530-499B-8B30-184D7CD3B07E}"/>
                </c:ext>
              </c:extLst>
            </c:dLbl>
            <c:dLbl>
              <c:idx val="184"/>
              <c:tx>
                <c:rich>
                  <a:bodyPr/>
                  <a:lstStyle/>
                  <a:p>
                    <a:fld id="{EFB8156B-FF60-4930-99F3-3F583277B7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D530-499B-8B30-184D7CD3B07E}"/>
                </c:ext>
              </c:extLst>
            </c:dLbl>
            <c:dLbl>
              <c:idx val="185"/>
              <c:tx>
                <c:rich>
                  <a:bodyPr/>
                  <a:lstStyle/>
                  <a:p>
                    <a:fld id="{9667278D-EB85-46E9-942D-3F62C2352D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D530-499B-8B30-184D7CD3B07E}"/>
                </c:ext>
              </c:extLst>
            </c:dLbl>
            <c:dLbl>
              <c:idx val="186"/>
              <c:tx>
                <c:rich>
                  <a:bodyPr/>
                  <a:lstStyle/>
                  <a:p>
                    <a:fld id="{FC98C4DF-FB93-412C-89B5-245BAE46E6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D530-499B-8B30-184D7CD3B07E}"/>
                </c:ext>
              </c:extLst>
            </c:dLbl>
            <c:dLbl>
              <c:idx val="187"/>
              <c:tx>
                <c:rich>
                  <a:bodyPr/>
                  <a:lstStyle/>
                  <a:p>
                    <a:fld id="{661905B7-45EE-4613-959C-BF80D3F245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D530-499B-8B30-184D7CD3B07E}"/>
                </c:ext>
              </c:extLst>
            </c:dLbl>
            <c:dLbl>
              <c:idx val="188"/>
              <c:tx>
                <c:rich>
                  <a:bodyPr/>
                  <a:lstStyle/>
                  <a:p>
                    <a:fld id="{5AE487E4-22CD-4E16-9D64-BB870B9A54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D530-499B-8B30-184D7CD3B07E}"/>
                </c:ext>
              </c:extLst>
            </c:dLbl>
            <c:dLbl>
              <c:idx val="189"/>
              <c:tx>
                <c:rich>
                  <a:bodyPr/>
                  <a:lstStyle/>
                  <a:p>
                    <a:fld id="{D5969645-9BFF-4840-9744-E73F54A2A4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D530-499B-8B30-184D7CD3B07E}"/>
                </c:ext>
              </c:extLst>
            </c:dLbl>
            <c:dLbl>
              <c:idx val="190"/>
              <c:tx>
                <c:rich>
                  <a:bodyPr/>
                  <a:lstStyle/>
                  <a:p>
                    <a:fld id="{9A646652-69A8-4D19-A1FB-ECEE452C4C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D530-499B-8B30-184D7CD3B07E}"/>
                </c:ext>
              </c:extLst>
            </c:dLbl>
            <c:dLbl>
              <c:idx val="191"/>
              <c:tx>
                <c:rich>
                  <a:bodyPr/>
                  <a:lstStyle/>
                  <a:p>
                    <a:fld id="{D4206C3F-2EFE-4C9E-BEC0-C3068AFFF1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D530-499B-8B30-184D7CD3B07E}"/>
                </c:ext>
              </c:extLst>
            </c:dLbl>
            <c:dLbl>
              <c:idx val="192"/>
              <c:tx>
                <c:rich>
                  <a:bodyPr/>
                  <a:lstStyle/>
                  <a:p>
                    <a:fld id="{AA54B68F-90D7-4021-B7CA-55003DC876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D530-499B-8B30-184D7CD3B07E}"/>
                </c:ext>
              </c:extLst>
            </c:dLbl>
            <c:dLbl>
              <c:idx val="193"/>
              <c:tx>
                <c:rich>
                  <a:bodyPr/>
                  <a:lstStyle/>
                  <a:p>
                    <a:fld id="{6C1A584D-E45B-4EE7-9651-3541621D6D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D530-499B-8B30-184D7CD3B07E}"/>
                </c:ext>
              </c:extLst>
            </c:dLbl>
            <c:dLbl>
              <c:idx val="194"/>
              <c:tx>
                <c:rich>
                  <a:bodyPr/>
                  <a:lstStyle/>
                  <a:p>
                    <a:fld id="{0C72D6DC-E22E-4DD1-A269-970FFAFE21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D530-499B-8B30-184D7CD3B07E}"/>
                </c:ext>
              </c:extLst>
            </c:dLbl>
            <c:dLbl>
              <c:idx val="195"/>
              <c:tx>
                <c:rich>
                  <a:bodyPr/>
                  <a:lstStyle/>
                  <a:p>
                    <a:fld id="{B4D7B8D6-3F8F-4E9F-A6D3-1F7B477403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D530-499B-8B30-184D7CD3B07E}"/>
                </c:ext>
              </c:extLst>
            </c:dLbl>
            <c:dLbl>
              <c:idx val="196"/>
              <c:tx>
                <c:rich>
                  <a:bodyPr/>
                  <a:lstStyle/>
                  <a:p>
                    <a:fld id="{7D4E2D34-5978-4092-917E-EF3AE68FBF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D530-499B-8B30-184D7CD3B07E}"/>
                </c:ext>
              </c:extLst>
            </c:dLbl>
            <c:dLbl>
              <c:idx val="197"/>
              <c:tx>
                <c:rich>
                  <a:bodyPr/>
                  <a:lstStyle/>
                  <a:p>
                    <a:fld id="{54999D2B-697D-4CF3-BBAB-681841FF96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D530-499B-8B30-184D7CD3B07E}"/>
                </c:ext>
              </c:extLst>
            </c:dLbl>
            <c:dLbl>
              <c:idx val="198"/>
              <c:tx>
                <c:rich>
                  <a:bodyPr/>
                  <a:lstStyle/>
                  <a:p>
                    <a:fld id="{871FE848-BA23-42AB-A650-9137457AF7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D530-499B-8B30-184D7CD3B07E}"/>
                </c:ext>
              </c:extLst>
            </c:dLbl>
            <c:dLbl>
              <c:idx val="199"/>
              <c:tx>
                <c:rich>
                  <a:bodyPr/>
                  <a:lstStyle/>
                  <a:p>
                    <a:fld id="{EB612B8E-BFB3-4FC2-90CF-3D11CF2E60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D530-499B-8B30-184D7CD3B07E}"/>
                </c:ext>
              </c:extLst>
            </c:dLbl>
            <c:dLbl>
              <c:idx val="200"/>
              <c:tx>
                <c:rich>
                  <a:bodyPr/>
                  <a:lstStyle/>
                  <a:p>
                    <a:fld id="{B8631144-18B9-4360-A101-337B433F64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D530-499B-8B30-184D7CD3B07E}"/>
                </c:ext>
              </c:extLst>
            </c:dLbl>
            <c:dLbl>
              <c:idx val="201"/>
              <c:tx>
                <c:rich>
                  <a:bodyPr/>
                  <a:lstStyle/>
                  <a:p>
                    <a:fld id="{C6A6F47D-3246-4DFB-8822-C294F5E5F1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D530-499B-8B30-184D7CD3B07E}"/>
                </c:ext>
              </c:extLst>
            </c:dLbl>
            <c:dLbl>
              <c:idx val="202"/>
              <c:tx>
                <c:rich>
                  <a:bodyPr/>
                  <a:lstStyle/>
                  <a:p>
                    <a:fld id="{AB365DE1-AB71-4FF0-99C9-F72D4EEC99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D530-499B-8B30-184D7CD3B07E}"/>
                </c:ext>
              </c:extLst>
            </c:dLbl>
            <c:dLbl>
              <c:idx val="203"/>
              <c:tx>
                <c:rich>
                  <a:bodyPr/>
                  <a:lstStyle/>
                  <a:p>
                    <a:fld id="{C22D4304-ADB7-4609-B356-C67EC9917E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D530-499B-8B30-184D7CD3B07E}"/>
                </c:ext>
              </c:extLst>
            </c:dLbl>
            <c:dLbl>
              <c:idx val="204"/>
              <c:tx>
                <c:rich>
                  <a:bodyPr/>
                  <a:lstStyle/>
                  <a:p>
                    <a:fld id="{1047D43A-1CC2-46AC-8B79-C6AC8E9676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D530-499B-8B30-184D7CD3B07E}"/>
                </c:ext>
              </c:extLst>
            </c:dLbl>
            <c:dLbl>
              <c:idx val="205"/>
              <c:tx>
                <c:rich>
                  <a:bodyPr/>
                  <a:lstStyle/>
                  <a:p>
                    <a:fld id="{3B6F8ABD-94B1-4744-84E0-C216EDC0AA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D530-499B-8B30-184D7CD3B07E}"/>
                </c:ext>
              </c:extLst>
            </c:dLbl>
            <c:dLbl>
              <c:idx val="206"/>
              <c:tx>
                <c:rich>
                  <a:bodyPr/>
                  <a:lstStyle/>
                  <a:p>
                    <a:fld id="{5DD4B886-772F-42CF-8C0B-AF22D21E0A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D530-499B-8B30-184D7CD3B07E}"/>
                </c:ext>
              </c:extLst>
            </c:dLbl>
            <c:dLbl>
              <c:idx val="207"/>
              <c:tx>
                <c:rich>
                  <a:bodyPr/>
                  <a:lstStyle/>
                  <a:p>
                    <a:fld id="{0FBEC9E0-9DCB-4A72-A4CE-4AEAA93553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D530-499B-8B30-184D7CD3B07E}"/>
                </c:ext>
              </c:extLst>
            </c:dLbl>
            <c:dLbl>
              <c:idx val="208"/>
              <c:tx>
                <c:rich>
                  <a:bodyPr/>
                  <a:lstStyle/>
                  <a:p>
                    <a:fld id="{D0094BB4-3454-45A2-AEE1-381B666B68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D530-499B-8B30-184D7CD3B07E}"/>
                </c:ext>
              </c:extLst>
            </c:dLbl>
            <c:dLbl>
              <c:idx val="209"/>
              <c:tx>
                <c:rich>
                  <a:bodyPr/>
                  <a:lstStyle/>
                  <a:p>
                    <a:fld id="{2E9E72AD-7EEC-4124-A30D-CAD5A87E46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D530-499B-8B30-184D7CD3B07E}"/>
                </c:ext>
              </c:extLst>
            </c:dLbl>
            <c:dLbl>
              <c:idx val="210"/>
              <c:tx>
                <c:rich>
                  <a:bodyPr/>
                  <a:lstStyle/>
                  <a:p>
                    <a:fld id="{A995C98F-F9BF-4BAE-ADE5-B49FAB0071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D530-499B-8B30-184D7CD3B07E}"/>
                </c:ext>
              </c:extLst>
            </c:dLbl>
            <c:dLbl>
              <c:idx val="211"/>
              <c:tx>
                <c:rich>
                  <a:bodyPr/>
                  <a:lstStyle/>
                  <a:p>
                    <a:fld id="{FB83D5AE-9D50-4ADE-99A5-B5D4938E8C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D530-499B-8B30-184D7CD3B07E}"/>
                </c:ext>
              </c:extLst>
            </c:dLbl>
            <c:dLbl>
              <c:idx val="212"/>
              <c:tx>
                <c:rich>
                  <a:bodyPr/>
                  <a:lstStyle/>
                  <a:p>
                    <a:fld id="{909D4687-6293-4894-9132-DD68C6735E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D530-499B-8B30-184D7CD3B07E}"/>
                </c:ext>
              </c:extLst>
            </c:dLbl>
            <c:dLbl>
              <c:idx val="213"/>
              <c:tx>
                <c:rich>
                  <a:bodyPr/>
                  <a:lstStyle/>
                  <a:p>
                    <a:fld id="{8A35C59C-3EBF-4364-AEC6-84A3F45975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D530-499B-8B30-184D7CD3B07E}"/>
                </c:ext>
              </c:extLst>
            </c:dLbl>
            <c:dLbl>
              <c:idx val="214"/>
              <c:tx>
                <c:rich>
                  <a:bodyPr/>
                  <a:lstStyle/>
                  <a:p>
                    <a:fld id="{5CB09A65-8D1A-4B28-9D1F-57E4F1CE9F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D530-499B-8B30-184D7CD3B07E}"/>
                </c:ext>
              </c:extLst>
            </c:dLbl>
            <c:dLbl>
              <c:idx val="215"/>
              <c:tx>
                <c:rich>
                  <a:bodyPr/>
                  <a:lstStyle/>
                  <a:p>
                    <a:fld id="{875218B9-60F7-4BA6-9060-213BE32A89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D530-499B-8B30-184D7CD3B07E}"/>
                </c:ext>
              </c:extLst>
            </c:dLbl>
            <c:dLbl>
              <c:idx val="216"/>
              <c:tx>
                <c:rich>
                  <a:bodyPr/>
                  <a:lstStyle/>
                  <a:p>
                    <a:fld id="{8B30303C-3B83-45A4-A6C6-FE60E79D34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D530-499B-8B30-184D7CD3B07E}"/>
                </c:ext>
              </c:extLst>
            </c:dLbl>
            <c:dLbl>
              <c:idx val="217"/>
              <c:tx>
                <c:rich>
                  <a:bodyPr/>
                  <a:lstStyle/>
                  <a:p>
                    <a:fld id="{85C58FCF-2AB5-4800-B682-0D12881F12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D530-499B-8B30-184D7CD3B07E}"/>
                </c:ext>
              </c:extLst>
            </c:dLbl>
            <c:dLbl>
              <c:idx val="218"/>
              <c:tx>
                <c:rich>
                  <a:bodyPr/>
                  <a:lstStyle/>
                  <a:p>
                    <a:fld id="{E42C0B5B-310C-4065-A7F9-EB4462D065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D530-499B-8B30-184D7CD3B07E}"/>
                </c:ext>
              </c:extLst>
            </c:dLbl>
            <c:dLbl>
              <c:idx val="219"/>
              <c:tx>
                <c:rich>
                  <a:bodyPr/>
                  <a:lstStyle/>
                  <a:p>
                    <a:fld id="{7B9A873D-857B-4E5B-9901-94C87448AE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D530-499B-8B30-184D7CD3B07E}"/>
                </c:ext>
              </c:extLst>
            </c:dLbl>
            <c:dLbl>
              <c:idx val="220"/>
              <c:tx>
                <c:rich>
                  <a:bodyPr/>
                  <a:lstStyle/>
                  <a:p>
                    <a:fld id="{68258AA0-AC34-487F-A4DA-D2FCB9DE46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D530-499B-8B30-184D7CD3B07E}"/>
                </c:ext>
              </c:extLst>
            </c:dLbl>
            <c:dLbl>
              <c:idx val="221"/>
              <c:tx>
                <c:rich>
                  <a:bodyPr/>
                  <a:lstStyle/>
                  <a:p>
                    <a:fld id="{8EADD460-2133-4227-B5E5-4F45F0279F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D530-499B-8B30-184D7CD3B07E}"/>
                </c:ext>
              </c:extLst>
            </c:dLbl>
            <c:dLbl>
              <c:idx val="222"/>
              <c:tx>
                <c:rich>
                  <a:bodyPr/>
                  <a:lstStyle/>
                  <a:p>
                    <a:fld id="{3FCCE7A3-D737-4A13-8374-4DEAEDAFFC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D530-499B-8B30-184D7CD3B07E}"/>
                </c:ext>
              </c:extLst>
            </c:dLbl>
            <c:dLbl>
              <c:idx val="223"/>
              <c:tx>
                <c:rich>
                  <a:bodyPr/>
                  <a:lstStyle/>
                  <a:p>
                    <a:fld id="{90F77BEB-35BB-47D5-800B-08028B7B11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D530-499B-8B30-184D7CD3B07E}"/>
                </c:ext>
              </c:extLst>
            </c:dLbl>
            <c:dLbl>
              <c:idx val="224"/>
              <c:tx>
                <c:rich>
                  <a:bodyPr/>
                  <a:lstStyle/>
                  <a:p>
                    <a:fld id="{CF2D1F42-64AB-43A6-A7F5-F2B7394174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D530-499B-8B30-184D7CD3B07E}"/>
                </c:ext>
              </c:extLst>
            </c:dLbl>
            <c:dLbl>
              <c:idx val="225"/>
              <c:tx>
                <c:rich>
                  <a:bodyPr/>
                  <a:lstStyle/>
                  <a:p>
                    <a:fld id="{5C0E0D79-E329-4F7C-A588-DA64F499E6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D530-499B-8B30-184D7CD3B07E}"/>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D530-499B-8B30-184D7CD3B07E}"/>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D530-499B-8B30-184D7CD3B07E}"/>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D530-499B-8B30-184D7CD3B07E}"/>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D530-499B-8B30-184D7CD3B07E}"/>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D530-499B-8B30-184D7CD3B07E}"/>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D530-499B-8B30-184D7CD3B07E}"/>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D530-499B-8B30-184D7CD3B07E}"/>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D530-499B-8B30-184D7CD3B07E}"/>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D530-499B-8B30-184D7CD3B07E}"/>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D530-499B-8B30-184D7CD3B07E}"/>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D530-499B-8B30-184D7CD3B07E}"/>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D530-499B-8B30-184D7CD3B07E}"/>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D530-499B-8B30-184D7CD3B07E}"/>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D530-499B-8B30-184D7CD3B07E}"/>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D530-499B-8B30-184D7CD3B07E}"/>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D530-499B-8B30-184D7CD3B07E}"/>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D530-499B-8B30-184D7CD3B07E}"/>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D530-499B-8B30-184D7CD3B07E}"/>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D530-499B-8B30-184D7CD3B07E}"/>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D530-499B-8B30-184D7CD3B07E}"/>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D530-499B-8B30-184D7CD3B07E}"/>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D530-499B-8B30-184D7CD3B07E}"/>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D530-499B-8B30-184D7CD3B07E}"/>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D530-499B-8B30-184D7CD3B07E}"/>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D530-499B-8B30-184D7CD3B07E}"/>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D530-499B-8B30-184D7CD3B07E}"/>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D530-499B-8B30-184D7CD3B07E}"/>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D530-499B-8B30-184D7CD3B07E}"/>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D530-499B-8B30-184D7CD3B07E}"/>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D530-499B-8B30-184D7CD3B07E}"/>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D530-499B-8B30-184D7CD3B07E}"/>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D530-499B-8B30-184D7CD3B07E}"/>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D530-499B-8B30-184D7CD3B07E}"/>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D530-499B-8B30-184D7CD3B07E}"/>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D530-499B-8B30-184D7CD3B07E}"/>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D530-499B-8B30-184D7CD3B07E}"/>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D530-499B-8B30-184D7CD3B07E}"/>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D530-499B-8B30-184D7CD3B07E}"/>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D530-499B-8B30-184D7CD3B07E}"/>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D530-499B-8B30-184D7CD3B07E}"/>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D530-499B-8B30-184D7CD3B07E}"/>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D530-499B-8B30-184D7CD3B07E}"/>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D530-499B-8B30-184D7CD3B07E}"/>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D530-499B-8B30-184D7CD3B07E}"/>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D530-499B-8B30-184D7CD3B07E}"/>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D530-499B-8B30-184D7CD3B07E}"/>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D530-499B-8B30-184D7CD3B07E}"/>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D530-499B-8B30-184D7CD3B07E}"/>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D530-499B-8B30-184D7CD3B07E}"/>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D530-499B-8B30-184D7CD3B07E}"/>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D530-499B-8B30-184D7CD3B07E}"/>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D530-499B-8B30-184D7CD3B07E}"/>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D530-499B-8B30-184D7CD3B07E}"/>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D530-499B-8B30-184D7CD3B07E}"/>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D530-499B-8B30-184D7CD3B07E}"/>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D530-499B-8B30-184D7CD3B07E}"/>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D530-499B-8B30-184D7CD3B07E}"/>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D530-499B-8B30-184D7CD3B07E}"/>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D530-499B-8B30-184D7CD3B07E}"/>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D530-499B-8B30-184D7CD3B07E}"/>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D530-499B-8B30-184D7CD3B07E}"/>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D530-499B-8B30-184D7CD3B07E}"/>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D530-499B-8B30-184D7CD3B07E}"/>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D530-499B-8B30-184D7CD3B07E}"/>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D530-499B-8B30-184D7CD3B07E}"/>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D530-499B-8B30-184D7CD3B07E}"/>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D530-499B-8B30-184D7CD3B07E}"/>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D530-499B-8B30-184D7CD3B07E}"/>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D530-499B-8B30-184D7CD3B07E}"/>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D530-499B-8B30-184D7CD3B07E}"/>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D530-499B-8B30-184D7CD3B07E}"/>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D530-499B-8B30-184D7CD3B07E}"/>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D530-499B-8B30-184D7CD3B07E}"/>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78.508743286132813</c:v>
                </c:pt>
                <c:pt idx="1">
                  <c:v>89.222404479980469</c:v>
                </c:pt>
                <c:pt idx="2">
                  <c:v>96.665130615234375</c:v>
                </c:pt>
                <c:pt idx="3">
                  <c:v>100</c:v>
                </c:pt>
                <c:pt idx="4">
                  <c:v>98.496772766113281</c:v>
                </c:pt>
                <c:pt idx="5">
                  <c:v>92.576194763183594</c:v>
                </c:pt>
                <c:pt idx="6">
                  <c:v>82.419036865234375</c:v>
                </c:pt>
                <c:pt idx="7">
                  <c:v>69.997367858886719</c:v>
                </c:pt>
                <c:pt idx="8">
                  <c:v>57.360618591308594</c:v>
                </c:pt>
                <c:pt idx="9">
                  <c:v>45.678024291992188</c:v>
                </c:pt>
                <c:pt idx="10">
                  <c:v>36.271572113037109</c:v>
                </c:pt>
                <c:pt idx="11">
                  <c:v>28.87757682800293</c:v>
                </c:pt>
                <c:pt idx="12">
                  <c:v>22.873184204101563</c:v>
                </c:pt>
                <c:pt idx="13">
                  <c:v>17.996192932128906</c:v>
                </c:pt>
                <c:pt idx="14">
                  <c:v>14.437150955200195</c:v>
                </c:pt>
                <c:pt idx="15">
                  <c:v>11.879470825195313</c:v>
                </c:pt>
                <c:pt idx="16">
                  <c:v>10.096652030944824</c:v>
                </c:pt>
                <c:pt idx="17">
                  <c:v>8.9709959030151367</c:v>
                </c:pt>
                <c:pt idx="18">
                  <c:v>8.2427940368652344</c:v>
                </c:pt>
                <c:pt idx="19">
                  <c:v>7.5785818099975586</c:v>
                </c:pt>
                <c:pt idx="20">
                  <c:v>6.9133667945861816</c:v>
                </c:pt>
                <c:pt idx="21">
                  <c:v>6.3444762229919434</c:v>
                </c:pt>
                <c:pt idx="22">
                  <c:v>5.8216619491577148</c:v>
                </c:pt>
                <c:pt idx="23">
                  <c:v>5.5438451766967773</c:v>
                </c:pt>
                <c:pt idx="24">
                  <c:v>5.1221408843994141</c:v>
                </c:pt>
                <c:pt idx="25">
                  <c:v>4.8596181869506836</c:v>
                </c:pt>
                <c:pt idx="26">
                  <c:v>4.6184039115905762</c:v>
                </c:pt>
                <c:pt idx="27">
                  <c:v>4.3462777137756348</c:v>
                </c:pt>
                <c:pt idx="28">
                  <c:v>4.2896280288696289</c:v>
                </c:pt>
                <c:pt idx="29">
                  <c:v>4.2670588493347168</c:v>
                </c:pt>
                <c:pt idx="30">
                  <c:v>4.3881831169128418</c:v>
                </c:pt>
                <c:pt idx="31">
                  <c:v>4.5317802429199219</c:v>
                </c:pt>
                <c:pt idx="32">
                  <c:v>4.7934942245483398</c:v>
                </c:pt>
                <c:pt idx="33">
                  <c:v>5.1574821472167969</c:v>
                </c:pt>
                <c:pt idx="34">
                  <c:v>5.5179777145385742</c:v>
                </c:pt>
                <c:pt idx="35">
                  <c:v>5.7702183723449707</c:v>
                </c:pt>
                <c:pt idx="36">
                  <c:v>6.0141487121582031</c:v>
                </c:pt>
                <c:pt idx="37">
                  <c:v>6.2522263526916504</c:v>
                </c:pt>
                <c:pt idx="38">
                  <c:v>6.5401639938354492</c:v>
                </c:pt>
                <c:pt idx="39">
                  <c:v>7.0484275817871094</c:v>
                </c:pt>
                <c:pt idx="40">
                  <c:v>7.4555492401123047</c:v>
                </c:pt>
                <c:pt idx="41">
                  <c:v>7.7100210189819336</c:v>
                </c:pt>
                <c:pt idx="42">
                  <c:v>8.0640172958374023</c:v>
                </c:pt>
                <c:pt idx="43">
                  <c:v>8.4316911697387695</c:v>
                </c:pt>
                <c:pt idx="44">
                  <c:v>8.3551883697509766</c:v>
                </c:pt>
                <c:pt idx="45">
                  <c:v>8.6611032485961914</c:v>
                </c:pt>
                <c:pt idx="46">
                  <c:v>8.8278522491455078</c:v>
                </c:pt>
                <c:pt idx="47">
                  <c:v>8.7640886306762695</c:v>
                </c:pt>
                <c:pt idx="48">
                  <c:v>8.8342218399047852</c:v>
                </c:pt>
                <c:pt idx="49">
                  <c:v>8.7785091400146484</c:v>
                </c:pt>
                <c:pt idx="50">
                  <c:v>8.3326187133789063</c:v>
                </c:pt>
                <c:pt idx="51">
                  <c:v>8.1062784194946289</c:v>
                </c:pt>
                <c:pt idx="52">
                  <c:v>8.1582393646240234</c:v>
                </c:pt>
                <c:pt idx="53">
                  <c:v>8.0422239303588867</c:v>
                </c:pt>
                <c:pt idx="54">
                  <c:v>7.516596794128418</c:v>
                </c:pt>
                <c:pt idx="55">
                  <c:v>6.7918543815612793</c:v>
                </c:pt>
                <c:pt idx="56">
                  <c:v>6.0534992218017578</c:v>
                </c:pt>
                <c:pt idx="57">
                  <c:v>5.4337468147277832</c:v>
                </c:pt>
                <c:pt idx="58">
                  <c:v>4.8528923988342285</c:v>
                </c:pt>
                <c:pt idx="59">
                  <c:v>4.3090934753417969</c:v>
                </c:pt>
                <c:pt idx="60">
                  <c:v>3.7970788478851318</c:v>
                </c:pt>
                <c:pt idx="61">
                  <c:v>3.3589160442352295</c:v>
                </c:pt>
                <c:pt idx="62">
                  <c:v>3.0465338230133057</c:v>
                </c:pt>
                <c:pt idx="63">
                  <c:v>2.9795691967010498</c:v>
                </c:pt>
                <c:pt idx="64">
                  <c:v>2.9958658218383789</c:v>
                </c:pt>
                <c:pt idx="65">
                  <c:v>2.8568282127380371</c:v>
                </c:pt>
                <c:pt idx="66">
                  <c:v>2.8975694179534912</c:v>
                </c:pt>
                <c:pt idx="67">
                  <c:v>2.9135749340057373</c:v>
                </c:pt>
                <c:pt idx="68">
                  <c:v>2.7531964778900146</c:v>
                </c:pt>
                <c:pt idx="69">
                  <c:v>2.8734157085418701</c:v>
                </c:pt>
                <c:pt idx="70">
                  <c:v>3.024320125579834</c:v>
                </c:pt>
                <c:pt idx="71">
                  <c:v>2.9714210033416748</c:v>
                </c:pt>
                <c:pt idx="72">
                  <c:v>2.6614961624145508</c:v>
                </c:pt>
                <c:pt idx="73">
                  <c:v>2.5613892078399658</c:v>
                </c:pt>
                <c:pt idx="74">
                  <c:v>2.8494882583618164</c:v>
                </c:pt>
                <c:pt idx="75">
                  <c:v>2.7613446712493896</c:v>
                </c:pt>
                <c:pt idx="76">
                  <c:v>2.7143628597259521</c:v>
                </c:pt>
                <c:pt idx="77">
                  <c:v>2.6857147216796875</c:v>
                </c:pt>
                <c:pt idx="78">
                  <c:v>2.6946389675140381</c:v>
                </c:pt>
                <c:pt idx="79">
                  <c:v>2.8517839908599854</c:v>
                </c:pt>
                <c:pt idx="80">
                  <c:v>2.6105048656463623</c:v>
                </c:pt>
                <c:pt idx="81">
                  <c:v>2.4932606220245361</c:v>
                </c:pt>
                <c:pt idx="82">
                  <c:v>2.9332988262176514</c:v>
                </c:pt>
                <c:pt idx="83">
                  <c:v>3.2654697895050049</c:v>
                </c:pt>
                <c:pt idx="84">
                  <c:v>3.1252355575561523</c:v>
                </c:pt>
                <c:pt idx="85">
                  <c:v>2.9935376644134521</c:v>
                </c:pt>
                <c:pt idx="86">
                  <c:v>2.9573554992675781</c:v>
                </c:pt>
                <c:pt idx="87">
                  <c:v>3.13315749168396</c:v>
                </c:pt>
                <c:pt idx="88">
                  <c:v>3.1329958438873291</c:v>
                </c:pt>
                <c:pt idx="89">
                  <c:v>2.7300450801849365</c:v>
                </c:pt>
                <c:pt idx="90">
                  <c:v>2.5601603984832764</c:v>
                </c:pt>
                <c:pt idx="91">
                  <c:v>2.8167011737823486</c:v>
                </c:pt>
                <c:pt idx="92">
                  <c:v>2.9076254367828369</c:v>
                </c:pt>
                <c:pt idx="93">
                  <c:v>2.8386886119842529</c:v>
                </c:pt>
                <c:pt idx="94">
                  <c:v>2.7010087966918945</c:v>
                </c:pt>
                <c:pt idx="95">
                  <c:v>2.4353175163269043</c:v>
                </c:pt>
                <c:pt idx="96">
                  <c:v>2.1911931037902832</c:v>
                </c:pt>
                <c:pt idx="97">
                  <c:v>2.4287536144256592</c:v>
                </c:pt>
                <c:pt idx="98">
                  <c:v>2.8551144599914551</c:v>
                </c:pt>
                <c:pt idx="99">
                  <c:v>2.8135647773742676</c:v>
                </c:pt>
                <c:pt idx="100">
                  <c:v>2.6834189891815186</c:v>
                </c:pt>
                <c:pt idx="101">
                  <c:v>2.4540066719055176</c:v>
                </c:pt>
                <c:pt idx="102">
                  <c:v>2.4162077903747559</c:v>
                </c:pt>
                <c:pt idx="103">
                  <c:v>2.6597177982330322</c:v>
                </c:pt>
                <c:pt idx="104">
                  <c:v>2.4999215602874756</c:v>
                </c:pt>
                <c:pt idx="105">
                  <c:v>2.2306408882141113</c:v>
                </c:pt>
                <c:pt idx="106">
                  <c:v>2.3160684108734131</c:v>
                </c:pt>
                <c:pt idx="107">
                  <c:v>2.5810160636901855</c:v>
                </c:pt>
                <c:pt idx="108">
                  <c:v>2.8169598579406738</c:v>
                </c:pt>
                <c:pt idx="109">
                  <c:v>2.7565269470214844</c:v>
                </c:pt>
                <c:pt idx="110">
                  <c:v>2.7584023475646973</c:v>
                </c:pt>
                <c:pt idx="111">
                  <c:v>2.7902839183807373</c:v>
                </c:pt>
                <c:pt idx="112">
                  <c:v>2.4509673118591309</c:v>
                </c:pt>
                <c:pt idx="113">
                  <c:v>2.2395329475402832</c:v>
                </c:pt>
                <c:pt idx="114">
                  <c:v>2.3950612545013428</c:v>
                </c:pt>
                <c:pt idx="115">
                  <c:v>2.4611849784851074</c:v>
                </c:pt>
                <c:pt idx="116">
                  <c:v>2.5359096527099609</c:v>
                </c:pt>
                <c:pt idx="117">
                  <c:v>2.3388640880584717</c:v>
                </c:pt>
                <c:pt idx="118">
                  <c:v>2.3502457141876221</c:v>
                </c:pt>
                <c:pt idx="119">
                  <c:v>2.378570556640625</c:v>
                </c:pt>
                <c:pt idx="120">
                  <c:v>2.3319768905639648</c:v>
                </c:pt>
                <c:pt idx="121">
                  <c:v>2.3057537078857422</c:v>
                </c:pt>
                <c:pt idx="122">
                  <c:v>2.1523270606994629</c:v>
                </c:pt>
                <c:pt idx="123">
                  <c:v>2.4326982498168945</c:v>
                </c:pt>
                <c:pt idx="124">
                  <c:v>2.6300673484802246</c:v>
                </c:pt>
                <c:pt idx="125">
                  <c:v>2.8148257732391357</c:v>
                </c:pt>
                <c:pt idx="126">
                  <c:v>2.7415561676025391</c:v>
                </c:pt>
                <c:pt idx="127">
                  <c:v>2.4470224380493164</c:v>
                </c:pt>
                <c:pt idx="128">
                  <c:v>2.4801006317138672</c:v>
                </c:pt>
                <c:pt idx="129">
                  <c:v>2.3837442398071289</c:v>
                </c:pt>
                <c:pt idx="130">
                  <c:v>2.2277956008911133</c:v>
                </c:pt>
                <c:pt idx="131">
                  <c:v>2.4001700878143311</c:v>
                </c:pt>
                <c:pt idx="132">
                  <c:v>2.3644728660583496</c:v>
                </c:pt>
                <c:pt idx="133">
                  <c:v>2.3694846630096436</c:v>
                </c:pt>
                <c:pt idx="134">
                  <c:v>2.6135766506195068</c:v>
                </c:pt>
                <c:pt idx="135">
                  <c:v>2.5967304706573486</c:v>
                </c:pt>
                <c:pt idx="136">
                  <c:v>5.0553054809570313</c:v>
                </c:pt>
                <c:pt idx="137">
                  <c:v>6.6924586296081543</c:v>
                </c:pt>
                <c:pt idx="138">
                  <c:v>4.3241610527038574</c:v>
                </c:pt>
                <c:pt idx="139">
                  <c:v>2.7764124870300293</c:v>
                </c:pt>
                <c:pt idx="140">
                  <c:v>3.071237325668335</c:v>
                </c:pt>
                <c:pt idx="141">
                  <c:v>3.018887996673584</c:v>
                </c:pt>
                <c:pt idx="142">
                  <c:v>2.7497367858886719</c:v>
                </c:pt>
                <c:pt idx="143">
                  <c:v>2.7104504108428955</c:v>
                </c:pt>
                <c:pt idx="144">
                  <c:v>2.5912013053894043</c:v>
                </c:pt>
                <c:pt idx="145">
                  <c:v>2.7103533744812012</c:v>
                </c:pt>
                <c:pt idx="146">
                  <c:v>3.0709786415100098</c:v>
                </c:pt>
                <c:pt idx="147">
                  <c:v>2.8543705940246582</c:v>
                </c:pt>
                <c:pt idx="148">
                  <c:v>2.7027225494384766</c:v>
                </c:pt>
                <c:pt idx="149">
                  <c:v>2.8392705917358398</c:v>
                </c:pt>
                <c:pt idx="150">
                  <c:v>3.0657727718353271</c:v>
                </c:pt>
                <c:pt idx="151">
                  <c:v>2.7917068004608154</c:v>
                </c:pt>
                <c:pt idx="152">
                  <c:v>2.6602351665496826</c:v>
                </c:pt>
                <c:pt idx="153">
                  <c:v>2.8058044910430908</c:v>
                </c:pt>
                <c:pt idx="154">
                  <c:v>2.8236854076385498</c:v>
                </c:pt>
                <c:pt idx="155">
                  <c:v>2.5655603408813477</c:v>
                </c:pt>
                <c:pt idx="156">
                  <c:v>2.3177497386932373</c:v>
                </c:pt>
                <c:pt idx="157">
                  <c:v>2.7253243923187256</c:v>
                </c:pt>
                <c:pt idx="158">
                  <c:v>2.3548049926757813</c:v>
                </c:pt>
                <c:pt idx="159">
                  <c:v>2.1356425285339355</c:v>
                </c:pt>
                <c:pt idx="160">
                  <c:v>2.7128109931945801</c:v>
                </c:pt>
                <c:pt idx="161">
                  <c:v>2.7910923957824707</c:v>
                </c:pt>
                <c:pt idx="162">
                  <c:v>2.4991776943206787</c:v>
                </c:pt>
                <c:pt idx="163">
                  <c:v>2.7871475219726563</c:v>
                </c:pt>
                <c:pt idx="164">
                  <c:v>2.8806586265563965</c:v>
                </c:pt>
                <c:pt idx="165">
                  <c:v>2.3342080116271973</c:v>
                </c:pt>
                <c:pt idx="166">
                  <c:v>2.6820609569549561</c:v>
                </c:pt>
                <c:pt idx="167">
                  <c:v>2.8826632499694824</c:v>
                </c:pt>
                <c:pt idx="168">
                  <c:v>2.81107497215271</c:v>
                </c:pt>
                <c:pt idx="169">
                  <c:v>2.9188454151153564</c:v>
                </c:pt>
                <c:pt idx="170">
                  <c:v>2.8037350177764893</c:v>
                </c:pt>
                <c:pt idx="171">
                  <c:v>2.4242591857910156</c:v>
                </c:pt>
                <c:pt idx="172">
                  <c:v>2.9044241905212402</c:v>
                </c:pt>
                <c:pt idx="173">
                  <c:v>3.0205047130584717</c:v>
                </c:pt>
                <c:pt idx="174">
                  <c:v>2</c:v>
                </c:pt>
                <c:pt idx="175">
                  <c:v>2.2484896183013916</c:v>
                </c:pt>
                <c:pt idx="176">
                  <c:v>3.2504019737243652</c:v>
                </c:pt>
                <c:pt idx="177">
                  <c:v>3.3356997966766357</c:v>
                </c:pt>
                <c:pt idx="178">
                  <c:v>2.9134454727172852</c:v>
                </c:pt>
                <c:pt idx="179">
                  <c:v>2.6171982288360596</c:v>
                </c:pt>
                <c:pt idx="180">
                  <c:v>3.1293420791625977</c:v>
                </c:pt>
                <c:pt idx="181">
                  <c:v>3.1746425628662109</c:v>
                </c:pt>
                <c:pt idx="182">
                  <c:v>2.5612597465515137</c:v>
                </c:pt>
                <c:pt idx="183">
                  <c:v>2.4502236843109131</c:v>
                </c:pt>
                <c:pt idx="184">
                  <c:v>2.0874967575073242</c:v>
                </c:pt>
                <c:pt idx="185">
                  <c:v>2.2837340831756592</c:v>
                </c:pt>
                <c:pt idx="186">
                  <c:v>2.7293660640716553</c:v>
                </c:pt>
                <c:pt idx="187">
                  <c:v>2.9839022159576416</c:v>
                </c:pt>
                <c:pt idx="188">
                  <c:v>2.8325450420379639</c:v>
                </c:pt>
                <c:pt idx="189">
                  <c:v>2.7859835624694824</c:v>
                </c:pt>
                <c:pt idx="190">
                  <c:v>2.7463738918304443</c:v>
                </c:pt>
                <c:pt idx="191">
                  <c:v>2.6084678173065186</c:v>
                </c:pt>
                <c:pt idx="192">
                  <c:v>2.6528630256652832</c:v>
                </c:pt>
                <c:pt idx="193">
                  <c:v>2.5768449306488037</c:v>
                </c:pt>
                <c:pt idx="194">
                  <c:v>2.4618315696716309</c:v>
                </c:pt>
                <c:pt idx="195">
                  <c:v>2.5357155799865723</c:v>
                </c:pt>
                <c:pt idx="196">
                  <c:v>2.4424309730529785</c:v>
                </c:pt>
                <c:pt idx="197">
                  <c:v>2.6143527030944824</c:v>
                </c:pt>
                <c:pt idx="198">
                  <c:v>2.8328037261962891</c:v>
                </c:pt>
                <c:pt idx="199">
                  <c:v>2.7454040050506592</c:v>
                </c:pt>
                <c:pt idx="200">
                  <c:v>2.5815980434417725</c:v>
                </c:pt>
                <c:pt idx="201">
                  <c:v>2.6038117408752441</c:v>
                </c:pt>
                <c:pt idx="202">
                  <c:v>2.8441853523254395</c:v>
                </c:pt>
                <c:pt idx="203">
                  <c:v>2.9195568561553955</c:v>
                </c:pt>
                <c:pt idx="204">
                  <c:v>2.6389591693878174</c:v>
                </c:pt>
                <c:pt idx="205">
                  <c:v>2.4638364315032959</c:v>
                </c:pt>
                <c:pt idx="206">
                  <c:v>2.6837747097015381</c:v>
                </c:pt>
                <c:pt idx="207">
                  <c:v>2.4911589622497559</c:v>
                </c:pt>
                <c:pt idx="208">
                  <c:v>2.2081038951873779</c:v>
                </c:pt>
                <c:pt idx="209">
                  <c:v>2.3658633232116699</c:v>
                </c:pt>
                <c:pt idx="210">
                  <c:v>2.8383975028991699</c:v>
                </c:pt>
                <c:pt idx="211">
                  <c:v>2.7389693260192871</c:v>
                </c:pt>
                <c:pt idx="212">
                  <c:v>2.4115841388702393</c:v>
                </c:pt>
                <c:pt idx="213">
                  <c:v>2.619138240814209</c:v>
                </c:pt>
                <c:pt idx="214">
                  <c:v>2.6516342163085938</c:v>
                </c:pt>
                <c:pt idx="215">
                  <c:v>2.794487476348877</c:v>
                </c:pt>
                <c:pt idx="216">
                  <c:v>2.4470224380493164</c:v>
                </c:pt>
                <c:pt idx="217">
                  <c:v>2.5818891525268555</c:v>
                </c:pt>
                <c:pt idx="218">
                  <c:v>3.288459300994873</c:v>
                </c:pt>
                <c:pt idx="219">
                  <c:v>3.4769687652587891</c:v>
                </c:pt>
                <c:pt idx="220">
                  <c:v>3.0771219730377197</c:v>
                </c:pt>
                <c:pt idx="221">
                  <c:v>2.9198801517486572</c:v>
                </c:pt>
                <c:pt idx="222">
                  <c:v>3.2165801525115967</c:v>
                </c:pt>
                <c:pt idx="223">
                  <c:v>3.421062707901001</c:v>
                </c:pt>
                <c:pt idx="224">
                  <c:v>3.5270223617553711</c:v>
                </c:pt>
                <c:pt idx="225">
                  <c:v>3.5039680004119873</c:v>
                </c:pt>
              </c:numCache>
            </c:numRef>
          </c:yVal>
          <c:smooth val="1"/>
          <c:extLst>
            <c:ext xmlns:c15="http://schemas.microsoft.com/office/drawing/2012/chart" uri="{02D57815-91ED-43cb-92C2-25804820EDAC}">
              <c15:datalabelsRange>
                <c15:f>PeakLabels!$E$2:$E$300</c15:f>
                <c15:dlblRangeCache>
                  <c:ptCount val="299"/>
                  <c:pt idx="3">
                    <c:v>196</c:v>
                  </c:pt>
                  <c:pt idx="36">
                    <c:v>264s</c:v>
                  </c:pt>
                  <c:pt idx="48">
                    <c:v>286</c:v>
                  </c:pt>
                  <c:pt idx="137">
                    <c:v>464</c:v>
                  </c:pt>
                </c15:dlblRangeCache>
              </c15:datalabelsRange>
            </c:ext>
            <c:ext xmlns:c16="http://schemas.microsoft.com/office/drawing/2014/chart" uri="{C3380CC4-5D6E-409C-BE32-E72D297353CC}">
              <c16:uniqueId val="{00000000-AAAE-4C4E-B521-E0B9974BDE0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48A13EB5-37A0-4968-9DA0-4AD1531D654A}"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AAE-4C4E-B521-E0B9974BDE05}"/>
                </c:ext>
              </c:extLst>
            </c:dLbl>
            <c:dLbl>
              <c:idx val="1"/>
              <c:tx>
                <c:rich>
                  <a:bodyPr/>
                  <a:lstStyle/>
                  <a:p>
                    <a:fld id="{12B9CCB3-18A6-4CB1-88DA-093E082FA9A4}"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AAE-4C4E-B521-E0B9974BDE05}"/>
                </c:ext>
              </c:extLst>
            </c:dLbl>
            <c:dLbl>
              <c:idx val="2"/>
              <c:tx>
                <c:rich>
                  <a:bodyPr/>
                  <a:lstStyle/>
                  <a:p>
                    <a:fld id="{4474489D-897C-4B65-9A6C-EB72B62EF092}"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AAE-4C4E-B521-E0B9974BDE05}"/>
                </c:ext>
              </c:extLst>
            </c:dLbl>
            <c:dLbl>
              <c:idx val="3"/>
              <c:tx>
                <c:rich>
                  <a:bodyPr/>
                  <a:lstStyle/>
                  <a:p>
                    <a:fld id="{F91AFB24-41E7-4960-BA78-1F0A77B0DCF6}"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AAE-4C4E-B521-E0B9974BDE05}"/>
                </c:ext>
              </c:extLst>
            </c:dLbl>
            <c:dLbl>
              <c:idx val="4"/>
              <c:tx>
                <c:rich>
                  <a:bodyPr/>
                  <a:lstStyle/>
                  <a:p>
                    <a:fld id="{0C1E7F64-F468-400A-95DF-036442FBB933}"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AAE-4C4E-B521-E0B9974BDE0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AAAE-4C4E-B521-E0B9974BDE05}"/>
            </c:ext>
          </c:extLst>
        </c:ser>
        <c:dLbls>
          <c:showLegendKey val="0"/>
          <c:showVal val="0"/>
          <c:showCatName val="0"/>
          <c:showSerName val="0"/>
          <c:showPercent val="0"/>
          <c:showBubbleSize val="0"/>
        </c:dLbls>
        <c:axId val="1569266832"/>
        <c:axId val="1569267920"/>
      </c:scatterChart>
      <c:valAx>
        <c:axId val="1569266832"/>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7920"/>
        <c:crossesAt val="0"/>
        <c:crossBetween val="midCat"/>
        <c:majorUnit val="100"/>
      </c:valAx>
      <c:valAx>
        <c:axId val="156926792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6832"/>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8139F698-551B-4422-9045-7C88CBC33C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917-4535-AEE7-B2428E672C31}"/>
                </c:ext>
              </c:extLst>
            </c:dLbl>
            <c:dLbl>
              <c:idx val="1"/>
              <c:tx>
                <c:rich>
                  <a:bodyPr/>
                  <a:lstStyle/>
                  <a:p>
                    <a:fld id="{5E11155D-315D-4511-8D6D-74D9A91AE7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917-4535-AEE7-B2428E672C31}"/>
                </c:ext>
              </c:extLst>
            </c:dLbl>
            <c:dLbl>
              <c:idx val="2"/>
              <c:tx>
                <c:rich>
                  <a:bodyPr/>
                  <a:lstStyle/>
                  <a:p>
                    <a:fld id="{C77129FF-7F45-485D-960C-441DEB06ED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917-4535-AEE7-B2428E672C31}"/>
                </c:ext>
              </c:extLst>
            </c:dLbl>
            <c:dLbl>
              <c:idx val="3"/>
              <c:tx>
                <c:rich>
                  <a:bodyPr/>
                  <a:lstStyle/>
                  <a:p>
                    <a:fld id="{4D27C6CB-A0AA-4B77-9AD9-F2F2DCE0A0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917-4535-AEE7-B2428E672C31}"/>
                </c:ext>
              </c:extLst>
            </c:dLbl>
            <c:dLbl>
              <c:idx val="4"/>
              <c:tx>
                <c:rich>
                  <a:bodyPr/>
                  <a:lstStyle/>
                  <a:p>
                    <a:fld id="{AEF83C69-2E44-4A72-8B1B-858E240232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917-4535-AEE7-B2428E672C31}"/>
                </c:ext>
              </c:extLst>
            </c:dLbl>
            <c:dLbl>
              <c:idx val="5"/>
              <c:tx>
                <c:rich>
                  <a:bodyPr/>
                  <a:lstStyle/>
                  <a:p>
                    <a:fld id="{A553B2CD-231C-4DED-9B44-CD890B340D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917-4535-AEE7-B2428E672C31}"/>
                </c:ext>
              </c:extLst>
            </c:dLbl>
            <c:dLbl>
              <c:idx val="6"/>
              <c:tx>
                <c:rich>
                  <a:bodyPr/>
                  <a:lstStyle/>
                  <a:p>
                    <a:fld id="{B8890233-14B7-42A1-B44F-01169588D9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917-4535-AEE7-B2428E672C31}"/>
                </c:ext>
              </c:extLst>
            </c:dLbl>
            <c:dLbl>
              <c:idx val="7"/>
              <c:tx>
                <c:rich>
                  <a:bodyPr/>
                  <a:lstStyle/>
                  <a:p>
                    <a:fld id="{959660B5-43ED-4678-9400-E996D3F624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917-4535-AEE7-B2428E672C31}"/>
                </c:ext>
              </c:extLst>
            </c:dLbl>
            <c:dLbl>
              <c:idx val="8"/>
              <c:tx>
                <c:rich>
                  <a:bodyPr/>
                  <a:lstStyle/>
                  <a:p>
                    <a:fld id="{0322442B-8987-42E1-A5F3-CA6D424AE0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917-4535-AEE7-B2428E672C31}"/>
                </c:ext>
              </c:extLst>
            </c:dLbl>
            <c:dLbl>
              <c:idx val="9"/>
              <c:tx>
                <c:rich>
                  <a:bodyPr/>
                  <a:lstStyle/>
                  <a:p>
                    <a:fld id="{2455C111-5F88-4178-99CD-9EB0006ED2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917-4535-AEE7-B2428E672C31}"/>
                </c:ext>
              </c:extLst>
            </c:dLbl>
            <c:dLbl>
              <c:idx val="10"/>
              <c:tx>
                <c:rich>
                  <a:bodyPr/>
                  <a:lstStyle/>
                  <a:p>
                    <a:fld id="{5F69E91B-5B13-4934-B754-067926C8C1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917-4535-AEE7-B2428E672C31}"/>
                </c:ext>
              </c:extLst>
            </c:dLbl>
            <c:dLbl>
              <c:idx val="11"/>
              <c:tx>
                <c:rich>
                  <a:bodyPr/>
                  <a:lstStyle/>
                  <a:p>
                    <a:fld id="{5AECBA2F-EF1F-4906-B88E-87172BAC55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917-4535-AEE7-B2428E672C31}"/>
                </c:ext>
              </c:extLst>
            </c:dLbl>
            <c:dLbl>
              <c:idx val="12"/>
              <c:tx>
                <c:rich>
                  <a:bodyPr/>
                  <a:lstStyle/>
                  <a:p>
                    <a:fld id="{D3701AF5-065B-40B7-896F-274E659ACA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917-4535-AEE7-B2428E672C31}"/>
                </c:ext>
              </c:extLst>
            </c:dLbl>
            <c:dLbl>
              <c:idx val="13"/>
              <c:tx>
                <c:rich>
                  <a:bodyPr/>
                  <a:lstStyle/>
                  <a:p>
                    <a:fld id="{A253F031-7A24-41A5-8AAC-F9CFD53C66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917-4535-AEE7-B2428E672C31}"/>
                </c:ext>
              </c:extLst>
            </c:dLbl>
            <c:dLbl>
              <c:idx val="14"/>
              <c:tx>
                <c:rich>
                  <a:bodyPr/>
                  <a:lstStyle/>
                  <a:p>
                    <a:fld id="{C200F4AE-C6DD-4D8B-B920-A2DF4A6D8C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917-4535-AEE7-B2428E672C31}"/>
                </c:ext>
              </c:extLst>
            </c:dLbl>
            <c:dLbl>
              <c:idx val="15"/>
              <c:tx>
                <c:rich>
                  <a:bodyPr/>
                  <a:lstStyle/>
                  <a:p>
                    <a:fld id="{19F6841D-B7E9-412D-A861-8B937248F1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917-4535-AEE7-B2428E672C31}"/>
                </c:ext>
              </c:extLst>
            </c:dLbl>
            <c:dLbl>
              <c:idx val="16"/>
              <c:tx>
                <c:rich>
                  <a:bodyPr/>
                  <a:lstStyle/>
                  <a:p>
                    <a:fld id="{FDE505B1-746C-465D-9DEC-6DDB57FE62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917-4535-AEE7-B2428E672C31}"/>
                </c:ext>
              </c:extLst>
            </c:dLbl>
            <c:dLbl>
              <c:idx val="17"/>
              <c:tx>
                <c:rich>
                  <a:bodyPr/>
                  <a:lstStyle/>
                  <a:p>
                    <a:fld id="{482172DF-823C-4574-81ED-D6AC1784A6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917-4535-AEE7-B2428E672C31}"/>
                </c:ext>
              </c:extLst>
            </c:dLbl>
            <c:dLbl>
              <c:idx val="18"/>
              <c:tx>
                <c:rich>
                  <a:bodyPr/>
                  <a:lstStyle/>
                  <a:p>
                    <a:fld id="{3478EC59-18A3-4FDF-A24D-9F09C2F7D9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6917-4535-AEE7-B2428E672C31}"/>
                </c:ext>
              </c:extLst>
            </c:dLbl>
            <c:dLbl>
              <c:idx val="19"/>
              <c:tx>
                <c:rich>
                  <a:bodyPr/>
                  <a:lstStyle/>
                  <a:p>
                    <a:fld id="{2EC88A72-8896-4E7E-954B-4F762C7122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6917-4535-AEE7-B2428E672C31}"/>
                </c:ext>
              </c:extLst>
            </c:dLbl>
            <c:dLbl>
              <c:idx val="20"/>
              <c:tx>
                <c:rich>
                  <a:bodyPr/>
                  <a:lstStyle/>
                  <a:p>
                    <a:fld id="{71839163-FE14-4332-B3A1-7B82A07D96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6917-4535-AEE7-B2428E672C31}"/>
                </c:ext>
              </c:extLst>
            </c:dLbl>
            <c:dLbl>
              <c:idx val="21"/>
              <c:tx>
                <c:rich>
                  <a:bodyPr/>
                  <a:lstStyle/>
                  <a:p>
                    <a:fld id="{51151E2B-F351-42B0-97F7-34D5FBDF4F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6917-4535-AEE7-B2428E672C31}"/>
                </c:ext>
              </c:extLst>
            </c:dLbl>
            <c:dLbl>
              <c:idx val="22"/>
              <c:tx>
                <c:rich>
                  <a:bodyPr/>
                  <a:lstStyle/>
                  <a:p>
                    <a:fld id="{EAB45C97-6DA5-48F5-8F01-69B0B612E4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6917-4535-AEE7-B2428E672C31}"/>
                </c:ext>
              </c:extLst>
            </c:dLbl>
            <c:dLbl>
              <c:idx val="23"/>
              <c:tx>
                <c:rich>
                  <a:bodyPr/>
                  <a:lstStyle/>
                  <a:p>
                    <a:fld id="{08B32E92-39BF-4C05-A841-60552A3061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6917-4535-AEE7-B2428E672C31}"/>
                </c:ext>
              </c:extLst>
            </c:dLbl>
            <c:dLbl>
              <c:idx val="24"/>
              <c:tx>
                <c:rich>
                  <a:bodyPr/>
                  <a:lstStyle/>
                  <a:p>
                    <a:fld id="{8A9778E4-4C3F-42C0-8279-0952B10ACB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6917-4535-AEE7-B2428E672C31}"/>
                </c:ext>
              </c:extLst>
            </c:dLbl>
            <c:dLbl>
              <c:idx val="25"/>
              <c:tx>
                <c:rich>
                  <a:bodyPr/>
                  <a:lstStyle/>
                  <a:p>
                    <a:fld id="{BFCC9084-C219-4CFD-8C55-FEAA7FAD3D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6917-4535-AEE7-B2428E672C31}"/>
                </c:ext>
              </c:extLst>
            </c:dLbl>
            <c:dLbl>
              <c:idx val="26"/>
              <c:tx>
                <c:rich>
                  <a:bodyPr/>
                  <a:lstStyle/>
                  <a:p>
                    <a:fld id="{FB81D00E-5073-40CD-ADE8-635F67F2DD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6917-4535-AEE7-B2428E672C31}"/>
                </c:ext>
              </c:extLst>
            </c:dLbl>
            <c:dLbl>
              <c:idx val="27"/>
              <c:tx>
                <c:rich>
                  <a:bodyPr/>
                  <a:lstStyle/>
                  <a:p>
                    <a:fld id="{11C3E09A-531E-4C8F-BA6F-7E9C9330C0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6917-4535-AEE7-B2428E672C31}"/>
                </c:ext>
              </c:extLst>
            </c:dLbl>
            <c:dLbl>
              <c:idx val="28"/>
              <c:tx>
                <c:rich>
                  <a:bodyPr/>
                  <a:lstStyle/>
                  <a:p>
                    <a:fld id="{B9DEDAA7-9F8E-4922-916C-F19015A1FC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6917-4535-AEE7-B2428E672C31}"/>
                </c:ext>
              </c:extLst>
            </c:dLbl>
            <c:dLbl>
              <c:idx val="29"/>
              <c:tx>
                <c:rich>
                  <a:bodyPr/>
                  <a:lstStyle/>
                  <a:p>
                    <a:fld id="{D2C5B5AC-CF10-47BB-BEE6-5950A4961A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6917-4535-AEE7-B2428E672C31}"/>
                </c:ext>
              </c:extLst>
            </c:dLbl>
            <c:dLbl>
              <c:idx val="30"/>
              <c:tx>
                <c:rich>
                  <a:bodyPr/>
                  <a:lstStyle/>
                  <a:p>
                    <a:fld id="{39F0A2FD-FA39-4DA4-AB39-1CB539FAC8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6917-4535-AEE7-B2428E672C31}"/>
                </c:ext>
              </c:extLst>
            </c:dLbl>
            <c:dLbl>
              <c:idx val="31"/>
              <c:tx>
                <c:rich>
                  <a:bodyPr/>
                  <a:lstStyle/>
                  <a:p>
                    <a:fld id="{FC514D53-D194-485B-B121-D9733062EE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6917-4535-AEE7-B2428E672C31}"/>
                </c:ext>
              </c:extLst>
            </c:dLbl>
            <c:dLbl>
              <c:idx val="32"/>
              <c:tx>
                <c:rich>
                  <a:bodyPr/>
                  <a:lstStyle/>
                  <a:p>
                    <a:fld id="{1E79F318-87F4-4C39-A68E-08F98BDEDD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6917-4535-AEE7-B2428E672C31}"/>
                </c:ext>
              </c:extLst>
            </c:dLbl>
            <c:dLbl>
              <c:idx val="33"/>
              <c:tx>
                <c:rich>
                  <a:bodyPr/>
                  <a:lstStyle/>
                  <a:p>
                    <a:fld id="{564D95C7-8745-4644-9145-DBC9F46967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6917-4535-AEE7-B2428E672C31}"/>
                </c:ext>
              </c:extLst>
            </c:dLbl>
            <c:dLbl>
              <c:idx val="34"/>
              <c:tx>
                <c:rich>
                  <a:bodyPr/>
                  <a:lstStyle/>
                  <a:p>
                    <a:fld id="{7EC0F455-509E-48C2-8BB2-F146381FA3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6917-4535-AEE7-B2428E672C31}"/>
                </c:ext>
              </c:extLst>
            </c:dLbl>
            <c:dLbl>
              <c:idx val="35"/>
              <c:tx>
                <c:rich>
                  <a:bodyPr/>
                  <a:lstStyle/>
                  <a:p>
                    <a:fld id="{1DB1BC56-2160-47CA-B0F9-3E471280B6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6917-4535-AEE7-B2428E672C31}"/>
                </c:ext>
              </c:extLst>
            </c:dLbl>
            <c:dLbl>
              <c:idx val="36"/>
              <c:tx>
                <c:rich>
                  <a:bodyPr/>
                  <a:lstStyle/>
                  <a:p>
                    <a:fld id="{0AB11C11-1BAE-4928-B029-19BA7C5D98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6917-4535-AEE7-B2428E672C31}"/>
                </c:ext>
              </c:extLst>
            </c:dLbl>
            <c:dLbl>
              <c:idx val="37"/>
              <c:tx>
                <c:rich>
                  <a:bodyPr/>
                  <a:lstStyle/>
                  <a:p>
                    <a:fld id="{39F8FC5E-8052-4B4A-9256-6E6CFE7AE2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6917-4535-AEE7-B2428E672C31}"/>
                </c:ext>
              </c:extLst>
            </c:dLbl>
            <c:dLbl>
              <c:idx val="38"/>
              <c:tx>
                <c:rich>
                  <a:bodyPr/>
                  <a:lstStyle/>
                  <a:p>
                    <a:fld id="{4614BE59-F01C-4E63-94FB-B352520291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6917-4535-AEE7-B2428E672C31}"/>
                </c:ext>
              </c:extLst>
            </c:dLbl>
            <c:dLbl>
              <c:idx val="39"/>
              <c:tx>
                <c:rich>
                  <a:bodyPr/>
                  <a:lstStyle/>
                  <a:p>
                    <a:fld id="{59722347-99FB-4F3D-855A-2E67E1E03D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6917-4535-AEE7-B2428E672C31}"/>
                </c:ext>
              </c:extLst>
            </c:dLbl>
            <c:dLbl>
              <c:idx val="40"/>
              <c:tx>
                <c:rich>
                  <a:bodyPr/>
                  <a:lstStyle/>
                  <a:p>
                    <a:fld id="{D7523BF0-E142-4FFC-BD01-2F15955C0D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6917-4535-AEE7-B2428E672C31}"/>
                </c:ext>
              </c:extLst>
            </c:dLbl>
            <c:dLbl>
              <c:idx val="41"/>
              <c:tx>
                <c:rich>
                  <a:bodyPr/>
                  <a:lstStyle/>
                  <a:p>
                    <a:fld id="{68CFA08C-4DFD-4866-9008-21974FA5B4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6917-4535-AEE7-B2428E672C31}"/>
                </c:ext>
              </c:extLst>
            </c:dLbl>
            <c:dLbl>
              <c:idx val="42"/>
              <c:tx>
                <c:rich>
                  <a:bodyPr/>
                  <a:lstStyle/>
                  <a:p>
                    <a:fld id="{7EACAD40-ECBE-41A3-9C77-5D96CE3B30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6917-4535-AEE7-B2428E672C31}"/>
                </c:ext>
              </c:extLst>
            </c:dLbl>
            <c:dLbl>
              <c:idx val="43"/>
              <c:tx>
                <c:rich>
                  <a:bodyPr/>
                  <a:lstStyle/>
                  <a:p>
                    <a:fld id="{16D1EB89-6E6B-4587-B2D1-CC64D135A2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6917-4535-AEE7-B2428E672C31}"/>
                </c:ext>
              </c:extLst>
            </c:dLbl>
            <c:dLbl>
              <c:idx val="44"/>
              <c:tx>
                <c:rich>
                  <a:bodyPr/>
                  <a:lstStyle/>
                  <a:p>
                    <a:fld id="{B7A5394D-D187-4E76-B7CB-163F8BB971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6917-4535-AEE7-B2428E672C31}"/>
                </c:ext>
              </c:extLst>
            </c:dLbl>
            <c:dLbl>
              <c:idx val="45"/>
              <c:tx>
                <c:rich>
                  <a:bodyPr/>
                  <a:lstStyle/>
                  <a:p>
                    <a:fld id="{10D2BDD0-C9EE-4275-9D88-E32EC80C44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6917-4535-AEE7-B2428E672C31}"/>
                </c:ext>
              </c:extLst>
            </c:dLbl>
            <c:dLbl>
              <c:idx val="46"/>
              <c:tx>
                <c:rich>
                  <a:bodyPr/>
                  <a:lstStyle/>
                  <a:p>
                    <a:fld id="{48C72CE4-3688-43A1-B98A-A0FBFBB002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6917-4535-AEE7-B2428E672C31}"/>
                </c:ext>
              </c:extLst>
            </c:dLbl>
            <c:dLbl>
              <c:idx val="47"/>
              <c:tx>
                <c:rich>
                  <a:bodyPr/>
                  <a:lstStyle/>
                  <a:p>
                    <a:fld id="{CA38E165-A6AF-4B04-8084-FF21756CBF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6917-4535-AEE7-B2428E672C31}"/>
                </c:ext>
              </c:extLst>
            </c:dLbl>
            <c:dLbl>
              <c:idx val="48"/>
              <c:tx>
                <c:rich>
                  <a:bodyPr/>
                  <a:lstStyle/>
                  <a:p>
                    <a:fld id="{860B59D5-91CE-4B57-9817-AFEB19CB24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6917-4535-AEE7-B2428E672C31}"/>
                </c:ext>
              </c:extLst>
            </c:dLbl>
            <c:dLbl>
              <c:idx val="49"/>
              <c:tx>
                <c:rich>
                  <a:bodyPr/>
                  <a:lstStyle/>
                  <a:p>
                    <a:fld id="{9DBA94C7-9C80-4EEE-857F-2F2CBE32DF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6917-4535-AEE7-B2428E672C31}"/>
                </c:ext>
              </c:extLst>
            </c:dLbl>
            <c:dLbl>
              <c:idx val="50"/>
              <c:tx>
                <c:rich>
                  <a:bodyPr/>
                  <a:lstStyle/>
                  <a:p>
                    <a:fld id="{AD49D946-1409-4B3B-A667-2F6515122A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6917-4535-AEE7-B2428E672C31}"/>
                </c:ext>
              </c:extLst>
            </c:dLbl>
            <c:dLbl>
              <c:idx val="51"/>
              <c:tx>
                <c:rich>
                  <a:bodyPr/>
                  <a:lstStyle/>
                  <a:p>
                    <a:fld id="{9BB7F237-BA5C-4BC5-90C7-3BDDB5786F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6917-4535-AEE7-B2428E672C31}"/>
                </c:ext>
              </c:extLst>
            </c:dLbl>
            <c:dLbl>
              <c:idx val="52"/>
              <c:tx>
                <c:rich>
                  <a:bodyPr/>
                  <a:lstStyle/>
                  <a:p>
                    <a:fld id="{764BD783-9047-44EB-AF23-78FD7D52F3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6917-4535-AEE7-B2428E672C31}"/>
                </c:ext>
              </c:extLst>
            </c:dLbl>
            <c:dLbl>
              <c:idx val="53"/>
              <c:tx>
                <c:rich>
                  <a:bodyPr/>
                  <a:lstStyle/>
                  <a:p>
                    <a:fld id="{1F81E8E9-180E-4E12-A33E-3BAE25680F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6917-4535-AEE7-B2428E672C31}"/>
                </c:ext>
              </c:extLst>
            </c:dLbl>
            <c:dLbl>
              <c:idx val="54"/>
              <c:tx>
                <c:rich>
                  <a:bodyPr/>
                  <a:lstStyle/>
                  <a:p>
                    <a:fld id="{8CA86811-E6D5-497C-9FDD-B016BA404E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6917-4535-AEE7-B2428E672C31}"/>
                </c:ext>
              </c:extLst>
            </c:dLbl>
            <c:dLbl>
              <c:idx val="55"/>
              <c:tx>
                <c:rich>
                  <a:bodyPr/>
                  <a:lstStyle/>
                  <a:p>
                    <a:fld id="{C8A960B8-73FB-43B2-AB87-0F76B7A192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6917-4535-AEE7-B2428E672C31}"/>
                </c:ext>
              </c:extLst>
            </c:dLbl>
            <c:dLbl>
              <c:idx val="56"/>
              <c:tx>
                <c:rich>
                  <a:bodyPr/>
                  <a:lstStyle/>
                  <a:p>
                    <a:fld id="{39F39A39-664B-4E19-95D6-AEC3ECF8DE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6917-4535-AEE7-B2428E672C31}"/>
                </c:ext>
              </c:extLst>
            </c:dLbl>
            <c:dLbl>
              <c:idx val="57"/>
              <c:tx>
                <c:rich>
                  <a:bodyPr/>
                  <a:lstStyle/>
                  <a:p>
                    <a:fld id="{82614424-DF5C-4535-8330-D357E991BF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6917-4535-AEE7-B2428E672C31}"/>
                </c:ext>
              </c:extLst>
            </c:dLbl>
            <c:dLbl>
              <c:idx val="58"/>
              <c:tx>
                <c:rich>
                  <a:bodyPr/>
                  <a:lstStyle/>
                  <a:p>
                    <a:fld id="{0BD5D6A8-B2A9-4D3C-9DDE-94A85DDC37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6917-4535-AEE7-B2428E672C31}"/>
                </c:ext>
              </c:extLst>
            </c:dLbl>
            <c:dLbl>
              <c:idx val="59"/>
              <c:tx>
                <c:rich>
                  <a:bodyPr/>
                  <a:lstStyle/>
                  <a:p>
                    <a:fld id="{408BEA6F-E393-4473-BC27-34DF56423E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6917-4535-AEE7-B2428E672C31}"/>
                </c:ext>
              </c:extLst>
            </c:dLbl>
            <c:dLbl>
              <c:idx val="60"/>
              <c:tx>
                <c:rich>
                  <a:bodyPr/>
                  <a:lstStyle/>
                  <a:p>
                    <a:fld id="{4BE8F124-E3FC-4F11-900C-19B3ED4D33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6917-4535-AEE7-B2428E672C31}"/>
                </c:ext>
              </c:extLst>
            </c:dLbl>
            <c:dLbl>
              <c:idx val="61"/>
              <c:tx>
                <c:rich>
                  <a:bodyPr/>
                  <a:lstStyle/>
                  <a:p>
                    <a:fld id="{EEB67B55-1770-47C9-A3A6-3B62257C2E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6917-4535-AEE7-B2428E672C31}"/>
                </c:ext>
              </c:extLst>
            </c:dLbl>
            <c:dLbl>
              <c:idx val="62"/>
              <c:tx>
                <c:rich>
                  <a:bodyPr/>
                  <a:lstStyle/>
                  <a:p>
                    <a:fld id="{B461AC28-6AEC-4B8D-AD03-2117DD567D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6917-4535-AEE7-B2428E672C31}"/>
                </c:ext>
              </c:extLst>
            </c:dLbl>
            <c:dLbl>
              <c:idx val="63"/>
              <c:tx>
                <c:rich>
                  <a:bodyPr/>
                  <a:lstStyle/>
                  <a:p>
                    <a:fld id="{79DE657F-1A79-442C-900D-5EFF9014A7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6917-4535-AEE7-B2428E672C31}"/>
                </c:ext>
              </c:extLst>
            </c:dLbl>
            <c:dLbl>
              <c:idx val="64"/>
              <c:tx>
                <c:rich>
                  <a:bodyPr/>
                  <a:lstStyle/>
                  <a:p>
                    <a:fld id="{839E58F0-A21C-48B1-8BF7-5CE22BAA1D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6917-4535-AEE7-B2428E672C31}"/>
                </c:ext>
              </c:extLst>
            </c:dLbl>
            <c:dLbl>
              <c:idx val="65"/>
              <c:tx>
                <c:rich>
                  <a:bodyPr/>
                  <a:lstStyle/>
                  <a:p>
                    <a:fld id="{5D7FC47C-8FA9-46B5-829A-CF76BF7C03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6917-4535-AEE7-B2428E672C31}"/>
                </c:ext>
              </c:extLst>
            </c:dLbl>
            <c:dLbl>
              <c:idx val="66"/>
              <c:tx>
                <c:rich>
                  <a:bodyPr/>
                  <a:lstStyle/>
                  <a:p>
                    <a:fld id="{BCE13AD2-9534-4404-8E05-E4372D6731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6917-4535-AEE7-B2428E672C31}"/>
                </c:ext>
              </c:extLst>
            </c:dLbl>
            <c:dLbl>
              <c:idx val="67"/>
              <c:tx>
                <c:rich>
                  <a:bodyPr/>
                  <a:lstStyle/>
                  <a:p>
                    <a:fld id="{624165D2-98C8-4F7E-B80B-403F69FAB9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6917-4535-AEE7-B2428E672C31}"/>
                </c:ext>
              </c:extLst>
            </c:dLbl>
            <c:dLbl>
              <c:idx val="68"/>
              <c:tx>
                <c:rich>
                  <a:bodyPr/>
                  <a:lstStyle/>
                  <a:p>
                    <a:fld id="{C567D105-14E9-4E8A-A6F8-CE02881125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6917-4535-AEE7-B2428E672C31}"/>
                </c:ext>
              </c:extLst>
            </c:dLbl>
            <c:dLbl>
              <c:idx val="69"/>
              <c:tx>
                <c:rich>
                  <a:bodyPr/>
                  <a:lstStyle/>
                  <a:p>
                    <a:fld id="{5679A950-0175-49AA-93A6-17977286FB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6917-4535-AEE7-B2428E672C31}"/>
                </c:ext>
              </c:extLst>
            </c:dLbl>
            <c:dLbl>
              <c:idx val="70"/>
              <c:tx>
                <c:rich>
                  <a:bodyPr/>
                  <a:lstStyle/>
                  <a:p>
                    <a:fld id="{411755E5-C748-4778-A8E4-A741B1935D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6917-4535-AEE7-B2428E672C31}"/>
                </c:ext>
              </c:extLst>
            </c:dLbl>
            <c:dLbl>
              <c:idx val="71"/>
              <c:tx>
                <c:rich>
                  <a:bodyPr/>
                  <a:lstStyle/>
                  <a:p>
                    <a:fld id="{EFDB368B-74C3-4DEA-B9F2-4253FCD5DB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6917-4535-AEE7-B2428E672C31}"/>
                </c:ext>
              </c:extLst>
            </c:dLbl>
            <c:dLbl>
              <c:idx val="72"/>
              <c:tx>
                <c:rich>
                  <a:bodyPr/>
                  <a:lstStyle/>
                  <a:p>
                    <a:fld id="{CECD22F5-D609-458F-8C44-C5503760A9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6917-4535-AEE7-B2428E672C31}"/>
                </c:ext>
              </c:extLst>
            </c:dLbl>
            <c:dLbl>
              <c:idx val="73"/>
              <c:tx>
                <c:rich>
                  <a:bodyPr/>
                  <a:lstStyle/>
                  <a:p>
                    <a:fld id="{3D0E75D6-C68B-4BAA-8295-CE6CEFB923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6917-4535-AEE7-B2428E672C31}"/>
                </c:ext>
              </c:extLst>
            </c:dLbl>
            <c:dLbl>
              <c:idx val="74"/>
              <c:tx>
                <c:rich>
                  <a:bodyPr/>
                  <a:lstStyle/>
                  <a:p>
                    <a:fld id="{E4732882-86B6-4159-ACE6-57A866272A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6917-4535-AEE7-B2428E672C31}"/>
                </c:ext>
              </c:extLst>
            </c:dLbl>
            <c:dLbl>
              <c:idx val="75"/>
              <c:tx>
                <c:rich>
                  <a:bodyPr/>
                  <a:lstStyle/>
                  <a:p>
                    <a:fld id="{ED4B8CAD-2B0D-487B-9F4D-37C53B6D34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6917-4535-AEE7-B2428E672C31}"/>
                </c:ext>
              </c:extLst>
            </c:dLbl>
            <c:dLbl>
              <c:idx val="76"/>
              <c:tx>
                <c:rich>
                  <a:bodyPr/>
                  <a:lstStyle/>
                  <a:p>
                    <a:fld id="{C651F31D-4448-471F-AA1C-1E3171325C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6917-4535-AEE7-B2428E672C31}"/>
                </c:ext>
              </c:extLst>
            </c:dLbl>
            <c:dLbl>
              <c:idx val="77"/>
              <c:tx>
                <c:rich>
                  <a:bodyPr/>
                  <a:lstStyle/>
                  <a:p>
                    <a:fld id="{6CF9EC13-256E-4561-847B-D3170BB46B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6917-4535-AEE7-B2428E672C31}"/>
                </c:ext>
              </c:extLst>
            </c:dLbl>
            <c:dLbl>
              <c:idx val="78"/>
              <c:tx>
                <c:rich>
                  <a:bodyPr/>
                  <a:lstStyle/>
                  <a:p>
                    <a:fld id="{4622C77E-8C95-4844-B85B-00C4CA0A1B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6917-4535-AEE7-B2428E672C31}"/>
                </c:ext>
              </c:extLst>
            </c:dLbl>
            <c:dLbl>
              <c:idx val="79"/>
              <c:tx>
                <c:rich>
                  <a:bodyPr/>
                  <a:lstStyle/>
                  <a:p>
                    <a:fld id="{DD9E8A81-3CC4-4D80-B2FD-2F9D0276C5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6917-4535-AEE7-B2428E672C31}"/>
                </c:ext>
              </c:extLst>
            </c:dLbl>
            <c:dLbl>
              <c:idx val="80"/>
              <c:tx>
                <c:rich>
                  <a:bodyPr/>
                  <a:lstStyle/>
                  <a:p>
                    <a:fld id="{A088F240-9305-4257-8DF5-CEB7BD818B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6917-4535-AEE7-B2428E672C31}"/>
                </c:ext>
              </c:extLst>
            </c:dLbl>
            <c:dLbl>
              <c:idx val="81"/>
              <c:tx>
                <c:rich>
                  <a:bodyPr/>
                  <a:lstStyle/>
                  <a:p>
                    <a:fld id="{DBFD865B-CA03-4AF8-9AF5-0F0D8C0AF5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6917-4535-AEE7-B2428E672C31}"/>
                </c:ext>
              </c:extLst>
            </c:dLbl>
            <c:dLbl>
              <c:idx val="82"/>
              <c:tx>
                <c:rich>
                  <a:bodyPr/>
                  <a:lstStyle/>
                  <a:p>
                    <a:fld id="{34A443F5-1555-4D75-8010-025315803C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6917-4535-AEE7-B2428E672C31}"/>
                </c:ext>
              </c:extLst>
            </c:dLbl>
            <c:dLbl>
              <c:idx val="83"/>
              <c:tx>
                <c:rich>
                  <a:bodyPr/>
                  <a:lstStyle/>
                  <a:p>
                    <a:fld id="{B89143C1-05FA-468E-B199-A5008BB39E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6917-4535-AEE7-B2428E672C31}"/>
                </c:ext>
              </c:extLst>
            </c:dLbl>
            <c:dLbl>
              <c:idx val="84"/>
              <c:tx>
                <c:rich>
                  <a:bodyPr/>
                  <a:lstStyle/>
                  <a:p>
                    <a:fld id="{BCFA1DDD-FDD1-450C-8314-399A631386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6917-4535-AEE7-B2428E672C31}"/>
                </c:ext>
              </c:extLst>
            </c:dLbl>
            <c:dLbl>
              <c:idx val="85"/>
              <c:tx>
                <c:rich>
                  <a:bodyPr/>
                  <a:lstStyle/>
                  <a:p>
                    <a:fld id="{D57DC78E-323E-4166-8130-8CAC863AFA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6917-4535-AEE7-B2428E672C31}"/>
                </c:ext>
              </c:extLst>
            </c:dLbl>
            <c:dLbl>
              <c:idx val="86"/>
              <c:tx>
                <c:rich>
                  <a:bodyPr/>
                  <a:lstStyle/>
                  <a:p>
                    <a:fld id="{79E76C09-EBEB-4C48-A92D-7200046C3B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6917-4535-AEE7-B2428E672C31}"/>
                </c:ext>
              </c:extLst>
            </c:dLbl>
            <c:dLbl>
              <c:idx val="87"/>
              <c:tx>
                <c:rich>
                  <a:bodyPr/>
                  <a:lstStyle/>
                  <a:p>
                    <a:fld id="{CC5FB719-8B45-4088-801D-E673C00408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6917-4535-AEE7-B2428E672C31}"/>
                </c:ext>
              </c:extLst>
            </c:dLbl>
            <c:dLbl>
              <c:idx val="88"/>
              <c:tx>
                <c:rich>
                  <a:bodyPr/>
                  <a:lstStyle/>
                  <a:p>
                    <a:fld id="{785A1C9B-8345-47E0-8141-4BA370B7B5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6917-4535-AEE7-B2428E672C31}"/>
                </c:ext>
              </c:extLst>
            </c:dLbl>
            <c:dLbl>
              <c:idx val="89"/>
              <c:tx>
                <c:rich>
                  <a:bodyPr/>
                  <a:lstStyle/>
                  <a:p>
                    <a:fld id="{373D8346-BFAC-47C9-8724-1118AC712E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6917-4535-AEE7-B2428E672C31}"/>
                </c:ext>
              </c:extLst>
            </c:dLbl>
            <c:dLbl>
              <c:idx val="90"/>
              <c:tx>
                <c:rich>
                  <a:bodyPr/>
                  <a:lstStyle/>
                  <a:p>
                    <a:fld id="{0A57E92F-4750-434A-8DA8-2C11A5A230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6917-4535-AEE7-B2428E672C31}"/>
                </c:ext>
              </c:extLst>
            </c:dLbl>
            <c:dLbl>
              <c:idx val="91"/>
              <c:tx>
                <c:rich>
                  <a:bodyPr/>
                  <a:lstStyle/>
                  <a:p>
                    <a:fld id="{6DB6EFB0-F947-45E8-A7A1-82CF3C853A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6917-4535-AEE7-B2428E672C31}"/>
                </c:ext>
              </c:extLst>
            </c:dLbl>
            <c:dLbl>
              <c:idx val="92"/>
              <c:tx>
                <c:rich>
                  <a:bodyPr/>
                  <a:lstStyle/>
                  <a:p>
                    <a:fld id="{94AD6E71-1D53-43C0-94F5-392DFA45A8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6917-4535-AEE7-B2428E672C31}"/>
                </c:ext>
              </c:extLst>
            </c:dLbl>
            <c:dLbl>
              <c:idx val="93"/>
              <c:tx>
                <c:rich>
                  <a:bodyPr/>
                  <a:lstStyle/>
                  <a:p>
                    <a:fld id="{DEB673D5-D480-4713-9DAD-7F96D98A61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6917-4535-AEE7-B2428E672C31}"/>
                </c:ext>
              </c:extLst>
            </c:dLbl>
            <c:dLbl>
              <c:idx val="94"/>
              <c:tx>
                <c:rich>
                  <a:bodyPr/>
                  <a:lstStyle/>
                  <a:p>
                    <a:fld id="{4A4B599D-1B3D-422B-81B0-07949BBC18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6917-4535-AEE7-B2428E672C31}"/>
                </c:ext>
              </c:extLst>
            </c:dLbl>
            <c:dLbl>
              <c:idx val="95"/>
              <c:tx>
                <c:rich>
                  <a:bodyPr/>
                  <a:lstStyle/>
                  <a:p>
                    <a:fld id="{6EC9F833-DF26-4E82-AC35-9241F053C3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6917-4535-AEE7-B2428E672C31}"/>
                </c:ext>
              </c:extLst>
            </c:dLbl>
            <c:dLbl>
              <c:idx val="96"/>
              <c:tx>
                <c:rich>
                  <a:bodyPr/>
                  <a:lstStyle/>
                  <a:p>
                    <a:fld id="{6524ED72-ECFD-435D-A196-6741A14FB5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6917-4535-AEE7-B2428E672C31}"/>
                </c:ext>
              </c:extLst>
            </c:dLbl>
            <c:dLbl>
              <c:idx val="97"/>
              <c:tx>
                <c:rich>
                  <a:bodyPr/>
                  <a:lstStyle/>
                  <a:p>
                    <a:fld id="{3FB56929-3768-473F-84E4-39195DD406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6917-4535-AEE7-B2428E672C31}"/>
                </c:ext>
              </c:extLst>
            </c:dLbl>
            <c:dLbl>
              <c:idx val="98"/>
              <c:tx>
                <c:rich>
                  <a:bodyPr/>
                  <a:lstStyle/>
                  <a:p>
                    <a:fld id="{70E4D8F1-2A2C-4D11-9718-2E08BA8ACB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6917-4535-AEE7-B2428E672C31}"/>
                </c:ext>
              </c:extLst>
            </c:dLbl>
            <c:dLbl>
              <c:idx val="99"/>
              <c:tx>
                <c:rich>
                  <a:bodyPr/>
                  <a:lstStyle/>
                  <a:p>
                    <a:fld id="{2976AC21-DBDF-473A-92B4-B972FC1BBD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6917-4535-AEE7-B2428E672C31}"/>
                </c:ext>
              </c:extLst>
            </c:dLbl>
            <c:dLbl>
              <c:idx val="100"/>
              <c:tx>
                <c:rich>
                  <a:bodyPr/>
                  <a:lstStyle/>
                  <a:p>
                    <a:fld id="{E052AD9E-2BE6-48EE-8BCE-ABE096CA58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6917-4535-AEE7-B2428E672C31}"/>
                </c:ext>
              </c:extLst>
            </c:dLbl>
            <c:dLbl>
              <c:idx val="101"/>
              <c:tx>
                <c:rich>
                  <a:bodyPr/>
                  <a:lstStyle/>
                  <a:p>
                    <a:fld id="{514AD64F-89C4-4102-9369-B6F970FC61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6917-4535-AEE7-B2428E672C31}"/>
                </c:ext>
              </c:extLst>
            </c:dLbl>
            <c:dLbl>
              <c:idx val="102"/>
              <c:tx>
                <c:rich>
                  <a:bodyPr/>
                  <a:lstStyle/>
                  <a:p>
                    <a:fld id="{73CD0B1A-5546-4361-BD04-CAB6A6C9C8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6917-4535-AEE7-B2428E672C31}"/>
                </c:ext>
              </c:extLst>
            </c:dLbl>
            <c:dLbl>
              <c:idx val="103"/>
              <c:tx>
                <c:rich>
                  <a:bodyPr/>
                  <a:lstStyle/>
                  <a:p>
                    <a:fld id="{35191B95-0B12-47DD-95DF-49D93A9A2F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6917-4535-AEE7-B2428E672C31}"/>
                </c:ext>
              </c:extLst>
            </c:dLbl>
            <c:dLbl>
              <c:idx val="104"/>
              <c:tx>
                <c:rich>
                  <a:bodyPr/>
                  <a:lstStyle/>
                  <a:p>
                    <a:fld id="{BCC716CE-CE02-4A57-8D02-6622A8C487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6917-4535-AEE7-B2428E672C31}"/>
                </c:ext>
              </c:extLst>
            </c:dLbl>
            <c:dLbl>
              <c:idx val="105"/>
              <c:tx>
                <c:rich>
                  <a:bodyPr/>
                  <a:lstStyle/>
                  <a:p>
                    <a:fld id="{9462624A-5DBB-47B0-A4B8-0EEF5E5FAC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6917-4535-AEE7-B2428E672C31}"/>
                </c:ext>
              </c:extLst>
            </c:dLbl>
            <c:dLbl>
              <c:idx val="106"/>
              <c:tx>
                <c:rich>
                  <a:bodyPr/>
                  <a:lstStyle/>
                  <a:p>
                    <a:fld id="{8E59B6D9-42A0-4856-A81A-E7B82AB17B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6917-4535-AEE7-B2428E672C31}"/>
                </c:ext>
              </c:extLst>
            </c:dLbl>
            <c:dLbl>
              <c:idx val="107"/>
              <c:tx>
                <c:rich>
                  <a:bodyPr/>
                  <a:lstStyle/>
                  <a:p>
                    <a:fld id="{1EDDD310-1573-4E43-A43F-694CB21F92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6917-4535-AEE7-B2428E672C31}"/>
                </c:ext>
              </c:extLst>
            </c:dLbl>
            <c:dLbl>
              <c:idx val="108"/>
              <c:tx>
                <c:rich>
                  <a:bodyPr/>
                  <a:lstStyle/>
                  <a:p>
                    <a:fld id="{1A3FBBC3-1EDE-4104-8FB0-A2E6683745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6917-4535-AEE7-B2428E672C31}"/>
                </c:ext>
              </c:extLst>
            </c:dLbl>
            <c:dLbl>
              <c:idx val="109"/>
              <c:tx>
                <c:rich>
                  <a:bodyPr/>
                  <a:lstStyle/>
                  <a:p>
                    <a:fld id="{3B78BAF0-38C9-4B10-A26A-3E754F2C05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6917-4535-AEE7-B2428E672C31}"/>
                </c:ext>
              </c:extLst>
            </c:dLbl>
            <c:dLbl>
              <c:idx val="110"/>
              <c:tx>
                <c:rich>
                  <a:bodyPr/>
                  <a:lstStyle/>
                  <a:p>
                    <a:fld id="{61A7134A-F024-476B-B5CD-C37BCCF804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6917-4535-AEE7-B2428E672C31}"/>
                </c:ext>
              </c:extLst>
            </c:dLbl>
            <c:dLbl>
              <c:idx val="111"/>
              <c:tx>
                <c:rich>
                  <a:bodyPr/>
                  <a:lstStyle/>
                  <a:p>
                    <a:fld id="{97859BF3-4AF5-4CAB-A680-4EF3B67292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6917-4535-AEE7-B2428E672C31}"/>
                </c:ext>
              </c:extLst>
            </c:dLbl>
            <c:dLbl>
              <c:idx val="112"/>
              <c:tx>
                <c:rich>
                  <a:bodyPr/>
                  <a:lstStyle/>
                  <a:p>
                    <a:fld id="{12272D27-C196-42AF-9F29-30F826B14C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6917-4535-AEE7-B2428E672C31}"/>
                </c:ext>
              </c:extLst>
            </c:dLbl>
            <c:dLbl>
              <c:idx val="113"/>
              <c:tx>
                <c:rich>
                  <a:bodyPr/>
                  <a:lstStyle/>
                  <a:p>
                    <a:fld id="{D701047E-91A1-4303-9651-50D9888BF5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6917-4535-AEE7-B2428E672C31}"/>
                </c:ext>
              </c:extLst>
            </c:dLbl>
            <c:dLbl>
              <c:idx val="114"/>
              <c:tx>
                <c:rich>
                  <a:bodyPr/>
                  <a:lstStyle/>
                  <a:p>
                    <a:fld id="{3FAD455E-F986-481D-AD8A-42913C3E6F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6917-4535-AEE7-B2428E672C31}"/>
                </c:ext>
              </c:extLst>
            </c:dLbl>
            <c:dLbl>
              <c:idx val="115"/>
              <c:tx>
                <c:rich>
                  <a:bodyPr/>
                  <a:lstStyle/>
                  <a:p>
                    <a:fld id="{C143C213-2123-41D7-8F37-E33707DBE0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6917-4535-AEE7-B2428E672C31}"/>
                </c:ext>
              </c:extLst>
            </c:dLbl>
            <c:dLbl>
              <c:idx val="116"/>
              <c:tx>
                <c:rich>
                  <a:bodyPr/>
                  <a:lstStyle/>
                  <a:p>
                    <a:fld id="{5456A488-375C-46B0-A76C-5AF8C51284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6917-4535-AEE7-B2428E672C31}"/>
                </c:ext>
              </c:extLst>
            </c:dLbl>
            <c:dLbl>
              <c:idx val="117"/>
              <c:tx>
                <c:rich>
                  <a:bodyPr/>
                  <a:lstStyle/>
                  <a:p>
                    <a:fld id="{29D2D7A6-D383-4AE8-BAD0-B82DC6AE40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6917-4535-AEE7-B2428E672C31}"/>
                </c:ext>
              </c:extLst>
            </c:dLbl>
            <c:dLbl>
              <c:idx val="118"/>
              <c:tx>
                <c:rich>
                  <a:bodyPr/>
                  <a:lstStyle/>
                  <a:p>
                    <a:fld id="{AE41BC8F-2991-4B8A-8B28-4DCEBACD54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6917-4535-AEE7-B2428E672C31}"/>
                </c:ext>
              </c:extLst>
            </c:dLbl>
            <c:dLbl>
              <c:idx val="119"/>
              <c:tx>
                <c:rich>
                  <a:bodyPr/>
                  <a:lstStyle/>
                  <a:p>
                    <a:fld id="{7240D0BF-6637-4CB8-B56A-FB05DA698E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6917-4535-AEE7-B2428E672C31}"/>
                </c:ext>
              </c:extLst>
            </c:dLbl>
            <c:dLbl>
              <c:idx val="120"/>
              <c:tx>
                <c:rich>
                  <a:bodyPr/>
                  <a:lstStyle/>
                  <a:p>
                    <a:fld id="{6B8D2B73-1C2E-4951-ACAF-06D3DD177C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6917-4535-AEE7-B2428E672C31}"/>
                </c:ext>
              </c:extLst>
            </c:dLbl>
            <c:dLbl>
              <c:idx val="121"/>
              <c:tx>
                <c:rich>
                  <a:bodyPr/>
                  <a:lstStyle/>
                  <a:p>
                    <a:fld id="{2519F995-FB3F-4E93-A1D1-254FFB1B80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6917-4535-AEE7-B2428E672C31}"/>
                </c:ext>
              </c:extLst>
            </c:dLbl>
            <c:dLbl>
              <c:idx val="122"/>
              <c:tx>
                <c:rich>
                  <a:bodyPr/>
                  <a:lstStyle/>
                  <a:p>
                    <a:fld id="{CED59C58-A259-4938-96C7-BCB5637351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6917-4535-AEE7-B2428E672C31}"/>
                </c:ext>
              </c:extLst>
            </c:dLbl>
            <c:dLbl>
              <c:idx val="123"/>
              <c:tx>
                <c:rich>
                  <a:bodyPr/>
                  <a:lstStyle/>
                  <a:p>
                    <a:fld id="{5E6DB141-6E3F-4361-9F79-75BA04D015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6917-4535-AEE7-B2428E672C31}"/>
                </c:ext>
              </c:extLst>
            </c:dLbl>
            <c:dLbl>
              <c:idx val="124"/>
              <c:tx>
                <c:rich>
                  <a:bodyPr/>
                  <a:lstStyle/>
                  <a:p>
                    <a:fld id="{0CE43D8F-598B-4A05-B373-EEE2DFBCD5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6917-4535-AEE7-B2428E672C31}"/>
                </c:ext>
              </c:extLst>
            </c:dLbl>
            <c:dLbl>
              <c:idx val="125"/>
              <c:tx>
                <c:rich>
                  <a:bodyPr/>
                  <a:lstStyle/>
                  <a:p>
                    <a:fld id="{30317641-3084-4492-9043-6AC6532B1E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6917-4535-AEE7-B2428E672C31}"/>
                </c:ext>
              </c:extLst>
            </c:dLbl>
            <c:dLbl>
              <c:idx val="126"/>
              <c:tx>
                <c:rich>
                  <a:bodyPr/>
                  <a:lstStyle/>
                  <a:p>
                    <a:fld id="{2B1801DA-5BD0-403F-BD20-BD25AAB02E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6917-4535-AEE7-B2428E672C31}"/>
                </c:ext>
              </c:extLst>
            </c:dLbl>
            <c:dLbl>
              <c:idx val="127"/>
              <c:tx>
                <c:rich>
                  <a:bodyPr/>
                  <a:lstStyle/>
                  <a:p>
                    <a:fld id="{6C804697-1DD7-43E9-A790-A650962C8F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6917-4535-AEE7-B2428E672C31}"/>
                </c:ext>
              </c:extLst>
            </c:dLbl>
            <c:dLbl>
              <c:idx val="128"/>
              <c:tx>
                <c:rich>
                  <a:bodyPr/>
                  <a:lstStyle/>
                  <a:p>
                    <a:fld id="{DE0824E0-65F6-48E0-B815-F328BF904D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6917-4535-AEE7-B2428E672C31}"/>
                </c:ext>
              </c:extLst>
            </c:dLbl>
            <c:dLbl>
              <c:idx val="129"/>
              <c:tx>
                <c:rich>
                  <a:bodyPr/>
                  <a:lstStyle/>
                  <a:p>
                    <a:fld id="{070A580E-685A-4BFA-9C33-6836A3CB1F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6917-4535-AEE7-B2428E672C31}"/>
                </c:ext>
              </c:extLst>
            </c:dLbl>
            <c:dLbl>
              <c:idx val="130"/>
              <c:tx>
                <c:rich>
                  <a:bodyPr/>
                  <a:lstStyle/>
                  <a:p>
                    <a:fld id="{75A8FC6C-43EE-4FCF-94ED-20F2E6464C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6917-4535-AEE7-B2428E672C31}"/>
                </c:ext>
              </c:extLst>
            </c:dLbl>
            <c:dLbl>
              <c:idx val="131"/>
              <c:tx>
                <c:rich>
                  <a:bodyPr/>
                  <a:lstStyle/>
                  <a:p>
                    <a:fld id="{FD50F99B-1426-4B1E-A414-BEF47D5CE4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6917-4535-AEE7-B2428E672C31}"/>
                </c:ext>
              </c:extLst>
            </c:dLbl>
            <c:dLbl>
              <c:idx val="132"/>
              <c:tx>
                <c:rich>
                  <a:bodyPr/>
                  <a:lstStyle/>
                  <a:p>
                    <a:fld id="{AA414BD1-9F96-4239-9FA1-146D641A0B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6917-4535-AEE7-B2428E672C31}"/>
                </c:ext>
              </c:extLst>
            </c:dLbl>
            <c:dLbl>
              <c:idx val="133"/>
              <c:tx>
                <c:rich>
                  <a:bodyPr/>
                  <a:lstStyle/>
                  <a:p>
                    <a:fld id="{9E977ECA-F9BC-4B56-B1B4-D9C74CF900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6917-4535-AEE7-B2428E672C31}"/>
                </c:ext>
              </c:extLst>
            </c:dLbl>
            <c:dLbl>
              <c:idx val="134"/>
              <c:tx>
                <c:rich>
                  <a:bodyPr/>
                  <a:lstStyle/>
                  <a:p>
                    <a:fld id="{F32FB074-9E72-49F7-A80A-C9821DE364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6917-4535-AEE7-B2428E672C31}"/>
                </c:ext>
              </c:extLst>
            </c:dLbl>
            <c:dLbl>
              <c:idx val="135"/>
              <c:tx>
                <c:rich>
                  <a:bodyPr/>
                  <a:lstStyle/>
                  <a:p>
                    <a:fld id="{33959587-7D81-48B2-8DE9-605C10E908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6917-4535-AEE7-B2428E672C31}"/>
                </c:ext>
              </c:extLst>
            </c:dLbl>
            <c:dLbl>
              <c:idx val="136"/>
              <c:tx>
                <c:rich>
                  <a:bodyPr/>
                  <a:lstStyle/>
                  <a:p>
                    <a:fld id="{537FC4E6-7C72-4678-BEA3-4A9409AAA6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6917-4535-AEE7-B2428E672C31}"/>
                </c:ext>
              </c:extLst>
            </c:dLbl>
            <c:dLbl>
              <c:idx val="137"/>
              <c:tx>
                <c:rich>
                  <a:bodyPr/>
                  <a:lstStyle/>
                  <a:p>
                    <a:fld id="{50A9A50C-1B29-4AFC-AC40-9D2612D456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6917-4535-AEE7-B2428E672C31}"/>
                </c:ext>
              </c:extLst>
            </c:dLbl>
            <c:dLbl>
              <c:idx val="138"/>
              <c:tx>
                <c:rich>
                  <a:bodyPr/>
                  <a:lstStyle/>
                  <a:p>
                    <a:fld id="{95C7E6BF-A1C6-495E-829A-32E4201B90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6917-4535-AEE7-B2428E672C31}"/>
                </c:ext>
              </c:extLst>
            </c:dLbl>
            <c:dLbl>
              <c:idx val="139"/>
              <c:tx>
                <c:rich>
                  <a:bodyPr/>
                  <a:lstStyle/>
                  <a:p>
                    <a:fld id="{4F8CE528-1B2C-4133-9460-09BB90F0AA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6917-4535-AEE7-B2428E672C31}"/>
                </c:ext>
              </c:extLst>
            </c:dLbl>
            <c:dLbl>
              <c:idx val="140"/>
              <c:tx>
                <c:rich>
                  <a:bodyPr/>
                  <a:lstStyle/>
                  <a:p>
                    <a:fld id="{0B518737-0A8F-4AF0-AB4F-5579D5DFB8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6917-4535-AEE7-B2428E672C31}"/>
                </c:ext>
              </c:extLst>
            </c:dLbl>
            <c:dLbl>
              <c:idx val="141"/>
              <c:tx>
                <c:rich>
                  <a:bodyPr/>
                  <a:lstStyle/>
                  <a:p>
                    <a:fld id="{060A4413-E2C6-4013-B3C8-EB646D8B1F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6917-4535-AEE7-B2428E672C31}"/>
                </c:ext>
              </c:extLst>
            </c:dLbl>
            <c:dLbl>
              <c:idx val="142"/>
              <c:tx>
                <c:rich>
                  <a:bodyPr/>
                  <a:lstStyle/>
                  <a:p>
                    <a:fld id="{127B2266-BEFD-4155-BBAE-72A821A8AF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6917-4535-AEE7-B2428E672C31}"/>
                </c:ext>
              </c:extLst>
            </c:dLbl>
            <c:dLbl>
              <c:idx val="143"/>
              <c:tx>
                <c:rich>
                  <a:bodyPr/>
                  <a:lstStyle/>
                  <a:p>
                    <a:fld id="{2AF172ED-ADEB-49FB-A30B-59F6723BCE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6917-4535-AEE7-B2428E672C31}"/>
                </c:ext>
              </c:extLst>
            </c:dLbl>
            <c:dLbl>
              <c:idx val="144"/>
              <c:tx>
                <c:rich>
                  <a:bodyPr/>
                  <a:lstStyle/>
                  <a:p>
                    <a:fld id="{66D47210-D2DD-43EB-A2B4-B40A56426C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6917-4535-AEE7-B2428E672C31}"/>
                </c:ext>
              </c:extLst>
            </c:dLbl>
            <c:dLbl>
              <c:idx val="145"/>
              <c:tx>
                <c:rich>
                  <a:bodyPr/>
                  <a:lstStyle/>
                  <a:p>
                    <a:fld id="{6FC85F1B-48BB-4606-9E4D-C8A159807A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6917-4535-AEE7-B2428E672C31}"/>
                </c:ext>
              </c:extLst>
            </c:dLbl>
            <c:dLbl>
              <c:idx val="146"/>
              <c:tx>
                <c:rich>
                  <a:bodyPr/>
                  <a:lstStyle/>
                  <a:p>
                    <a:fld id="{7A3B5981-4570-45A4-9C45-2FA21DBED0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6917-4535-AEE7-B2428E672C31}"/>
                </c:ext>
              </c:extLst>
            </c:dLbl>
            <c:dLbl>
              <c:idx val="147"/>
              <c:tx>
                <c:rich>
                  <a:bodyPr/>
                  <a:lstStyle/>
                  <a:p>
                    <a:fld id="{69AB0FB8-E336-433B-9E7A-F3696D8029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6917-4535-AEE7-B2428E672C31}"/>
                </c:ext>
              </c:extLst>
            </c:dLbl>
            <c:dLbl>
              <c:idx val="148"/>
              <c:tx>
                <c:rich>
                  <a:bodyPr/>
                  <a:lstStyle/>
                  <a:p>
                    <a:fld id="{D53AA26A-6D6E-4BF0-B373-96DE54826A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6917-4535-AEE7-B2428E672C31}"/>
                </c:ext>
              </c:extLst>
            </c:dLbl>
            <c:dLbl>
              <c:idx val="149"/>
              <c:tx>
                <c:rich>
                  <a:bodyPr/>
                  <a:lstStyle/>
                  <a:p>
                    <a:fld id="{3407A867-067C-40CD-820F-DFBA30A77E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6917-4535-AEE7-B2428E672C31}"/>
                </c:ext>
              </c:extLst>
            </c:dLbl>
            <c:dLbl>
              <c:idx val="150"/>
              <c:tx>
                <c:rich>
                  <a:bodyPr/>
                  <a:lstStyle/>
                  <a:p>
                    <a:fld id="{A1C8ECAA-63C2-4DB6-A6B0-02D385E2E4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6917-4535-AEE7-B2428E672C31}"/>
                </c:ext>
              </c:extLst>
            </c:dLbl>
            <c:dLbl>
              <c:idx val="151"/>
              <c:tx>
                <c:rich>
                  <a:bodyPr/>
                  <a:lstStyle/>
                  <a:p>
                    <a:fld id="{C4D925C0-3189-40D5-90AA-5DDD8B2AE1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6917-4535-AEE7-B2428E672C31}"/>
                </c:ext>
              </c:extLst>
            </c:dLbl>
            <c:dLbl>
              <c:idx val="152"/>
              <c:tx>
                <c:rich>
                  <a:bodyPr/>
                  <a:lstStyle/>
                  <a:p>
                    <a:fld id="{08523EDB-E822-4B6F-AD11-133E26C76C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6917-4535-AEE7-B2428E672C31}"/>
                </c:ext>
              </c:extLst>
            </c:dLbl>
            <c:dLbl>
              <c:idx val="153"/>
              <c:tx>
                <c:rich>
                  <a:bodyPr/>
                  <a:lstStyle/>
                  <a:p>
                    <a:fld id="{A5A75F95-F6A1-4222-AD6A-FB034ABF17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6917-4535-AEE7-B2428E672C31}"/>
                </c:ext>
              </c:extLst>
            </c:dLbl>
            <c:dLbl>
              <c:idx val="154"/>
              <c:tx>
                <c:rich>
                  <a:bodyPr/>
                  <a:lstStyle/>
                  <a:p>
                    <a:fld id="{112EF5D8-C16E-45C4-B57D-2123E941C6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6917-4535-AEE7-B2428E672C31}"/>
                </c:ext>
              </c:extLst>
            </c:dLbl>
            <c:dLbl>
              <c:idx val="155"/>
              <c:tx>
                <c:rich>
                  <a:bodyPr/>
                  <a:lstStyle/>
                  <a:p>
                    <a:fld id="{469209F5-6D26-4267-847D-7D6F59224B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6917-4535-AEE7-B2428E672C31}"/>
                </c:ext>
              </c:extLst>
            </c:dLbl>
            <c:dLbl>
              <c:idx val="156"/>
              <c:tx>
                <c:rich>
                  <a:bodyPr/>
                  <a:lstStyle/>
                  <a:p>
                    <a:fld id="{645C7130-9B01-4347-97C4-F8B629A6EA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6917-4535-AEE7-B2428E672C31}"/>
                </c:ext>
              </c:extLst>
            </c:dLbl>
            <c:dLbl>
              <c:idx val="157"/>
              <c:tx>
                <c:rich>
                  <a:bodyPr/>
                  <a:lstStyle/>
                  <a:p>
                    <a:fld id="{DC9BE1F4-AFD0-490F-A037-C5D1196623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6917-4535-AEE7-B2428E672C31}"/>
                </c:ext>
              </c:extLst>
            </c:dLbl>
            <c:dLbl>
              <c:idx val="158"/>
              <c:tx>
                <c:rich>
                  <a:bodyPr/>
                  <a:lstStyle/>
                  <a:p>
                    <a:fld id="{69745556-2ACD-4C5C-A998-A3CA91889B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6917-4535-AEE7-B2428E672C31}"/>
                </c:ext>
              </c:extLst>
            </c:dLbl>
            <c:dLbl>
              <c:idx val="159"/>
              <c:tx>
                <c:rich>
                  <a:bodyPr/>
                  <a:lstStyle/>
                  <a:p>
                    <a:fld id="{624D0585-D5DB-4A0D-A577-79E395C87F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6917-4535-AEE7-B2428E672C31}"/>
                </c:ext>
              </c:extLst>
            </c:dLbl>
            <c:dLbl>
              <c:idx val="160"/>
              <c:tx>
                <c:rich>
                  <a:bodyPr/>
                  <a:lstStyle/>
                  <a:p>
                    <a:fld id="{E5E5E69D-5A5B-4CC4-AE1A-B105850F92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6917-4535-AEE7-B2428E672C31}"/>
                </c:ext>
              </c:extLst>
            </c:dLbl>
            <c:dLbl>
              <c:idx val="161"/>
              <c:tx>
                <c:rich>
                  <a:bodyPr/>
                  <a:lstStyle/>
                  <a:p>
                    <a:fld id="{50127DE9-56EB-4AA6-BD63-813A425136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6917-4535-AEE7-B2428E672C31}"/>
                </c:ext>
              </c:extLst>
            </c:dLbl>
            <c:dLbl>
              <c:idx val="162"/>
              <c:tx>
                <c:rich>
                  <a:bodyPr/>
                  <a:lstStyle/>
                  <a:p>
                    <a:fld id="{6406DB2B-CF2F-4A44-A4EA-F22654267F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6917-4535-AEE7-B2428E672C31}"/>
                </c:ext>
              </c:extLst>
            </c:dLbl>
            <c:dLbl>
              <c:idx val="163"/>
              <c:tx>
                <c:rich>
                  <a:bodyPr/>
                  <a:lstStyle/>
                  <a:p>
                    <a:fld id="{4010A802-4221-42B7-8A7B-202CF502E8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6917-4535-AEE7-B2428E672C31}"/>
                </c:ext>
              </c:extLst>
            </c:dLbl>
            <c:dLbl>
              <c:idx val="164"/>
              <c:tx>
                <c:rich>
                  <a:bodyPr/>
                  <a:lstStyle/>
                  <a:p>
                    <a:fld id="{52A0E9C8-61F6-404A-BAEF-E21A79B7DE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6917-4535-AEE7-B2428E672C31}"/>
                </c:ext>
              </c:extLst>
            </c:dLbl>
            <c:dLbl>
              <c:idx val="165"/>
              <c:tx>
                <c:rich>
                  <a:bodyPr/>
                  <a:lstStyle/>
                  <a:p>
                    <a:fld id="{F8255A16-37DC-44D6-A86B-C699066D07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6917-4535-AEE7-B2428E672C31}"/>
                </c:ext>
              </c:extLst>
            </c:dLbl>
            <c:dLbl>
              <c:idx val="166"/>
              <c:tx>
                <c:rich>
                  <a:bodyPr/>
                  <a:lstStyle/>
                  <a:p>
                    <a:fld id="{83E24323-E92B-4E20-9880-4B199CE434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6917-4535-AEE7-B2428E672C31}"/>
                </c:ext>
              </c:extLst>
            </c:dLbl>
            <c:dLbl>
              <c:idx val="167"/>
              <c:tx>
                <c:rich>
                  <a:bodyPr/>
                  <a:lstStyle/>
                  <a:p>
                    <a:fld id="{F80ECE5D-962F-433D-9C9C-483B974F9D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6917-4535-AEE7-B2428E672C31}"/>
                </c:ext>
              </c:extLst>
            </c:dLbl>
            <c:dLbl>
              <c:idx val="168"/>
              <c:tx>
                <c:rich>
                  <a:bodyPr/>
                  <a:lstStyle/>
                  <a:p>
                    <a:fld id="{EBC47EC8-B6D9-4119-A352-1BF0E76A0E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6917-4535-AEE7-B2428E672C31}"/>
                </c:ext>
              </c:extLst>
            </c:dLbl>
            <c:dLbl>
              <c:idx val="169"/>
              <c:tx>
                <c:rich>
                  <a:bodyPr/>
                  <a:lstStyle/>
                  <a:p>
                    <a:fld id="{B5AF8FA1-1B5B-4EE6-A1AC-F4DAB40FEA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6917-4535-AEE7-B2428E672C31}"/>
                </c:ext>
              </c:extLst>
            </c:dLbl>
            <c:dLbl>
              <c:idx val="170"/>
              <c:tx>
                <c:rich>
                  <a:bodyPr/>
                  <a:lstStyle/>
                  <a:p>
                    <a:fld id="{946E1CC6-F0A7-451A-BE4A-D925960578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6917-4535-AEE7-B2428E672C31}"/>
                </c:ext>
              </c:extLst>
            </c:dLbl>
            <c:dLbl>
              <c:idx val="171"/>
              <c:tx>
                <c:rich>
                  <a:bodyPr/>
                  <a:lstStyle/>
                  <a:p>
                    <a:fld id="{95F53471-1C88-4E15-BB1E-BAC48380C6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6917-4535-AEE7-B2428E672C31}"/>
                </c:ext>
              </c:extLst>
            </c:dLbl>
            <c:dLbl>
              <c:idx val="172"/>
              <c:tx>
                <c:rich>
                  <a:bodyPr/>
                  <a:lstStyle/>
                  <a:p>
                    <a:fld id="{49A49BA8-94C7-4816-B0F2-71A9416ACB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6917-4535-AEE7-B2428E672C31}"/>
                </c:ext>
              </c:extLst>
            </c:dLbl>
            <c:dLbl>
              <c:idx val="173"/>
              <c:tx>
                <c:rich>
                  <a:bodyPr/>
                  <a:lstStyle/>
                  <a:p>
                    <a:fld id="{A2F2B4B3-C6AB-49FC-A67F-3689099C9B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6917-4535-AEE7-B2428E672C31}"/>
                </c:ext>
              </c:extLst>
            </c:dLbl>
            <c:dLbl>
              <c:idx val="174"/>
              <c:tx>
                <c:rich>
                  <a:bodyPr/>
                  <a:lstStyle/>
                  <a:p>
                    <a:fld id="{20718656-260A-4D68-BA08-0E82AE5CAA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6917-4535-AEE7-B2428E672C31}"/>
                </c:ext>
              </c:extLst>
            </c:dLbl>
            <c:dLbl>
              <c:idx val="175"/>
              <c:tx>
                <c:rich>
                  <a:bodyPr/>
                  <a:lstStyle/>
                  <a:p>
                    <a:fld id="{38763251-57E7-4246-A206-35B7A18BD8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6917-4535-AEE7-B2428E672C31}"/>
                </c:ext>
              </c:extLst>
            </c:dLbl>
            <c:dLbl>
              <c:idx val="176"/>
              <c:tx>
                <c:rich>
                  <a:bodyPr/>
                  <a:lstStyle/>
                  <a:p>
                    <a:fld id="{E84F8023-C3C5-4577-A513-01CF4F9660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6917-4535-AEE7-B2428E672C31}"/>
                </c:ext>
              </c:extLst>
            </c:dLbl>
            <c:dLbl>
              <c:idx val="177"/>
              <c:tx>
                <c:rich>
                  <a:bodyPr/>
                  <a:lstStyle/>
                  <a:p>
                    <a:fld id="{22DD2020-785F-44BE-B46B-EABC9358D5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6917-4535-AEE7-B2428E672C31}"/>
                </c:ext>
              </c:extLst>
            </c:dLbl>
            <c:dLbl>
              <c:idx val="178"/>
              <c:tx>
                <c:rich>
                  <a:bodyPr/>
                  <a:lstStyle/>
                  <a:p>
                    <a:fld id="{863CE598-026A-4EB2-B517-9AF6DD5677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6917-4535-AEE7-B2428E672C31}"/>
                </c:ext>
              </c:extLst>
            </c:dLbl>
            <c:dLbl>
              <c:idx val="179"/>
              <c:tx>
                <c:rich>
                  <a:bodyPr/>
                  <a:lstStyle/>
                  <a:p>
                    <a:fld id="{90AA9E30-0F1C-41F5-AA05-6DE75175EB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6917-4535-AEE7-B2428E672C31}"/>
                </c:ext>
              </c:extLst>
            </c:dLbl>
            <c:dLbl>
              <c:idx val="180"/>
              <c:tx>
                <c:rich>
                  <a:bodyPr/>
                  <a:lstStyle/>
                  <a:p>
                    <a:fld id="{54869A5A-EC47-4BEF-8049-E89A322AB3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6917-4535-AEE7-B2428E672C31}"/>
                </c:ext>
              </c:extLst>
            </c:dLbl>
            <c:dLbl>
              <c:idx val="181"/>
              <c:tx>
                <c:rich>
                  <a:bodyPr/>
                  <a:lstStyle/>
                  <a:p>
                    <a:fld id="{D6A7A56E-8CB7-4FD1-9577-61C9CD6D59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6917-4535-AEE7-B2428E672C31}"/>
                </c:ext>
              </c:extLst>
            </c:dLbl>
            <c:dLbl>
              <c:idx val="182"/>
              <c:tx>
                <c:rich>
                  <a:bodyPr/>
                  <a:lstStyle/>
                  <a:p>
                    <a:fld id="{55651EC7-184F-4EEB-AF2C-78B2F14D32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6917-4535-AEE7-B2428E672C31}"/>
                </c:ext>
              </c:extLst>
            </c:dLbl>
            <c:dLbl>
              <c:idx val="183"/>
              <c:tx>
                <c:rich>
                  <a:bodyPr/>
                  <a:lstStyle/>
                  <a:p>
                    <a:fld id="{221E05F3-5F6C-49CE-80B8-E1D9D8E37E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6917-4535-AEE7-B2428E672C31}"/>
                </c:ext>
              </c:extLst>
            </c:dLbl>
            <c:dLbl>
              <c:idx val="184"/>
              <c:tx>
                <c:rich>
                  <a:bodyPr/>
                  <a:lstStyle/>
                  <a:p>
                    <a:fld id="{87EEB743-7206-44B1-A26F-A05BE21E3B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6917-4535-AEE7-B2428E672C31}"/>
                </c:ext>
              </c:extLst>
            </c:dLbl>
            <c:dLbl>
              <c:idx val="185"/>
              <c:tx>
                <c:rich>
                  <a:bodyPr/>
                  <a:lstStyle/>
                  <a:p>
                    <a:fld id="{7B0D7A58-A434-4988-9D9B-1AE04F6BB9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6917-4535-AEE7-B2428E672C31}"/>
                </c:ext>
              </c:extLst>
            </c:dLbl>
            <c:dLbl>
              <c:idx val="186"/>
              <c:tx>
                <c:rich>
                  <a:bodyPr/>
                  <a:lstStyle/>
                  <a:p>
                    <a:fld id="{677CF63E-4345-4AAB-ACEF-CD49E188AA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6917-4535-AEE7-B2428E672C31}"/>
                </c:ext>
              </c:extLst>
            </c:dLbl>
            <c:dLbl>
              <c:idx val="187"/>
              <c:tx>
                <c:rich>
                  <a:bodyPr/>
                  <a:lstStyle/>
                  <a:p>
                    <a:fld id="{9E122240-CAD2-4344-A53F-D081FB9C92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6917-4535-AEE7-B2428E672C31}"/>
                </c:ext>
              </c:extLst>
            </c:dLbl>
            <c:dLbl>
              <c:idx val="188"/>
              <c:tx>
                <c:rich>
                  <a:bodyPr/>
                  <a:lstStyle/>
                  <a:p>
                    <a:fld id="{FBD76E97-6D0B-4F56-ABCA-8F3FD2AEF0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6917-4535-AEE7-B2428E672C31}"/>
                </c:ext>
              </c:extLst>
            </c:dLbl>
            <c:dLbl>
              <c:idx val="189"/>
              <c:tx>
                <c:rich>
                  <a:bodyPr/>
                  <a:lstStyle/>
                  <a:p>
                    <a:fld id="{CE6CB6CD-FB6D-46D2-9255-B1749B10D8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6917-4535-AEE7-B2428E672C31}"/>
                </c:ext>
              </c:extLst>
            </c:dLbl>
            <c:dLbl>
              <c:idx val="190"/>
              <c:tx>
                <c:rich>
                  <a:bodyPr/>
                  <a:lstStyle/>
                  <a:p>
                    <a:fld id="{E34F4E24-46B3-4ACF-B031-200B011E57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6917-4535-AEE7-B2428E672C31}"/>
                </c:ext>
              </c:extLst>
            </c:dLbl>
            <c:dLbl>
              <c:idx val="191"/>
              <c:tx>
                <c:rich>
                  <a:bodyPr/>
                  <a:lstStyle/>
                  <a:p>
                    <a:fld id="{ABF4CD81-578C-4530-ADE1-3E1C5DADC8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6917-4535-AEE7-B2428E672C31}"/>
                </c:ext>
              </c:extLst>
            </c:dLbl>
            <c:dLbl>
              <c:idx val="192"/>
              <c:tx>
                <c:rich>
                  <a:bodyPr/>
                  <a:lstStyle/>
                  <a:p>
                    <a:fld id="{FCE30AEC-8667-4F25-BFB9-96CD9F93E3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6917-4535-AEE7-B2428E672C31}"/>
                </c:ext>
              </c:extLst>
            </c:dLbl>
            <c:dLbl>
              <c:idx val="193"/>
              <c:tx>
                <c:rich>
                  <a:bodyPr/>
                  <a:lstStyle/>
                  <a:p>
                    <a:fld id="{3858794C-E30C-45D6-8872-46A0D63716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6917-4535-AEE7-B2428E672C31}"/>
                </c:ext>
              </c:extLst>
            </c:dLbl>
            <c:dLbl>
              <c:idx val="194"/>
              <c:tx>
                <c:rich>
                  <a:bodyPr/>
                  <a:lstStyle/>
                  <a:p>
                    <a:fld id="{B1C42E54-3F7D-46BE-8DBD-CF4CFE59F3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6917-4535-AEE7-B2428E672C31}"/>
                </c:ext>
              </c:extLst>
            </c:dLbl>
            <c:dLbl>
              <c:idx val="195"/>
              <c:tx>
                <c:rich>
                  <a:bodyPr/>
                  <a:lstStyle/>
                  <a:p>
                    <a:fld id="{744A6B3A-B9FB-4A08-9BA3-1E87FCC399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6917-4535-AEE7-B2428E672C31}"/>
                </c:ext>
              </c:extLst>
            </c:dLbl>
            <c:dLbl>
              <c:idx val="196"/>
              <c:tx>
                <c:rich>
                  <a:bodyPr/>
                  <a:lstStyle/>
                  <a:p>
                    <a:fld id="{8588B9AE-6476-43FC-B35A-90B454FB75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6917-4535-AEE7-B2428E672C31}"/>
                </c:ext>
              </c:extLst>
            </c:dLbl>
            <c:dLbl>
              <c:idx val="197"/>
              <c:tx>
                <c:rich>
                  <a:bodyPr/>
                  <a:lstStyle/>
                  <a:p>
                    <a:fld id="{950E4101-2C18-4193-9812-FC29C6785D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6917-4535-AEE7-B2428E672C31}"/>
                </c:ext>
              </c:extLst>
            </c:dLbl>
            <c:dLbl>
              <c:idx val="198"/>
              <c:tx>
                <c:rich>
                  <a:bodyPr/>
                  <a:lstStyle/>
                  <a:p>
                    <a:fld id="{2CBCE2DF-D4C3-4FEE-A42C-8E6BF65EC2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6917-4535-AEE7-B2428E672C31}"/>
                </c:ext>
              </c:extLst>
            </c:dLbl>
            <c:dLbl>
              <c:idx val="199"/>
              <c:tx>
                <c:rich>
                  <a:bodyPr/>
                  <a:lstStyle/>
                  <a:p>
                    <a:fld id="{3957FB93-089B-4ECA-A355-7766624941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6917-4535-AEE7-B2428E672C31}"/>
                </c:ext>
              </c:extLst>
            </c:dLbl>
            <c:dLbl>
              <c:idx val="200"/>
              <c:tx>
                <c:rich>
                  <a:bodyPr/>
                  <a:lstStyle/>
                  <a:p>
                    <a:fld id="{98047A7C-65CB-490F-870C-C2C642B33F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6917-4535-AEE7-B2428E672C31}"/>
                </c:ext>
              </c:extLst>
            </c:dLbl>
            <c:dLbl>
              <c:idx val="201"/>
              <c:tx>
                <c:rich>
                  <a:bodyPr/>
                  <a:lstStyle/>
                  <a:p>
                    <a:fld id="{8461335D-9361-4B96-B284-E7F8AE7781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6917-4535-AEE7-B2428E672C31}"/>
                </c:ext>
              </c:extLst>
            </c:dLbl>
            <c:dLbl>
              <c:idx val="202"/>
              <c:tx>
                <c:rich>
                  <a:bodyPr/>
                  <a:lstStyle/>
                  <a:p>
                    <a:fld id="{47FEADAE-0D6F-43FC-B3DF-F5E4ECE34B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6917-4535-AEE7-B2428E672C31}"/>
                </c:ext>
              </c:extLst>
            </c:dLbl>
            <c:dLbl>
              <c:idx val="203"/>
              <c:tx>
                <c:rich>
                  <a:bodyPr/>
                  <a:lstStyle/>
                  <a:p>
                    <a:fld id="{6F4321B0-4796-4F72-ABBA-423D22D55A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6917-4535-AEE7-B2428E672C31}"/>
                </c:ext>
              </c:extLst>
            </c:dLbl>
            <c:dLbl>
              <c:idx val="204"/>
              <c:tx>
                <c:rich>
                  <a:bodyPr/>
                  <a:lstStyle/>
                  <a:p>
                    <a:fld id="{48BF88CF-AEFF-4CAC-86D1-1B03952629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6917-4535-AEE7-B2428E672C31}"/>
                </c:ext>
              </c:extLst>
            </c:dLbl>
            <c:dLbl>
              <c:idx val="205"/>
              <c:tx>
                <c:rich>
                  <a:bodyPr/>
                  <a:lstStyle/>
                  <a:p>
                    <a:fld id="{86AF0BD4-8E54-4274-B012-B77C0CFF88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6917-4535-AEE7-B2428E672C31}"/>
                </c:ext>
              </c:extLst>
            </c:dLbl>
            <c:dLbl>
              <c:idx val="206"/>
              <c:tx>
                <c:rich>
                  <a:bodyPr/>
                  <a:lstStyle/>
                  <a:p>
                    <a:fld id="{F535D4B3-37A4-49B6-9AB2-4F84B1BE3F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6917-4535-AEE7-B2428E672C31}"/>
                </c:ext>
              </c:extLst>
            </c:dLbl>
            <c:dLbl>
              <c:idx val="207"/>
              <c:tx>
                <c:rich>
                  <a:bodyPr/>
                  <a:lstStyle/>
                  <a:p>
                    <a:fld id="{38061D3B-13E3-430D-96E1-6BA8809C63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6917-4535-AEE7-B2428E672C31}"/>
                </c:ext>
              </c:extLst>
            </c:dLbl>
            <c:dLbl>
              <c:idx val="208"/>
              <c:tx>
                <c:rich>
                  <a:bodyPr/>
                  <a:lstStyle/>
                  <a:p>
                    <a:fld id="{187E3942-804E-454A-88E8-662414A6B7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6917-4535-AEE7-B2428E672C31}"/>
                </c:ext>
              </c:extLst>
            </c:dLbl>
            <c:dLbl>
              <c:idx val="209"/>
              <c:tx>
                <c:rich>
                  <a:bodyPr/>
                  <a:lstStyle/>
                  <a:p>
                    <a:fld id="{42EF0FE8-B4ED-491F-9E88-4EED7C2085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6917-4535-AEE7-B2428E672C31}"/>
                </c:ext>
              </c:extLst>
            </c:dLbl>
            <c:dLbl>
              <c:idx val="210"/>
              <c:tx>
                <c:rich>
                  <a:bodyPr/>
                  <a:lstStyle/>
                  <a:p>
                    <a:fld id="{AB8808AA-C670-4F7B-8D71-C46AAAF335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6917-4535-AEE7-B2428E672C31}"/>
                </c:ext>
              </c:extLst>
            </c:dLbl>
            <c:dLbl>
              <c:idx val="211"/>
              <c:tx>
                <c:rich>
                  <a:bodyPr/>
                  <a:lstStyle/>
                  <a:p>
                    <a:fld id="{CFF578E4-D54B-4754-A913-EDC74613AC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6917-4535-AEE7-B2428E672C31}"/>
                </c:ext>
              </c:extLst>
            </c:dLbl>
            <c:dLbl>
              <c:idx val="212"/>
              <c:tx>
                <c:rich>
                  <a:bodyPr/>
                  <a:lstStyle/>
                  <a:p>
                    <a:fld id="{625277F2-D039-4C10-92C6-31D370B6EE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6917-4535-AEE7-B2428E672C31}"/>
                </c:ext>
              </c:extLst>
            </c:dLbl>
            <c:dLbl>
              <c:idx val="213"/>
              <c:tx>
                <c:rich>
                  <a:bodyPr/>
                  <a:lstStyle/>
                  <a:p>
                    <a:fld id="{F4878CEF-ED18-490A-858F-DB1CE3F978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6917-4535-AEE7-B2428E672C31}"/>
                </c:ext>
              </c:extLst>
            </c:dLbl>
            <c:dLbl>
              <c:idx val="214"/>
              <c:tx>
                <c:rich>
                  <a:bodyPr/>
                  <a:lstStyle/>
                  <a:p>
                    <a:fld id="{33FEAF9E-629C-4653-A6D9-8E5E2E5D82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6917-4535-AEE7-B2428E672C31}"/>
                </c:ext>
              </c:extLst>
            </c:dLbl>
            <c:dLbl>
              <c:idx val="215"/>
              <c:tx>
                <c:rich>
                  <a:bodyPr/>
                  <a:lstStyle/>
                  <a:p>
                    <a:fld id="{E01CCB88-467F-4DA7-A7F1-07D5867553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6917-4535-AEE7-B2428E672C31}"/>
                </c:ext>
              </c:extLst>
            </c:dLbl>
            <c:dLbl>
              <c:idx val="216"/>
              <c:tx>
                <c:rich>
                  <a:bodyPr/>
                  <a:lstStyle/>
                  <a:p>
                    <a:fld id="{2E8DEB14-049A-48FF-8B83-A7AE40320C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6917-4535-AEE7-B2428E672C31}"/>
                </c:ext>
              </c:extLst>
            </c:dLbl>
            <c:dLbl>
              <c:idx val="217"/>
              <c:tx>
                <c:rich>
                  <a:bodyPr/>
                  <a:lstStyle/>
                  <a:p>
                    <a:fld id="{F8A24E6C-1372-4083-927A-7AB2B4BE2C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6917-4535-AEE7-B2428E672C31}"/>
                </c:ext>
              </c:extLst>
            </c:dLbl>
            <c:dLbl>
              <c:idx val="218"/>
              <c:tx>
                <c:rich>
                  <a:bodyPr/>
                  <a:lstStyle/>
                  <a:p>
                    <a:fld id="{C4BB4C25-6373-48EE-9695-327A11CCE2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6917-4535-AEE7-B2428E672C31}"/>
                </c:ext>
              </c:extLst>
            </c:dLbl>
            <c:dLbl>
              <c:idx val="219"/>
              <c:tx>
                <c:rich>
                  <a:bodyPr/>
                  <a:lstStyle/>
                  <a:p>
                    <a:fld id="{D8330AA4-5D4F-4697-914E-D5F7F66DCB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6917-4535-AEE7-B2428E672C31}"/>
                </c:ext>
              </c:extLst>
            </c:dLbl>
            <c:dLbl>
              <c:idx val="220"/>
              <c:tx>
                <c:rich>
                  <a:bodyPr/>
                  <a:lstStyle/>
                  <a:p>
                    <a:fld id="{C8F917DD-0BAE-46AC-9038-F665480A27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6917-4535-AEE7-B2428E672C31}"/>
                </c:ext>
              </c:extLst>
            </c:dLbl>
            <c:dLbl>
              <c:idx val="221"/>
              <c:tx>
                <c:rich>
                  <a:bodyPr/>
                  <a:lstStyle/>
                  <a:p>
                    <a:fld id="{55B400DF-66C7-4895-A7FE-B5B69885AA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6917-4535-AEE7-B2428E672C31}"/>
                </c:ext>
              </c:extLst>
            </c:dLbl>
            <c:dLbl>
              <c:idx val="222"/>
              <c:tx>
                <c:rich>
                  <a:bodyPr/>
                  <a:lstStyle/>
                  <a:p>
                    <a:fld id="{91129702-2293-41E7-8628-5BF4C9227F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6917-4535-AEE7-B2428E672C31}"/>
                </c:ext>
              </c:extLst>
            </c:dLbl>
            <c:dLbl>
              <c:idx val="223"/>
              <c:tx>
                <c:rich>
                  <a:bodyPr/>
                  <a:lstStyle/>
                  <a:p>
                    <a:fld id="{30E5AF30-F492-489C-8DF1-4D05F9CA42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6917-4535-AEE7-B2428E672C31}"/>
                </c:ext>
              </c:extLst>
            </c:dLbl>
            <c:dLbl>
              <c:idx val="224"/>
              <c:tx>
                <c:rich>
                  <a:bodyPr/>
                  <a:lstStyle/>
                  <a:p>
                    <a:fld id="{06DD2ACB-5775-47F9-8550-AF925A976D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6917-4535-AEE7-B2428E672C31}"/>
                </c:ext>
              </c:extLst>
            </c:dLbl>
            <c:dLbl>
              <c:idx val="225"/>
              <c:tx>
                <c:rich>
                  <a:bodyPr/>
                  <a:lstStyle/>
                  <a:p>
                    <a:fld id="{0FAB9DF0-9055-4619-8CC7-0B0F6C2E57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6917-4535-AEE7-B2428E672C31}"/>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6917-4535-AEE7-B2428E672C31}"/>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6917-4535-AEE7-B2428E672C31}"/>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6917-4535-AEE7-B2428E672C31}"/>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6917-4535-AEE7-B2428E672C31}"/>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6917-4535-AEE7-B2428E672C31}"/>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6917-4535-AEE7-B2428E672C31}"/>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6917-4535-AEE7-B2428E672C31}"/>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6917-4535-AEE7-B2428E672C31}"/>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6917-4535-AEE7-B2428E672C31}"/>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6917-4535-AEE7-B2428E672C31}"/>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6917-4535-AEE7-B2428E672C31}"/>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6917-4535-AEE7-B2428E672C31}"/>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6917-4535-AEE7-B2428E672C31}"/>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6917-4535-AEE7-B2428E672C31}"/>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6917-4535-AEE7-B2428E672C31}"/>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6917-4535-AEE7-B2428E672C31}"/>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6917-4535-AEE7-B2428E672C31}"/>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6917-4535-AEE7-B2428E672C31}"/>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6917-4535-AEE7-B2428E672C31}"/>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6917-4535-AEE7-B2428E672C31}"/>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6917-4535-AEE7-B2428E672C31}"/>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6917-4535-AEE7-B2428E672C31}"/>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6917-4535-AEE7-B2428E672C31}"/>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6917-4535-AEE7-B2428E672C31}"/>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6917-4535-AEE7-B2428E672C31}"/>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6917-4535-AEE7-B2428E672C31}"/>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6917-4535-AEE7-B2428E672C31}"/>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6917-4535-AEE7-B2428E672C31}"/>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6917-4535-AEE7-B2428E672C31}"/>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6917-4535-AEE7-B2428E672C31}"/>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6917-4535-AEE7-B2428E672C31}"/>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6917-4535-AEE7-B2428E672C31}"/>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6917-4535-AEE7-B2428E672C31}"/>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6917-4535-AEE7-B2428E672C31}"/>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6917-4535-AEE7-B2428E672C31}"/>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6917-4535-AEE7-B2428E672C31}"/>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6917-4535-AEE7-B2428E672C31}"/>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6917-4535-AEE7-B2428E672C31}"/>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6917-4535-AEE7-B2428E672C31}"/>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6917-4535-AEE7-B2428E672C31}"/>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6917-4535-AEE7-B2428E672C31}"/>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6917-4535-AEE7-B2428E672C31}"/>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6917-4535-AEE7-B2428E672C31}"/>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6917-4535-AEE7-B2428E672C31}"/>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6917-4535-AEE7-B2428E672C31}"/>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6917-4535-AEE7-B2428E672C31}"/>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6917-4535-AEE7-B2428E672C31}"/>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6917-4535-AEE7-B2428E672C31}"/>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6917-4535-AEE7-B2428E672C31}"/>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6917-4535-AEE7-B2428E672C31}"/>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6917-4535-AEE7-B2428E672C31}"/>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6917-4535-AEE7-B2428E672C31}"/>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6917-4535-AEE7-B2428E672C31}"/>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6917-4535-AEE7-B2428E672C31}"/>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6917-4535-AEE7-B2428E672C31}"/>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6917-4535-AEE7-B2428E672C31}"/>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6917-4535-AEE7-B2428E672C31}"/>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6917-4535-AEE7-B2428E672C31}"/>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6917-4535-AEE7-B2428E672C31}"/>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6917-4535-AEE7-B2428E672C31}"/>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6917-4535-AEE7-B2428E672C31}"/>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6917-4535-AEE7-B2428E672C31}"/>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6917-4535-AEE7-B2428E672C31}"/>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6917-4535-AEE7-B2428E672C31}"/>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6917-4535-AEE7-B2428E672C31}"/>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6917-4535-AEE7-B2428E672C31}"/>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6917-4535-AEE7-B2428E672C31}"/>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6917-4535-AEE7-B2428E672C31}"/>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6917-4535-AEE7-B2428E672C31}"/>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6917-4535-AEE7-B2428E672C31}"/>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6917-4535-AEE7-B2428E672C31}"/>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6917-4535-AEE7-B2428E672C31}"/>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6917-4535-AEE7-B2428E672C31}"/>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100</c:v>
                </c:pt>
                <c:pt idx="1">
                  <c:v>93.001480102539063</c:v>
                </c:pt>
                <c:pt idx="2">
                  <c:v>84.535896301269531</c:v>
                </c:pt>
                <c:pt idx="3">
                  <c:v>74.899444580078125</c:v>
                </c:pt>
                <c:pt idx="4">
                  <c:v>64.972946166992188</c:v>
                </c:pt>
                <c:pt idx="5">
                  <c:v>55.269924163818359</c:v>
                </c:pt>
                <c:pt idx="6">
                  <c:v>45.509670257568359</c:v>
                </c:pt>
                <c:pt idx="7">
                  <c:v>37.153560638427734</c:v>
                </c:pt>
                <c:pt idx="8">
                  <c:v>30.788291931152344</c:v>
                </c:pt>
                <c:pt idx="9">
                  <c:v>25.957042694091797</c:v>
                </c:pt>
                <c:pt idx="10">
                  <c:v>22.547538757324219</c:v>
                </c:pt>
                <c:pt idx="11">
                  <c:v>20.0836181640625</c:v>
                </c:pt>
                <c:pt idx="12">
                  <c:v>18.206733703613281</c:v>
                </c:pt>
                <c:pt idx="13">
                  <c:v>16.756498336791992</c:v>
                </c:pt>
                <c:pt idx="14">
                  <c:v>15.547471046447754</c:v>
                </c:pt>
                <c:pt idx="15">
                  <c:v>14.544379234313965</c:v>
                </c:pt>
                <c:pt idx="16">
                  <c:v>13.851762771606445</c:v>
                </c:pt>
                <c:pt idx="17">
                  <c:v>13.386196136474609</c:v>
                </c:pt>
                <c:pt idx="18">
                  <c:v>13.123076438903809</c:v>
                </c:pt>
                <c:pt idx="19">
                  <c:v>13.053892135620117</c:v>
                </c:pt>
                <c:pt idx="20">
                  <c:v>13.14442253112793</c:v>
                </c:pt>
                <c:pt idx="21">
                  <c:v>13.360411643981934</c:v>
                </c:pt>
                <c:pt idx="22">
                  <c:v>13.701543807983398</c:v>
                </c:pt>
                <c:pt idx="23">
                  <c:v>14.26203727722168</c:v>
                </c:pt>
                <c:pt idx="24">
                  <c:v>15.129234313964844</c:v>
                </c:pt>
                <c:pt idx="25">
                  <c:v>16.300426483154297</c:v>
                </c:pt>
                <c:pt idx="26">
                  <c:v>17.738327026367188</c:v>
                </c:pt>
                <c:pt idx="27">
                  <c:v>19.366632461547852</c:v>
                </c:pt>
                <c:pt idx="28">
                  <c:v>21.521835327148438</c:v>
                </c:pt>
                <c:pt idx="29">
                  <c:v>24.222984313964844</c:v>
                </c:pt>
                <c:pt idx="30">
                  <c:v>27.476787567138672</c:v>
                </c:pt>
                <c:pt idx="31">
                  <c:v>30.565223693847656</c:v>
                </c:pt>
                <c:pt idx="32">
                  <c:v>33.901214599609375</c:v>
                </c:pt>
                <c:pt idx="33">
                  <c:v>38.134654998779297</c:v>
                </c:pt>
                <c:pt idx="34">
                  <c:v>43.205596923828125</c:v>
                </c:pt>
                <c:pt idx="35">
                  <c:v>48.419986724853516</c:v>
                </c:pt>
                <c:pt idx="36">
                  <c:v>52.275840759277344</c:v>
                </c:pt>
                <c:pt idx="37">
                  <c:v>55.156440734863281</c:v>
                </c:pt>
                <c:pt idx="38">
                  <c:v>58.998973846435547</c:v>
                </c:pt>
                <c:pt idx="39">
                  <c:v>65.081916809082031</c:v>
                </c:pt>
                <c:pt idx="40">
                  <c:v>70.979278564453125</c:v>
                </c:pt>
                <c:pt idx="41">
                  <c:v>72.921005249023438</c:v>
                </c:pt>
                <c:pt idx="42">
                  <c:v>70.888587951660156</c:v>
                </c:pt>
                <c:pt idx="43">
                  <c:v>69.190620422363281</c:v>
                </c:pt>
                <c:pt idx="44">
                  <c:v>71.265052795410156</c:v>
                </c:pt>
                <c:pt idx="45">
                  <c:v>75.176963806152344</c:v>
                </c:pt>
                <c:pt idx="46">
                  <c:v>75.377738952636719</c:v>
                </c:pt>
                <c:pt idx="47">
                  <c:v>68.704437255859375</c:v>
                </c:pt>
                <c:pt idx="48">
                  <c:v>58.075450897216797</c:v>
                </c:pt>
                <c:pt idx="49">
                  <c:v>49.453250885009766</c:v>
                </c:pt>
                <c:pt idx="50">
                  <c:v>45.870323181152344</c:v>
                </c:pt>
                <c:pt idx="51">
                  <c:v>45.512241363525391</c:v>
                </c:pt>
                <c:pt idx="52">
                  <c:v>43.960216522216797</c:v>
                </c:pt>
                <c:pt idx="53">
                  <c:v>37.801319122314453</c:v>
                </c:pt>
                <c:pt idx="54">
                  <c:v>27.299959182739258</c:v>
                </c:pt>
                <c:pt idx="55">
                  <c:v>16.908658981323242</c:v>
                </c:pt>
                <c:pt idx="56">
                  <c:v>9.5513677597045898</c:v>
                </c:pt>
                <c:pt idx="57">
                  <c:v>5.5715336799621582</c:v>
                </c:pt>
                <c:pt idx="58">
                  <c:v>3.6808328628540039</c:v>
                </c:pt>
                <c:pt idx="59">
                  <c:v>2.9529707431793213</c:v>
                </c:pt>
                <c:pt idx="60">
                  <c:v>2.6658070087432861</c:v>
                </c:pt>
                <c:pt idx="61">
                  <c:v>2.484813928604126</c:v>
                </c:pt>
                <c:pt idx="62">
                  <c:v>2.4130978584289551</c:v>
                </c:pt>
                <c:pt idx="63">
                  <c:v>2.4355678558349609</c:v>
                </c:pt>
                <c:pt idx="64">
                  <c:v>2.4376165866851807</c:v>
                </c:pt>
                <c:pt idx="65">
                  <c:v>2.3696067333221436</c:v>
                </c:pt>
                <c:pt idx="66">
                  <c:v>2.3065023422241211</c:v>
                </c:pt>
                <c:pt idx="67">
                  <c:v>2.335585355758667</c:v>
                </c:pt>
                <c:pt idx="68">
                  <c:v>2.3796842098236084</c:v>
                </c:pt>
                <c:pt idx="69">
                  <c:v>2.3270652294158936</c:v>
                </c:pt>
                <c:pt idx="70">
                  <c:v>2.3201110363006592</c:v>
                </c:pt>
                <c:pt idx="71">
                  <c:v>2.3581218719482422</c:v>
                </c:pt>
                <c:pt idx="72">
                  <c:v>2.3272900581359863</c:v>
                </c:pt>
                <c:pt idx="73">
                  <c:v>2.3151557445526123</c:v>
                </c:pt>
                <c:pt idx="74">
                  <c:v>2.3595128059387207</c:v>
                </c:pt>
                <c:pt idx="75">
                  <c:v>2.3762695789337158</c:v>
                </c:pt>
                <c:pt idx="76">
                  <c:v>2.3832988739013672</c:v>
                </c:pt>
                <c:pt idx="77">
                  <c:v>2.3866550922393799</c:v>
                </c:pt>
                <c:pt idx="78">
                  <c:v>2.4139473438262939</c:v>
                </c:pt>
                <c:pt idx="79">
                  <c:v>2.3690822124481201</c:v>
                </c:pt>
                <c:pt idx="80">
                  <c:v>2.3266820907592773</c:v>
                </c:pt>
                <c:pt idx="81">
                  <c:v>2.3785347938537598</c:v>
                </c:pt>
                <c:pt idx="82">
                  <c:v>2.4032869338989258</c:v>
                </c:pt>
                <c:pt idx="83">
                  <c:v>2.4172036647796631</c:v>
                </c:pt>
                <c:pt idx="84">
                  <c:v>2.3509345054626465</c:v>
                </c:pt>
                <c:pt idx="85">
                  <c:v>2.2809758186340332</c:v>
                </c:pt>
                <c:pt idx="86">
                  <c:v>2.3123157024383545</c:v>
                </c:pt>
                <c:pt idx="87">
                  <c:v>2.3954916000366211</c:v>
                </c:pt>
                <c:pt idx="88">
                  <c:v>2.4064433574676514</c:v>
                </c:pt>
                <c:pt idx="89">
                  <c:v>2.356081485748291</c:v>
                </c:pt>
                <c:pt idx="90">
                  <c:v>2.3813333511352539</c:v>
                </c:pt>
                <c:pt idx="91">
                  <c:v>2.39766526222229</c:v>
                </c:pt>
                <c:pt idx="92">
                  <c:v>2.3380920886993408</c:v>
                </c:pt>
                <c:pt idx="93">
                  <c:v>2.3203275203704834</c:v>
                </c:pt>
                <c:pt idx="94">
                  <c:v>2.3526835441589355</c:v>
                </c:pt>
                <c:pt idx="95">
                  <c:v>2.3175625801086426</c:v>
                </c:pt>
                <c:pt idx="96">
                  <c:v>2.3270401954650879</c:v>
                </c:pt>
                <c:pt idx="97">
                  <c:v>2.353541374206543</c:v>
                </c:pt>
                <c:pt idx="98">
                  <c:v>2.3045785427093506</c:v>
                </c:pt>
                <c:pt idx="99">
                  <c:v>2.3253662586212158</c:v>
                </c:pt>
                <c:pt idx="100">
                  <c:v>2.3822910785675049</c:v>
                </c:pt>
                <c:pt idx="101">
                  <c:v>2.3963744640350342</c:v>
                </c:pt>
                <c:pt idx="102">
                  <c:v>2.3914856910705566</c:v>
                </c:pt>
                <c:pt idx="103">
                  <c:v>2.3461124897003174</c:v>
                </c:pt>
                <c:pt idx="104">
                  <c:v>2.3811750411987305</c:v>
                </c:pt>
                <c:pt idx="105">
                  <c:v>2.3762695789337158</c:v>
                </c:pt>
                <c:pt idx="106">
                  <c:v>2.3612534999847412</c:v>
                </c:pt>
                <c:pt idx="107">
                  <c:v>2.3542742729187012</c:v>
                </c:pt>
                <c:pt idx="108">
                  <c:v>2.3122823238372803</c:v>
                </c:pt>
                <c:pt idx="109">
                  <c:v>2.3067688941955566</c:v>
                </c:pt>
                <c:pt idx="110">
                  <c:v>2.3442051410675049</c:v>
                </c:pt>
                <c:pt idx="111">
                  <c:v>2.3202192783355713</c:v>
                </c:pt>
                <c:pt idx="112">
                  <c:v>2.329763650894165</c:v>
                </c:pt>
                <c:pt idx="113">
                  <c:v>2.3327202796936035</c:v>
                </c:pt>
                <c:pt idx="114">
                  <c:v>2.3119325637817383</c:v>
                </c:pt>
                <c:pt idx="115">
                  <c:v>2.2802345752716064</c:v>
                </c:pt>
                <c:pt idx="116">
                  <c:v>2.304661750793457</c:v>
                </c:pt>
                <c:pt idx="117">
                  <c:v>2.4206767082214355</c:v>
                </c:pt>
                <c:pt idx="118">
                  <c:v>2.409508228302002</c:v>
                </c:pt>
                <c:pt idx="119">
                  <c:v>2.365842342376709</c:v>
                </c:pt>
                <c:pt idx="120">
                  <c:v>2.3430142402648926</c:v>
                </c:pt>
                <c:pt idx="121">
                  <c:v>2.2825748920440674</c:v>
                </c:pt>
                <c:pt idx="122">
                  <c:v>2.2766366004943848</c:v>
                </c:pt>
                <c:pt idx="123">
                  <c:v>2.3478281497955322</c:v>
                </c:pt>
                <c:pt idx="124">
                  <c:v>2.37359619140625</c:v>
                </c:pt>
                <c:pt idx="125">
                  <c:v>2.3599209785461426</c:v>
                </c:pt>
                <c:pt idx="126">
                  <c:v>2.3376674652099609</c:v>
                </c:pt>
                <c:pt idx="127">
                  <c:v>2.3415234088897705</c:v>
                </c:pt>
                <c:pt idx="128">
                  <c:v>2.3505263328552246</c:v>
                </c:pt>
                <c:pt idx="129">
                  <c:v>2.4005885124206543</c:v>
                </c:pt>
                <c:pt idx="130">
                  <c:v>2.3835902214050293</c:v>
                </c:pt>
                <c:pt idx="131">
                  <c:v>2.2976243495941162</c:v>
                </c:pt>
                <c:pt idx="132">
                  <c:v>2.3392996788024902</c:v>
                </c:pt>
                <c:pt idx="133">
                  <c:v>2.3849811553955078</c:v>
                </c:pt>
                <c:pt idx="134">
                  <c:v>2.4176702499389648</c:v>
                </c:pt>
                <c:pt idx="135">
                  <c:v>2.3729715347290039</c:v>
                </c:pt>
                <c:pt idx="136">
                  <c:v>2.5614686012268066</c:v>
                </c:pt>
                <c:pt idx="137">
                  <c:v>2.6818726062774658</c:v>
                </c:pt>
                <c:pt idx="138">
                  <c:v>2.3561563491821289</c:v>
                </c:pt>
                <c:pt idx="139">
                  <c:v>2.1761126518249512</c:v>
                </c:pt>
                <c:pt idx="140">
                  <c:v>2.221569299697876</c:v>
                </c:pt>
                <c:pt idx="141">
                  <c:v>2.3317959308624268</c:v>
                </c:pt>
                <c:pt idx="142">
                  <c:v>2.4131810665130615</c:v>
                </c:pt>
                <c:pt idx="143">
                  <c:v>2.3969573974609375</c:v>
                </c:pt>
                <c:pt idx="144">
                  <c:v>2.340648889541626</c:v>
                </c:pt>
                <c:pt idx="145">
                  <c:v>2.4250407218933105</c:v>
                </c:pt>
                <c:pt idx="146">
                  <c:v>2.5015954971313477</c:v>
                </c:pt>
                <c:pt idx="147">
                  <c:v>2.377002477645874</c:v>
                </c:pt>
                <c:pt idx="148">
                  <c:v>2.3608870506286621</c:v>
                </c:pt>
                <c:pt idx="149">
                  <c:v>2.3610868453979492</c:v>
                </c:pt>
                <c:pt idx="150">
                  <c:v>2.2826166152954102</c:v>
                </c:pt>
                <c:pt idx="151">
                  <c:v>2.238492488861084</c:v>
                </c:pt>
                <c:pt idx="152">
                  <c:v>2.2754373550415039</c:v>
                </c:pt>
                <c:pt idx="153">
                  <c:v>2.3164799213409424</c:v>
                </c:pt>
                <c:pt idx="154">
                  <c:v>2.2477121353149414</c:v>
                </c:pt>
                <c:pt idx="155">
                  <c:v>2.2658181190490723</c:v>
                </c:pt>
                <c:pt idx="156">
                  <c:v>2.3115577697753906</c:v>
                </c:pt>
                <c:pt idx="157">
                  <c:v>2.3836653232574463</c:v>
                </c:pt>
                <c:pt idx="158">
                  <c:v>2.4103162288665771</c:v>
                </c:pt>
                <c:pt idx="159">
                  <c:v>2.3921267986297607</c:v>
                </c:pt>
                <c:pt idx="160">
                  <c:v>2.4937169551849365</c:v>
                </c:pt>
                <c:pt idx="161">
                  <c:v>2.487703800201416</c:v>
                </c:pt>
                <c:pt idx="162">
                  <c:v>2.4658501148223877</c:v>
                </c:pt>
                <c:pt idx="163">
                  <c:v>2.4056606292724609</c:v>
                </c:pt>
                <c:pt idx="164">
                  <c:v>2.2200367450714111</c:v>
                </c:pt>
                <c:pt idx="165">
                  <c:v>2.1355867385864258</c:v>
                </c:pt>
                <c:pt idx="166">
                  <c:v>2.2403414249420166</c:v>
                </c:pt>
                <c:pt idx="167">
                  <c:v>2.2716562747955322</c:v>
                </c:pt>
                <c:pt idx="168">
                  <c:v>2.2420072555541992</c:v>
                </c:pt>
                <c:pt idx="169">
                  <c:v>2.3016636371612549</c:v>
                </c:pt>
                <c:pt idx="170">
                  <c:v>2.2443807125091553</c:v>
                </c:pt>
                <c:pt idx="171">
                  <c:v>2.2672755718231201</c:v>
                </c:pt>
                <c:pt idx="172">
                  <c:v>2.3722302913665771</c:v>
                </c:pt>
                <c:pt idx="173">
                  <c:v>2.4135642051696777</c:v>
                </c:pt>
                <c:pt idx="174">
                  <c:v>2.4559807777404785</c:v>
                </c:pt>
                <c:pt idx="175">
                  <c:v>2.4154796600341797</c:v>
                </c:pt>
                <c:pt idx="176">
                  <c:v>2.2943429946899414</c:v>
                </c:pt>
                <c:pt idx="177">
                  <c:v>2.3058362007141113</c:v>
                </c:pt>
                <c:pt idx="178">
                  <c:v>2.4122982025146484</c:v>
                </c:pt>
                <c:pt idx="179">
                  <c:v>2.4680237770080566</c:v>
                </c:pt>
                <c:pt idx="180">
                  <c:v>2.3996057510375977</c:v>
                </c:pt>
                <c:pt idx="181">
                  <c:v>2.2750625610351563</c:v>
                </c:pt>
                <c:pt idx="182">
                  <c:v>2.2914280891418457</c:v>
                </c:pt>
                <c:pt idx="183">
                  <c:v>2.2476871013641357</c:v>
                </c:pt>
                <c:pt idx="184">
                  <c:v>2.30422043800354</c:v>
                </c:pt>
                <c:pt idx="185">
                  <c:v>2.4339854717254639</c:v>
                </c:pt>
                <c:pt idx="186">
                  <c:v>2.430687427520752</c:v>
                </c:pt>
                <c:pt idx="187">
                  <c:v>2.5159454345703125</c:v>
                </c:pt>
                <c:pt idx="188">
                  <c:v>2.4307625293731689</c:v>
                </c:pt>
                <c:pt idx="189">
                  <c:v>2.3583385944366455</c:v>
                </c:pt>
                <c:pt idx="190">
                  <c:v>2.3205690383911133</c:v>
                </c:pt>
                <c:pt idx="191">
                  <c:v>2.2639274597167969</c:v>
                </c:pt>
                <c:pt idx="192">
                  <c:v>2.2673420906066895</c:v>
                </c:pt>
                <c:pt idx="193">
                  <c:v>2.2726640701293945</c:v>
                </c:pt>
                <c:pt idx="194">
                  <c:v>2.2500357627868652</c:v>
                </c:pt>
                <c:pt idx="195">
                  <c:v>2.2629199028015137</c:v>
                </c:pt>
                <c:pt idx="196">
                  <c:v>2.309617280960083</c:v>
                </c:pt>
                <c:pt idx="197">
                  <c:v>2.3438303470611572</c:v>
                </c:pt>
                <c:pt idx="198">
                  <c:v>2.3364846706390381</c:v>
                </c:pt>
                <c:pt idx="199">
                  <c:v>2.3141062259674072</c:v>
                </c:pt>
                <c:pt idx="200">
                  <c:v>2.2983572483062744</c:v>
                </c:pt>
                <c:pt idx="201">
                  <c:v>2.3117327690124512</c:v>
                </c:pt>
                <c:pt idx="202">
                  <c:v>2.3870632648468018</c:v>
                </c:pt>
                <c:pt idx="203">
                  <c:v>2.3810584545135498</c:v>
                </c:pt>
                <c:pt idx="204">
                  <c:v>2.2266578674316406</c:v>
                </c:pt>
                <c:pt idx="205">
                  <c:v>2.2804179191589355</c:v>
                </c:pt>
                <c:pt idx="206">
                  <c:v>2.3337447643280029</c:v>
                </c:pt>
                <c:pt idx="207">
                  <c:v>2.2733385562896729</c:v>
                </c:pt>
                <c:pt idx="208">
                  <c:v>2.2570731639862061</c:v>
                </c:pt>
                <c:pt idx="209">
                  <c:v>2.2555325031280518</c:v>
                </c:pt>
                <c:pt idx="210">
                  <c:v>2.2795600891113281</c:v>
                </c:pt>
                <c:pt idx="211">
                  <c:v>2.3254745006561279</c:v>
                </c:pt>
                <c:pt idx="212">
                  <c:v>2.2719061374664307</c:v>
                </c:pt>
                <c:pt idx="213">
                  <c:v>2.3559231758117676</c:v>
                </c:pt>
                <c:pt idx="214">
                  <c:v>2.4047527313232422</c:v>
                </c:pt>
                <c:pt idx="215">
                  <c:v>2.3413734436035156</c:v>
                </c:pt>
                <c:pt idx="216">
                  <c:v>2.2916779518127441</c:v>
                </c:pt>
                <c:pt idx="217">
                  <c:v>2.2280902862548828</c:v>
                </c:pt>
                <c:pt idx="218">
                  <c:v>2.3644847869873047</c:v>
                </c:pt>
                <c:pt idx="219">
                  <c:v>2.2405414581298828</c:v>
                </c:pt>
                <c:pt idx="220">
                  <c:v>2.2072360515594482</c:v>
                </c:pt>
                <c:pt idx="221">
                  <c:v>2.3007059097290039</c:v>
                </c:pt>
                <c:pt idx="222">
                  <c:v>2.2016394138336182</c:v>
                </c:pt>
                <c:pt idx="223">
                  <c:v>2.3374259471893311</c:v>
                </c:pt>
                <c:pt idx="224">
                  <c:v>2.2558488845825195</c:v>
                </c:pt>
                <c:pt idx="225">
                  <c:v>2</c:v>
                </c:pt>
              </c:numCache>
            </c:numRef>
          </c:yVal>
          <c:smooth val="1"/>
          <c:extLst>
            <c:ext xmlns:c15="http://schemas.microsoft.com/office/drawing/2012/chart" uri="{02D57815-91ED-43cb-92C2-25804820EDAC}">
              <c15:datalabelsRange>
                <c15:f>PeakLabels!$F$2:$F$300</c15:f>
                <c15:dlblRangeCache>
                  <c:ptCount val="299"/>
                  <c:pt idx="46">
                    <c:v>282</c:v>
                  </c:pt>
                </c15:dlblRangeCache>
              </c15:datalabelsRange>
            </c:ext>
            <c:ext xmlns:c16="http://schemas.microsoft.com/office/drawing/2014/chart" uri="{C3380CC4-5D6E-409C-BE32-E72D297353CC}">
              <c16:uniqueId val="{00000000-9522-4649-85B0-3ECCE8C0D8BF}"/>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7FD5B9FF-5B7B-4018-85D9-D0163E0F038B}"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522-4649-85B0-3ECCE8C0D8BF}"/>
                </c:ext>
              </c:extLst>
            </c:dLbl>
            <c:dLbl>
              <c:idx val="1"/>
              <c:tx>
                <c:rich>
                  <a:bodyPr/>
                  <a:lstStyle/>
                  <a:p>
                    <a:fld id="{FDAC3F16-34BF-4CC6-89FE-85E4F66D3D3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522-4649-85B0-3ECCE8C0D8BF}"/>
                </c:ext>
              </c:extLst>
            </c:dLbl>
            <c:dLbl>
              <c:idx val="2"/>
              <c:tx>
                <c:rich>
                  <a:bodyPr/>
                  <a:lstStyle/>
                  <a:p>
                    <a:fld id="{FAF92AB0-A604-4335-AA5E-C03DF4D74542}"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522-4649-85B0-3ECCE8C0D8BF}"/>
                </c:ext>
              </c:extLst>
            </c:dLbl>
            <c:dLbl>
              <c:idx val="3"/>
              <c:tx>
                <c:rich>
                  <a:bodyPr/>
                  <a:lstStyle/>
                  <a:p>
                    <a:fld id="{74BF1090-D8BC-4E2D-BBFD-0858D1F5391B}"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522-4649-85B0-3ECCE8C0D8BF}"/>
                </c:ext>
              </c:extLst>
            </c:dLbl>
            <c:dLbl>
              <c:idx val="4"/>
              <c:tx>
                <c:rich>
                  <a:bodyPr/>
                  <a:lstStyle/>
                  <a:p>
                    <a:fld id="{6729255C-DCCD-4D41-9E7E-40CEB423604D}"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522-4649-85B0-3ECCE8C0D8BF}"/>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522-4649-85B0-3ECCE8C0D8BF}"/>
            </c:ext>
          </c:extLst>
        </c:ser>
        <c:dLbls>
          <c:showLegendKey val="0"/>
          <c:showVal val="0"/>
          <c:showCatName val="0"/>
          <c:showSerName val="0"/>
          <c:showPercent val="0"/>
          <c:showBubbleSize val="0"/>
        </c:dLbls>
        <c:axId val="1767905184"/>
        <c:axId val="1767909536"/>
      </c:scatterChart>
      <c:valAx>
        <c:axId val="176790518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9536"/>
        <c:crossesAt val="0"/>
        <c:crossBetween val="midCat"/>
        <c:majorUnit val="100"/>
      </c:valAx>
      <c:valAx>
        <c:axId val="1767909536"/>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518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0.51300000000000001</c:v>
                </c:pt>
                <c:pt idx="1">
                  <c:v>0.54</c:v>
                </c:pt>
                <c:pt idx="2">
                  <c:v>0.56699999999999995</c:v>
                </c:pt>
                <c:pt idx="3">
                  <c:v>0.59299999999999997</c:v>
                </c:pt>
                <c:pt idx="4">
                  <c:v>0.62</c:v>
                </c:pt>
                <c:pt idx="5">
                  <c:v>0.64700000000000002</c:v>
                </c:pt>
                <c:pt idx="6">
                  <c:v>0.67300000000000004</c:v>
                </c:pt>
                <c:pt idx="7">
                  <c:v>0.7</c:v>
                </c:pt>
                <c:pt idx="8">
                  <c:v>0.72699999999999998</c:v>
                </c:pt>
                <c:pt idx="9">
                  <c:v>0.753</c:v>
                </c:pt>
                <c:pt idx="10">
                  <c:v>0.78</c:v>
                </c:pt>
                <c:pt idx="11">
                  <c:v>0.80700000000000005</c:v>
                </c:pt>
                <c:pt idx="12">
                  <c:v>0.83299999999999996</c:v>
                </c:pt>
                <c:pt idx="13">
                  <c:v>0.86</c:v>
                </c:pt>
                <c:pt idx="14">
                  <c:v>0.88700000000000001</c:v>
                </c:pt>
                <c:pt idx="15">
                  <c:v>0.91300000000000003</c:v>
                </c:pt>
                <c:pt idx="16">
                  <c:v>0.94</c:v>
                </c:pt>
                <c:pt idx="17">
                  <c:v>0.96699999999999997</c:v>
                </c:pt>
                <c:pt idx="18">
                  <c:v>0.99299999999999999</c:v>
                </c:pt>
                <c:pt idx="19">
                  <c:v>1.02</c:v>
                </c:pt>
                <c:pt idx="20">
                  <c:v>1.0469999999999999</c:v>
                </c:pt>
                <c:pt idx="21">
                  <c:v>1.073</c:v>
                </c:pt>
                <c:pt idx="22">
                  <c:v>1.1000000000000001</c:v>
                </c:pt>
                <c:pt idx="23">
                  <c:v>1.127</c:v>
                </c:pt>
                <c:pt idx="24">
                  <c:v>1.153</c:v>
                </c:pt>
                <c:pt idx="25">
                  <c:v>1.18</c:v>
                </c:pt>
                <c:pt idx="26">
                  <c:v>1.2070000000000001</c:v>
                </c:pt>
                <c:pt idx="27">
                  <c:v>1.2330000000000001</c:v>
                </c:pt>
                <c:pt idx="28">
                  <c:v>1.26</c:v>
                </c:pt>
                <c:pt idx="29">
                  <c:v>1.2869999999999999</c:v>
                </c:pt>
                <c:pt idx="30">
                  <c:v>1.3129999999999999</c:v>
                </c:pt>
                <c:pt idx="31">
                  <c:v>1.34</c:v>
                </c:pt>
                <c:pt idx="32">
                  <c:v>1.367</c:v>
                </c:pt>
                <c:pt idx="33">
                  <c:v>1.393</c:v>
                </c:pt>
                <c:pt idx="34">
                  <c:v>1.42</c:v>
                </c:pt>
                <c:pt idx="35">
                  <c:v>1.4470000000000001</c:v>
                </c:pt>
                <c:pt idx="36">
                  <c:v>1.4730000000000001</c:v>
                </c:pt>
                <c:pt idx="37">
                  <c:v>1.5</c:v>
                </c:pt>
                <c:pt idx="38">
                  <c:v>1.5269999999999999</c:v>
                </c:pt>
                <c:pt idx="39">
                  <c:v>1.5529999999999999</c:v>
                </c:pt>
                <c:pt idx="40">
                  <c:v>1.58</c:v>
                </c:pt>
                <c:pt idx="41">
                  <c:v>1.607</c:v>
                </c:pt>
                <c:pt idx="42">
                  <c:v>1.633</c:v>
                </c:pt>
                <c:pt idx="43">
                  <c:v>1.66</c:v>
                </c:pt>
                <c:pt idx="44">
                  <c:v>1.6870000000000001</c:v>
                </c:pt>
                <c:pt idx="45">
                  <c:v>1.7130000000000001</c:v>
                </c:pt>
                <c:pt idx="46">
                  <c:v>1.74</c:v>
                </c:pt>
                <c:pt idx="47">
                  <c:v>1.7669999999999999</c:v>
                </c:pt>
                <c:pt idx="48">
                  <c:v>1.7929999999999999</c:v>
                </c:pt>
                <c:pt idx="49">
                  <c:v>1.82</c:v>
                </c:pt>
                <c:pt idx="50">
                  <c:v>1.847</c:v>
                </c:pt>
                <c:pt idx="51">
                  <c:v>1.873</c:v>
                </c:pt>
                <c:pt idx="52">
                  <c:v>1.9</c:v>
                </c:pt>
                <c:pt idx="53">
                  <c:v>1.927</c:v>
                </c:pt>
                <c:pt idx="54">
                  <c:v>1.9530000000000001</c:v>
                </c:pt>
                <c:pt idx="55">
                  <c:v>1.98</c:v>
                </c:pt>
                <c:pt idx="56">
                  <c:v>2.0070000000000001</c:v>
                </c:pt>
                <c:pt idx="57">
                  <c:v>2.0329999999999999</c:v>
                </c:pt>
                <c:pt idx="58">
                  <c:v>2.06</c:v>
                </c:pt>
                <c:pt idx="59">
                  <c:v>2.0870000000000002</c:v>
                </c:pt>
                <c:pt idx="60">
                  <c:v>2.113</c:v>
                </c:pt>
                <c:pt idx="61">
                  <c:v>2.14</c:v>
                </c:pt>
                <c:pt idx="62">
                  <c:v>2.1669999999999998</c:v>
                </c:pt>
                <c:pt idx="63">
                  <c:v>2.1930000000000001</c:v>
                </c:pt>
                <c:pt idx="64">
                  <c:v>2.2200000000000002</c:v>
                </c:pt>
                <c:pt idx="65">
                  <c:v>2.2469999999999999</c:v>
                </c:pt>
                <c:pt idx="66">
                  <c:v>2.2730000000000001</c:v>
                </c:pt>
                <c:pt idx="67">
                  <c:v>2.2999999999999998</c:v>
                </c:pt>
                <c:pt idx="68">
                  <c:v>2.327</c:v>
                </c:pt>
                <c:pt idx="69">
                  <c:v>2.3530000000000002</c:v>
                </c:pt>
                <c:pt idx="70">
                  <c:v>2.38</c:v>
                </c:pt>
                <c:pt idx="71">
                  <c:v>2.407</c:v>
                </c:pt>
                <c:pt idx="72">
                  <c:v>2.4329999999999998</c:v>
                </c:pt>
                <c:pt idx="73">
                  <c:v>2.46</c:v>
                </c:pt>
                <c:pt idx="74">
                  <c:v>2.4870000000000001</c:v>
                </c:pt>
                <c:pt idx="75">
                  <c:v>2.5129999999999999</c:v>
                </c:pt>
                <c:pt idx="76">
                  <c:v>2.54</c:v>
                </c:pt>
                <c:pt idx="77">
                  <c:v>2.5670000000000002</c:v>
                </c:pt>
                <c:pt idx="78">
                  <c:v>2.593</c:v>
                </c:pt>
                <c:pt idx="79">
                  <c:v>2.62</c:v>
                </c:pt>
                <c:pt idx="80">
                  <c:v>2.6469999999999998</c:v>
                </c:pt>
                <c:pt idx="81">
                  <c:v>2.673</c:v>
                </c:pt>
                <c:pt idx="82">
                  <c:v>2.7</c:v>
                </c:pt>
                <c:pt idx="83">
                  <c:v>2.7269999999999999</c:v>
                </c:pt>
                <c:pt idx="84">
                  <c:v>2.7530000000000001</c:v>
                </c:pt>
                <c:pt idx="85">
                  <c:v>2.78</c:v>
                </c:pt>
                <c:pt idx="86">
                  <c:v>2.8069999999999999</c:v>
                </c:pt>
                <c:pt idx="87">
                  <c:v>2.8330000000000002</c:v>
                </c:pt>
                <c:pt idx="88">
                  <c:v>2.86</c:v>
                </c:pt>
                <c:pt idx="89">
                  <c:v>2.887</c:v>
                </c:pt>
                <c:pt idx="90">
                  <c:v>2.9129999999999998</c:v>
                </c:pt>
                <c:pt idx="91">
                  <c:v>2.94</c:v>
                </c:pt>
                <c:pt idx="92">
                  <c:v>2.9670000000000001</c:v>
                </c:pt>
                <c:pt idx="93">
                  <c:v>2.9929999999999999</c:v>
                </c:pt>
                <c:pt idx="94">
                  <c:v>3.02</c:v>
                </c:pt>
                <c:pt idx="95">
                  <c:v>3.0470000000000002</c:v>
                </c:pt>
                <c:pt idx="96">
                  <c:v>3.073</c:v>
                </c:pt>
                <c:pt idx="97">
                  <c:v>3.1</c:v>
                </c:pt>
                <c:pt idx="98">
                  <c:v>3.1269999999999998</c:v>
                </c:pt>
                <c:pt idx="99">
                  <c:v>3.153</c:v>
                </c:pt>
                <c:pt idx="100">
                  <c:v>3.18</c:v>
                </c:pt>
                <c:pt idx="101">
                  <c:v>3.2069999999999999</c:v>
                </c:pt>
                <c:pt idx="102">
                  <c:v>3.2330000000000001</c:v>
                </c:pt>
                <c:pt idx="103">
                  <c:v>3.26</c:v>
                </c:pt>
                <c:pt idx="104">
                  <c:v>3.2869999999999999</c:v>
                </c:pt>
                <c:pt idx="105">
                  <c:v>3.3130000000000002</c:v>
                </c:pt>
                <c:pt idx="106">
                  <c:v>3.34</c:v>
                </c:pt>
                <c:pt idx="107">
                  <c:v>3.367</c:v>
                </c:pt>
                <c:pt idx="108">
                  <c:v>3.3929999999999998</c:v>
                </c:pt>
                <c:pt idx="109">
                  <c:v>3.42</c:v>
                </c:pt>
                <c:pt idx="110">
                  <c:v>3.4470000000000001</c:v>
                </c:pt>
                <c:pt idx="111">
                  <c:v>3.4729999999999999</c:v>
                </c:pt>
                <c:pt idx="112">
                  <c:v>3.5</c:v>
                </c:pt>
                <c:pt idx="113">
                  <c:v>3.5270000000000001</c:v>
                </c:pt>
                <c:pt idx="114">
                  <c:v>3.5529999999999999</c:v>
                </c:pt>
                <c:pt idx="115">
                  <c:v>3.58</c:v>
                </c:pt>
                <c:pt idx="116">
                  <c:v>3.6070000000000002</c:v>
                </c:pt>
                <c:pt idx="117">
                  <c:v>3.633</c:v>
                </c:pt>
                <c:pt idx="118">
                  <c:v>3.66</c:v>
                </c:pt>
                <c:pt idx="119">
                  <c:v>3.6869999999999998</c:v>
                </c:pt>
                <c:pt idx="120">
                  <c:v>3.7130000000000001</c:v>
                </c:pt>
                <c:pt idx="121">
                  <c:v>3.74</c:v>
                </c:pt>
                <c:pt idx="122">
                  <c:v>3.7669999999999999</c:v>
                </c:pt>
                <c:pt idx="123">
                  <c:v>3.7930000000000001</c:v>
                </c:pt>
                <c:pt idx="124">
                  <c:v>3.82</c:v>
                </c:pt>
                <c:pt idx="125">
                  <c:v>3.847</c:v>
                </c:pt>
                <c:pt idx="126">
                  <c:v>3.8730000000000002</c:v>
                </c:pt>
                <c:pt idx="127">
                  <c:v>3.9</c:v>
                </c:pt>
                <c:pt idx="128">
                  <c:v>3.927</c:v>
                </c:pt>
                <c:pt idx="129">
                  <c:v>3.9529999999999998</c:v>
                </c:pt>
                <c:pt idx="130">
                  <c:v>3.98</c:v>
                </c:pt>
                <c:pt idx="131">
                  <c:v>4.0069999999999997</c:v>
                </c:pt>
                <c:pt idx="132">
                  <c:v>4.0330000000000004</c:v>
                </c:pt>
                <c:pt idx="133">
                  <c:v>4.0599999999999996</c:v>
                </c:pt>
                <c:pt idx="134">
                  <c:v>4.0869999999999997</c:v>
                </c:pt>
                <c:pt idx="135">
                  <c:v>4.1130000000000004</c:v>
                </c:pt>
                <c:pt idx="136">
                  <c:v>4.1399999999999997</c:v>
                </c:pt>
                <c:pt idx="137">
                  <c:v>4.1669999999999998</c:v>
                </c:pt>
                <c:pt idx="138">
                  <c:v>4.1929999999999996</c:v>
                </c:pt>
                <c:pt idx="139">
                  <c:v>4.22</c:v>
                </c:pt>
                <c:pt idx="140">
                  <c:v>4.2469999999999999</c:v>
                </c:pt>
                <c:pt idx="141">
                  <c:v>4.2729999999999997</c:v>
                </c:pt>
                <c:pt idx="142">
                  <c:v>4.3</c:v>
                </c:pt>
                <c:pt idx="143">
                  <c:v>4.327</c:v>
                </c:pt>
                <c:pt idx="144">
                  <c:v>4.3529999999999998</c:v>
                </c:pt>
                <c:pt idx="145">
                  <c:v>4.38</c:v>
                </c:pt>
                <c:pt idx="146">
                  <c:v>4.407</c:v>
                </c:pt>
                <c:pt idx="147">
                  <c:v>4.4329999999999998</c:v>
                </c:pt>
                <c:pt idx="148">
                  <c:v>4.46</c:v>
                </c:pt>
                <c:pt idx="149">
                  <c:v>4.4870000000000001</c:v>
                </c:pt>
                <c:pt idx="150">
                  <c:v>4.5129999999999999</c:v>
                </c:pt>
                <c:pt idx="151">
                  <c:v>4.54</c:v>
                </c:pt>
                <c:pt idx="152">
                  <c:v>4.5670000000000002</c:v>
                </c:pt>
                <c:pt idx="153">
                  <c:v>4.593</c:v>
                </c:pt>
                <c:pt idx="154">
                  <c:v>4.62</c:v>
                </c:pt>
                <c:pt idx="155">
                  <c:v>4.6470000000000002</c:v>
                </c:pt>
                <c:pt idx="156">
                  <c:v>4.673</c:v>
                </c:pt>
                <c:pt idx="157">
                  <c:v>4.7</c:v>
                </c:pt>
                <c:pt idx="158">
                  <c:v>4.7270000000000003</c:v>
                </c:pt>
                <c:pt idx="159">
                  <c:v>4.7530000000000001</c:v>
                </c:pt>
                <c:pt idx="160">
                  <c:v>4.78</c:v>
                </c:pt>
                <c:pt idx="161">
                  <c:v>4.8070000000000004</c:v>
                </c:pt>
                <c:pt idx="162">
                  <c:v>4.8330000000000002</c:v>
                </c:pt>
                <c:pt idx="163">
                  <c:v>4.8600000000000003</c:v>
                </c:pt>
                <c:pt idx="164">
                  <c:v>4.8869999999999996</c:v>
                </c:pt>
                <c:pt idx="165">
                  <c:v>4.9130000000000003</c:v>
                </c:pt>
                <c:pt idx="166">
                  <c:v>4.9400000000000004</c:v>
                </c:pt>
                <c:pt idx="167">
                  <c:v>4.9669999999999996</c:v>
                </c:pt>
                <c:pt idx="168">
                  <c:v>4.9930000000000003</c:v>
                </c:pt>
                <c:pt idx="169">
                  <c:v>5.0199999999999996</c:v>
                </c:pt>
                <c:pt idx="170">
                  <c:v>5.0469999999999997</c:v>
                </c:pt>
                <c:pt idx="171">
                  <c:v>5.0730000000000004</c:v>
                </c:pt>
                <c:pt idx="172">
                  <c:v>5.0999999999999996</c:v>
                </c:pt>
                <c:pt idx="173">
                  <c:v>5.1269999999999998</c:v>
                </c:pt>
                <c:pt idx="174">
                  <c:v>5.1529999999999996</c:v>
                </c:pt>
                <c:pt idx="175">
                  <c:v>5.18</c:v>
                </c:pt>
                <c:pt idx="176">
                  <c:v>5.2069999999999999</c:v>
                </c:pt>
                <c:pt idx="177">
                  <c:v>5.2329999999999997</c:v>
                </c:pt>
                <c:pt idx="178">
                  <c:v>5.26</c:v>
                </c:pt>
                <c:pt idx="179">
                  <c:v>5.2869999999999999</c:v>
                </c:pt>
                <c:pt idx="180">
                  <c:v>5.3129999999999997</c:v>
                </c:pt>
                <c:pt idx="181">
                  <c:v>5.34</c:v>
                </c:pt>
                <c:pt idx="182">
                  <c:v>5.367</c:v>
                </c:pt>
                <c:pt idx="183">
                  <c:v>5.3929999999999998</c:v>
                </c:pt>
                <c:pt idx="184">
                  <c:v>5.42</c:v>
                </c:pt>
                <c:pt idx="185">
                  <c:v>5.4470000000000001</c:v>
                </c:pt>
                <c:pt idx="186">
                  <c:v>5.4729999999999999</c:v>
                </c:pt>
                <c:pt idx="187">
                  <c:v>5.5</c:v>
                </c:pt>
                <c:pt idx="188">
                  <c:v>5.5270000000000001</c:v>
                </c:pt>
                <c:pt idx="189">
                  <c:v>5.5529999999999999</c:v>
                </c:pt>
                <c:pt idx="190">
                  <c:v>5.58</c:v>
                </c:pt>
                <c:pt idx="191">
                  <c:v>5.6070000000000002</c:v>
                </c:pt>
                <c:pt idx="192">
                  <c:v>5.633</c:v>
                </c:pt>
                <c:pt idx="193">
                  <c:v>5.66</c:v>
                </c:pt>
                <c:pt idx="194">
                  <c:v>5.6870000000000003</c:v>
                </c:pt>
                <c:pt idx="195">
                  <c:v>5.7130000000000001</c:v>
                </c:pt>
                <c:pt idx="196">
                  <c:v>5.74</c:v>
                </c:pt>
                <c:pt idx="197">
                  <c:v>5.7670000000000003</c:v>
                </c:pt>
                <c:pt idx="198">
                  <c:v>5.7930000000000001</c:v>
                </c:pt>
                <c:pt idx="199">
                  <c:v>5.82</c:v>
                </c:pt>
                <c:pt idx="200">
                  <c:v>5.8470000000000004</c:v>
                </c:pt>
                <c:pt idx="201">
                  <c:v>5.8730000000000002</c:v>
                </c:pt>
                <c:pt idx="202">
                  <c:v>5.9</c:v>
                </c:pt>
                <c:pt idx="203">
                  <c:v>5.9269999999999996</c:v>
                </c:pt>
                <c:pt idx="204">
                  <c:v>5.9530000000000003</c:v>
                </c:pt>
                <c:pt idx="205">
                  <c:v>5.98</c:v>
                </c:pt>
                <c:pt idx="206">
                  <c:v>6.0069999999999997</c:v>
                </c:pt>
                <c:pt idx="207">
                  <c:v>6.0330000000000004</c:v>
                </c:pt>
                <c:pt idx="208">
                  <c:v>6.06</c:v>
                </c:pt>
                <c:pt idx="209">
                  <c:v>6.0869999999999997</c:v>
                </c:pt>
                <c:pt idx="210">
                  <c:v>6.1130000000000004</c:v>
                </c:pt>
                <c:pt idx="211">
                  <c:v>6.14</c:v>
                </c:pt>
                <c:pt idx="212">
                  <c:v>6.1669999999999998</c:v>
                </c:pt>
                <c:pt idx="213">
                  <c:v>6.1929999999999996</c:v>
                </c:pt>
                <c:pt idx="214">
                  <c:v>6.22</c:v>
                </c:pt>
                <c:pt idx="215">
                  <c:v>6.2469999999999999</c:v>
                </c:pt>
                <c:pt idx="216">
                  <c:v>6.2729999999999997</c:v>
                </c:pt>
                <c:pt idx="217">
                  <c:v>6.3</c:v>
                </c:pt>
                <c:pt idx="218">
                  <c:v>6.327</c:v>
                </c:pt>
                <c:pt idx="219">
                  <c:v>6.3529999999999998</c:v>
                </c:pt>
                <c:pt idx="220">
                  <c:v>6.38</c:v>
                </c:pt>
                <c:pt idx="221">
                  <c:v>6.407</c:v>
                </c:pt>
                <c:pt idx="222">
                  <c:v>6.4329999999999998</c:v>
                </c:pt>
                <c:pt idx="223">
                  <c:v>6.46</c:v>
                </c:pt>
                <c:pt idx="224">
                  <c:v>6.4870000000000001</c:v>
                </c:pt>
                <c:pt idx="225">
                  <c:v>6.5129999999999999</c:v>
                </c:pt>
                <c:pt idx="226">
                  <c:v>6.54</c:v>
                </c:pt>
                <c:pt idx="227">
                  <c:v>6.5670000000000002</c:v>
                </c:pt>
                <c:pt idx="228">
                  <c:v>6.593</c:v>
                </c:pt>
                <c:pt idx="229">
                  <c:v>6.62</c:v>
                </c:pt>
                <c:pt idx="230">
                  <c:v>6.6470000000000002</c:v>
                </c:pt>
                <c:pt idx="231">
                  <c:v>6.673</c:v>
                </c:pt>
                <c:pt idx="232">
                  <c:v>6.7</c:v>
                </c:pt>
                <c:pt idx="233">
                  <c:v>6.7270000000000003</c:v>
                </c:pt>
                <c:pt idx="234">
                  <c:v>6.7530000000000001</c:v>
                </c:pt>
                <c:pt idx="235">
                  <c:v>6.78</c:v>
                </c:pt>
                <c:pt idx="236">
                  <c:v>6.8070000000000004</c:v>
                </c:pt>
                <c:pt idx="237">
                  <c:v>6.8330000000000002</c:v>
                </c:pt>
                <c:pt idx="238">
                  <c:v>6.86</c:v>
                </c:pt>
                <c:pt idx="239">
                  <c:v>6.8869999999999996</c:v>
                </c:pt>
                <c:pt idx="240">
                  <c:v>6.9130000000000003</c:v>
                </c:pt>
                <c:pt idx="241">
                  <c:v>6.94</c:v>
                </c:pt>
                <c:pt idx="242">
                  <c:v>6.9669999999999996</c:v>
                </c:pt>
                <c:pt idx="243">
                  <c:v>6.9930000000000003</c:v>
                </c:pt>
                <c:pt idx="244">
                  <c:v>7.02</c:v>
                </c:pt>
                <c:pt idx="245">
                  <c:v>7.0469999999999997</c:v>
                </c:pt>
                <c:pt idx="246">
                  <c:v>7.0730000000000004</c:v>
                </c:pt>
                <c:pt idx="247">
                  <c:v>7.1</c:v>
                </c:pt>
                <c:pt idx="248">
                  <c:v>7.1269999999999998</c:v>
                </c:pt>
                <c:pt idx="249">
                  <c:v>7.1529999999999996</c:v>
                </c:pt>
                <c:pt idx="250">
                  <c:v>7.18</c:v>
                </c:pt>
                <c:pt idx="251">
                  <c:v>7.2069999999999999</c:v>
                </c:pt>
                <c:pt idx="252">
                  <c:v>7.2329999999999997</c:v>
                </c:pt>
                <c:pt idx="253">
                  <c:v>7.26</c:v>
                </c:pt>
                <c:pt idx="254">
                  <c:v>7.2869999999999999</c:v>
                </c:pt>
                <c:pt idx="255">
                  <c:v>7.3129999999999997</c:v>
                </c:pt>
                <c:pt idx="256">
                  <c:v>7.34</c:v>
                </c:pt>
                <c:pt idx="257">
                  <c:v>7.367</c:v>
                </c:pt>
                <c:pt idx="258">
                  <c:v>7.3929999999999998</c:v>
                </c:pt>
                <c:pt idx="259">
                  <c:v>7.42</c:v>
                </c:pt>
                <c:pt idx="260">
                  <c:v>7.4470000000000001</c:v>
                </c:pt>
                <c:pt idx="261">
                  <c:v>7.4729999999999999</c:v>
                </c:pt>
                <c:pt idx="262">
                  <c:v>7.5</c:v>
                </c:pt>
                <c:pt idx="263">
                  <c:v>7.5270000000000001</c:v>
                </c:pt>
                <c:pt idx="264">
                  <c:v>7.5529999999999999</c:v>
                </c:pt>
                <c:pt idx="265">
                  <c:v>7.58</c:v>
                </c:pt>
                <c:pt idx="266">
                  <c:v>7.6070000000000002</c:v>
                </c:pt>
                <c:pt idx="267">
                  <c:v>7.633</c:v>
                </c:pt>
                <c:pt idx="268">
                  <c:v>7.66</c:v>
                </c:pt>
                <c:pt idx="269">
                  <c:v>7.6870000000000003</c:v>
                </c:pt>
                <c:pt idx="270">
                  <c:v>7.7130000000000001</c:v>
                </c:pt>
                <c:pt idx="271">
                  <c:v>7.74</c:v>
                </c:pt>
                <c:pt idx="272">
                  <c:v>7.7670000000000003</c:v>
                </c:pt>
                <c:pt idx="273">
                  <c:v>7.7930000000000001</c:v>
                </c:pt>
                <c:pt idx="274">
                  <c:v>7.82</c:v>
                </c:pt>
                <c:pt idx="275">
                  <c:v>7.8470000000000004</c:v>
                </c:pt>
                <c:pt idx="276">
                  <c:v>7.8730000000000002</c:v>
                </c:pt>
                <c:pt idx="277">
                  <c:v>7.9</c:v>
                </c:pt>
                <c:pt idx="278">
                  <c:v>7.9269999999999996</c:v>
                </c:pt>
                <c:pt idx="279">
                  <c:v>7.9530000000000003</c:v>
                </c:pt>
                <c:pt idx="280">
                  <c:v>7.98</c:v>
                </c:pt>
                <c:pt idx="281">
                  <c:v>8.0069999999999997</c:v>
                </c:pt>
                <c:pt idx="282">
                  <c:v>8.0329999999999995</c:v>
                </c:pt>
                <c:pt idx="283">
                  <c:v>8.06</c:v>
                </c:pt>
                <c:pt idx="284">
                  <c:v>8.0869999999999997</c:v>
                </c:pt>
                <c:pt idx="285">
                  <c:v>8.1129999999999995</c:v>
                </c:pt>
                <c:pt idx="286">
                  <c:v>8.14</c:v>
                </c:pt>
                <c:pt idx="287">
                  <c:v>8.1669999999999998</c:v>
                </c:pt>
                <c:pt idx="288">
                  <c:v>8.1929999999999996</c:v>
                </c:pt>
                <c:pt idx="289">
                  <c:v>8.2200000000000006</c:v>
                </c:pt>
                <c:pt idx="290">
                  <c:v>8.2469999999999999</c:v>
                </c:pt>
                <c:pt idx="291">
                  <c:v>8.2729999999999997</c:v>
                </c:pt>
                <c:pt idx="292">
                  <c:v>8.3000000000000007</c:v>
                </c:pt>
                <c:pt idx="293">
                  <c:v>8.327</c:v>
                </c:pt>
                <c:pt idx="294">
                  <c:v>8.3529999999999998</c:v>
                </c:pt>
                <c:pt idx="295">
                  <c:v>8.3800000000000008</c:v>
                </c:pt>
                <c:pt idx="296">
                  <c:v>8.407</c:v>
                </c:pt>
                <c:pt idx="297">
                  <c:v>8.4329999999999998</c:v>
                </c:pt>
                <c:pt idx="298">
                  <c:v>8.4600000000000009</c:v>
                </c:pt>
                <c:pt idx="299">
                  <c:v>8.4870000000000001</c:v>
                </c:pt>
                <c:pt idx="300">
                  <c:v>8.5129999999999999</c:v>
                </c:pt>
                <c:pt idx="301">
                  <c:v>8.5399999999999991</c:v>
                </c:pt>
                <c:pt idx="302">
                  <c:v>8.5670000000000002</c:v>
                </c:pt>
                <c:pt idx="303">
                  <c:v>8.593</c:v>
                </c:pt>
                <c:pt idx="304">
                  <c:v>8.6199999999999992</c:v>
                </c:pt>
                <c:pt idx="305">
                  <c:v>8.6470000000000002</c:v>
                </c:pt>
                <c:pt idx="306">
                  <c:v>8.673</c:v>
                </c:pt>
                <c:pt idx="307">
                  <c:v>8.6999999999999993</c:v>
                </c:pt>
                <c:pt idx="308">
                  <c:v>8.7270000000000003</c:v>
                </c:pt>
                <c:pt idx="309">
                  <c:v>8.7530000000000001</c:v>
                </c:pt>
                <c:pt idx="310">
                  <c:v>8.7799999999999994</c:v>
                </c:pt>
                <c:pt idx="311">
                  <c:v>8.8070000000000004</c:v>
                </c:pt>
                <c:pt idx="312">
                  <c:v>8.8330000000000002</c:v>
                </c:pt>
                <c:pt idx="313">
                  <c:v>8.86</c:v>
                </c:pt>
                <c:pt idx="314">
                  <c:v>8.8870000000000005</c:v>
                </c:pt>
                <c:pt idx="315">
                  <c:v>8.9130000000000003</c:v>
                </c:pt>
                <c:pt idx="316">
                  <c:v>8.94</c:v>
                </c:pt>
                <c:pt idx="317">
                  <c:v>8.9670000000000005</c:v>
                </c:pt>
                <c:pt idx="318">
                  <c:v>8.9930000000000003</c:v>
                </c:pt>
                <c:pt idx="319">
                  <c:v>9.02</c:v>
                </c:pt>
                <c:pt idx="320">
                  <c:v>9.0470000000000006</c:v>
                </c:pt>
                <c:pt idx="321">
                  <c:v>9.0730000000000004</c:v>
                </c:pt>
                <c:pt idx="322">
                  <c:v>9.1</c:v>
                </c:pt>
                <c:pt idx="323">
                  <c:v>9.1270000000000007</c:v>
                </c:pt>
                <c:pt idx="324">
                  <c:v>9.1530000000000005</c:v>
                </c:pt>
                <c:pt idx="325">
                  <c:v>9.18</c:v>
                </c:pt>
                <c:pt idx="326">
                  <c:v>9.2070000000000007</c:v>
                </c:pt>
                <c:pt idx="327">
                  <c:v>9.2330000000000005</c:v>
                </c:pt>
                <c:pt idx="328">
                  <c:v>9.26</c:v>
                </c:pt>
                <c:pt idx="329">
                  <c:v>9.2870000000000008</c:v>
                </c:pt>
                <c:pt idx="330">
                  <c:v>9.3130000000000006</c:v>
                </c:pt>
                <c:pt idx="331">
                  <c:v>9.34</c:v>
                </c:pt>
                <c:pt idx="332">
                  <c:v>9.3670000000000009</c:v>
                </c:pt>
                <c:pt idx="333">
                  <c:v>9.3930000000000007</c:v>
                </c:pt>
                <c:pt idx="334">
                  <c:v>9.42</c:v>
                </c:pt>
                <c:pt idx="335">
                  <c:v>9.4469999999999992</c:v>
                </c:pt>
                <c:pt idx="336">
                  <c:v>9.4730000000000008</c:v>
                </c:pt>
                <c:pt idx="337">
                  <c:v>9.5</c:v>
                </c:pt>
                <c:pt idx="338">
                  <c:v>9.5269999999999992</c:v>
                </c:pt>
                <c:pt idx="339">
                  <c:v>9.5530000000000008</c:v>
                </c:pt>
                <c:pt idx="340">
                  <c:v>9.58</c:v>
                </c:pt>
                <c:pt idx="341">
                  <c:v>9.6069999999999993</c:v>
                </c:pt>
                <c:pt idx="342">
                  <c:v>9.6329999999999991</c:v>
                </c:pt>
                <c:pt idx="343">
                  <c:v>9.66</c:v>
                </c:pt>
                <c:pt idx="344">
                  <c:v>9.6869999999999994</c:v>
                </c:pt>
                <c:pt idx="345">
                  <c:v>9.7129999999999992</c:v>
                </c:pt>
                <c:pt idx="346">
                  <c:v>9.74</c:v>
                </c:pt>
                <c:pt idx="347">
                  <c:v>9.7669999999999995</c:v>
                </c:pt>
                <c:pt idx="348">
                  <c:v>9.7929999999999993</c:v>
                </c:pt>
                <c:pt idx="349">
                  <c:v>9.82</c:v>
                </c:pt>
                <c:pt idx="350">
                  <c:v>9.8469999999999995</c:v>
                </c:pt>
                <c:pt idx="351">
                  <c:v>9.8729999999999993</c:v>
                </c:pt>
                <c:pt idx="352">
                  <c:v>9.9</c:v>
                </c:pt>
                <c:pt idx="353">
                  <c:v>9.9269999999999996</c:v>
                </c:pt>
                <c:pt idx="354">
                  <c:v>9.9529999999999994</c:v>
                </c:pt>
                <c:pt idx="355">
                  <c:v>9.98</c:v>
                </c:pt>
                <c:pt idx="356">
                  <c:v>10.007</c:v>
                </c:pt>
              </c:numCache>
            </c:numRef>
          </c:xVal>
          <c:yVal>
            <c:numRef>
              <c:f>ChromatogramData!$B$2:$B$10001</c:f>
              <c:numCache>
                <c:formatCode>General</c:formatCode>
                <c:ptCount val="10000"/>
                <c:pt idx="0">
                  <c:v>57.963095374155643</c:v>
                </c:pt>
                <c:pt idx="1">
                  <c:v>56.725137089530065</c:v>
                </c:pt>
                <c:pt idx="2">
                  <c:v>52.353701737586668</c:v>
                </c:pt>
                <c:pt idx="3">
                  <c:v>48.975316933744011</c:v>
                </c:pt>
                <c:pt idx="4">
                  <c:v>46.781212006521464</c:v>
                </c:pt>
                <c:pt idx="5">
                  <c:v>44.667624691307076</c:v>
                </c:pt>
                <c:pt idx="6">
                  <c:v>42.792235311616857</c:v>
                </c:pt>
                <c:pt idx="7">
                  <c:v>41.547567225990605</c:v>
                </c:pt>
                <c:pt idx="8">
                  <c:v>40.950394936930039</c:v>
                </c:pt>
                <c:pt idx="9">
                  <c:v>40.85645772292051</c:v>
                </c:pt>
                <c:pt idx="10">
                  <c:v>40.977234140932758</c:v>
                </c:pt>
                <c:pt idx="11">
                  <c:v>41.074526255442628</c:v>
                </c:pt>
                <c:pt idx="12">
                  <c:v>40.95710473793072</c:v>
                </c:pt>
                <c:pt idx="13">
                  <c:v>40.554516677889886</c:v>
                </c:pt>
                <c:pt idx="14">
                  <c:v>39.930505184826593</c:v>
                </c:pt>
                <c:pt idx="15">
                  <c:v>39.360172099768739</c:v>
                </c:pt>
                <c:pt idx="16">
                  <c:v>38.991133044731313</c:v>
                </c:pt>
                <c:pt idx="17">
                  <c:v>38.695901800701364</c:v>
                </c:pt>
                <c:pt idx="18">
                  <c:v>38.467768566678231</c:v>
                </c:pt>
                <c:pt idx="19">
                  <c:v>38.320152944663249</c:v>
                </c:pt>
                <c:pt idx="20">
                  <c:v>38.128923616143851</c:v>
                </c:pt>
                <c:pt idx="21">
                  <c:v>37.894080581120043</c:v>
                </c:pt>
                <c:pt idx="22">
                  <c:v>37.679366949098259</c:v>
                </c:pt>
                <c:pt idx="23">
                  <c:v>37.494847421579543</c:v>
                </c:pt>
                <c:pt idx="24">
                  <c:v>37.364006302066272</c:v>
                </c:pt>
                <c:pt idx="25">
                  <c:v>37.260004386555721</c:v>
                </c:pt>
                <c:pt idx="26">
                  <c:v>37.162712272045859</c:v>
                </c:pt>
                <c:pt idx="27">
                  <c:v>37.092259361538709</c:v>
                </c:pt>
                <c:pt idx="28">
                  <c:v>37.041935854033603</c:v>
                </c:pt>
                <c:pt idx="29">
                  <c:v>36.981547645027476</c:v>
                </c:pt>
                <c:pt idx="30">
                  <c:v>36.921159436021355</c:v>
                </c:pt>
                <c:pt idx="31">
                  <c:v>36.874190829016591</c:v>
                </c:pt>
                <c:pt idx="32">
                  <c:v>36.773543814006374</c:v>
                </c:pt>
                <c:pt idx="33">
                  <c:v>36.656122296494466</c:v>
                </c:pt>
                <c:pt idx="34">
                  <c:v>36.535345878482218</c:v>
                </c:pt>
                <c:pt idx="35">
                  <c:v>36.397794957968266</c:v>
                </c:pt>
                <c:pt idx="36">
                  <c:v>36.327342047461123</c:v>
                </c:pt>
                <c:pt idx="37">
                  <c:v>36.260244037454321</c:v>
                </c:pt>
                <c:pt idx="38">
                  <c:v>36.199855828448186</c:v>
                </c:pt>
                <c:pt idx="39">
                  <c:v>36.15624212194377</c:v>
                </c:pt>
                <c:pt idx="40">
                  <c:v>36.115983315939687</c:v>
                </c:pt>
                <c:pt idx="41">
                  <c:v>36.149532320943081</c:v>
                </c:pt>
                <c:pt idx="42">
                  <c:v>36.213275430449549</c:v>
                </c:pt>
                <c:pt idx="43">
                  <c:v>36.293793042457722</c:v>
                </c:pt>
                <c:pt idx="44">
                  <c:v>36.421279261470652</c:v>
                </c:pt>
                <c:pt idx="45">
                  <c:v>36.555475281484263</c:v>
                </c:pt>
                <c:pt idx="46">
                  <c:v>36.71315560500026</c:v>
                </c:pt>
                <c:pt idx="47">
                  <c:v>36.907739834019992</c:v>
                </c:pt>
                <c:pt idx="48">
                  <c:v>37.119098565541428</c:v>
                </c:pt>
                <c:pt idx="49">
                  <c:v>37.357296501065591</c:v>
                </c:pt>
                <c:pt idx="50">
                  <c:v>37.618978740092132</c:v>
                </c:pt>
                <c:pt idx="51">
                  <c:v>37.924274685623097</c:v>
                </c:pt>
                <c:pt idx="52">
                  <c:v>38.263119636157469</c:v>
                </c:pt>
                <c:pt idx="53">
                  <c:v>38.628803790694562</c:v>
                </c:pt>
                <c:pt idx="54">
                  <c:v>38.994487945231647</c:v>
                </c:pt>
                <c:pt idx="55">
                  <c:v>39.413850507774185</c:v>
                </c:pt>
                <c:pt idx="56">
                  <c:v>39.839922871317398</c:v>
                </c:pt>
                <c:pt idx="57">
                  <c:v>40.306254040864701</c:v>
                </c:pt>
                <c:pt idx="58">
                  <c:v>40.775940110912344</c:v>
                </c:pt>
                <c:pt idx="59">
                  <c:v>41.215432076456921</c:v>
                </c:pt>
                <c:pt idx="60">
                  <c:v>41.614665235997421</c:v>
                </c:pt>
                <c:pt idx="61">
                  <c:v>41.970284689033484</c:v>
                </c:pt>
                <c:pt idx="62">
                  <c:v>42.25209633106207</c:v>
                </c:pt>
                <c:pt idx="63">
                  <c:v>42.543972674591672</c:v>
                </c:pt>
                <c:pt idx="64">
                  <c:v>42.869398023124681</c:v>
                </c:pt>
                <c:pt idx="65">
                  <c:v>43.251856680163478</c:v>
                </c:pt>
                <c:pt idx="66">
                  <c:v>43.684638844707372</c:v>
                </c:pt>
                <c:pt idx="67">
                  <c:v>44.157679815255356</c:v>
                </c:pt>
                <c:pt idx="68">
                  <c:v>44.677689392808098</c:v>
                </c:pt>
                <c:pt idx="69">
                  <c:v>45.197698970360847</c:v>
                </c:pt>
                <c:pt idx="70">
                  <c:v>45.664030139908142</c:v>
                </c:pt>
                <c:pt idx="71">
                  <c:v>46.096812304452044</c:v>
                </c:pt>
                <c:pt idx="72">
                  <c:v>46.573208175500362</c:v>
                </c:pt>
                <c:pt idx="73">
                  <c:v>47.163670663560247</c:v>
                </c:pt>
                <c:pt idx="74">
                  <c:v>48.616342580207593</c:v>
                </c:pt>
                <c:pt idx="75">
                  <c:v>51.098968950459415</c:v>
                </c:pt>
                <c:pt idx="76">
                  <c:v>52.417444847093137</c:v>
                </c:pt>
                <c:pt idx="77">
                  <c:v>51.400909995490039</c:v>
                </c:pt>
                <c:pt idx="78">
                  <c:v>49.793912655827036</c:v>
                </c:pt>
                <c:pt idx="79">
                  <c:v>49.042414943750813</c:v>
                </c:pt>
                <c:pt idx="80">
                  <c:v>48.834411112729718</c:v>
                </c:pt>
                <c:pt idx="81">
                  <c:v>48.794152306725628</c:v>
                </c:pt>
                <c:pt idx="82">
                  <c:v>48.720344495718152</c:v>
                </c:pt>
                <c:pt idx="83">
                  <c:v>48.646536684710661</c:v>
                </c:pt>
                <c:pt idx="84">
                  <c:v>48.653246485711342</c:v>
                </c:pt>
                <c:pt idx="85">
                  <c:v>48.743828799220523</c:v>
                </c:pt>
                <c:pt idx="86">
                  <c:v>48.787442505724954</c:v>
                </c:pt>
                <c:pt idx="87">
                  <c:v>48.827701311729037</c:v>
                </c:pt>
                <c:pt idx="88">
                  <c:v>49.0994482522566</c:v>
                </c:pt>
                <c:pt idx="89">
                  <c:v>49.736879347321256</c:v>
                </c:pt>
                <c:pt idx="90">
                  <c:v>50.219985019370256</c:v>
                </c:pt>
                <c:pt idx="91">
                  <c:v>50.370955541885564</c:v>
                </c:pt>
                <c:pt idx="92">
                  <c:v>50.411214347889647</c:v>
                </c:pt>
                <c:pt idx="93">
                  <c:v>50.944643527443752</c:v>
                </c:pt>
                <c:pt idx="94">
                  <c:v>52.544931066106066</c:v>
                </c:pt>
                <c:pt idx="95">
                  <c:v>53.316558181184341</c:v>
                </c:pt>
                <c:pt idx="96">
                  <c:v>52.568415369608452</c:v>
                </c:pt>
                <c:pt idx="97">
                  <c:v>52.377186041089061</c:v>
                </c:pt>
                <c:pt idx="98">
                  <c:v>53.26958957417957</c:v>
                </c:pt>
                <c:pt idx="99">
                  <c:v>53.78624425123197</c:v>
                </c:pt>
                <c:pt idx="100">
                  <c:v>54.420320445796293</c:v>
                </c:pt>
                <c:pt idx="101">
                  <c:v>54.111669599764987</c:v>
                </c:pt>
                <c:pt idx="102">
                  <c:v>52.404025245091781</c:v>
                </c:pt>
                <c:pt idx="103">
                  <c:v>50.817157308430829</c:v>
                </c:pt>
                <c:pt idx="104">
                  <c:v>50.434698651392033</c:v>
                </c:pt>
                <c:pt idx="105">
                  <c:v>50.458182954894419</c:v>
                </c:pt>
                <c:pt idx="106">
                  <c:v>51.441168801494122</c:v>
                </c:pt>
                <c:pt idx="107">
                  <c:v>52.323507633083608</c:v>
                </c:pt>
                <c:pt idx="108">
                  <c:v>52.296668429080896</c:v>
                </c:pt>
                <c:pt idx="109">
                  <c:v>51.249939472974717</c:v>
                </c:pt>
                <c:pt idx="110">
                  <c:v>50.971482731446478</c:v>
                </c:pt>
                <c:pt idx="111">
                  <c:v>51.256649273975405</c:v>
                </c:pt>
                <c:pt idx="112">
                  <c:v>51.32039238348186</c:v>
                </c:pt>
                <c:pt idx="113">
                  <c:v>51.092259149458727</c:v>
                </c:pt>
                <c:pt idx="114">
                  <c:v>50.773543601926406</c:v>
                </c:pt>
                <c:pt idx="115">
                  <c:v>50.52192606440088</c:v>
                </c:pt>
                <c:pt idx="116">
                  <c:v>50.471602556895775</c:v>
                </c:pt>
                <c:pt idx="117">
                  <c:v>50.65276718391415</c:v>
                </c:pt>
                <c:pt idx="118">
                  <c:v>50.793673004928444</c:v>
                </c:pt>
                <c:pt idx="119">
                  <c:v>50.847351412933889</c:v>
                </c:pt>
                <c:pt idx="120">
                  <c:v>50.823867109431511</c:v>
                </c:pt>
                <c:pt idx="121">
                  <c:v>51.206325766470293</c:v>
                </c:pt>
                <c:pt idx="122">
                  <c:v>52.357056638087023</c:v>
                </c:pt>
                <c:pt idx="123">
                  <c:v>52.474478155598931</c:v>
                </c:pt>
                <c:pt idx="124">
                  <c:v>51.729690244523383</c:v>
                </c:pt>
                <c:pt idx="125">
                  <c:v>51.400909995490039</c:v>
                </c:pt>
                <c:pt idx="126">
                  <c:v>51.508266811500931</c:v>
                </c:pt>
                <c:pt idx="127">
                  <c:v>51.709560841521345</c:v>
                </c:pt>
                <c:pt idx="128">
                  <c:v>51.961178379046871</c:v>
                </c:pt>
                <c:pt idx="129">
                  <c:v>52.145697906565573</c:v>
                </c:pt>
                <c:pt idx="130">
                  <c:v>52.105439100561497</c:v>
                </c:pt>
                <c:pt idx="131">
                  <c:v>52.118858702562854</c:v>
                </c:pt>
                <c:pt idx="132">
                  <c:v>52.038341090554688</c:v>
                </c:pt>
                <c:pt idx="133">
                  <c:v>51.773303951027813</c:v>
                </c:pt>
                <c:pt idx="134">
                  <c:v>51.36400608998629</c:v>
                </c:pt>
                <c:pt idx="135">
                  <c:v>51.008386636950227</c:v>
                </c:pt>
                <c:pt idx="136">
                  <c:v>50.904384721439676</c:v>
                </c:pt>
                <c:pt idx="137">
                  <c:v>51.092259149458727</c:v>
                </c:pt>
                <c:pt idx="138">
                  <c:v>51.350586487984934</c:v>
                </c:pt>
                <c:pt idx="139">
                  <c:v>51.454588403495478</c:v>
                </c:pt>
                <c:pt idx="140">
                  <c:v>51.471362905997175</c:v>
                </c:pt>
                <c:pt idx="141">
                  <c:v>51.384135492988328</c:v>
                </c:pt>
                <c:pt idx="142">
                  <c:v>51.471362905997175</c:v>
                </c:pt>
                <c:pt idx="143">
                  <c:v>57.359213284094395</c:v>
                </c:pt>
                <c:pt idx="144">
                  <c:v>78.622572655251119</c:v>
                </c:pt>
                <c:pt idx="145">
                  <c:v>96.725615755087318</c:v>
                </c:pt>
                <c:pt idx="146">
                  <c:v>98.393001303756449</c:v>
                </c:pt>
                <c:pt idx="147">
                  <c:v>85.513538282950094</c:v>
                </c:pt>
                <c:pt idx="148">
                  <c:v>72.234842102603224</c:v>
                </c:pt>
                <c:pt idx="149">
                  <c:v>64.266953414295045</c:v>
                </c:pt>
                <c:pt idx="150">
                  <c:v>60.925472515956109</c:v>
                </c:pt>
                <c:pt idx="151">
                  <c:v>59.40570258930196</c:v>
                </c:pt>
                <c:pt idx="152">
                  <c:v>58.432781444203286</c:v>
                </c:pt>
                <c:pt idx="153">
                  <c:v>57.406181891099152</c:v>
                </c:pt>
                <c:pt idx="154">
                  <c:v>56.433260746000471</c:v>
                </c:pt>
                <c:pt idx="155">
                  <c:v>55.9031864669467</c:v>
                </c:pt>
                <c:pt idx="156">
                  <c:v>55.906541367447041</c:v>
                </c:pt>
                <c:pt idx="157">
                  <c:v>55.987058979455206</c:v>
                </c:pt>
                <c:pt idx="158">
                  <c:v>55.554276814911319</c:v>
                </c:pt>
                <c:pt idx="159">
                  <c:v>55.014137834356518</c:v>
                </c:pt>
                <c:pt idx="160">
                  <c:v>54.661873281820796</c:v>
                </c:pt>
                <c:pt idx="161">
                  <c:v>54.433740047797663</c:v>
                </c:pt>
                <c:pt idx="162">
                  <c:v>54.319673430786082</c:v>
                </c:pt>
                <c:pt idx="163">
                  <c:v>54.299544027784044</c:v>
                </c:pt>
                <c:pt idx="164">
                  <c:v>54.752455595329984</c:v>
                </c:pt>
                <c:pt idx="165">
                  <c:v>55.34962788439055</c:v>
                </c:pt>
                <c:pt idx="166">
                  <c:v>55.497243506405532</c:v>
                </c:pt>
                <c:pt idx="167">
                  <c:v>55.178527958873197</c:v>
                </c:pt>
                <c:pt idx="168">
                  <c:v>54.950394724850064</c:v>
                </c:pt>
                <c:pt idx="169">
                  <c:v>55.175173058372856</c:v>
                </c:pt>
                <c:pt idx="170">
                  <c:v>55.309369078386474</c:v>
                </c:pt>
                <c:pt idx="171">
                  <c:v>55.165108356871848</c:v>
                </c:pt>
                <c:pt idx="172">
                  <c:v>54.890006515843929</c:v>
                </c:pt>
                <c:pt idx="173">
                  <c:v>54.863167311841217</c:v>
                </c:pt>
                <c:pt idx="174">
                  <c:v>54.950394724850064</c:v>
                </c:pt>
                <c:pt idx="175">
                  <c:v>55.037622137858911</c:v>
                </c:pt>
                <c:pt idx="176">
                  <c:v>55.00407313285551</c:v>
                </c:pt>
                <c:pt idx="177">
                  <c:v>54.86652221234155</c:v>
                </c:pt>
                <c:pt idx="178">
                  <c:v>54.728971291827605</c:v>
                </c:pt>
                <c:pt idx="179">
                  <c:v>54.749100694829643</c:v>
                </c:pt>
                <c:pt idx="180">
                  <c:v>57.661154329125019</c:v>
                </c:pt>
                <c:pt idx="181">
                  <c:v>73.479510188229469</c:v>
                </c:pt>
                <c:pt idx="182">
                  <c:v>91.01893000400851</c:v>
                </c:pt>
                <c:pt idx="183">
                  <c:v>99.999998643419445</c:v>
                </c:pt>
                <c:pt idx="184">
                  <c:v>95.880180829001574</c:v>
                </c:pt>
                <c:pt idx="185">
                  <c:v>84.48693872984596</c:v>
                </c:pt>
                <c:pt idx="186">
                  <c:v>73.066857426687605</c:v>
                </c:pt>
                <c:pt idx="187">
                  <c:v>65.521686201422312</c:v>
                </c:pt>
                <c:pt idx="188">
                  <c:v>61.281091968992186</c:v>
                </c:pt>
                <c:pt idx="189">
                  <c:v>58.848789106245476</c:v>
                </c:pt>
                <c:pt idx="190">
                  <c:v>57.446440697103235</c:v>
                </c:pt>
                <c:pt idx="191">
                  <c:v>56.715072388029057</c:v>
                </c:pt>
                <c:pt idx="192">
                  <c:v>56.403066641497404</c:v>
                </c:pt>
                <c:pt idx="193">
                  <c:v>56.138029501970514</c:v>
                </c:pt>
                <c:pt idx="194">
                  <c:v>55.923315869948738</c:v>
                </c:pt>
                <c:pt idx="195">
                  <c:v>55.802539451936489</c:v>
                </c:pt>
                <c:pt idx="196">
                  <c:v>55.799184551436156</c:v>
                </c:pt>
                <c:pt idx="197">
                  <c:v>55.869637461943306</c:v>
                </c:pt>
                <c:pt idx="198">
                  <c:v>55.893121765445677</c:v>
                </c:pt>
                <c:pt idx="199">
                  <c:v>55.906541367447041</c:v>
                </c:pt>
                <c:pt idx="200">
                  <c:v>55.883057063944662</c:v>
                </c:pt>
                <c:pt idx="201">
                  <c:v>55.919960969448404</c:v>
                </c:pt>
                <c:pt idx="202">
                  <c:v>56.087705994465416</c:v>
                </c:pt>
                <c:pt idx="203">
                  <c:v>56.215192213478346</c:v>
                </c:pt>
                <c:pt idx="204">
                  <c:v>56.319194128988904</c:v>
                </c:pt>
                <c:pt idx="205">
                  <c:v>56.292354924986171</c:v>
                </c:pt>
                <c:pt idx="206">
                  <c:v>56.295709825486512</c:v>
                </c:pt>
                <c:pt idx="207">
                  <c:v>56.349388233491965</c:v>
                </c:pt>
                <c:pt idx="208">
                  <c:v>56.439970547001153</c:v>
                </c:pt>
                <c:pt idx="209">
                  <c:v>56.51713325850897</c:v>
                </c:pt>
                <c:pt idx="210">
                  <c:v>56.584231268515779</c:v>
                </c:pt>
                <c:pt idx="211">
                  <c:v>56.644619477521907</c:v>
                </c:pt>
                <c:pt idx="212">
                  <c:v>56.654684179022922</c:v>
                </c:pt>
                <c:pt idx="213">
                  <c:v>56.62784497502021</c:v>
                </c:pt>
                <c:pt idx="214">
                  <c:v>56.604360671517817</c:v>
                </c:pt>
                <c:pt idx="215">
                  <c:v>56.577521467515098</c:v>
                </c:pt>
                <c:pt idx="216">
                  <c:v>56.580876368015439</c:v>
                </c:pt>
                <c:pt idx="217">
                  <c:v>56.691588084526664</c:v>
                </c:pt>
                <c:pt idx="218">
                  <c:v>56.785525298536207</c:v>
                </c:pt>
                <c:pt idx="219">
                  <c:v>56.798944900537563</c:v>
                </c:pt>
                <c:pt idx="220">
                  <c:v>56.798944900537563</c:v>
                </c:pt>
                <c:pt idx="221">
                  <c:v>56.829139005040624</c:v>
                </c:pt>
                <c:pt idx="222">
                  <c:v>56.939850721551849</c:v>
                </c:pt>
                <c:pt idx="223">
                  <c:v>57.053917338563416</c:v>
                </c:pt>
                <c:pt idx="224">
                  <c:v>57.080756542566135</c:v>
                </c:pt>
                <c:pt idx="225">
                  <c:v>57.037142836061719</c:v>
                </c:pt>
                <c:pt idx="226">
                  <c:v>56.976754627055591</c:v>
                </c:pt>
                <c:pt idx="227">
                  <c:v>57.027078134560696</c:v>
                </c:pt>
                <c:pt idx="228">
                  <c:v>57.097531045067846</c:v>
                </c:pt>
                <c:pt idx="229">
                  <c:v>57.191468259077375</c:v>
                </c:pt>
                <c:pt idx="230">
                  <c:v>57.275340771585874</c:v>
                </c:pt>
                <c:pt idx="231">
                  <c:v>57.339083881092343</c:v>
                </c:pt>
                <c:pt idx="232">
                  <c:v>57.402826990598818</c:v>
                </c:pt>
                <c:pt idx="233">
                  <c:v>57.446440697103235</c:v>
                </c:pt>
                <c:pt idx="234">
                  <c:v>57.459860299104591</c:v>
                </c:pt>
                <c:pt idx="235">
                  <c:v>57.449795597603568</c:v>
                </c:pt>
                <c:pt idx="236">
                  <c:v>57.459860299104591</c:v>
                </c:pt>
                <c:pt idx="237">
                  <c:v>57.486699503107324</c:v>
                </c:pt>
                <c:pt idx="238">
                  <c:v>57.513538707110037</c:v>
                </c:pt>
                <c:pt idx="239">
                  <c:v>57.654444528124323</c:v>
                </c:pt>
                <c:pt idx="240">
                  <c:v>57.916126767150885</c:v>
                </c:pt>
                <c:pt idx="241">
                  <c:v>58.157679603175374</c:v>
                </c:pt>
                <c:pt idx="242">
                  <c:v>58.312005026191024</c:v>
                </c:pt>
                <c:pt idx="243">
                  <c:v>58.399232439199871</c:v>
                </c:pt>
                <c:pt idx="244">
                  <c:v>58.657559777726078</c:v>
                </c:pt>
                <c:pt idx="245">
                  <c:v>58.707883285231176</c:v>
                </c:pt>
                <c:pt idx="246">
                  <c:v>58.650849976725404</c:v>
                </c:pt>
                <c:pt idx="247">
                  <c:v>58.258326618185585</c:v>
                </c:pt>
                <c:pt idx="248">
                  <c:v>57.956385573154961</c:v>
                </c:pt>
                <c:pt idx="249">
                  <c:v>57.88257776214747</c:v>
                </c:pt>
                <c:pt idx="250">
                  <c:v>58.107356095670269</c:v>
                </c:pt>
                <c:pt idx="251">
                  <c:v>58.399232439199871</c:v>
                </c:pt>
                <c:pt idx="252">
                  <c:v>58.644140175724715</c:v>
                </c:pt>
                <c:pt idx="253">
                  <c:v>58.724657787732887</c:v>
                </c:pt>
                <c:pt idx="254">
                  <c:v>58.684398981728798</c:v>
                </c:pt>
                <c:pt idx="255">
                  <c:v>58.580397066218254</c:v>
                </c:pt>
                <c:pt idx="256">
                  <c:v>58.479750051208043</c:v>
                </c:pt>
                <c:pt idx="257">
                  <c:v>58.389167737698848</c:v>
                </c:pt>
                <c:pt idx="258">
                  <c:v>58.318714827191705</c:v>
                </c:pt>
                <c:pt idx="259">
                  <c:v>58.241552115683888</c:v>
                </c:pt>
                <c:pt idx="260">
                  <c:v>58.184518807178094</c:v>
                </c:pt>
                <c:pt idx="261">
                  <c:v>58.117420797171292</c:v>
                </c:pt>
                <c:pt idx="262">
                  <c:v>58.124130598171966</c:v>
                </c:pt>
                <c:pt idx="263">
                  <c:v>58.214712911681154</c:v>
                </c:pt>
                <c:pt idx="264">
                  <c:v>58.305295225190356</c:v>
                </c:pt>
                <c:pt idx="265">
                  <c:v>58.375748135697499</c:v>
                </c:pt>
                <c:pt idx="266">
                  <c:v>58.416006941701582</c:v>
                </c:pt>
                <c:pt idx="267">
                  <c:v>58.452910847205324</c:v>
                </c:pt>
                <c:pt idx="268">
                  <c:v>58.439491245203961</c:v>
                </c:pt>
                <c:pt idx="269">
                  <c:v>58.365683434196477</c:v>
                </c:pt>
                <c:pt idx="270">
                  <c:v>58.25161681718491</c:v>
                </c:pt>
                <c:pt idx="271">
                  <c:v>58.077161991167209</c:v>
                </c:pt>
                <c:pt idx="272">
                  <c:v>57.959740473655302</c:v>
                </c:pt>
                <c:pt idx="273">
                  <c:v>57.902707165149515</c:v>
                </c:pt>
                <c:pt idx="274">
                  <c:v>57.875867961146795</c:v>
                </c:pt>
                <c:pt idx="275">
                  <c:v>57.865803259645773</c:v>
                </c:pt>
                <c:pt idx="276">
                  <c:v>57.698058234628753</c:v>
                </c:pt>
                <c:pt idx="277">
                  <c:v>57.523603408611059</c:v>
                </c:pt>
                <c:pt idx="278">
                  <c:v>57.221662363580435</c:v>
                </c:pt>
                <c:pt idx="279">
                  <c:v>56.923076219050152</c:v>
                </c:pt>
                <c:pt idx="280">
                  <c:v>56.711717487528702</c:v>
                </c:pt>
                <c:pt idx="281">
                  <c:v>56.644619477521907</c:v>
                </c:pt>
                <c:pt idx="282">
                  <c:v>56.651329278522581</c:v>
                </c:pt>
                <c:pt idx="283">
                  <c:v>56.738556691531436</c:v>
                </c:pt>
                <c:pt idx="284">
                  <c:v>56.855978209043329</c:v>
                </c:pt>
                <c:pt idx="285">
                  <c:v>56.970044826054924</c:v>
                </c:pt>
                <c:pt idx="286">
                  <c:v>57.047207537562741</c:v>
                </c:pt>
                <c:pt idx="287">
                  <c:v>57.020368333560022</c:v>
                </c:pt>
                <c:pt idx="288">
                  <c:v>56.866042910544358</c:v>
                </c:pt>
                <c:pt idx="289">
                  <c:v>56.58758616901612</c:v>
                </c:pt>
                <c:pt idx="290">
                  <c:v>56.215192213478346</c:v>
                </c:pt>
                <c:pt idx="291">
                  <c:v>55.799184551436156</c:v>
                </c:pt>
                <c:pt idx="292">
                  <c:v>55.336208282389194</c:v>
                </c:pt>
                <c:pt idx="293">
                  <c:v>54.9369751228487</c:v>
                </c:pt>
                <c:pt idx="294">
                  <c:v>54.655163480820114</c:v>
                </c:pt>
                <c:pt idx="295">
                  <c:v>54.319673430786082</c:v>
                </c:pt>
                <c:pt idx="296">
                  <c:v>54.051281390758867</c:v>
                </c:pt>
                <c:pt idx="297">
                  <c:v>53.766114848229932</c:v>
                </c:pt>
                <c:pt idx="298">
                  <c:v>53.329977783185704</c:v>
                </c:pt>
                <c:pt idx="299">
                  <c:v>53.098489648662216</c:v>
                </c:pt>
                <c:pt idx="300">
                  <c:v>53.78624425123197</c:v>
                </c:pt>
                <c:pt idx="301">
                  <c:v>53.943924574747967</c:v>
                </c:pt>
                <c:pt idx="302">
                  <c:v>53.930504972746611</c:v>
                </c:pt>
                <c:pt idx="303">
                  <c:v>52.960938728148271</c:v>
                </c:pt>
                <c:pt idx="304">
                  <c:v>51.645817732014876</c:v>
                </c:pt>
                <c:pt idx="305">
                  <c:v>50.827222009931852</c:v>
                </c:pt>
                <c:pt idx="306">
                  <c:v>50.233404621371612</c:v>
                </c:pt>
                <c:pt idx="307">
                  <c:v>49.679846038815462</c:v>
                </c:pt>
                <c:pt idx="308">
                  <c:v>49.0994482522566</c:v>
                </c:pt>
                <c:pt idx="309">
                  <c:v>48.559309271701814</c:v>
                </c:pt>
                <c:pt idx="310">
                  <c:v>48.106397704155867</c:v>
                </c:pt>
                <c:pt idx="311">
                  <c:v>47.713874345616063</c:v>
                </c:pt>
                <c:pt idx="312">
                  <c:v>47.385094096582712</c:v>
                </c:pt>
                <c:pt idx="313">
                  <c:v>47.002635439543923</c:v>
                </c:pt>
                <c:pt idx="314">
                  <c:v>46.536304269996613</c:v>
                </c:pt>
                <c:pt idx="315">
                  <c:v>45.992810388941493</c:v>
                </c:pt>
                <c:pt idx="316">
                  <c:v>45.271506781368331</c:v>
                </c:pt>
                <c:pt idx="317">
                  <c:v>44.483105163788359</c:v>
                </c:pt>
                <c:pt idx="318">
                  <c:v>43.751736854714181</c:v>
                </c:pt>
                <c:pt idx="319">
                  <c:v>43.174693968655646</c:v>
                </c:pt>
                <c:pt idx="320">
                  <c:v>42.678168694605283</c:v>
                </c:pt>
                <c:pt idx="321">
                  <c:v>42.205127724057306</c:v>
                </c:pt>
                <c:pt idx="322">
                  <c:v>41.6381495394998</c:v>
                </c:pt>
                <c:pt idx="323">
                  <c:v>40.947040036429705</c:v>
                </c:pt>
                <c:pt idx="324">
                  <c:v>40.14521881684837</c:v>
                </c:pt>
                <c:pt idx="325">
                  <c:v>39.172297671749689</c:v>
                </c:pt>
                <c:pt idx="326">
                  <c:v>38.055115805136374</c:v>
                </c:pt>
                <c:pt idx="327">
                  <c:v>36.760124212005024</c:v>
                </c:pt>
                <c:pt idx="328">
                  <c:v>35.27725819085461</c:v>
                </c:pt>
                <c:pt idx="329">
                  <c:v>33.727294159697394</c:v>
                </c:pt>
                <c:pt idx="330">
                  <c:v>32.140426223036442</c:v>
                </c:pt>
                <c:pt idx="331">
                  <c:v>30.553558286375488</c:v>
                </c:pt>
                <c:pt idx="332">
                  <c:v>29.023723658220316</c:v>
                </c:pt>
                <c:pt idx="333">
                  <c:v>27.571051741572969</c:v>
                </c:pt>
                <c:pt idx="334">
                  <c:v>26.161993531430049</c:v>
                </c:pt>
                <c:pt idx="335">
                  <c:v>24.769709823788833</c:v>
                </c:pt>
                <c:pt idx="336">
                  <c:v>23.350586912144891</c:v>
                </c:pt>
                <c:pt idx="337">
                  <c:v>21.854301288993121</c:v>
                </c:pt>
                <c:pt idx="338">
                  <c:v>20.23052944682842</c:v>
                </c:pt>
                <c:pt idx="339">
                  <c:v>18.546369395657599</c:v>
                </c:pt>
                <c:pt idx="340">
                  <c:v>16.946081856995281</c:v>
                </c:pt>
                <c:pt idx="341">
                  <c:v>15.402827626838747</c:v>
                </c:pt>
                <c:pt idx="342">
                  <c:v>13.849508695181195</c:v>
                </c:pt>
                <c:pt idx="343">
                  <c:v>12.208962350514794</c:v>
                </c:pt>
                <c:pt idx="344">
                  <c:v>10.682482622859963</c:v>
                </c:pt>
                <c:pt idx="345">
                  <c:v>9.5485262537449458</c:v>
                </c:pt>
                <c:pt idx="346">
                  <c:v>8.5252816011411596</c:v>
                </c:pt>
                <c:pt idx="347">
                  <c:v>7.4382938390309032</c:v>
                </c:pt>
                <c:pt idx="348">
                  <c:v>6.2003355544053376</c:v>
                </c:pt>
                <c:pt idx="349">
                  <c:v>5.0697340857906603</c:v>
                </c:pt>
                <c:pt idx="350">
                  <c:v>4.0867482391909586</c:v>
                </c:pt>
                <c:pt idx="351">
                  <c:v>3.2312486116041832</c:v>
                </c:pt>
                <c:pt idx="352">
                  <c:v>2.5904626160391859</c:v>
                </c:pt>
                <c:pt idx="353">
                  <c:v>2.6609155265463347</c:v>
                </c:pt>
                <c:pt idx="354">
                  <c:v>2.6374312230439538</c:v>
                </c:pt>
                <c:pt idx="355">
                  <c:v>2.5837528150385092</c:v>
                </c:pt>
                <c:pt idx="356">
                  <c:v>2.0000001279792947</c:v>
                </c:pt>
              </c:numCache>
            </c:numRef>
          </c:yVal>
          <c:smooth val="1"/>
          <c:extLst>
            <c:ext xmlns:c16="http://schemas.microsoft.com/office/drawing/2014/chart" uri="{C3380CC4-5D6E-409C-BE32-E72D297353CC}">
              <c16:uniqueId val="{00000000-BC75-4D85-9A83-ACFCB27567B6}"/>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0.51300000000000001</c:v>
                </c:pt>
                <c:pt idx="1">
                  <c:v>0.54</c:v>
                </c:pt>
                <c:pt idx="2">
                  <c:v>0.56699999999999995</c:v>
                </c:pt>
                <c:pt idx="3">
                  <c:v>0.59299999999999997</c:v>
                </c:pt>
                <c:pt idx="4">
                  <c:v>0.62</c:v>
                </c:pt>
                <c:pt idx="5">
                  <c:v>0.64700000000000002</c:v>
                </c:pt>
                <c:pt idx="6">
                  <c:v>0.67300000000000004</c:v>
                </c:pt>
                <c:pt idx="7">
                  <c:v>0.7</c:v>
                </c:pt>
                <c:pt idx="8">
                  <c:v>0.72699999999999998</c:v>
                </c:pt>
                <c:pt idx="9">
                  <c:v>0.753</c:v>
                </c:pt>
                <c:pt idx="10">
                  <c:v>0.78</c:v>
                </c:pt>
                <c:pt idx="11">
                  <c:v>0.80700000000000005</c:v>
                </c:pt>
                <c:pt idx="12">
                  <c:v>0.83299999999999996</c:v>
                </c:pt>
                <c:pt idx="13">
                  <c:v>0.86</c:v>
                </c:pt>
                <c:pt idx="14">
                  <c:v>0.88700000000000001</c:v>
                </c:pt>
                <c:pt idx="15">
                  <c:v>0.91300000000000003</c:v>
                </c:pt>
                <c:pt idx="16">
                  <c:v>0.94</c:v>
                </c:pt>
                <c:pt idx="17">
                  <c:v>0.96699999999999997</c:v>
                </c:pt>
                <c:pt idx="18">
                  <c:v>0.99299999999999999</c:v>
                </c:pt>
                <c:pt idx="19">
                  <c:v>1.02</c:v>
                </c:pt>
                <c:pt idx="20">
                  <c:v>1.0469999999999999</c:v>
                </c:pt>
                <c:pt idx="21">
                  <c:v>1.073</c:v>
                </c:pt>
                <c:pt idx="22">
                  <c:v>1.1000000000000001</c:v>
                </c:pt>
                <c:pt idx="23">
                  <c:v>1.127</c:v>
                </c:pt>
                <c:pt idx="24">
                  <c:v>1.153</c:v>
                </c:pt>
                <c:pt idx="25">
                  <c:v>1.18</c:v>
                </c:pt>
                <c:pt idx="26">
                  <c:v>1.2070000000000001</c:v>
                </c:pt>
                <c:pt idx="27">
                  <c:v>1.2330000000000001</c:v>
                </c:pt>
                <c:pt idx="28">
                  <c:v>1.26</c:v>
                </c:pt>
                <c:pt idx="29">
                  <c:v>1.2869999999999999</c:v>
                </c:pt>
                <c:pt idx="30">
                  <c:v>1.3129999999999999</c:v>
                </c:pt>
                <c:pt idx="31">
                  <c:v>1.34</c:v>
                </c:pt>
                <c:pt idx="32">
                  <c:v>1.367</c:v>
                </c:pt>
                <c:pt idx="33">
                  <c:v>1.393</c:v>
                </c:pt>
                <c:pt idx="34">
                  <c:v>1.42</c:v>
                </c:pt>
                <c:pt idx="35">
                  <c:v>1.4470000000000001</c:v>
                </c:pt>
                <c:pt idx="36">
                  <c:v>1.4730000000000001</c:v>
                </c:pt>
                <c:pt idx="37">
                  <c:v>1.5</c:v>
                </c:pt>
                <c:pt idx="38">
                  <c:v>1.5269999999999999</c:v>
                </c:pt>
                <c:pt idx="39">
                  <c:v>1.5529999999999999</c:v>
                </c:pt>
                <c:pt idx="40">
                  <c:v>1.58</c:v>
                </c:pt>
                <c:pt idx="41">
                  <c:v>1.607</c:v>
                </c:pt>
                <c:pt idx="42">
                  <c:v>1.633</c:v>
                </c:pt>
                <c:pt idx="43">
                  <c:v>1.66</c:v>
                </c:pt>
                <c:pt idx="44">
                  <c:v>1.6870000000000001</c:v>
                </c:pt>
                <c:pt idx="45">
                  <c:v>1.7130000000000001</c:v>
                </c:pt>
                <c:pt idx="46">
                  <c:v>1.74</c:v>
                </c:pt>
                <c:pt idx="47">
                  <c:v>1.7669999999999999</c:v>
                </c:pt>
                <c:pt idx="48">
                  <c:v>1.7929999999999999</c:v>
                </c:pt>
                <c:pt idx="49">
                  <c:v>1.82</c:v>
                </c:pt>
                <c:pt idx="50">
                  <c:v>1.847</c:v>
                </c:pt>
                <c:pt idx="51">
                  <c:v>1.873</c:v>
                </c:pt>
                <c:pt idx="52">
                  <c:v>1.9</c:v>
                </c:pt>
                <c:pt idx="53">
                  <c:v>1.927</c:v>
                </c:pt>
                <c:pt idx="54">
                  <c:v>1.9530000000000001</c:v>
                </c:pt>
                <c:pt idx="55">
                  <c:v>1.98</c:v>
                </c:pt>
                <c:pt idx="56">
                  <c:v>2.0070000000000001</c:v>
                </c:pt>
                <c:pt idx="57">
                  <c:v>2.0329999999999999</c:v>
                </c:pt>
                <c:pt idx="58">
                  <c:v>2.06</c:v>
                </c:pt>
                <c:pt idx="59">
                  <c:v>2.0870000000000002</c:v>
                </c:pt>
                <c:pt idx="60">
                  <c:v>2.113</c:v>
                </c:pt>
                <c:pt idx="61">
                  <c:v>2.14</c:v>
                </c:pt>
                <c:pt idx="62">
                  <c:v>2.1669999999999998</c:v>
                </c:pt>
                <c:pt idx="63">
                  <c:v>2.1930000000000001</c:v>
                </c:pt>
                <c:pt idx="64">
                  <c:v>2.2200000000000002</c:v>
                </c:pt>
                <c:pt idx="65">
                  <c:v>2.2469999999999999</c:v>
                </c:pt>
                <c:pt idx="66">
                  <c:v>2.2730000000000001</c:v>
                </c:pt>
                <c:pt idx="67">
                  <c:v>2.2999999999999998</c:v>
                </c:pt>
                <c:pt idx="68">
                  <c:v>2.327</c:v>
                </c:pt>
                <c:pt idx="69">
                  <c:v>2.3530000000000002</c:v>
                </c:pt>
                <c:pt idx="70">
                  <c:v>2.38</c:v>
                </c:pt>
                <c:pt idx="71">
                  <c:v>2.407</c:v>
                </c:pt>
                <c:pt idx="72">
                  <c:v>2.4329999999999998</c:v>
                </c:pt>
                <c:pt idx="73">
                  <c:v>2.46</c:v>
                </c:pt>
                <c:pt idx="74">
                  <c:v>2.4870000000000001</c:v>
                </c:pt>
                <c:pt idx="75">
                  <c:v>2.5129999999999999</c:v>
                </c:pt>
                <c:pt idx="76">
                  <c:v>2.54</c:v>
                </c:pt>
                <c:pt idx="77">
                  <c:v>2.5670000000000002</c:v>
                </c:pt>
                <c:pt idx="78">
                  <c:v>2.593</c:v>
                </c:pt>
                <c:pt idx="79">
                  <c:v>2.62</c:v>
                </c:pt>
                <c:pt idx="80">
                  <c:v>2.6469999999999998</c:v>
                </c:pt>
                <c:pt idx="81">
                  <c:v>2.673</c:v>
                </c:pt>
                <c:pt idx="82">
                  <c:v>2.7</c:v>
                </c:pt>
                <c:pt idx="83">
                  <c:v>2.7269999999999999</c:v>
                </c:pt>
                <c:pt idx="84">
                  <c:v>2.7530000000000001</c:v>
                </c:pt>
                <c:pt idx="85">
                  <c:v>2.78</c:v>
                </c:pt>
                <c:pt idx="86">
                  <c:v>2.8069999999999999</c:v>
                </c:pt>
                <c:pt idx="87">
                  <c:v>2.8330000000000002</c:v>
                </c:pt>
                <c:pt idx="88">
                  <c:v>2.86</c:v>
                </c:pt>
                <c:pt idx="89">
                  <c:v>2.887</c:v>
                </c:pt>
                <c:pt idx="90">
                  <c:v>2.9129999999999998</c:v>
                </c:pt>
                <c:pt idx="91">
                  <c:v>2.94</c:v>
                </c:pt>
                <c:pt idx="92">
                  <c:v>2.9670000000000001</c:v>
                </c:pt>
                <c:pt idx="93">
                  <c:v>2.9929999999999999</c:v>
                </c:pt>
                <c:pt idx="94">
                  <c:v>3.02</c:v>
                </c:pt>
                <c:pt idx="95">
                  <c:v>3.0470000000000002</c:v>
                </c:pt>
                <c:pt idx="96">
                  <c:v>3.073</c:v>
                </c:pt>
                <c:pt idx="97">
                  <c:v>3.1</c:v>
                </c:pt>
                <c:pt idx="98">
                  <c:v>3.1269999999999998</c:v>
                </c:pt>
                <c:pt idx="99">
                  <c:v>3.153</c:v>
                </c:pt>
                <c:pt idx="100">
                  <c:v>3.18</c:v>
                </c:pt>
                <c:pt idx="101">
                  <c:v>3.2069999999999999</c:v>
                </c:pt>
                <c:pt idx="102">
                  <c:v>3.2330000000000001</c:v>
                </c:pt>
                <c:pt idx="103">
                  <c:v>3.26</c:v>
                </c:pt>
                <c:pt idx="104">
                  <c:v>3.2869999999999999</c:v>
                </c:pt>
                <c:pt idx="105">
                  <c:v>3.3130000000000002</c:v>
                </c:pt>
                <c:pt idx="106">
                  <c:v>3.34</c:v>
                </c:pt>
                <c:pt idx="107">
                  <c:v>3.367</c:v>
                </c:pt>
                <c:pt idx="108">
                  <c:v>3.3929999999999998</c:v>
                </c:pt>
                <c:pt idx="109">
                  <c:v>3.42</c:v>
                </c:pt>
                <c:pt idx="110">
                  <c:v>3.4470000000000001</c:v>
                </c:pt>
                <c:pt idx="111">
                  <c:v>3.4729999999999999</c:v>
                </c:pt>
                <c:pt idx="112">
                  <c:v>3.5</c:v>
                </c:pt>
                <c:pt idx="113">
                  <c:v>3.5270000000000001</c:v>
                </c:pt>
                <c:pt idx="114">
                  <c:v>3.5529999999999999</c:v>
                </c:pt>
                <c:pt idx="115">
                  <c:v>3.58</c:v>
                </c:pt>
                <c:pt idx="116">
                  <c:v>3.6070000000000002</c:v>
                </c:pt>
                <c:pt idx="117">
                  <c:v>3.633</c:v>
                </c:pt>
                <c:pt idx="118">
                  <c:v>3.66</c:v>
                </c:pt>
                <c:pt idx="119">
                  <c:v>3.6869999999999998</c:v>
                </c:pt>
                <c:pt idx="120">
                  <c:v>3.7130000000000001</c:v>
                </c:pt>
                <c:pt idx="121">
                  <c:v>3.74</c:v>
                </c:pt>
                <c:pt idx="122">
                  <c:v>3.7669999999999999</c:v>
                </c:pt>
                <c:pt idx="123">
                  <c:v>3.7930000000000001</c:v>
                </c:pt>
                <c:pt idx="124">
                  <c:v>3.82</c:v>
                </c:pt>
                <c:pt idx="125">
                  <c:v>3.847</c:v>
                </c:pt>
                <c:pt idx="126">
                  <c:v>3.8730000000000002</c:v>
                </c:pt>
                <c:pt idx="127">
                  <c:v>3.9</c:v>
                </c:pt>
                <c:pt idx="128">
                  <c:v>3.927</c:v>
                </c:pt>
                <c:pt idx="129">
                  <c:v>3.9529999999999998</c:v>
                </c:pt>
                <c:pt idx="130">
                  <c:v>3.98</c:v>
                </c:pt>
                <c:pt idx="131">
                  <c:v>4.0069999999999997</c:v>
                </c:pt>
                <c:pt idx="132">
                  <c:v>4.0330000000000004</c:v>
                </c:pt>
                <c:pt idx="133">
                  <c:v>4.0599999999999996</c:v>
                </c:pt>
                <c:pt idx="134">
                  <c:v>4.0869999999999997</c:v>
                </c:pt>
                <c:pt idx="135">
                  <c:v>4.1130000000000004</c:v>
                </c:pt>
                <c:pt idx="136">
                  <c:v>4.1399999999999997</c:v>
                </c:pt>
                <c:pt idx="137">
                  <c:v>4.1669999999999998</c:v>
                </c:pt>
                <c:pt idx="138">
                  <c:v>4.1929999999999996</c:v>
                </c:pt>
                <c:pt idx="139">
                  <c:v>4.22</c:v>
                </c:pt>
                <c:pt idx="140">
                  <c:v>4.2469999999999999</c:v>
                </c:pt>
                <c:pt idx="141">
                  <c:v>4.2729999999999997</c:v>
                </c:pt>
                <c:pt idx="142">
                  <c:v>4.3</c:v>
                </c:pt>
                <c:pt idx="143">
                  <c:v>4.327</c:v>
                </c:pt>
                <c:pt idx="144">
                  <c:v>4.3529999999999998</c:v>
                </c:pt>
                <c:pt idx="145">
                  <c:v>4.38</c:v>
                </c:pt>
                <c:pt idx="146">
                  <c:v>4.407</c:v>
                </c:pt>
                <c:pt idx="147">
                  <c:v>4.4329999999999998</c:v>
                </c:pt>
                <c:pt idx="148">
                  <c:v>4.46</c:v>
                </c:pt>
                <c:pt idx="149">
                  <c:v>4.4870000000000001</c:v>
                </c:pt>
                <c:pt idx="150">
                  <c:v>4.5129999999999999</c:v>
                </c:pt>
                <c:pt idx="151">
                  <c:v>4.54</c:v>
                </c:pt>
                <c:pt idx="152">
                  <c:v>4.5670000000000002</c:v>
                </c:pt>
                <c:pt idx="153">
                  <c:v>4.593</c:v>
                </c:pt>
                <c:pt idx="154">
                  <c:v>4.62</c:v>
                </c:pt>
                <c:pt idx="155">
                  <c:v>4.6470000000000002</c:v>
                </c:pt>
                <c:pt idx="156">
                  <c:v>4.673</c:v>
                </c:pt>
                <c:pt idx="157">
                  <c:v>4.7</c:v>
                </c:pt>
                <c:pt idx="158">
                  <c:v>4.7270000000000003</c:v>
                </c:pt>
                <c:pt idx="159">
                  <c:v>4.7530000000000001</c:v>
                </c:pt>
                <c:pt idx="160">
                  <c:v>4.78</c:v>
                </c:pt>
                <c:pt idx="161">
                  <c:v>4.8070000000000004</c:v>
                </c:pt>
                <c:pt idx="162">
                  <c:v>4.8330000000000002</c:v>
                </c:pt>
                <c:pt idx="163">
                  <c:v>4.8600000000000003</c:v>
                </c:pt>
                <c:pt idx="164">
                  <c:v>4.8869999999999996</c:v>
                </c:pt>
                <c:pt idx="165">
                  <c:v>4.9130000000000003</c:v>
                </c:pt>
                <c:pt idx="166">
                  <c:v>4.9400000000000004</c:v>
                </c:pt>
                <c:pt idx="167">
                  <c:v>4.9669999999999996</c:v>
                </c:pt>
                <c:pt idx="168">
                  <c:v>4.9930000000000003</c:v>
                </c:pt>
                <c:pt idx="169">
                  <c:v>5.0199999999999996</c:v>
                </c:pt>
                <c:pt idx="170">
                  <c:v>5.0469999999999997</c:v>
                </c:pt>
                <c:pt idx="171">
                  <c:v>5.0730000000000004</c:v>
                </c:pt>
                <c:pt idx="172">
                  <c:v>5.0999999999999996</c:v>
                </c:pt>
                <c:pt idx="173">
                  <c:v>5.1269999999999998</c:v>
                </c:pt>
                <c:pt idx="174">
                  <c:v>5.1529999999999996</c:v>
                </c:pt>
                <c:pt idx="175">
                  <c:v>5.18</c:v>
                </c:pt>
                <c:pt idx="176">
                  <c:v>5.2069999999999999</c:v>
                </c:pt>
                <c:pt idx="177">
                  <c:v>5.2329999999999997</c:v>
                </c:pt>
                <c:pt idx="178">
                  <c:v>5.26</c:v>
                </c:pt>
                <c:pt idx="179">
                  <c:v>5.2869999999999999</c:v>
                </c:pt>
                <c:pt idx="180">
                  <c:v>5.3129999999999997</c:v>
                </c:pt>
                <c:pt idx="181">
                  <c:v>5.34</c:v>
                </c:pt>
                <c:pt idx="182">
                  <c:v>5.367</c:v>
                </c:pt>
                <c:pt idx="183">
                  <c:v>5.3929999999999998</c:v>
                </c:pt>
                <c:pt idx="184">
                  <c:v>5.42</c:v>
                </c:pt>
                <c:pt idx="185">
                  <c:v>5.4470000000000001</c:v>
                </c:pt>
                <c:pt idx="186">
                  <c:v>5.4729999999999999</c:v>
                </c:pt>
                <c:pt idx="187">
                  <c:v>5.5</c:v>
                </c:pt>
                <c:pt idx="188">
                  <c:v>5.5270000000000001</c:v>
                </c:pt>
                <c:pt idx="189">
                  <c:v>5.5529999999999999</c:v>
                </c:pt>
                <c:pt idx="190">
                  <c:v>5.58</c:v>
                </c:pt>
                <c:pt idx="191">
                  <c:v>5.6070000000000002</c:v>
                </c:pt>
                <c:pt idx="192">
                  <c:v>5.633</c:v>
                </c:pt>
                <c:pt idx="193">
                  <c:v>5.66</c:v>
                </c:pt>
                <c:pt idx="194">
                  <c:v>5.6870000000000003</c:v>
                </c:pt>
                <c:pt idx="195">
                  <c:v>5.7130000000000001</c:v>
                </c:pt>
                <c:pt idx="196">
                  <c:v>5.74</c:v>
                </c:pt>
                <c:pt idx="197">
                  <c:v>5.7670000000000003</c:v>
                </c:pt>
                <c:pt idx="198">
                  <c:v>5.7930000000000001</c:v>
                </c:pt>
                <c:pt idx="199">
                  <c:v>5.82</c:v>
                </c:pt>
                <c:pt idx="200">
                  <c:v>5.8470000000000004</c:v>
                </c:pt>
                <c:pt idx="201">
                  <c:v>5.8730000000000002</c:v>
                </c:pt>
                <c:pt idx="202">
                  <c:v>5.9</c:v>
                </c:pt>
                <c:pt idx="203">
                  <c:v>5.9269999999999996</c:v>
                </c:pt>
                <c:pt idx="204">
                  <c:v>5.9530000000000003</c:v>
                </c:pt>
                <c:pt idx="205">
                  <c:v>5.98</c:v>
                </c:pt>
                <c:pt idx="206">
                  <c:v>6.0069999999999997</c:v>
                </c:pt>
                <c:pt idx="207">
                  <c:v>6.0330000000000004</c:v>
                </c:pt>
                <c:pt idx="208">
                  <c:v>6.06</c:v>
                </c:pt>
                <c:pt idx="209">
                  <c:v>6.0869999999999997</c:v>
                </c:pt>
                <c:pt idx="210">
                  <c:v>6.1130000000000004</c:v>
                </c:pt>
                <c:pt idx="211">
                  <c:v>6.14</c:v>
                </c:pt>
                <c:pt idx="212">
                  <c:v>6.1669999999999998</c:v>
                </c:pt>
                <c:pt idx="213">
                  <c:v>6.1929999999999996</c:v>
                </c:pt>
                <c:pt idx="214">
                  <c:v>6.22</c:v>
                </c:pt>
                <c:pt idx="215">
                  <c:v>6.2469999999999999</c:v>
                </c:pt>
                <c:pt idx="216">
                  <c:v>6.2729999999999997</c:v>
                </c:pt>
                <c:pt idx="217">
                  <c:v>6.3</c:v>
                </c:pt>
                <c:pt idx="218">
                  <c:v>6.327</c:v>
                </c:pt>
                <c:pt idx="219">
                  <c:v>6.3529999999999998</c:v>
                </c:pt>
                <c:pt idx="220">
                  <c:v>6.38</c:v>
                </c:pt>
                <c:pt idx="221">
                  <c:v>6.407</c:v>
                </c:pt>
                <c:pt idx="222">
                  <c:v>6.4329999999999998</c:v>
                </c:pt>
                <c:pt idx="223">
                  <c:v>6.46</c:v>
                </c:pt>
                <c:pt idx="224">
                  <c:v>6.4870000000000001</c:v>
                </c:pt>
                <c:pt idx="225">
                  <c:v>6.5129999999999999</c:v>
                </c:pt>
                <c:pt idx="226">
                  <c:v>6.54</c:v>
                </c:pt>
                <c:pt idx="227">
                  <c:v>6.5670000000000002</c:v>
                </c:pt>
                <c:pt idx="228">
                  <c:v>6.593</c:v>
                </c:pt>
                <c:pt idx="229">
                  <c:v>6.62</c:v>
                </c:pt>
                <c:pt idx="230">
                  <c:v>6.6470000000000002</c:v>
                </c:pt>
                <c:pt idx="231">
                  <c:v>6.673</c:v>
                </c:pt>
                <c:pt idx="232">
                  <c:v>6.7</c:v>
                </c:pt>
                <c:pt idx="233">
                  <c:v>6.7270000000000003</c:v>
                </c:pt>
                <c:pt idx="234">
                  <c:v>6.7530000000000001</c:v>
                </c:pt>
                <c:pt idx="235">
                  <c:v>6.78</c:v>
                </c:pt>
                <c:pt idx="236">
                  <c:v>6.8070000000000004</c:v>
                </c:pt>
                <c:pt idx="237">
                  <c:v>6.8330000000000002</c:v>
                </c:pt>
                <c:pt idx="238">
                  <c:v>6.86</c:v>
                </c:pt>
                <c:pt idx="239">
                  <c:v>6.8869999999999996</c:v>
                </c:pt>
                <c:pt idx="240">
                  <c:v>6.9130000000000003</c:v>
                </c:pt>
                <c:pt idx="241">
                  <c:v>6.94</c:v>
                </c:pt>
                <c:pt idx="242">
                  <c:v>6.9669999999999996</c:v>
                </c:pt>
                <c:pt idx="243">
                  <c:v>6.9930000000000003</c:v>
                </c:pt>
                <c:pt idx="244">
                  <c:v>7.02</c:v>
                </c:pt>
                <c:pt idx="245">
                  <c:v>7.0469999999999997</c:v>
                </c:pt>
                <c:pt idx="246">
                  <c:v>7.0730000000000004</c:v>
                </c:pt>
                <c:pt idx="247">
                  <c:v>7.1</c:v>
                </c:pt>
                <c:pt idx="248">
                  <c:v>7.1269999999999998</c:v>
                </c:pt>
                <c:pt idx="249">
                  <c:v>7.1529999999999996</c:v>
                </c:pt>
                <c:pt idx="250">
                  <c:v>7.18</c:v>
                </c:pt>
                <c:pt idx="251">
                  <c:v>7.2069999999999999</c:v>
                </c:pt>
                <c:pt idx="252">
                  <c:v>7.2329999999999997</c:v>
                </c:pt>
                <c:pt idx="253">
                  <c:v>7.26</c:v>
                </c:pt>
                <c:pt idx="254">
                  <c:v>7.2869999999999999</c:v>
                </c:pt>
                <c:pt idx="255">
                  <c:v>7.3129999999999997</c:v>
                </c:pt>
                <c:pt idx="256">
                  <c:v>7.34</c:v>
                </c:pt>
                <c:pt idx="257">
                  <c:v>7.367</c:v>
                </c:pt>
                <c:pt idx="258">
                  <c:v>7.3929999999999998</c:v>
                </c:pt>
                <c:pt idx="259">
                  <c:v>7.42</c:v>
                </c:pt>
                <c:pt idx="260">
                  <c:v>7.4470000000000001</c:v>
                </c:pt>
                <c:pt idx="261">
                  <c:v>7.4729999999999999</c:v>
                </c:pt>
                <c:pt idx="262">
                  <c:v>7.5</c:v>
                </c:pt>
                <c:pt idx="263">
                  <c:v>7.5270000000000001</c:v>
                </c:pt>
                <c:pt idx="264">
                  <c:v>7.5529999999999999</c:v>
                </c:pt>
                <c:pt idx="265">
                  <c:v>7.58</c:v>
                </c:pt>
                <c:pt idx="266">
                  <c:v>7.6070000000000002</c:v>
                </c:pt>
                <c:pt idx="267">
                  <c:v>7.633</c:v>
                </c:pt>
                <c:pt idx="268">
                  <c:v>7.66</c:v>
                </c:pt>
                <c:pt idx="269">
                  <c:v>7.6870000000000003</c:v>
                </c:pt>
                <c:pt idx="270">
                  <c:v>7.7130000000000001</c:v>
                </c:pt>
                <c:pt idx="271">
                  <c:v>7.74</c:v>
                </c:pt>
                <c:pt idx="272">
                  <c:v>7.7670000000000003</c:v>
                </c:pt>
                <c:pt idx="273">
                  <c:v>7.7930000000000001</c:v>
                </c:pt>
                <c:pt idx="274">
                  <c:v>7.82</c:v>
                </c:pt>
                <c:pt idx="275">
                  <c:v>7.8470000000000004</c:v>
                </c:pt>
                <c:pt idx="276">
                  <c:v>7.8730000000000002</c:v>
                </c:pt>
                <c:pt idx="277">
                  <c:v>7.9</c:v>
                </c:pt>
                <c:pt idx="278">
                  <c:v>7.9269999999999996</c:v>
                </c:pt>
                <c:pt idx="279">
                  <c:v>7.9530000000000003</c:v>
                </c:pt>
                <c:pt idx="280">
                  <c:v>7.98</c:v>
                </c:pt>
                <c:pt idx="281">
                  <c:v>8.0069999999999997</c:v>
                </c:pt>
                <c:pt idx="282">
                  <c:v>8.0329999999999995</c:v>
                </c:pt>
                <c:pt idx="283">
                  <c:v>8.06</c:v>
                </c:pt>
                <c:pt idx="284">
                  <c:v>8.0869999999999997</c:v>
                </c:pt>
                <c:pt idx="285">
                  <c:v>8.1129999999999995</c:v>
                </c:pt>
                <c:pt idx="286">
                  <c:v>8.14</c:v>
                </c:pt>
                <c:pt idx="287">
                  <c:v>8.1669999999999998</c:v>
                </c:pt>
                <c:pt idx="288">
                  <c:v>8.1929999999999996</c:v>
                </c:pt>
                <c:pt idx="289">
                  <c:v>8.2200000000000006</c:v>
                </c:pt>
                <c:pt idx="290">
                  <c:v>8.2469999999999999</c:v>
                </c:pt>
                <c:pt idx="291">
                  <c:v>8.2729999999999997</c:v>
                </c:pt>
                <c:pt idx="292">
                  <c:v>8.3000000000000007</c:v>
                </c:pt>
                <c:pt idx="293">
                  <c:v>8.327</c:v>
                </c:pt>
                <c:pt idx="294">
                  <c:v>8.3529999999999998</c:v>
                </c:pt>
                <c:pt idx="295">
                  <c:v>8.3800000000000008</c:v>
                </c:pt>
                <c:pt idx="296">
                  <c:v>8.407</c:v>
                </c:pt>
                <c:pt idx="297">
                  <c:v>8.4329999999999998</c:v>
                </c:pt>
                <c:pt idx="298">
                  <c:v>8.4600000000000009</c:v>
                </c:pt>
                <c:pt idx="299">
                  <c:v>8.4870000000000001</c:v>
                </c:pt>
                <c:pt idx="300">
                  <c:v>8.5129999999999999</c:v>
                </c:pt>
                <c:pt idx="301">
                  <c:v>8.5399999999999991</c:v>
                </c:pt>
                <c:pt idx="302">
                  <c:v>8.5670000000000002</c:v>
                </c:pt>
                <c:pt idx="303">
                  <c:v>8.593</c:v>
                </c:pt>
                <c:pt idx="304">
                  <c:v>8.6199999999999992</c:v>
                </c:pt>
                <c:pt idx="305">
                  <c:v>8.6470000000000002</c:v>
                </c:pt>
                <c:pt idx="306">
                  <c:v>8.673</c:v>
                </c:pt>
                <c:pt idx="307">
                  <c:v>8.6999999999999993</c:v>
                </c:pt>
                <c:pt idx="308">
                  <c:v>8.7270000000000003</c:v>
                </c:pt>
                <c:pt idx="309">
                  <c:v>8.7530000000000001</c:v>
                </c:pt>
                <c:pt idx="310">
                  <c:v>8.7799999999999994</c:v>
                </c:pt>
                <c:pt idx="311">
                  <c:v>8.8070000000000004</c:v>
                </c:pt>
                <c:pt idx="312">
                  <c:v>8.8330000000000002</c:v>
                </c:pt>
                <c:pt idx="313">
                  <c:v>8.86</c:v>
                </c:pt>
                <c:pt idx="314">
                  <c:v>8.8870000000000005</c:v>
                </c:pt>
                <c:pt idx="315">
                  <c:v>8.9130000000000003</c:v>
                </c:pt>
                <c:pt idx="316">
                  <c:v>8.94</c:v>
                </c:pt>
                <c:pt idx="317">
                  <c:v>8.9670000000000005</c:v>
                </c:pt>
                <c:pt idx="318">
                  <c:v>8.9930000000000003</c:v>
                </c:pt>
                <c:pt idx="319">
                  <c:v>9.02</c:v>
                </c:pt>
                <c:pt idx="320">
                  <c:v>9.0470000000000006</c:v>
                </c:pt>
                <c:pt idx="321">
                  <c:v>9.0730000000000004</c:v>
                </c:pt>
                <c:pt idx="322">
                  <c:v>9.1</c:v>
                </c:pt>
                <c:pt idx="323">
                  <c:v>9.1270000000000007</c:v>
                </c:pt>
                <c:pt idx="324">
                  <c:v>9.1530000000000005</c:v>
                </c:pt>
                <c:pt idx="325">
                  <c:v>9.18</c:v>
                </c:pt>
                <c:pt idx="326">
                  <c:v>9.2070000000000007</c:v>
                </c:pt>
                <c:pt idx="327">
                  <c:v>9.2330000000000005</c:v>
                </c:pt>
                <c:pt idx="328">
                  <c:v>9.26</c:v>
                </c:pt>
                <c:pt idx="329">
                  <c:v>9.2870000000000008</c:v>
                </c:pt>
                <c:pt idx="330">
                  <c:v>9.3130000000000006</c:v>
                </c:pt>
                <c:pt idx="331">
                  <c:v>9.34</c:v>
                </c:pt>
                <c:pt idx="332">
                  <c:v>9.3670000000000009</c:v>
                </c:pt>
                <c:pt idx="333">
                  <c:v>9.3930000000000007</c:v>
                </c:pt>
                <c:pt idx="334">
                  <c:v>9.42</c:v>
                </c:pt>
                <c:pt idx="335">
                  <c:v>9.4469999999999992</c:v>
                </c:pt>
                <c:pt idx="336">
                  <c:v>9.4730000000000008</c:v>
                </c:pt>
                <c:pt idx="337">
                  <c:v>9.5</c:v>
                </c:pt>
                <c:pt idx="338">
                  <c:v>9.5269999999999992</c:v>
                </c:pt>
                <c:pt idx="339">
                  <c:v>9.5530000000000008</c:v>
                </c:pt>
                <c:pt idx="340">
                  <c:v>9.58</c:v>
                </c:pt>
                <c:pt idx="341">
                  <c:v>9.6069999999999993</c:v>
                </c:pt>
                <c:pt idx="342">
                  <c:v>9.6329999999999991</c:v>
                </c:pt>
                <c:pt idx="343">
                  <c:v>9.66</c:v>
                </c:pt>
                <c:pt idx="344">
                  <c:v>9.6869999999999994</c:v>
                </c:pt>
                <c:pt idx="345">
                  <c:v>9.7129999999999992</c:v>
                </c:pt>
                <c:pt idx="346">
                  <c:v>9.74</c:v>
                </c:pt>
                <c:pt idx="347">
                  <c:v>9.7669999999999995</c:v>
                </c:pt>
                <c:pt idx="348">
                  <c:v>9.7929999999999993</c:v>
                </c:pt>
                <c:pt idx="349">
                  <c:v>9.82</c:v>
                </c:pt>
                <c:pt idx="350">
                  <c:v>9.8469999999999995</c:v>
                </c:pt>
                <c:pt idx="351">
                  <c:v>9.8729999999999993</c:v>
                </c:pt>
                <c:pt idx="352">
                  <c:v>9.9</c:v>
                </c:pt>
                <c:pt idx="353">
                  <c:v>9.9269999999999996</c:v>
                </c:pt>
                <c:pt idx="354">
                  <c:v>9.9529999999999994</c:v>
                </c:pt>
                <c:pt idx="355">
                  <c:v>9.98</c:v>
                </c:pt>
                <c:pt idx="356">
                  <c:v>10.007</c:v>
                </c:pt>
              </c:numCache>
            </c:numRef>
          </c:xVal>
          <c:yVal>
            <c:numRef>
              <c:f>ChromatogramData!$C$2:$C$10001</c:f>
              <c:numCache>
                <c:formatCode>General</c:formatCode>
                <c:ptCount val="10000"/>
                <c:pt idx="0">
                  <c:v>10.108794512521959</c:v>
                </c:pt>
                <c:pt idx="1">
                  <c:v>7.4483584157521099</c:v>
                </c:pt>
                <c:pt idx="2">
                  <c:v>5.6232925435669934</c:v>
                </c:pt>
                <c:pt idx="3">
                  <c:v>5.2710279910312625</c:v>
                </c:pt>
                <c:pt idx="4">
                  <c:v>5.311286797035347</c:v>
                </c:pt>
                <c:pt idx="5">
                  <c:v>5.0529594585091449</c:v>
                </c:pt>
                <c:pt idx="6">
                  <c:v>4.4222381644451705</c:v>
                </c:pt>
                <c:pt idx="7">
                  <c:v>3.7915168703811961</c:v>
                </c:pt>
                <c:pt idx="8">
                  <c:v>3.415768014343084</c:v>
                </c:pt>
                <c:pt idx="9">
                  <c:v>3.3453151038359374</c:v>
                </c:pt>
                <c:pt idx="10">
                  <c:v>3.3922837108407018</c:v>
                </c:pt>
                <c:pt idx="11">
                  <c:v>3.4627366213478479</c:v>
                </c:pt>
                <c:pt idx="12">
                  <c:v>3.4761562233492089</c:v>
                </c:pt>
                <c:pt idx="13">
                  <c:v>3.385573909840021</c:v>
                </c:pt>
                <c:pt idx="14">
                  <c:v>3.237958287825049</c:v>
                </c:pt>
                <c:pt idx="15">
                  <c:v>3.1071171683117775</c:v>
                </c:pt>
                <c:pt idx="16">
                  <c:v>3.0232446558032704</c:v>
                </c:pt>
                <c:pt idx="17">
                  <c:v>2.9293074417937421</c:v>
                </c:pt>
                <c:pt idx="18">
                  <c:v>2.8521447302859153</c:v>
                </c:pt>
                <c:pt idx="19">
                  <c:v>2.7816918197787692</c:v>
                </c:pt>
                <c:pt idx="20">
                  <c:v>2.7112389092716236</c:v>
                </c:pt>
                <c:pt idx="21">
                  <c:v>2.6508507002654982</c:v>
                </c:pt>
                <c:pt idx="22">
                  <c:v>2.5904624912593732</c:v>
                </c:pt>
                <c:pt idx="23">
                  <c:v>2.5434938842546089</c:v>
                </c:pt>
                <c:pt idx="24">
                  <c:v>2.5367840832539286</c:v>
                </c:pt>
                <c:pt idx="25">
                  <c:v>2.5468487847549497</c:v>
                </c:pt>
                <c:pt idx="26">
                  <c:v>2.5300742822532478</c:v>
                </c:pt>
                <c:pt idx="27">
                  <c:v>2.5132997797515464</c:v>
                </c:pt>
                <c:pt idx="28">
                  <c:v>2.509944879251206</c:v>
                </c:pt>
                <c:pt idx="29">
                  <c:v>2.4831056752484839</c:v>
                </c:pt>
                <c:pt idx="30">
                  <c:v>2.4596213717461017</c:v>
                </c:pt>
                <c:pt idx="31">
                  <c:v>2.4193625657420186</c:v>
                </c:pt>
                <c:pt idx="32">
                  <c:v>2.3522645557352129</c:v>
                </c:pt>
                <c:pt idx="33">
                  <c:v>2.2818116452280668</c:v>
                </c:pt>
                <c:pt idx="34">
                  <c:v>2.2113587347209207</c:v>
                </c:pt>
                <c:pt idx="35">
                  <c:v>2.1308411227127535</c:v>
                </c:pt>
                <c:pt idx="36">
                  <c:v>2.0771627147073093</c:v>
                </c:pt>
                <c:pt idx="37">
                  <c:v>2.0603882122056079</c:v>
                </c:pt>
                <c:pt idx="38">
                  <c:v>2.0469686102042464</c:v>
                </c:pt>
                <c:pt idx="39">
                  <c:v>2.0100647047005031</c:v>
                </c:pt>
                <c:pt idx="40">
                  <c:v>2.0000000031994825</c:v>
                </c:pt>
                <c:pt idx="41">
                  <c:v>2.0100647047005031</c:v>
                </c:pt>
                <c:pt idx="42">
                  <c:v>2.0301941077025449</c:v>
                </c:pt>
                <c:pt idx="43">
                  <c:v>2.0503235107045867</c:v>
                </c:pt>
                <c:pt idx="44">
                  <c:v>2.0972921177093506</c:v>
                </c:pt>
                <c:pt idx="45">
                  <c:v>2.1509705257147953</c:v>
                </c:pt>
                <c:pt idx="46">
                  <c:v>2.2080038342205803</c:v>
                </c:pt>
                <c:pt idx="47">
                  <c:v>2.2683920432267053</c:v>
                </c:pt>
                <c:pt idx="48">
                  <c:v>2.31871555073181</c:v>
                </c:pt>
                <c:pt idx="49">
                  <c:v>2.3958782622396364</c:v>
                </c:pt>
                <c:pt idx="50">
                  <c:v>2.4797507747481435</c:v>
                </c:pt>
                <c:pt idx="51">
                  <c:v>2.566978187756991</c:v>
                </c:pt>
                <c:pt idx="52">
                  <c:v>2.6508507002654982</c:v>
                </c:pt>
                <c:pt idx="53">
                  <c:v>2.7414330137746861</c:v>
                </c:pt>
                <c:pt idx="54">
                  <c:v>2.8420800287848946</c:v>
                </c:pt>
                <c:pt idx="55">
                  <c:v>2.962856446797145</c:v>
                </c:pt>
                <c:pt idx="56">
                  <c:v>3.080277964309055</c:v>
                </c:pt>
                <c:pt idx="57">
                  <c:v>3.1909896808202847</c:v>
                </c:pt>
                <c:pt idx="58">
                  <c:v>3.3184758998332153</c:v>
                </c:pt>
                <c:pt idx="59">
                  <c:v>3.4459621188461464</c:v>
                </c:pt>
                <c:pt idx="60">
                  <c:v>3.5734483378590776</c:v>
                </c:pt>
                <c:pt idx="61">
                  <c:v>3.6841600543703072</c:v>
                </c:pt>
                <c:pt idx="62">
                  <c:v>3.7814521688801754</c:v>
                </c:pt>
                <c:pt idx="63">
                  <c:v>3.8586148803880018</c:v>
                </c:pt>
                <c:pt idx="64">
                  <c:v>3.942487392896509</c:v>
                </c:pt>
                <c:pt idx="65">
                  <c:v>4.0632638109087598</c:v>
                </c:pt>
                <c:pt idx="66">
                  <c:v>4.1672657264193083</c:v>
                </c:pt>
                <c:pt idx="67">
                  <c:v>4.2846872439312182</c:v>
                </c:pt>
                <c:pt idx="68">
                  <c:v>4.4222381644451705</c:v>
                </c:pt>
                <c:pt idx="69">
                  <c:v>4.5564341844587819</c:v>
                </c:pt>
                <c:pt idx="70">
                  <c:v>4.6671459009700111</c:v>
                </c:pt>
                <c:pt idx="71">
                  <c:v>4.7812125179815812</c:v>
                </c:pt>
                <c:pt idx="72">
                  <c:v>4.932183040496894</c:v>
                </c:pt>
                <c:pt idx="73">
                  <c:v>5.1267672695166304</c:v>
                </c:pt>
                <c:pt idx="74">
                  <c:v>5.5796788370625698</c:v>
                </c:pt>
                <c:pt idx="75">
                  <c:v>6.4251137631483219</c:v>
                </c:pt>
                <c:pt idx="76">
                  <c:v>6.9015096341966427</c:v>
                </c:pt>
                <c:pt idx="77">
                  <c:v>6.5291156786588704</c:v>
                </c:pt>
                <c:pt idx="78">
                  <c:v>5.9654923946017027</c:v>
                </c:pt>
                <c:pt idx="79">
                  <c:v>5.7105199565758404</c:v>
                </c:pt>
                <c:pt idx="80">
                  <c:v>5.6132278420659718</c:v>
                </c:pt>
                <c:pt idx="81">
                  <c:v>5.5796788370625698</c:v>
                </c:pt>
                <c:pt idx="82">
                  <c:v>5.5561945335601877</c:v>
                </c:pt>
                <c:pt idx="83">
                  <c:v>5.5260004290571256</c:v>
                </c:pt>
                <c:pt idx="84">
                  <c:v>5.5025161255547435</c:v>
                </c:pt>
                <c:pt idx="85">
                  <c:v>5.5125808270557641</c:v>
                </c:pt>
                <c:pt idx="86">
                  <c:v>5.5528396330598477</c:v>
                </c:pt>
                <c:pt idx="87">
                  <c:v>5.5930984390639313</c:v>
                </c:pt>
                <c:pt idx="88">
                  <c:v>5.6769709515724376</c:v>
                </c:pt>
                <c:pt idx="89">
                  <c:v>5.8749100810925148</c:v>
                </c:pt>
                <c:pt idx="90">
                  <c:v>6.0292355041081684</c:v>
                </c:pt>
                <c:pt idx="91">
                  <c:v>6.0527198076105497</c:v>
                </c:pt>
                <c:pt idx="92">
                  <c:v>6.0426551061095291</c:v>
                </c:pt>
                <c:pt idx="93">
                  <c:v>6.220464832627564</c:v>
                </c:pt>
                <c:pt idx="94">
                  <c:v>6.7807332161843927</c:v>
                </c:pt>
                <c:pt idx="95">
                  <c:v>7.0189311517085526</c:v>
                </c:pt>
                <c:pt idx="96">
                  <c:v>6.7840881166847335</c:v>
                </c:pt>
                <c:pt idx="97">
                  <c:v>6.8075724201871148</c:v>
                </c:pt>
                <c:pt idx="98">
                  <c:v>7.1564820722225058</c:v>
                </c:pt>
                <c:pt idx="99">
                  <c:v>7.3074525947378177</c:v>
                </c:pt>
                <c:pt idx="100">
                  <c:v>7.5490054307623193</c:v>
                </c:pt>
                <c:pt idx="101">
                  <c:v>7.4684878187541521</c:v>
                </c:pt>
                <c:pt idx="102">
                  <c:v>6.8780253306942605</c:v>
                </c:pt>
                <c:pt idx="103">
                  <c:v>6.2875628426343706</c:v>
                </c:pt>
                <c:pt idx="104">
                  <c:v>6.1231727181176963</c:v>
                </c:pt>
                <c:pt idx="105">
                  <c:v>6.0829139121136127</c:v>
                </c:pt>
                <c:pt idx="106">
                  <c:v>6.0795590116132727</c:v>
                </c:pt>
                <c:pt idx="107">
                  <c:v>6.1332374196187169</c:v>
                </c:pt>
                <c:pt idx="108">
                  <c:v>6.1365923201190569</c:v>
                </c:pt>
                <c:pt idx="109">
                  <c:v>6.1164629171170155</c:v>
                </c:pt>
                <c:pt idx="110">
                  <c:v>6.2372393351292663</c:v>
                </c:pt>
                <c:pt idx="111">
                  <c:v>6.421758862647982</c:v>
                </c:pt>
                <c:pt idx="112">
                  <c:v>6.4687274696527455</c:v>
                </c:pt>
                <c:pt idx="113">
                  <c:v>6.3747902556432177</c:v>
                </c:pt>
                <c:pt idx="114">
                  <c:v>6.2607236386316476</c:v>
                </c:pt>
                <c:pt idx="115">
                  <c:v>6.2070452306262034</c:v>
                </c:pt>
                <c:pt idx="116">
                  <c:v>6.2003354296255226</c:v>
                </c:pt>
                <c:pt idx="117">
                  <c:v>6.2540138376309669</c:v>
                </c:pt>
                <c:pt idx="118">
                  <c:v>6.4083392606466205</c:v>
                </c:pt>
                <c:pt idx="119">
                  <c:v>6.8746704301939205</c:v>
                </c:pt>
                <c:pt idx="120">
                  <c:v>7.1464173707214833</c:v>
                </c:pt>
                <c:pt idx="121">
                  <c:v>7.1531271717221649</c:v>
                </c:pt>
                <c:pt idx="122">
                  <c:v>7.0960938632163799</c:v>
                </c:pt>
                <c:pt idx="123">
                  <c:v>6.891444932695622</c:v>
                </c:pt>
                <c:pt idx="124">
                  <c:v>6.5895038876649963</c:v>
                </c:pt>
                <c:pt idx="125">
                  <c:v>6.4787921711537662</c:v>
                </c:pt>
                <c:pt idx="126">
                  <c:v>6.5559548826615934</c:v>
                </c:pt>
                <c:pt idx="127">
                  <c:v>6.6532469971714612</c:v>
                </c:pt>
                <c:pt idx="128">
                  <c:v>6.686796002174864</c:v>
                </c:pt>
                <c:pt idx="129">
                  <c:v>6.6532469971714612</c:v>
                </c:pt>
                <c:pt idx="130">
                  <c:v>6.6196979921680583</c:v>
                </c:pt>
                <c:pt idx="131">
                  <c:v>6.6264077931687391</c:v>
                </c:pt>
                <c:pt idx="132">
                  <c:v>6.6364724946697606</c:v>
                </c:pt>
                <c:pt idx="133">
                  <c:v>6.5794391861639756</c:v>
                </c:pt>
                <c:pt idx="134">
                  <c:v>6.4418882656500234</c:v>
                </c:pt>
                <c:pt idx="135">
                  <c:v>6.304337345136072</c:v>
                </c:pt>
                <c:pt idx="136">
                  <c:v>6.2774981411333499</c:v>
                </c:pt>
                <c:pt idx="137">
                  <c:v>6.4016294596459398</c:v>
                </c:pt>
                <c:pt idx="138">
                  <c:v>6.5257607781585305</c:v>
                </c:pt>
                <c:pt idx="139">
                  <c:v>6.5525999821612526</c:v>
                </c:pt>
                <c:pt idx="140">
                  <c:v>6.5257607781585305</c:v>
                </c:pt>
                <c:pt idx="141">
                  <c:v>6.4653725691524047</c:v>
                </c:pt>
                <c:pt idx="142">
                  <c:v>6.4754372706534262</c:v>
                </c:pt>
                <c:pt idx="143">
                  <c:v>8.6225735908712089</c:v>
                </c:pt>
                <c:pt idx="144">
                  <c:v>16.137550711633452</c:v>
                </c:pt>
                <c:pt idx="145">
                  <c:v>22.317277433260266</c:v>
                </c:pt>
                <c:pt idx="146">
                  <c:v>22.703090990799399</c:v>
                </c:pt>
                <c:pt idx="147">
                  <c:v>18.143781210836949</c:v>
                </c:pt>
                <c:pt idx="148">
                  <c:v>13.574406729373475</c:v>
                </c:pt>
                <c:pt idx="149">
                  <c:v>10.863647125098524</c:v>
                </c:pt>
                <c:pt idx="150">
                  <c:v>9.6256888404729555</c:v>
                </c:pt>
                <c:pt idx="151">
                  <c:v>9.0117420489106834</c:v>
                </c:pt>
                <c:pt idx="152">
                  <c:v>8.7366402078827807</c:v>
                </c:pt>
                <c:pt idx="153">
                  <c:v>8.5454108793633825</c:v>
                </c:pt>
                <c:pt idx="154">
                  <c:v>8.2535345358337793</c:v>
                </c:pt>
                <c:pt idx="155">
                  <c:v>8.1025640133184673</c:v>
                </c:pt>
                <c:pt idx="156">
                  <c:v>8.2367600333320787</c:v>
                </c:pt>
                <c:pt idx="157">
                  <c:v>8.3306972473416074</c:v>
                </c:pt>
                <c:pt idx="158">
                  <c:v>8.0924993118174449</c:v>
                </c:pt>
                <c:pt idx="159">
                  <c:v>7.7872033662864792</c:v>
                </c:pt>
                <c:pt idx="160">
                  <c:v>7.5724897342647006</c:v>
                </c:pt>
                <c:pt idx="161">
                  <c:v>7.4282290127500685</c:v>
                </c:pt>
                <c:pt idx="162">
                  <c:v>7.357776102242922</c:v>
                </c:pt>
                <c:pt idx="163">
                  <c:v>7.3376466992408806</c:v>
                </c:pt>
                <c:pt idx="164">
                  <c:v>7.4416486147514291</c:v>
                </c:pt>
                <c:pt idx="165">
                  <c:v>7.5121015252585748</c:v>
                </c:pt>
                <c:pt idx="166">
                  <c:v>7.5188113262592555</c:v>
                </c:pt>
                <c:pt idx="167">
                  <c:v>7.4953270227568742</c:v>
                </c:pt>
                <c:pt idx="168">
                  <c:v>7.4684878187541521</c:v>
                </c:pt>
                <c:pt idx="169">
                  <c:v>7.4684878187541521</c:v>
                </c:pt>
                <c:pt idx="170">
                  <c:v>7.4349388137507484</c:v>
                </c:pt>
                <c:pt idx="171">
                  <c:v>7.3812604057453042</c:v>
                </c:pt>
                <c:pt idx="172">
                  <c:v>7.330936898240199</c:v>
                </c:pt>
                <c:pt idx="173">
                  <c:v>7.3208721967391792</c:v>
                </c:pt>
                <c:pt idx="174">
                  <c:v>7.3342917987405398</c:v>
                </c:pt>
                <c:pt idx="175">
                  <c:v>7.32758199773986</c:v>
                </c:pt>
                <c:pt idx="176">
                  <c:v>7.3175172962388384</c:v>
                </c:pt>
                <c:pt idx="177">
                  <c:v>7.297387893236797</c:v>
                </c:pt>
                <c:pt idx="178">
                  <c:v>7.2638388882333942</c:v>
                </c:pt>
                <c:pt idx="179">
                  <c:v>7.2437094852313528</c:v>
                </c:pt>
                <c:pt idx="180">
                  <c:v>8.2434698343327568</c:v>
                </c:pt>
                <c:pt idx="181">
                  <c:v>13.725377251888787</c:v>
                </c:pt>
                <c:pt idx="182">
                  <c:v>19.727294246997566</c:v>
                </c:pt>
                <c:pt idx="183">
                  <c:v>22.780253702307224</c:v>
                </c:pt>
                <c:pt idx="184">
                  <c:v>21.327581785659881</c:v>
                </c:pt>
                <c:pt idx="185">
                  <c:v>17.429187404264468</c:v>
                </c:pt>
                <c:pt idx="186">
                  <c:v>13.460340112361905</c:v>
                </c:pt>
                <c:pt idx="187">
                  <c:v>10.786484413590696</c:v>
                </c:pt>
                <c:pt idx="188">
                  <c:v>9.3170379944416517</c:v>
                </c:pt>
                <c:pt idx="189">
                  <c:v>8.5319912773620246</c:v>
                </c:pt>
                <c:pt idx="190">
                  <c:v>8.1193385158201679</c:v>
                </c:pt>
                <c:pt idx="191">
                  <c:v>7.8442366747922634</c:v>
                </c:pt>
                <c:pt idx="192">
                  <c:v>7.67649164977525</c:v>
                </c:pt>
                <c:pt idx="193">
                  <c:v>7.5456505302619785</c:v>
                </c:pt>
                <c:pt idx="194">
                  <c:v>7.4584231172531306</c:v>
                </c:pt>
                <c:pt idx="195">
                  <c:v>7.4483584157521099</c:v>
                </c:pt>
                <c:pt idx="196">
                  <c:v>7.4684878187541521</c:v>
                </c:pt>
                <c:pt idx="197">
                  <c:v>7.5355858287609578</c:v>
                </c:pt>
                <c:pt idx="198">
                  <c:v>7.5389407292612969</c:v>
                </c:pt>
                <c:pt idx="199">
                  <c:v>7.5221662267595963</c:v>
                </c:pt>
                <c:pt idx="200">
                  <c:v>7.4517133162524498</c:v>
                </c:pt>
                <c:pt idx="201">
                  <c:v>7.414809410748707</c:v>
                </c:pt>
                <c:pt idx="202">
                  <c:v>7.5590701322633391</c:v>
                </c:pt>
                <c:pt idx="203">
                  <c:v>7.6530073462728678</c:v>
                </c:pt>
                <c:pt idx="204">
                  <c:v>7.6530073462728678</c:v>
                </c:pt>
                <c:pt idx="205">
                  <c:v>7.5188113262592555</c:v>
                </c:pt>
                <c:pt idx="206">
                  <c:v>7.4114545102483662</c:v>
                </c:pt>
                <c:pt idx="207">
                  <c:v>7.3477114007419013</c:v>
                </c:pt>
                <c:pt idx="208">
                  <c:v>7.3342917987405398</c:v>
                </c:pt>
                <c:pt idx="209">
                  <c:v>7.32758199773986</c:v>
                </c:pt>
                <c:pt idx="210">
                  <c:v>7.3108074952381576</c:v>
                </c:pt>
                <c:pt idx="211">
                  <c:v>7.2940329927364562</c:v>
                </c:pt>
                <c:pt idx="212">
                  <c:v>7.2772584902347557</c:v>
                </c:pt>
                <c:pt idx="213">
                  <c:v>7.2806133907350956</c:v>
                </c:pt>
                <c:pt idx="214">
                  <c:v>7.2739035897344149</c:v>
                </c:pt>
                <c:pt idx="215">
                  <c:v>7.2671937887337341</c:v>
                </c:pt>
                <c:pt idx="216">
                  <c:v>7.2638388882333942</c:v>
                </c:pt>
                <c:pt idx="217">
                  <c:v>7.2705486892340749</c:v>
                </c:pt>
                <c:pt idx="218">
                  <c:v>7.2873231917357764</c:v>
                </c:pt>
                <c:pt idx="219">
                  <c:v>7.3040976942374769</c:v>
                </c:pt>
                <c:pt idx="220">
                  <c:v>7.3040976942374769</c:v>
                </c:pt>
                <c:pt idx="221">
                  <c:v>7.3074525947378177</c:v>
                </c:pt>
                <c:pt idx="222">
                  <c:v>7.3175172962388384</c:v>
                </c:pt>
                <c:pt idx="223">
                  <c:v>7.3510663012422413</c:v>
                </c:pt>
                <c:pt idx="224">
                  <c:v>7.3946800077466648</c:v>
                </c:pt>
                <c:pt idx="225">
                  <c:v>7.414809410748707</c:v>
                </c:pt>
                <c:pt idx="226">
                  <c:v>7.4349388137507484</c:v>
                </c:pt>
                <c:pt idx="227">
                  <c:v>7.4282290127500685</c:v>
                </c:pt>
                <c:pt idx="228">
                  <c:v>7.4080996097480263</c:v>
                </c:pt>
                <c:pt idx="229">
                  <c:v>7.4047447092476864</c:v>
                </c:pt>
                <c:pt idx="230">
                  <c:v>7.4080996097480263</c:v>
                </c:pt>
                <c:pt idx="231">
                  <c:v>7.4114545102483662</c:v>
                </c:pt>
                <c:pt idx="232">
                  <c:v>7.4282290127500685</c:v>
                </c:pt>
                <c:pt idx="233">
                  <c:v>7.418164311249047</c:v>
                </c:pt>
                <c:pt idx="234">
                  <c:v>7.4114545102483662</c:v>
                </c:pt>
                <c:pt idx="235">
                  <c:v>7.418164311249047</c:v>
                </c:pt>
                <c:pt idx="236">
                  <c:v>7.4315839132504085</c:v>
                </c:pt>
                <c:pt idx="237">
                  <c:v>7.4282290127500685</c:v>
                </c:pt>
                <c:pt idx="238">
                  <c:v>7.4550682167527906</c:v>
                </c:pt>
                <c:pt idx="239">
                  <c:v>7.4986819232572133</c:v>
                </c:pt>
                <c:pt idx="240">
                  <c:v>7.5422956297616377</c:v>
                </c:pt>
                <c:pt idx="241">
                  <c:v>7.5993289382674227</c:v>
                </c:pt>
                <c:pt idx="242">
                  <c:v>7.6328779432708256</c:v>
                </c:pt>
                <c:pt idx="243">
                  <c:v>7.6429426447718471</c:v>
                </c:pt>
                <c:pt idx="244">
                  <c:v>7.6597171472735477</c:v>
                </c:pt>
                <c:pt idx="245">
                  <c:v>7.6630720477738885</c:v>
                </c:pt>
                <c:pt idx="246">
                  <c:v>7.6630720477738885</c:v>
                </c:pt>
                <c:pt idx="247">
                  <c:v>7.5758446347650414</c:v>
                </c:pt>
                <c:pt idx="248">
                  <c:v>7.5389407292612969</c:v>
                </c:pt>
                <c:pt idx="249">
                  <c:v>7.5422956297616377</c:v>
                </c:pt>
                <c:pt idx="250">
                  <c:v>7.5691348337643607</c:v>
                </c:pt>
                <c:pt idx="251">
                  <c:v>7.5959740377670828</c:v>
                </c:pt>
                <c:pt idx="252">
                  <c:v>7.6194583412694641</c:v>
                </c:pt>
                <c:pt idx="253">
                  <c:v>7.6194583412694641</c:v>
                </c:pt>
                <c:pt idx="254">
                  <c:v>7.6261681422701448</c:v>
                </c:pt>
                <c:pt idx="255">
                  <c:v>7.6127485402687842</c:v>
                </c:pt>
                <c:pt idx="256">
                  <c:v>7.6194583412694641</c:v>
                </c:pt>
                <c:pt idx="257">
                  <c:v>7.6395877442715063</c:v>
                </c:pt>
                <c:pt idx="258">
                  <c:v>7.6530073462728678</c:v>
                </c:pt>
                <c:pt idx="259">
                  <c:v>7.6697818487745693</c:v>
                </c:pt>
                <c:pt idx="260">
                  <c:v>7.67649164977525</c:v>
                </c:pt>
                <c:pt idx="261">
                  <c:v>7.67649164977525</c:v>
                </c:pt>
                <c:pt idx="262">
                  <c:v>7.6832014507759299</c:v>
                </c:pt>
                <c:pt idx="263">
                  <c:v>7.706685754278312</c:v>
                </c:pt>
                <c:pt idx="264">
                  <c:v>7.7435896597820548</c:v>
                </c:pt>
                <c:pt idx="265">
                  <c:v>7.7502994607827356</c:v>
                </c:pt>
                <c:pt idx="266">
                  <c:v>7.767073963284437</c:v>
                </c:pt>
                <c:pt idx="267">
                  <c:v>7.767073963284437</c:v>
                </c:pt>
                <c:pt idx="268">
                  <c:v>7.7637190627840962</c:v>
                </c:pt>
                <c:pt idx="269">
                  <c:v>7.7704288637847769</c:v>
                </c:pt>
                <c:pt idx="270">
                  <c:v>7.7737837642851177</c:v>
                </c:pt>
                <c:pt idx="271">
                  <c:v>7.7704288637847769</c:v>
                </c:pt>
                <c:pt idx="272">
                  <c:v>7.7838484657861384</c:v>
                </c:pt>
                <c:pt idx="273">
                  <c:v>7.79391316728716</c:v>
                </c:pt>
                <c:pt idx="274">
                  <c:v>7.8073327692885206</c:v>
                </c:pt>
                <c:pt idx="275">
                  <c:v>7.8475915752926042</c:v>
                </c:pt>
                <c:pt idx="276">
                  <c:v>7.8475915752926042</c:v>
                </c:pt>
                <c:pt idx="277">
                  <c:v>7.8375268737915835</c:v>
                </c:pt>
                <c:pt idx="278">
                  <c:v>7.827462172290562</c:v>
                </c:pt>
                <c:pt idx="279">
                  <c:v>7.8106876697888605</c:v>
                </c:pt>
                <c:pt idx="280">
                  <c:v>7.8207523712898821</c:v>
                </c:pt>
                <c:pt idx="281">
                  <c:v>7.8475915752926042</c:v>
                </c:pt>
                <c:pt idx="282">
                  <c:v>7.8744307792953263</c:v>
                </c:pt>
                <c:pt idx="283">
                  <c:v>7.9046248837983892</c:v>
                </c:pt>
                <c:pt idx="284">
                  <c:v>7.9549483913034935</c:v>
                </c:pt>
                <c:pt idx="285">
                  <c:v>8.001916998308257</c:v>
                </c:pt>
                <c:pt idx="286">
                  <c:v>8.0421758043123415</c:v>
                </c:pt>
                <c:pt idx="287">
                  <c:v>8.0723699088154035</c:v>
                </c:pt>
                <c:pt idx="288">
                  <c:v>8.085789510816765</c:v>
                </c:pt>
                <c:pt idx="289">
                  <c:v>8.1025640133184673</c:v>
                </c:pt>
                <c:pt idx="290">
                  <c:v>8.0924993118174449</c:v>
                </c:pt>
                <c:pt idx="291">
                  <c:v>8.0824346103164242</c:v>
                </c:pt>
                <c:pt idx="292">
                  <c:v>8.0757248093157443</c:v>
                </c:pt>
                <c:pt idx="293">
                  <c:v>8.1394679188222092</c:v>
                </c:pt>
                <c:pt idx="294">
                  <c:v>8.347471749843308</c:v>
                </c:pt>
                <c:pt idx="295">
                  <c:v>8.3977952573484131</c:v>
                </c:pt>
                <c:pt idx="296">
                  <c:v>8.5152167748603205</c:v>
                </c:pt>
                <c:pt idx="297">
                  <c:v>8.5722500833661055</c:v>
                </c:pt>
                <c:pt idx="298">
                  <c:v>8.3709560533456902</c:v>
                </c:pt>
                <c:pt idx="299">
                  <c:v>8.2703090383354798</c:v>
                </c:pt>
                <c:pt idx="300">
                  <c:v>8.2434698343327568</c:v>
                </c:pt>
                <c:pt idx="301">
                  <c:v>8.2568894363341183</c:v>
                </c:pt>
                <c:pt idx="302">
                  <c:v>8.2803737398365005</c:v>
                </c:pt>
                <c:pt idx="303">
                  <c:v>8.3239874463409258</c:v>
                </c:pt>
                <c:pt idx="304">
                  <c:v>8.4179246603504527</c:v>
                </c:pt>
                <c:pt idx="305">
                  <c:v>8.4783128693565786</c:v>
                </c:pt>
                <c:pt idx="306">
                  <c:v>8.5017971728589607</c:v>
                </c:pt>
                <c:pt idx="307">
                  <c:v>8.5789598843667871</c:v>
                </c:pt>
                <c:pt idx="308">
                  <c:v>8.5789598843667871</c:v>
                </c:pt>
                <c:pt idx="309">
                  <c:v>8.558830481364744</c:v>
                </c:pt>
                <c:pt idx="310">
                  <c:v>8.5789598843667871</c:v>
                </c:pt>
                <c:pt idx="311">
                  <c:v>8.61250888937019</c:v>
                </c:pt>
                <c:pt idx="312">
                  <c:v>8.7030912028793779</c:v>
                </c:pt>
                <c:pt idx="313">
                  <c:v>8.8406421233933283</c:v>
                </c:pt>
                <c:pt idx="314">
                  <c:v>8.8809009293974128</c:v>
                </c:pt>
                <c:pt idx="315">
                  <c:v>8.9513538399045594</c:v>
                </c:pt>
                <c:pt idx="316">
                  <c:v>8.9614185414055783</c:v>
                </c:pt>
                <c:pt idx="317">
                  <c:v>8.904385232899795</c:v>
                </c:pt>
                <c:pt idx="318">
                  <c:v>8.8943205313987725</c:v>
                </c:pt>
                <c:pt idx="319">
                  <c:v>8.9245146359018364</c:v>
                </c:pt>
                <c:pt idx="320">
                  <c:v>8.9949675464089829</c:v>
                </c:pt>
                <c:pt idx="321">
                  <c:v>9.0821949594178299</c:v>
                </c:pt>
                <c:pt idx="322">
                  <c:v>9.1325184669229351</c:v>
                </c:pt>
                <c:pt idx="323">
                  <c:v>9.1861968749283793</c:v>
                </c:pt>
                <c:pt idx="324">
                  <c:v>9.2163909794314414</c:v>
                </c:pt>
                <c:pt idx="325">
                  <c:v>9.2197458799317822</c:v>
                </c:pt>
                <c:pt idx="326">
                  <c:v>9.226455680932462</c:v>
                </c:pt>
                <c:pt idx="327">
                  <c:v>9.2465850839345052</c:v>
                </c:pt>
                <c:pt idx="328">
                  <c:v>9.2600046859358649</c:v>
                </c:pt>
                <c:pt idx="329">
                  <c:v>9.2667144869365465</c:v>
                </c:pt>
                <c:pt idx="330">
                  <c:v>9.3036183924402884</c:v>
                </c:pt>
                <c:pt idx="331">
                  <c:v>9.3640066014464143</c:v>
                </c:pt>
                <c:pt idx="332">
                  <c:v>9.4512340144552613</c:v>
                </c:pt>
                <c:pt idx="333">
                  <c:v>9.5418163279644475</c:v>
                </c:pt>
                <c:pt idx="334">
                  <c:v>9.6323986414736371</c:v>
                </c:pt>
                <c:pt idx="335">
                  <c:v>9.7364005569841865</c:v>
                </c:pt>
                <c:pt idx="336">
                  <c:v>9.8672416764974571</c:v>
                </c:pt>
                <c:pt idx="337">
                  <c:v>9.9678886915076674</c:v>
                </c:pt>
                <c:pt idx="338">
                  <c:v>10.045051403015492</c:v>
                </c:pt>
                <c:pt idx="339">
                  <c:v>10.13563371652468</c:v>
                </c:pt>
                <c:pt idx="340">
                  <c:v>10.128923915524</c:v>
                </c:pt>
                <c:pt idx="341">
                  <c:v>10.179247423029103</c:v>
                </c:pt>
                <c:pt idx="342">
                  <c:v>10.236280731534888</c:v>
                </c:pt>
                <c:pt idx="343">
                  <c:v>10.303378741541694</c:v>
                </c:pt>
                <c:pt idx="344">
                  <c:v>10.393961055050882</c:v>
                </c:pt>
                <c:pt idx="345">
                  <c:v>10.508027672062454</c:v>
                </c:pt>
                <c:pt idx="346">
                  <c:v>10.648933493076743</c:v>
                </c:pt>
                <c:pt idx="347">
                  <c:v>10.729451105084911</c:v>
                </c:pt>
                <c:pt idx="348">
                  <c:v>10.769709911088995</c:v>
                </c:pt>
                <c:pt idx="349">
                  <c:v>10.823388319094439</c:v>
                </c:pt>
                <c:pt idx="350">
                  <c:v>10.890486329101245</c:v>
                </c:pt>
                <c:pt idx="351">
                  <c:v>10.964294140108731</c:v>
                </c:pt>
                <c:pt idx="352">
                  <c:v>11.044811752116898</c:v>
                </c:pt>
                <c:pt idx="353">
                  <c:v>11.125329364125065</c:v>
                </c:pt>
                <c:pt idx="354">
                  <c:v>11.215911677634253</c:v>
                </c:pt>
                <c:pt idx="355">
                  <c:v>11.309848891643782</c:v>
                </c:pt>
                <c:pt idx="356">
                  <c:v>11.393721404152288</c:v>
                </c:pt>
              </c:numCache>
            </c:numRef>
          </c:yVal>
          <c:smooth val="1"/>
          <c:extLst>
            <c:ext xmlns:c16="http://schemas.microsoft.com/office/drawing/2014/chart" uri="{C3380CC4-5D6E-409C-BE32-E72D297353CC}">
              <c16:uniqueId val="{00000001-BC75-4D85-9A83-ACFCB27567B6}"/>
            </c:ext>
          </c:extLst>
        </c:ser>
        <c:ser>
          <c:idx val="4"/>
          <c:order val="4"/>
          <c:tx>
            <c:v>Labels</c:v>
          </c:tx>
          <c:spPr>
            <a:ln w="19050" cap="rnd">
              <a:noFill/>
              <a:round/>
            </a:ln>
            <a:effectLst/>
          </c:spPr>
          <c:marker>
            <c:symbol val="none"/>
          </c:marker>
          <c:dLbls>
            <c:dLbl>
              <c:idx val="0"/>
              <c:tx>
                <c:rich>
                  <a:bodyPr/>
                  <a:lstStyle/>
                  <a:p>
                    <a:fld id="{5D0B0FEF-4C74-4154-9B2B-C28DBB2504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1A58-433B-A4C0-0CB972342F79}"/>
                </c:ext>
              </c:extLst>
            </c:dLbl>
            <c:dLbl>
              <c:idx val="1"/>
              <c:tx>
                <c:rich>
                  <a:bodyPr/>
                  <a:lstStyle/>
                  <a:p>
                    <a:fld id="{0812E9B5-D2B0-44BC-A959-06D8E0B761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A58-433B-A4C0-0CB972342F79}"/>
                </c:ext>
              </c:extLst>
            </c:dLbl>
            <c:dLbl>
              <c:idx val="2"/>
              <c:tx>
                <c:rich>
                  <a:bodyPr/>
                  <a:lstStyle/>
                  <a:p>
                    <a:fld id="{46A98CD1-BBCA-4201-B744-D08016E4EA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A58-433B-A4C0-0CB972342F79}"/>
                </c:ext>
              </c:extLst>
            </c:dLbl>
            <c:dLbl>
              <c:idx val="3"/>
              <c:tx>
                <c:rich>
                  <a:bodyPr/>
                  <a:lstStyle/>
                  <a:p>
                    <a:fld id="{C502E68E-F6BF-4797-A62C-0EB43592FD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A58-433B-A4C0-0CB972342F79}"/>
                </c:ext>
              </c:extLst>
            </c:dLbl>
            <c:dLbl>
              <c:idx val="4"/>
              <c:tx>
                <c:rich>
                  <a:bodyPr/>
                  <a:lstStyle/>
                  <a:p>
                    <a:fld id="{ACFAF35B-6C11-4E4C-8567-C4847CEABB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A58-433B-A4C0-0CB972342F79}"/>
                </c:ext>
              </c:extLst>
            </c:dLbl>
            <c:dLbl>
              <c:idx val="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1A58-433B-A4C0-0CB972342F79}"/>
                </c:ext>
              </c:extLst>
            </c:dLbl>
            <c:dLbl>
              <c:idx val="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1A58-433B-A4C0-0CB972342F79}"/>
                </c:ext>
              </c:extLst>
            </c:dLbl>
            <c:dLbl>
              <c:idx val="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1A58-433B-A4C0-0CB972342F79}"/>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1A58-433B-A4C0-0CB972342F79}"/>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1A58-433B-A4C0-0CB972342F79}"/>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1A58-433B-A4C0-0CB972342F79}"/>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1A58-433B-A4C0-0CB972342F79}"/>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1A58-433B-A4C0-0CB972342F79}"/>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1A58-433B-A4C0-0CB972342F79}"/>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1A58-433B-A4C0-0CB972342F79}"/>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1A58-433B-A4C0-0CB972342F79}"/>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1A58-433B-A4C0-0CB972342F79}"/>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1A58-433B-A4C0-0CB972342F79}"/>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1A58-433B-A4C0-0CB972342F79}"/>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1A58-433B-A4C0-0CB972342F79}"/>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1A58-433B-A4C0-0CB972342F79}"/>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1A58-433B-A4C0-0CB972342F79}"/>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1A58-433B-A4C0-0CB972342F79}"/>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1A58-433B-A4C0-0CB972342F79}"/>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1A58-433B-A4C0-0CB972342F79}"/>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1A58-433B-A4C0-0CB972342F79}"/>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1A58-433B-A4C0-0CB972342F79}"/>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1A58-433B-A4C0-0CB972342F79}"/>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1A58-433B-A4C0-0CB972342F79}"/>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1A58-433B-A4C0-0CB972342F79}"/>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1A58-433B-A4C0-0CB972342F79}"/>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1A58-433B-A4C0-0CB972342F79}"/>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1A58-433B-A4C0-0CB972342F79}"/>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1A58-433B-A4C0-0CB972342F79}"/>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1A58-433B-A4C0-0CB972342F79}"/>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1A58-433B-A4C0-0CB972342F79}"/>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1A58-433B-A4C0-0CB972342F79}"/>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1A58-433B-A4C0-0CB972342F79}"/>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1A58-433B-A4C0-0CB972342F79}"/>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1A58-433B-A4C0-0CB972342F79}"/>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1A58-433B-A4C0-0CB972342F79}"/>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1A58-433B-A4C0-0CB972342F79}"/>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1A58-433B-A4C0-0CB972342F79}"/>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1A58-433B-A4C0-0CB972342F79}"/>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1A58-433B-A4C0-0CB972342F79}"/>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1A58-433B-A4C0-0CB972342F79}"/>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1A58-433B-A4C0-0CB972342F79}"/>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1A58-433B-A4C0-0CB972342F79}"/>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1A58-433B-A4C0-0CB972342F79}"/>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1A58-433B-A4C0-0CB972342F79}"/>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1A58-433B-A4C0-0CB972342F79}"/>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1A58-433B-A4C0-0CB972342F79}"/>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1A58-433B-A4C0-0CB972342F79}"/>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1A58-433B-A4C0-0CB972342F79}"/>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1A58-433B-A4C0-0CB972342F79}"/>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1A58-433B-A4C0-0CB972342F79}"/>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1A58-433B-A4C0-0CB972342F79}"/>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1A58-433B-A4C0-0CB972342F79}"/>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1A58-433B-A4C0-0CB972342F79}"/>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1A58-433B-A4C0-0CB972342F79}"/>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1A58-433B-A4C0-0CB972342F79}"/>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1A58-433B-A4C0-0CB972342F79}"/>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1A58-433B-A4C0-0CB972342F79}"/>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1A58-433B-A4C0-0CB972342F79}"/>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1A58-433B-A4C0-0CB972342F79}"/>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1A58-433B-A4C0-0CB972342F79}"/>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1A58-433B-A4C0-0CB972342F79}"/>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1A58-433B-A4C0-0CB972342F79}"/>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1A58-433B-A4C0-0CB972342F79}"/>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1A58-433B-A4C0-0CB972342F79}"/>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1A58-433B-A4C0-0CB972342F79}"/>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1A58-433B-A4C0-0CB972342F79}"/>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1A58-433B-A4C0-0CB972342F79}"/>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1A58-433B-A4C0-0CB972342F79}"/>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1A58-433B-A4C0-0CB972342F79}"/>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1A58-433B-A4C0-0CB972342F79}"/>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1A58-433B-A4C0-0CB972342F79}"/>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1A58-433B-A4C0-0CB972342F79}"/>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1A58-433B-A4C0-0CB972342F79}"/>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1A58-433B-A4C0-0CB972342F79}"/>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1A58-433B-A4C0-0CB972342F79}"/>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1A58-433B-A4C0-0CB972342F79}"/>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1A58-433B-A4C0-0CB972342F79}"/>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1A58-433B-A4C0-0CB972342F79}"/>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1A58-433B-A4C0-0CB972342F79}"/>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1A58-433B-A4C0-0CB972342F79}"/>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1A58-433B-A4C0-0CB972342F79}"/>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1A58-433B-A4C0-0CB972342F79}"/>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1A58-433B-A4C0-0CB972342F79}"/>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1A58-433B-A4C0-0CB972342F79}"/>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1A58-433B-A4C0-0CB972342F79}"/>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1A58-433B-A4C0-0CB972342F79}"/>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1A58-433B-A4C0-0CB972342F79}"/>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1A58-433B-A4C0-0CB972342F79}"/>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1A58-433B-A4C0-0CB972342F79}"/>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1A58-433B-A4C0-0CB972342F79}"/>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1A58-433B-A4C0-0CB972342F79}"/>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1A58-433B-A4C0-0CB972342F79}"/>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1A58-433B-A4C0-0CB972342F79}"/>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1A58-433B-A4C0-0CB972342F79}"/>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2.5408249999999999</c:v>
                </c:pt>
                <c:pt idx="1">
                  <c:v>4.3956619999999997</c:v>
                </c:pt>
                <c:pt idx="2">
                  <c:v>5.3979059999999999</c:v>
                </c:pt>
                <c:pt idx="3">
                  <c:v>10.542809</c:v>
                </c:pt>
                <c:pt idx="4">
                  <c:v>10.948926999999999</c:v>
                </c:pt>
              </c:numCache>
            </c:numRef>
          </c:xVal>
          <c:yVal>
            <c:numRef>
              <c:f>Peaks!$R$5:$R$104</c:f>
              <c:numCache>
                <c:formatCode>0.0</c:formatCode>
                <c:ptCount val="100"/>
                <c:pt idx="0">
                  <c:v>14.692385324341682</c:v>
                </c:pt>
                <c:pt idx="1">
                  <c:v>100</c:v>
                </c:pt>
                <c:pt idx="2">
                  <c:v>94.011702451640005</c:v>
                </c:pt>
                <c:pt idx="3">
                  <c:v>9.157000983576701</c:v>
                </c:pt>
                <c:pt idx="4">
                  <c:v>19.099282999966764</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15:dlblRangeCache>
              </c15:datalabelsRange>
            </c:ext>
            <c:ext xmlns:c16="http://schemas.microsoft.com/office/drawing/2014/chart" uri="{C3380CC4-5D6E-409C-BE32-E72D297353CC}">
              <c16:uniqueId val="{00000002-BC75-4D85-9A83-ACFCB27567B6}"/>
            </c:ext>
          </c:extLst>
        </c:ser>
        <c:dLbls>
          <c:showLegendKey val="0"/>
          <c:showVal val="0"/>
          <c:showCatName val="0"/>
          <c:showSerName val="0"/>
          <c:showPercent val="0"/>
          <c:showBubbleSize val="0"/>
        </c:dLbls>
        <c:axId val="1816206016"/>
        <c:axId val="1816206560"/>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BC75-4D85-9A83-ACFCB27567B6}"/>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BC75-4D85-9A83-ACFCB27567B6}"/>
            </c:ext>
          </c:extLst>
        </c:ser>
        <c:dLbls>
          <c:showLegendKey val="0"/>
          <c:showVal val="0"/>
          <c:showCatName val="0"/>
          <c:showSerName val="0"/>
          <c:showPercent val="0"/>
          <c:showBubbleSize val="0"/>
        </c:dLbls>
        <c:axId val="1816209280"/>
        <c:axId val="1816207104"/>
      </c:scatterChart>
      <c:valAx>
        <c:axId val="1816206016"/>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r>
                  <a:rPr lang="en-AU" sz="1200">
                    <a:solidFill>
                      <a:schemeClr val="tx1"/>
                    </a:solidFill>
                    <a:latin typeface="Arial" panose="020B0604020202020204" pitchFamily="34" charset="0"/>
                    <a:cs typeface="Arial" panose="020B0604020202020204" pitchFamily="34" charset="0"/>
                  </a:rPr>
                  <a:t>Retention</a:t>
                </a:r>
                <a:r>
                  <a:rPr lang="en-AU" sz="1200" baseline="0">
                    <a:solidFill>
                      <a:schemeClr val="tx1"/>
                    </a:solidFill>
                    <a:latin typeface="Arial" panose="020B0604020202020204" pitchFamily="34" charset="0"/>
                    <a:cs typeface="Arial" panose="020B0604020202020204" pitchFamily="34" charset="0"/>
                  </a:rPr>
                  <a:t> Time (min)</a:t>
                </a:r>
                <a:endParaRPr lang="en-AU" sz="12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6560"/>
        <c:crosses val="autoZero"/>
        <c:crossBetween val="midCat"/>
        <c:majorUnit val="0.5"/>
      </c:valAx>
      <c:valAx>
        <c:axId val="1816206560"/>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6016"/>
        <c:crosses val="autoZero"/>
        <c:crossBetween val="midCat"/>
        <c:majorUnit val="20"/>
        <c:minorUnit val="5"/>
      </c:valAx>
      <c:valAx>
        <c:axId val="1816207104"/>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09280"/>
        <c:crosses val="max"/>
        <c:crossBetween val="midCat"/>
        <c:minorUnit val="5"/>
      </c:valAx>
      <c:valAx>
        <c:axId val="1816209280"/>
        <c:scaling>
          <c:orientation val="minMax"/>
        </c:scaling>
        <c:delete val="1"/>
        <c:axPos val="b"/>
        <c:numFmt formatCode="General" sourceLinked="1"/>
        <c:majorTickMark val="out"/>
        <c:minorTickMark val="none"/>
        <c:tickLblPos val="nextTo"/>
        <c:crossAx val="1816207104"/>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2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2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200" b="0" i="0" u="none" strike="noStrike" kern="1200" baseline="0">
                <a:noFill/>
                <a:latin typeface="Arial" panose="020B0604020202020204" pitchFamily="34" charset="0"/>
                <a:ea typeface="+mn-ea"/>
                <a:cs typeface="Arial" panose="020B0604020202020204" pitchFamily="34" charset="0"/>
              </a:defRPr>
            </a:pPr>
            <a:endParaRPr lang="en-US"/>
          </a:p>
        </c:txPr>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1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sz="1100">
                <a:solidFill>
                  <a:schemeClr val="tx1"/>
                </a:solidFill>
                <a:latin typeface="Arial" panose="020B0604020202020204" pitchFamily="34" charset="0"/>
                <a:cs typeface="Arial" panose="020B0604020202020204" pitchFamily="34" charset="0"/>
              </a:rPr>
              <a:t>ID</a:t>
            </a:r>
          </a:p>
        </c:rich>
      </c:tx>
      <c:layout>
        <c:manualLayout>
          <c:xMode val="edge"/>
          <c:yMode val="edge"/>
          <c:x val="0.76368499125865907"/>
          <c:y val="0.10296010296010295"/>
        </c:manualLayout>
      </c:layout>
      <c:overlay val="0"/>
      <c:spPr>
        <a:noFill/>
        <a:ln>
          <a:noFill/>
        </a:ln>
        <a:effectLst/>
      </c:spPr>
      <c:txPr>
        <a:bodyPr rot="0" spcFirstLastPara="1" vertOverflow="ellipsis" vert="horz" wrap="square" anchor="ctr" anchorCtr="1"/>
        <a:lstStyle/>
        <a:p>
          <a:pPr algn="r">
            <a:defRPr sz="11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100</c:v>
                </c:pt>
                <c:pt idx="1">
                  <c:v>84.18011474609375</c:v>
                </c:pt>
                <c:pt idx="2">
                  <c:v>70.125495910644531</c:v>
                </c:pt>
                <c:pt idx="3">
                  <c:v>59.003433227539063</c:v>
                </c:pt>
                <c:pt idx="4">
                  <c:v>51.549526214599609</c:v>
                </c:pt>
                <c:pt idx="5">
                  <c:v>47.429611206054688</c:v>
                </c:pt>
                <c:pt idx="6">
                  <c:v>46.082263946533203</c:v>
                </c:pt>
                <c:pt idx="7">
                  <c:v>47.040214538574219</c:v>
                </c:pt>
                <c:pt idx="8">
                  <c:v>48.897247314453125</c:v>
                </c:pt>
                <c:pt idx="9">
                  <c:v>50.815036773681641</c:v>
                </c:pt>
                <c:pt idx="10">
                  <c:v>52.408370971679688</c:v>
                </c:pt>
                <c:pt idx="11">
                  <c:v>53.289295196533203</c:v>
                </c:pt>
                <c:pt idx="12">
                  <c:v>52.763526916503906</c:v>
                </c:pt>
                <c:pt idx="13">
                  <c:v>50.994796752929688</c:v>
                </c:pt>
                <c:pt idx="14">
                  <c:v>48.249614715576172</c:v>
                </c:pt>
                <c:pt idx="15">
                  <c:v>44.738803863525391</c:v>
                </c:pt>
                <c:pt idx="16">
                  <c:v>40.727088928222656</c:v>
                </c:pt>
                <c:pt idx="17">
                  <c:v>36.107898712158203</c:v>
                </c:pt>
                <c:pt idx="18">
                  <c:v>31.441665649414063</c:v>
                </c:pt>
                <c:pt idx="19">
                  <c:v>27.282987594604492</c:v>
                </c:pt>
                <c:pt idx="20">
                  <c:v>24.380807876586914</c:v>
                </c:pt>
                <c:pt idx="21">
                  <c:v>22.538333892822266</c:v>
                </c:pt>
                <c:pt idx="22">
                  <c:v>21.357892990112305</c:v>
                </c:pt>
                <c:pt idx="23">
                  <c:v>20.584510803222656</c:v>
                </c:pt>
                <c:pt idx="24">
                  <c:v>19.988075256347656</c:v>
                </c:pt>
                <c:pt idx="25">
                  <c:v>19.691131591796875</c:v>
                </c:pt>
                <c:pt idx="26">
                  <c:v>19.547588348388672</c:v>
                </c:pt>
                <c:pt idx="27">
                  <c:v>19.469350814819336</c:v>
                </c:pt>
                <c:pt idx="28">
                  <c:v>19.703300476074219</c:v>
                </c:pt>
                <c:pt idx="29">
                  <c:v>19.98841667175293</c:v>
                </c:pt>
                <c:pt idx="30">
                  <c:v>20.135692596435547</c:v>
                </c:pt>
                <c:pt idx="31">
                  <c:v>20.065261840820313</c:v>
                </c:pt>
                <c:pt idx="32">
                  <c:v>19.59925651550293</c:v>
                </c:pt>
                <c:pt idx="33">
                  <c:v>18.835597991943359</c:v>
                </c:pt>
                <c:pt idx="34">
                  <c:v>17.711711883544922</c:v>
                </c:pt>
                <c:pt idx="35">
                  <c:v>16.426517486572266</c:v>
                </c:pt>
                <c:pt idx="36">
                  <c:v>15.145421981811523</c:v>
                </c:pt>
                <c:pt idx="37">
                  <c:v>13.563967704772949</c:v>
                </c:pt>
                <c:pt idx="38">
                  <c:v>12.246026992797852</c:v>
                </c:pt>
                <c:pt idx="39">
                  <c:v>11.451462745666504</c:v>
                </c:pt>
                <c:pt idx="40">
                  <c:v>11.229602813720703</c:v>
                </c:pt>
                <c:pt idx="41">
                  <c:v>11.388941764831543</c:v>
                </c:pt>
                <c:pt idx="42">
                  <c:v>11.870951652526855</c:v>
                </c:pt>
                <c:pt idx="43">
                  <c:v>12.398769378662109</c:v>
                </c:pt>
                <c:pt idx="44">
                  <c:v>12.665936470031738</c:v>
                </c:pt>
                <c:pt idx="45">
                  <c:v>13.123716354370117</c:v>
                </c:pt>
                <c:pt idx="46">
                  <c:v>13.52044677734375</c:v>
                </c:pt>
                <c:pt idx="47">
                  <c:v>13.790058135986328</c:v>
                </c:pt>
                <c:pt idx="48">
                  <c:v>14.007555961608887</c:v>
                </c:pt>
                <c:pt idx="49">
                  <c:v>14.115174293518066</c:v>
                </c:pt>
                <c:pt idx="50">
                  <c:v>14.233962059020996</c:v>
                </c:pt>
                <c:pt idx="51">
                  <c:v>14.144949913024902</c:v>
                </c:pt>
                <c:pt idx="52">
                  <c:v>13.925113677978516</c:v>
                </c:pt>
                <c:pt idx="53">
                  <c:v>13.89478588104248</c:v>
                </c:pt>
                <c:pt idx="54">
                  <c:v>13.800413131713867</c:v>
                </c:pt>
                <c:pt idx="55">
                  <c:v>13.546648979187012</c:v>
                </c:pt>
                <c:pt idx="56">
                  <c:v>13.40252685546875</c:v>
                </c:pt>
                <c:pt idx="57">
                  <c:v>12.990133285522461</c:v>
                </c:pt>
                <c:pt idx="58">
                  <c:v>12.532431602478027</c:v>
                </c:pt>
                <c:pt idx="59">
                  <c:v>12.189682006835938</c:v>
                </c:pt>
                <c:pt idx="60">
                  <c:v>11.90593147277832</c:v>
                </c:pt>
                <c:pt idx="61">
                  <c:v>11.61529541015625</c:v>
                </c:pt>
                <c:pt idx="62">
                  <c:v>11.050370216369629</c:v>
                </c:pt>
                <c:pt idx="63">
                  <c:v>10.438692092895508</c:v>
                </c:pt>
                <c:pt idx="64">
                  <c:v>9.9723176956176758</c:v>
                </c:pt>
                <c:pt idx="65">
                  <c:v>9.5816326141357422</c:v>
                </c:pt>
                <c:pt idx="66">
                  <c:v>9.2963838577270508</c:v>
                </c:pt>
                <c:pt idx="67">
                  <c:v>8.9581279754638672</c:v>
                </c:pt>
                <c:pt idx="68">
                  <c:v>8.5663118362426758</c:v>
                </c:pt>
                <c:pt idx="69">
                  <c:v>8.3851871490478516</c:v>
                </c:pt>
                <c:pt idx="70">
                  <c:v>8.1467170715332031</c:v>
                </c:pt>
                <c:pt idx="71">
                  <c:v>7.7838363647460938</c:v>
                </c:pt>
                <c:pt idx="72">
                  <c:v>7.607231616973877</c:v>
                </c:pt>
                <c:pt idx="73">
                  <c:v>7.7186083793640137</c:v>
                </c:pt>
                <c:pt idx="74">
                  <c:v>7.8296170234680176</c:v>
                </c:pt>
                <c:pt idx="75">
                  <c:v>7.5830798149108887</c:v>
                </c:pt>
                <c:pt idx="76">
                  <c:v>7.2687125205993652</c:v>
                </c:pt>
                <c:pt idx="77">
                  <c:v>7.3096837997436523</c:v>
                </c:pt>
                <c:pt idx="78">
                  <c:v>7.1933403015136719</c:v>
                </c:pt>
                <c:pt idx="79">
                  <c:v>6.8575019836425781</c:v>
                </c:pt>
                <c:pt idx="80">
                  <c:v>6.6767973899841309</c:v>
                </c:pt>
                <c:pt idx="81">
                  <c:v>6.616877555847168</c:v>
                </c:pt>
                <c:pt idx="82">
                  <c:v>6.51690673828125</c:v>
                </c:pt>
                <c:pt idx="83">
                  <c:v>6.4993777275085449</c:v>
                </c:pt>
                <c:pt idx="84">
                  <c:v>6.4270534515380859</c:v>
                </c:pt>
                <c:pt idx="85">
                  <c:v>6.5041871070861816</c:v>
                </c:pt>
                <c:pt idx="86">
                  <c:v>6.466789722442627</c:v>
                </c:pt>
                <c:pt idx="87">
                  <c:v>6.2799615859985352</c:v>
                </c:pt>
                <c:pt idx="88">
                  <c:v>6.2287149429321289</c:v>
                </c:pt>
                <c:pt idx="89">
                  <c:v>6.3807735443115234</c:v>
                </c:pt>
                <c:pt idx="90">
                  <c:v>6.3785400390625</c:v>
                </c:pt>
                <c:pt idx="91">
                  <c:v>6.0757884979248047</c:v>
                </c:pt>
                <c:pt idx="92">
                  <c:v>6.2021188735961914</c:v>
                </c:pt>
                <c:pt idx="93">
                  <c:v>6.5810046195983887</c:v>
                </c:pt>
                <c:pt idx="94">
                  <c:v>6.9871959686279297</c:v>
                </c:pt>
                <c:pt idx="95">
                  <c:v>7.187164306640625</c:v>
                </c:pt>
                <c:pt idx="96">
                  <c:v>6.7465720176696777</c:v>
                </c:pt>
                <c:pt idx="97">
                  <c:v>6.5719904899597168</c:v>
                </c:pt>
                <c:pt idx="98">
                  <c:v>6.5709128379821777</c:v>
                </c:pt>
                <c:pt idx="99">
                  <c:v>6.5246858596801758</c:v>
                </c:pt>
                <c:pt idx="100">
                  <c:v>6.4251875877380371</c:v>
                </c:pt>
                <c:pt idx="101">
                  <c:v>6.0945529937744141</c:v>
                </c:pt>
                <c:pt idx="102">
                  <c:v>5.9875388145446777</c:v>
                </c:pt>
                <c:pt idx="103">
                  <c:v>6.582240104675293</c:v>
                </c:pt>
                <c:pt idx="104">
                  <c:v>6.686521053314209</c:v>
                </c:pt>
                <c:pt idx="105">
                  <c:v>6.5896248817443848</c:v>
                </c:pt>
                <c:pt idx="106">
                  <c:v>7.0170245170593262</c:v>
                </c:pt>
                <c:pt idx="107">
                  <c:v>7.148505687713623</c:v>
                </c:pt>
                <c:pt idx="108">
                  <c:v>7.1421718597412109</c:v>
                </c:pt>
                <c:pt idx="109">
                  <c:v>7.1906332969665527</c:v>
                </c:pt>
                <c:pt idx="110">
                  <c:v>7.225165843963623</c:v>
                </c:pt>
                <c:pt idx="111">
                  <c:v>7.2228794097900391</c:v>
                </c:pt>
                <c:pt idx="112">
                  <c:v>7.3236651420593262</c:v>
                </c:pt>
                <c:pt idx="113">
                  <c:v>7.2716035842895508</c:v>
                </c:pt>
                <c:pt idx="114">
                  <c:v>7.1438016891479492</c:v>
                </c:pt>
                <c:pt idx="115">
                  <c:v>7.294677734375</c:v>
                </c:pt>
                <c:pt idx="116">
                  <c:v>7.3227190971374512</c:v>
                </c:pt>
                <c:pt idx="117">
                  <c:v>7.252655029296875</c:v>
                </c:pt>
                <c:pt idx="118">
                  <c:v>7.0300593376159668</c:v>
                </c:pt>
                <c:pt idx="119">
                  <c:v>7.2886857986450195</c:v>
                </c:pt>
                <c:pt idx="120">
                  <c:v>7.5180883407592773</c:v>
                </c:pt>
                <c:pt idx="121">
                  <c:v>6.8993139266967773</c:v>
                </c:pt>
                <c:pt idx="122">
                  <c:v>6.8212084770202637</c:v>
                </c:pt>
                <c:pt idx="123">
                  <c:v>6.8654384613037109</c:v>
                </c:pt>
                <c:pt idx="124">
                  <c:v>6.5031356811523438</c:v>
                </c:pt>
                <c:pt idx="125">
                  <c:v>7.1367321014404297</c:v>
                </c:pt>
                <c:pt idx="126">
                  <c:v>7.721341609954834</c:v>
                </c:pt>
                <c:pt idx="127">
                  <c:v>7.3530206680297852</c:v>
                </c:pt>
                <c:pt idx="128">
                  <c:v>6.6270480155944824</c:v>
                </c:pt>
                <c:pt idx="129">
                  <c:v>6.3965945243835449</c:v>
                </c:pt>
                <c:pt idx="130">
                  <c:v>6.9895610809326172</c:v>
                </c:pt>
                <c:pt idx="131">
                  <c:v>7.2385163307189941</c:v>
                </c:pt>
                <c:pt idx="132">
                  <c:v>6.8305907249450684</c:v>
                </c:pt>
                <c:pt idx="133">
                  <c:v>6.3574891090393066</c:v>
                </c:pt>
                <c:pt idx="134">
                  <c:v>5.4524154663085938</c:v>
                </c:pt>
                <c:pt idx="135">
                  <c:v>5.2777814865112305</c:v>
                </c:pt>
                <c:pt idx="136">
                  <c:v>4.9807066917419434</c:v>
                </c:pt>
                <c:pt idx="137">
                  <c:v>5.1473512649536133</c:v>
                </c:pt>
                <c:pt idx="138">
                  <c:v>6.1421732902526855</c:v>
                </c:pt>
                <c:pt idx="139">
                  <c:v>6.2625904083251953</c:v>
                </c:pt>
                <c:pt idx="140">
                  <c:v>6.8066492080688477</c:v>
                </c:pt>
                <c:pt idx="141">
                  <c:v>7.2889747619628906</c:v>
                </c:pt>
                <c:pt idx="142">
                  <c:v>6.1582040786743164</c:v>
                </c:pt>
                <c:pt idx="143">
                  <c:v>5.6540918350219727</c:v>
                </c:pt>
                <c:pt idx="144">
                  <c:v>6.226165771484375</c:v>
                </c:pt>
                <c:pt idx="145">
                  <c:v>5.5975098609924316</c:v>
                </c:pt>
                <c:pt idx="146">
                  <c:v>2.2531862258911133</c:v>
                </c:pt>
                <c:pt idx="147">
                  <c:v>2</c:v>
                </c:pt>
                <c:pt idx="148">
                  <c:v>3.1076176166534424</c:v>
                </c:pt>
                <c:pt idx="149">
                  <c:v>3.8820247650146484</c:v>
                </c:pt>
                <c:pt idx="150">
                  <c:v>5.8230752944946289</c:v>
                </c:pt>
                <c:pt idx="151">
                  <c:v>6.1074042320251465</c:v>
                </c:pt>
                <c:pt idx="152">
                  <c:v>6.0666694641113281</c:v>
                </c:pt>
                <c:pt idx="153">
                  <c:v>5.5372753143310547</c:v>
                </c:pt>
                <c:pt idx="154">
                  <c:v>5.1534748077392578</c:v>
                </c:pt>
                <c:pt idx="155">
                  <c:v>5.1610174179077148</c:v>
                </c:pt>
                <c:pt idx="156">
                  <c:v>5.5276041030883789</c:v>
                </c:pt>
                <c:pt idx="157">
                  <c:v>5.4497346878051758</c:v>
                </c:pt>
                <c:pt idx="158">
                  <c:v>4.4923892021179199</c:v>
                </c:pt>
                <c:pt idx="159">
                  <c:v>5.000180721282959</c:v>
                </c:pt>
                <c:pt idx="160">
                  <c:v>5.7788190841674805</c:v>
                </c:pt>
                <c:pt idx="161">
                  <c:v>5.3262166976928711</c:v>
                </c:pt>
                <c:pt idx="162">
                  <c:v>5.8426542282104492</c:v>
                </c:pt>
                <c:pt idx="163">
                  <c:v>5.8981060981750488</c:v>
                </c:pt>
                <c:pt idx="164">
                  <c:v>5.0324530601501465</c:v>
                </c:pt>
                <c:pt idx="165">
                  <c:v>5.3751506805419922</c:v>
                </c:pt>
                <c:pt idx="166">
                  <c:v>4.3275318145751953</c:v>
                </c:pt>
                <c:pt idx="167">
                  <c:v>5.123988151550293</c:v>
                </c:pt>
                <c:pt idx="168">
                  <c:v>6.0679306983947754</c:v>
                </c:pt>
                <c:pt idx="169">
                  <c:v>5.445319652557373</c:v>
                </c:pt>
                <c:pt idx="170">
                  <c:v>6.6300969123840332</c:v>
                </c:pt>
                <c:pt idx="171">
                  <c:v>4.8713798522949219</c:v>
                </c:pt>
                <c:pt idx="172">
                  <c:v>4.9176335334777832</c:v>
                </c:pt>
                <c:pt idx="173">
                  <c:v>5.2307133674621582</c:v>
                </c:pt>
                <c:pt idx="174">
                  <c:v>5.4847140312194824</c:v>
                </c:pt>
                <c:pt idx="175">
                  <c:v>5.2878208160400391</c:v>
                </c:pt>
                <c:pt idx="176">
                  <c:v>5.4765410423278809</c:v>
                </c:pt>
                <c:pt idx="177">
                  <c:v>6.5676279067993164</c:v>
                </c:pt>
                <c:pt idx="178">
                  <c:v>5.9900617599487305</c:v>
                </c:pt>
                <c:pt idx="179">
                  <c:v>5.338200569152832</c:v>
                </c:pt>
                <c:pt idx="180">
                  <c:v>4.9910612106323242</c:v>
                </c:pt>
                <c:pt idx="181">
                  <c:v>5.5374326705932617</c:v>
                </c:pt>
                <c:pt idx="182">
                  <c:v>5.5608749389648438</c:v>
                </c:pt>
                <c:pt idx="183">
                  <c:v>4.2474288940429688</c:v>
                </c:pt>
                <c:pt idx="184">
                  <c:v>4.0272245407104492</c:v>
                </c:pt>
                <c:pt idx="185">
                  <c:v>5.4951739311218262</c:v>
                </c:pt>
                <c:pt idx="186">
                  <c:v>6.3324174880981445</c:v>
                </c:pt>
                <c:pt idx="187">
                  <c:v>6.3358602523803711</c:v>
                </c:pt>
                <c:pt idx="188">
                  <c:v>4.726837158203125</c:v>
                </c:pt>
                <c:pt idx="189">
                  <c:v>5.592832088470459</c:v>
                </c:pt>
                <c:pt idx="190">
                  <c:v>5.4644780158996582</c:v>
                </c:pt>
                <c:pt idx="191">
                  <c:v>3.7108335494995117</c:v>
                </c:pt>
                <c:pt idx="192">
                  <c:v>4.3872408866882324</c:v>
                </c:pt>
                <c:pt idx="193">
                  <c:v>4.179572582244873</c:v>
                </c:pt>
                <c:pt idx="194">
                  <c:v>6.1188888549804688</c:v>
                </c:pt>
                <c:pt idx="195">
                  <c:v>5.2779130935668945</c:v>
                </c:pt>
                <c:pt idx="196">
                  <c:v>7.3874478340148926</c:v>
                </c:pt>
                <c:pt idx="197">
                  <c:v>6.6446561813354492</c:v>
                </c:pt>
                <c:pt idx="198">
                  <c:v>5.5963797569274902</c:v>
                </c:pt>
                <c:pt idx="199">
                  <c:v>5.5430569648742676</c:v>
                </c:pt>
                <c:pt idx="200">
                  <c:v>6.4304437637329102</c:v>
                </c:pt>
                <c:pt idx="201">
                  <c:v>5.8880410194396973</c:v>
                </c:pt>
                <c:pt idx="202">
                  <c:v>3.3732607364654541</c:v>
                </c:pt>
                <c:pt idx="203">
                  <c:v>5.5298113822937012</c:v>
                </c:pt>
                <c:pt idx="204">
                  <c:v>4.8334312438964844</c:v>
                </c:pt>
                <c:pt idx="205">
                  <c:v>7.0912928581237793</c:v>
                </c:pt>
                <c:pt idx="206">
                  <c:v>4.6551704406738281</c:v>
                </c:pt>
                <c:pt idx="207">
                  <c:v>7.4482607841491699</c:v>
                </c:pt>
                <c:pt idx="208">
                  <c:v>4.9938998222351074</c:v>
                </c:pt>
                <c:pt idx="209">
                  <c:v>5.2579135894775391</c:v>
                </c:pt>
                <c:pt idx="210">
                  <c:v>4.8412628173828125</c:v>
                </c:pt>
                <c:pt idx="211">
                  <c:v>3.2873497009277344</c:v>
                </c:pt>
                <c:pt idx="212">
                  <c:v>6.448209285736084</c:v>
                </c:pt>
                <c:pt idx="213">
                  <c:v>4.8094897270202637</c:v>
                </c:pt>
                <c:pt idx="214">
                  <c:v>6.7420516014099121</c:v>
                </c:pt>
                <c:pt idx="215">
                  <c:v>3.6670241355895996</c:v>
                </c:pt>
                <c:pt idx="216">
                  <c:v>5.2522892951965332</c:v>
                </c:pt>
                <c:pt idx="217">
                  <c:v>5.4456348419189453</c:v>
                </c:pt>
                <c:pt idx="218">
                  <c:v>4.2843003273010254</c:v>
                </c:pt>
                <c:pt idx="219">
                  <c:v>7.5196914672851563</c:v>
                </c:pt>
                <c:pt idx="220">
                  <c:v>3.2866401672363281</c:v>
                </c:pt>
                <c:pt idx="221">
                  <c:v>7.0273261070251465</c:v>
                </c:pt>
                <c:pt idx="222">
                  <c:v>4.775719165802002</c:v>
                </c:pt>
                <c:pt idx="223">
                  <c:v>3.1284580230712891</c:v>
                </c:pt>
                <c:pt idx="224">
                  <c:v>7.8455958366394043</c:v>
                </c:pt>
                <c:pt idx="225">
                  <c:v>2.7694401741027832</c:v>
                </c:pt>
              </c:numCache>
            </c:numRef>
          </c:yVal>
          <c:smooth val="1"/>
          <c:extLst>
            <c:ext xmlns:c16="http://schemas.microsoft.com/office/drawing/2014/chart" uri="{C3380CC4-5D6E-409C-BE32-E72D297353CC}">
              <c16:uniqueId val="{00000000-58F6-4830-8941-1011DB88381F}"/>
            </c:ext>
          </c:extLst>
        </c:ser>
        <c:ser>
          <c:idx val="1"/>
          <c:order val="1"/>
          <c:tx>
            <c:v>2</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55.889392852783203</c:v>
                </c:pt>
                <c:pt idx="1">
                  <c:v>54.661392211914063</c:v>
                </c:pt>
                <c:pt idx="2">
                  <c:v>53.409122467041016</c:v>
                </c:pt>
                <c:pt idx="3">
                  <c:v>52.62017822265625</c:v>
                </c:pt>
                <c:pt idx="4">
                  <c:v>52.760089874267578</c:v>
                </c:pt>
                <c:pt idx="5">
                  <c:v>54.649894714355469</c:v>
                </c:pt>
                <c:pt idx="6">
                  <c:v>59.084308624267578</c:v>
                </c:pt>
                <c:pt idx="7">
                  <c:v>66.044105529785156</c:v>
                </c:pt>
                <c:pt idx="8">
                  <c:v>74.592208862304688</c:v>
                </c:pt>
                <c:pt idx="9">
                  <c:v>83.886405944824219</c:v>
                </c:pt>
                <c:pt idx="10">
                  <c:v>91.923873901367188</c:v>
                </c:pt>
                <c:pt idx="11">
                  <c:v>97.599861145019531</c:v>
                </c:pt>
                <c:pt idx="12">
                  <c:v>99.999992370605469</c:v>
                </c:pt>
                <c:pt idx="13">
                  <c:v>99.147613525390625</c:v>
                </c:pt>
                <c:pt idx="14">
                  <c:v>96.001640319824219</c:v>
                </c:pt>
                <c:pt idx="15">
                  <c:v>91.216896057128906</c:v>
                </c:pt>
                <c:pt idx="16">
                  <c:v>84.376785278320313</c:v>
                </c:pt>
                <c:pt idx="17">
                  <c:v>74.724876403808594</c:v>
                </c:pt>
                <c:pt idx="18">
                  <c:v>63.507514953613281</c:v>
                </c:pt>
                <c:pt idx="19">
                  <c:v>52.920326232910156</c:v>
                </c:pt>
                <c:pt idx="20">
                  <c:v>45.275135040283203</c:v>
                </c:pt>
                <c:pt idx="21">
                  <c:v>40.417812347412109</c:v>
                </c:pt>
                <c:pt idx="22">
                  <c:v>37.616847991943359</c:v>
                </c:pt>
                <c:pt idx="23">
                  <c:v>36.10894775390625</c:v>
                </c:pt>
                <c:pt idx="24">
                  <c:v>35.096569061279297</c:v>
                </c:pt>
                <c:pt idx="25">
                  <c:v>34.322574615478516</c:v>
                </c:pt>
                <c:pt idx="26">
                  <c:v>33.780612945556641</c:v>
                </c:pt>
                <c:pt idx="27">
                  <c:v>33.775867462158203</c:v>
                </c:pt>
                <c:pt idx="28">
                  <c:v>34.368484497070313</c:v>
                </c:pt>
                <c:pt idx="29">
                  <c:v>35.213302612304688</c:v>
                </c:pt>
                <c:pt idx="30">
                  <c:v>35.714405059814453</c:v>
                </c:pt>
                <c:pt idx="31">
                  <c:v>35.283885955810547</c:v>
                </c:pt>
                <c:pt idx="32">
                  <c:v>33.833145141601563</c:v>
                </c:pt>
                <c:pt idx="33">
                  <c:v>31.509349822998047</c:v>
                </c:pt>
                <c:pt idx="34">
                  <c:v>28.506931304931641</c:v>
                </c:pt>
                <c:pt idx="35">
                  <c:v>24.691051483154297</c:v>
                </c:pt>
                <c:pt idx="36">
                  <c:v>20.286096572875977</c:v>
                </c:pt>
                <c:pt idx="37">
                  <c:v>15.727624893188477</c:v>
                </c:pt>
                <c:pt idx="38">
                  <c:v>11.927992820739746</c:v>
                </c:pt>
                <c:pt idx="39">
                  <c:v>9.3046045303344727</c:v>
                </c:pt>
                <c:pt idx="40">
                  <c:v>8.0070362091064453</c:v>
                </c:pt>
                <c:pt idx="41">
                  <c:v>7.6428713798522949</c:v>
                </c:pt>
                <c:pt idx="42">
                  <c:v>7.7787976264953613</c:v>
                </c:pt>
                <c:pt idx="43">
                  <c:v>8.1862096786499023</c:v>
                </c:pt>
                <c:pt idx="44">
                  <c:v>8.6800346374511719</c:v>
                </c:pt>
                <c:pt idx="45">
                  <c:v>9.2260665893554688</c:v>
                </c:pt>
                <c:pt idx="46">
                  <c:v>9.7816505432128906</c:v>
                </c:pt>
                <c:pt idx="47">
                  <c:v>10.313471794128418</c:v>
                </c:pt>
                <c:pt idx="48">
                  <c:v>10.774637222290039</c:v>
                </c:pt>
                <c:pt idx="49">
                  <c:v>11.173943519592285</c:v>
                </c:pt>
                <c:pt idx="50">
                  <c:v>11.533088684082031</c:v>
                </c:pt>
                <c:pt idx="51">
                  <c:v>11.871551513671875</c:v>
                </c:pt>
                <c:pt idx="52">
                  <c:v>12.276987075805664</c:v>
                </c:pt>
                <c:pt idx="53">
                  <c:v>12.740976333618164</c:v>
                </c:pt>
                <c:pt idx="54">
                  <c:v>13.216762542724609</c:v>
                </c:pt>
                <c:pt idx="55">
                  <c:v>13.719448089599609</c:v>
                </c:pt>
                <c:pt idx="56">
                  <c:v>14.22400951385498</c:v>
                </c:pt>
                <c:pt idx="57">
                  <c:v>14.646254539489746</c:v>
                </c:pt>
                <c:pt idx="58">
                  <c:v>14.940304756164551</c:v>
                </c:pt>
                <c:pt idx="59">
                  <c:v>15.047256469726563</c:v>
                </c:pt>
                <c:pt idx="60">
                  <c:v>15.024728775024414</c:v>
                </c:pt>
                <c:pt idx="61">
                  <c:v>14.844626426696777</c:v>
                </c:pt>
                <c:pt idx="62">
                  <c:v>14.484945297241211</c:v>
                </c:pt>
                <c:pt idx="63">
                  <c:v>13.937690734863281</c:v>
                </c:pt>
                <c:pt idx="64">
                  <c:v>13.258457183837891</c:v>
                </c:pt>
                <c:pt idx="65">
                  <c:v>12.415014266967773</c:v>
                </c:pt>
                <c:pt idx="66">
                  <c:v>11.605366706848145</c:v>
                </c:pt>
                <c:pt idx="67">
                  <c:v>10.792507171630859</c:v>
                </c:pt>
                <c:pt idx="68">
                  <c:v>10.047019004821777</c:v>
                </c:pt>
                <c:pt idx="69">
                  <c:v>9.3699922561645508</c:v>
                </c:pt>
                <c:pt idx="70">
                  <c:v>8.7404031753540039</c:v>
                </c:pt>
                <c:pt idx="71">
                  <c:v>8.2144794464111328</c:v>
                </c:pt>
                <c:pt idx="72">
                  <c:v>7.7318096160888672</c:v>
                </c:pt>
                <c:pt idx="73">
                  <c:v>7.2463836669921875</c:v>
                </c:pt>
                <c:pt idx="74">
                  <c:v>6.7560443878173828</c:v>
                </c:pt>
                <c:pt idx="75">
                  <c:v>6.2866926193237305</c:v>
                </c:pt>
                <c:pt idx="76">
                  <c:v>5.7770552635192871</c:v>
                </c:pt>
                <c:pt idx="77">
                  <c:v>5.2717700004577637</c:v>
                </c:pt>
                <c:pt idx="78">
                  <c:v>4.8368678092956543</c:v>
                </c:pt>
                <c:pt idx="79">
                  <c:v>4.468226432800293</c:v>
                </c:pt>
                <c:pt idx="80">
                  <c:v>4.1319141387939453</c:v>
                </c:pt>
                <c:pt idx="81">
                  <c:v>3.8050980567932129</c:v>
                </c:pt>
                <c:pt idx="82">
                  <c:v>3.6349654197692871</c:v>
                </c:pt>
                <c:pt idx="83">
                  <c:v>3.4843738079071045</c:v>
                </c:pt>
                <c:pt idx="84">
                  <c:v>3.2598893642425537</c:v>
                </c:pt>
                <c:pt idx="85">
                  <c:v>3.1145663261413574</c:v>
                </c:pt>
                <c:pt idx="86">
                  <c:v>3.0484986305236816</c:v>
                </c:pt>
                <c:pt idx="87">
                  <c:v>2.9224984645843506</c:v>
                </c:pt>
                <c:pt idx="88">
                  <c:v>2.8201980590820313</c:v>
                </c:pt>
                <c:pt idx="89">
                  <c:v>2.7964670658111572</c:v>
                </c:pt>
                <c:pt idx="90">
                  <c:v>2.7619678974151611</c:v>
                </c:pt>
                <c:pt idx="91">
                  <c:v>2.6235723495483398</c:v>
                </c:pt>
                <c:pt idx="92">
                  <c:v>2.5345280170440674</c:v>
                </c:pt>
                <c:pt idx="93">
                  <c:v>2.5830998420715332</c:v>
                </c:pt>
                <c:pt idx="94">
                  <c:v>2.6370713710784912</c:v>
                </c:pt>
                <c:pt idx="95">
                  <c:v>2.668041467666626</c:v>
                </c:pt>
                <c:pt idx="96">
                  <c:v>2.6527466773986816</c:v>
                </c:pt>
                <c:pt idx="97">
                  <c:v>2.6174681186676025</c:v>
                </c:pt>
                <c:pt idx="98">
                  <c:v>2.6175241470336914</c:v>
                </c:pt>
                <c:pt idx="99">
                  <c:v>2.6052098274230957</c:v>
                </c:pt>
                <c:pt idx="100">
                  <c:v>2.5393352508544922</c:v>
                </c:pt>
                <c:pt idx="101">
                  <c:v>2.5298891067504883</c:v>
                </c:pt>
                <c:pt idx="102">
                  <c:v>2.5490310192108154</c:v>
                </c:pt>
                <c:pt idx="103">
                  <c:v>2.5732545852661133</c:v>
                </c:pt>
                <c:pt idx="104">
                  <c:v>2.5853695869445801</c:v>
                </c:pt>
                <c:pt idx="105">
                  <c:v>2.5463624000549316</c:v>
                </c:pt>
                <c:pt idx="106">
                  <c:v>2.5053598880767822</c:v>
                </c:pt>
                <c:pt idx="107">
                  <c:v>2.4468677043914795</c:v>
                </c:pt>
                <c:pt idx="108">
                  <c:v>2.4662778377532959</c:v>
                </c:pt>
                <c:pt idx="109">
                  <c:v>2.5085334777832031</c:v>
                </c:pt>
                <c:pt idx="110">
                  <c:v>2.4699878692626953</c:v>
                </c:pt>
                <c:pt idx="111">
                  <c:v>2.4389429092407227</c:v>
                </c:pt>
                <c:pt idx="112">
                  <c:v>2.4799890518188477</c:v>
                </c:pt>
                <c:pt idx="113">
                  <c:v>2.4894413948059082</c:v>
                </c:pt>
                <c:pt idx="114">
                  <c:v>2.375319242477417</c:v>
                </c:pt>
                <c:pt idx="115">
                  <c:v>2.3582413196563721</c:v>
                </c:pt>
                <c:pt idx="116">
                  <c:v>2.4291350841522217</c:v>
                </c:pt>
                <c:pt idx="117">
                  <c:v>2.3914060592651367</c:v>
                </c:pt>
                <c:pt idx="118">
                  <c:v>2.3683609962463379</c:v>
                </c:pt>
                <c:pt idx="119">
                  <c:v>2.3919172286987305</c:v>
                </c:pt>
                <c:pt idx="120">
                  <c:v>2.3174569606781006</c:v>
                </c:pt>
                <c:pt idx="121">
                  <c:v>2.32015061378479</c:v>
                </c:pt>
                <c:pt idx="122">
                  <c:v>2.3784432411193848</c:v>
                </c:pt>
                <c:pt idx="123">
                  <c:v>2.3131484985351563</c:v>
                </c:pt>
                <c:pt idx="124">
                  <c:v>2.3196020126342773</c:v>
                </c:pt>
                <c:pt idx="125">
                  <c:v>2.3723077774047852</c:v>
                </c:pt>
                <c:pt idx="126">
                  <c:v>2.308222770690918</c:v>
                </c:pt>
                <c:pt idx="127">
                  <c:v>2.3278510570526123</c:v>
                </c:pt>
                <c:pt idx="128">
                  <c:v>2.345116138458252</c:v>
                </c:pt>
                <c:pt idx="129">
                  <c:v>2.3201630115509033</c:v>
                </c:pt>
                <c:pt idx="130">
                  <c:v>2.4213910102844238</c:v>
                </c:pt>
                <c:pt idx="131">
                  <c:v>2.4254875183105469</c:v>
                </c:pt>
                <c:pt idx="132">
                  <c:v>2.3706803321838379</c:v>
                </c:pt>
                <c:pt idx="133">
                  <c:v>2.3558406829833984</c:v>
                </c:pt>
                <c:pt idx="134">
                  <c:v>2.3766162395477295</c:v>
                </c:pt>
                <c:pt idx="135">
                  <c:v>2.4555346965789795</c:v>
                </c:pt>
                <c:pt idx="136">
                  <c:v>3.3306646347045898</c:v>
                </c:pt>
                <c:pt idx="137">
                  <c:v>3.7435321807861328</c:v>
                </c:pt>
                <c:pt idx="138">
                  <c:v>2.8816020488739014</c:v>
                </c:pt>
                <c:pt idx="139">
                  <c:v>2.4287359714508057</c:v>
                </c:pt>
                <c:pt idx="140">
                  <c:v>2.3726942539215088</c:v>
                </c:pt>
                <c:pt idx="141">
                  <c:v>2.3228192329406738</c:v>
                </c:pt>
                <c:pt idx="142">
                  <c:v>2.3908073902130127</c:v>
                </c:pt>
                <c:pt idx="143">
                  <c:v>2.3873469829559326</c:v>
                </c:pt>
                <c:pt idx="144">
                  <c:v>2.4212226867675781</c:v>
                </c:pt>
                <c:pt idx="145">
                  <c:v>2.4343287944793701</c:v>
                </c:pt>
                <c:pt idx="146">
                  <c:v>2.5036826133728027</c:v>
                </c:pt>
                <c:pt idx="147">
                  <c:v>2.3834624290466309</c:v>
                </c:pt>
                <c:pt idx="148">
                  <c:v>2.3740599155426025</c:v>
                </c:pt>
                <c:pt idx="149">
                  <c:v>2.3935883045196533</c:v>
                </c:pt>
                <c:pt idx="150">
                  <c:v>2.319788932800293</c:v>
                </c:pt>
                <c:pt idx="151">
                  <c:v>2.3947107791900635</c:v>
                </c:pt>
                <c:pt idx="152">
                  <c:v>2.295621395111084</c:v>
                </c:pt>
                <c:pt idx="153">
                  <c:v>2.3207118511199951</c:v>
                </c:pt>
                <c:pt idx="154">
                  <c:v>2.3135662078857422</c:v>
                </c:pt>
                <c:pt idx="155">
                  <c:v>2.3161849975585938</c:v>
                </c:pt>
                <c:pt idx="156">
                  <c:v>2.3783247470855713</c:v>
                </c:pt>
                <c:pt idx="157">
                  <c:v>2.4660909175872803</c:v>
                </c:pt>
                <c:pt idx="158">
                  <c:v>2.4160099029541016</c:v>
                </c:pt>
                <c:pt idx="159">
                  <c:v>2.2931337356567383</c:v>
                </c:pt>
                <c:pt idx="160">
                  <c:v>2.3584718704223633</c:v>
                </c:pt>
                <c:pt idx="161">
                  <c:v>2.3215723037719727</c:v>
                </c:pt>
                <c:pt idx="162">
                  <c:v>2.3196704387664795</c:v>
                </c:pt>
                <c:pt idx="163">
                  <c:v>2.4070625305175781</c:v>
                </c:pt>
                <c:pt idx="164">
                  <c:v>2.351207971572876</c:v>
                </c:pt>
                <c:pt idx="165">
                  <c:v>2.3984143733978271</c:v>
                </c:pt>
                <c:pt idx="166">
                  <c:v>2.3810930252075195</c:v>
                </c:pt>
                <c:pt idx="167">
                  <c:v>2.3183362483978271</c:v>
                </c:pt>
                <c:pt idx="168">
                  <c:v>2.4377083778381348</c:v>
                </c:pt>
                <c:pt idx="169">
                  <c:v>2.3265914916992188</c:v>
                </c:pt>
                <c:pt idx="170">
                  <c:v>2.3335561752319336</c:v>
                </c:pt>
                <c:pt idx="171">
                  <c:v>2.1932089328765869</c:v>
                </c:pt>
                <c:pt idx="172">
                  <c:v>2.213604211807251</c:v>
                </c:pt>
                <c:pt idx="173">
                  <c:v>2.2903029918670654</c:v>
                </c:pt>
                <c:pt idx="174">
                  <c:v>2.2184364795684814</c:v>
                </c:pt>
                <c:pt idx="175">
                  <c:v>2.2315676212310791</c:v>
                </c:pt>
                <c:pt idx="176">
                  <c:v>2.3079795837402344</c:v>
                </c:pt>
                <c:pt idx="177">
                  <c:v>2.360835075378418</c:v>
                </c:pt>
                <c:pt idx="178">
                  <c:v>2.3662409782409668</c:v>
                </c:pt>
                <c:pt idx="179">
                  <c:v>2.515460729598999</c:v>
                </c:pt>
                <c:pt idx="180">
                  <c:v>2.4001102447509766</c:v>
                </c:pt>
                <c:pt idx="181">
                  <c:v>2.2276644706726074</c:v>
                </c:pt>
                <c:pt idx="182">
                  <c:v>2.2038774490356445</c:v>
                </c:pt>
                <c:pt idx="183">
                  <c:v>2.2974858283996582</c:v>
                </c:pt>
                <c:pt idx="184">
                  <c:v>2.3354017734527588</c:v>
                </c:pt>
                <c:pt idx="185">
                  <c:v>2.4247641563415527</c:v>
                </c:pt>
                <c:pt idx="186">
                  <c:v>2.4769089221954346</c:v>
                </c:pt>
                <c:pt idx="187">
                  <c:v>2.3450539112091064</c:v>
                </c:pt>
                <c:pt idx="188">
                  <c:v>2.3279197216033936</c:v>
                </c:pt>
                <c:pt idx="189">
                  <c:v>2.3653554916381836</c:v>
                </c:pt>
                <c:pt idx="190">
                  <c:v>2.4016067981719971</c:v>
                </c:pt>
                <c:pt idx="191">
                  <c:v>2.3595879077911377</c:v>
                </c:pt>
                <c:pt idx="192">
                  <c:v>2.3233928680419922</c:v>
                </c:pt>
                <c:pt idx="193">
                  <c:v>2.3322343826293945</c:v>
                </c:pt>
                <c:pt idx="194">
                  <c:v>2.4334123134613037</c:v>
                </c:pt>
                <c:pt idx="195">
                  <c:v>2.3404772281646729</c:v>
                </c:pt>
                <c:pt idx="196">
                  <c:v>2.4862117767333984</c:v>
                </c:pt>
                <c:pt idx="197">
                  <c:v>2.3740661144256592</c:v>
                </c:pt>
                <c:pt idx="198">
                  <c:v>2.2592394351959229</c:v>
                </c:pt>
                <c:pt idx="199">
                  <c:v>2.3241848945617676</c:v>
                </c:pt>
                <c:pt idx="200">
                  <c:v>2.3583970069885254</c:v>
                </c:pt>
                <c:pt idx="201">
                  <c:v>2.4630169868469238</c:v>
                </c:pt>
                <c:pt idx="202">
                  <c:v>2.2875657081604004</c:v>
                </c:pt>
                <c:pt idx="203">
                  <c:v>2.3302888870239258</c:v>
                </c:pt>
                <c:pt idx="204">
                  <c:v>2.2406210899353027</c:v>
                </c:pt>
                <c:pt idx="205">
                  <c:v>2.3679368495941162</c:v>
                </c:pt>
                <c:pt idx="206">
                  <c:v>2.2872600555419922</c:v>
                </c:pt>
                <c:pt idx="207">
                  <c:v>2.3200445175170898</c:v>
                </c:pt>
                <c:pt idx="208">
                  <c:v>2.2320663928985596</c:v>
                </c:pt>
                <c:pt idx="209">
                  <c:v>2.2737672328948975</c:v>
                </c:pt>
                <c:pt idx="210">
                  <c:v>2.3055479526519775</c:v>
                </c:pt>
                <c:pt idx="211">
                  <c:v>2.1709556579589844</c:v>
                </c:pt>
                <c:pt idx="212">
                  <c:v>2.3130862712860107</c:v>
                </c:pt>
                <c:pt idx="213">
                  <c:v>2.275407075881958</c:v>
                </c:pt>
                <c:pt idx="214">
                  <c:v>2.4391798973083496</c:v>
                </c:pt>
                <c:pt idx="215">
                  <c:v>2.2959394454956055</c:v>
                </c:pt>
                <c:pt idx="216">
                  <c:v>2.2818853855133057</c:v>
                </c:pt>
                <c:pt idx="217">
                  <c:v>2.3777074813842773</c:v>
                </c:pt>
                <c:pt idx="218">
                  <c:v>2.3779754638671875</c:v>
                </c:pt>
                <c:pt idx="219">
                  <c:v>2.6676485538482666</c:v>
                </c:pt>
                <c:pt idx="220">
                  <c:v>2.4942736625671387</c:v>
                </c:pt>
                <c:pt idx="221">
                  <c:v>2.4381136894226074</c:v>
                </c:pt>
                <c:pt idx="222">
                  <c:v>2.3637843132019043</c:v>
                </c:pt>
                <c:pt idx="223">
                  <c:v>2</c:v>
                </c:pt>
                <c:pt idx="224">
                  <c:v>2.351370096206665</c:v>
                </c:pt>
                <c:pt idx="225">
                  <c:v>2.2016327381134033</c:v>
                </c:pt>
              </c:numCache>
            </c:numRef>
          </c:yVal>
          <c:smooth val="1"/>
          <c:extLst>
            <c:ext xmlns:c16="http://schemas.microsoft.com/office/drawing/2014/chart" uri="{C3380CC4-5D6E-409C-BE32-E72D297353CC}">
              <c16:uniqueId val="{00000001-58F6-4830-8941-1011DB88381F}"/>
            </c:ext>
          </c:extLst>
        </c:ser>
        <c:ser>
          <c:idx val="2"/>
          <c:order val="2"/>
          <c:tx>
            <c:v>3</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71.868148803710938</c:v>
                </c:pt>
                <c:pt idx="1">
                  <c:v>69.054214477539063</c:v>
                </c:pt>
                <c:pt idx="2">
                  <c:v>65.788444519042969</c:v>
                </c:pt>
                <c:pt idx="3">
                  <c:v>63.130088806152344</c:v>
                </c:pt>
                <c:pt idx="4">
                  <c:v>61.789306640625</c:v>
                </c:pt>
                <c:pt idx="5">
                  <c:v>62.497287750244141</c:v>
                </c:pt>
                <c:pt idx="6">
                  <c:v>65.970695495605469</c:v>
                </c:pt>
                <c:pt idx="7">
                  <c:v>72.044532775878906</c:v>
                </c:pt>
                <c:pt idx="8">
                  <c:v>79.516525268554688</c:v>
                </c:pt>
                <c:pt idx="9">
                  <c:v>87.438461303710938</c:v>
                </c:pt>
                <c:pt idx="10">
                  <c:v>94.007270812988281</c:v>
                </c:pt>
                <c:pt idx="11">
                  <c:v>98.375961303710938</c:v>
                </c:pt>
                <c:pt idx="12">
                  <c:v>100</c:v>
                </c:pt>
                <c:pt idx="13">
                  <c:v>99.113929748535156</c:v>
                </c:pt>
                <c:pt idx="14">
                  <c:v>96.299201965332031</c:v>
                </c:pt>
                <c:pt idx="15">
                  <c:v>91.601737976074219</c:v>
                </c:pt>
                <c:pt idx="16">
                  <c:v>84.2674560546875</c:v>
                </c:pt>
                <c:pt idx="17">
                  <c:v>73.912948608398438</c:v>
                </c:pt>
                <c:pt idx="18">
                  <c:v>62.142513275146484</c:v>
                </c:pt>
                <c:pt idx="19">
                  <c:v>50.984291076660156</c:v>
                </c:pt>
                <c:pt idx="20">
                  <c:v>42.551288604736328</c:v>
                </c:pt>
                <c:pt idx="21">
                  <c:v>36.802043914794922</c:v>
                </c:pt>
                <c:pt idx="22">
                  <c:v>33.191246032714844</c:v>
                </c:pt>
                <c:pt idx="23">
                  <c:v>31.246896743774414</c:v>
                </c:pt>
                <c:pt idx="24">
                  <c:v>30.252285003662109</c:v>
                </c:pt>
                <c:pt idx="25">
                  <c:v>30.002439498901367</c:v>
                </c:pt>
                <c:pt idx="26">
                  <c:v>30.456409454345703</c:v>
                </c:pt>
                <c:pt idx="27">
                  <c:v>31.541248321533203</c:v>
                </c:pt>
                <c:pt idx="28">
                  <c:v>33.105426788330078</c:v>
                </c:pt>
                <c:pt idx="29">
                  <c:v>34.652408599853516</c:v>
                </c:pt>
                <c:pt idx="30">
                  <c:v>35.602035522460938</c:v>
                </c:pt>
                <c:pt idx="31">
                  <c:v>35.424289703369141</c:v>
                </c:pt>
                <c:pt idx="32">
                  <c:v>34.066184997558594</c:v>
                </c:pt>
                <c:pt idx="33">
                  <c:v>31.735658645629883</c:v>
                </c:pt>
                <c:pt idx="34">
                  <c:v>28.772682189941406</c:v>
                </c:pt>
                <c:pt idx="35">
                  <c:v>24.95612907409668</c:v>
                </c:pt>
                <c:pt idx="36">
                  <c:v>20.314479827880859</c:v>
                </c:pt>
                <c:pt idx="37">
                  <c:v>15.330424308776855</c:v>
                </c:pt>
                <c:pt idx="38">
                  <c:v>10.899614334106445</c:v>
                </c:pt>
                <c:pt idx="39">
                  <c:v>7.5867404937744141</c:v>
                </c:pt>
                <c:pt idx="40">
                  <c:v>5.6774802207946777</c:v>
                </c:pt>
                <c:pt idx="41">
                  <c:v>4.7372794151306152</c:v>
                </c:pt>
                <c:pt idx="42">
                  <c:v>4.4183483123779297</c:v>
                </c:pt>
                <c:pt idx="43">
                  <c:v>4.5180530548095703</c:v>
                </c:pt>
                <c:pt idx="44">
                  <c:v>4.7450213432312012</c:v>
                </c:pt>
                <c:pt idx="45">
                  <c:v>5.1027021408081055</c:v>
                </c:pt>
                <c:pt idx="46">
                  <c:v>5.6141443252563477</c:v>
                </c:pt>
                <c:pt idx="47">
                  <c:v>6.1744999885559082</c:v>
                </c:pt>
                <c:pt idx="48">
                  <c:v>6.7855587005615234</c:v>
                </c:pt>
                <c:pt idx="49">
                  <c:v>7.4680280685424805</c:v>
                </c:pt>
                <c:pt idx="50">
                  <c:v>8.200282096862793</c:v>
                </c:pt>
                <c:pt idx="51">
                  <c:v>9.0006675720214844</c:v>
                </c:pt>
                <c:pt idx="52">
                  <c:v>9.8020191192626953</c:v>
                </c:pt>
                <c:pt idx="53">
                  <c:v>10.615827560424805</c:v>
                </c:pt>
                <c:pt idx="54">
                  <c:v>11.501297950744629</c:v>
                </c:pt>
                <c:pt idx="55">
                  <c:v>12.281281471252441</c:v>
                </c:pt>
                <c:pt idx="56">
                  <c:v>12.969064712524414</c:v>
                </c:pt>
                <c:pt idx="57">
                  <c:v>13.588116645812988</c:v>
                </c:pt>
                <c:pt idx="58">
                  <c:v>14.108456611633301</c:v>
                </c:pt>
                <c:pt idx="59">
                  <c:v>14.399998664855957</c:v>
                </c:pt>
                <c:pt idx="60">
                  <c:v>14.455634117126465</c:v>
                </c:pt>
                <c:pt idx="61">
                  <c:v>14.333513259887695</c:v>
                </c:pt>
                <c:pt idx="62">
                  <c:v>14.045052528381348</c:v>
                </c:pt>
                <c:pt idx="63">
                  <c:v>13.530209541320801</c:v>
                </c:pt>
                <c:pt idx="64">
                  <c:v>12.758988380432129</c:v>
                </c:pt>
                <c:pt idx="65">
                  <c:v>11.844992637634277</c:v>
                </c:pt>
                <c:pt idx="66">
                  <c:v>10.873062133789063</c:v>
                </c:pt>
                <c:pt idx="67">
                  <c:v>9.7595548629760742</c:v>
                </c:pt>
                <c:pt idx="68">
                  <c:v>8.6292514801025391</c:v>
                </c:pt>
                <c:pt idx="69">
                  <c:v>7.4784913063049316</c:v>
                </c:pt>
                <c:pt idx="70">
                  <c:v>6.4421095848083496</c:v>
                </c:pt>
                <c:pt idx="71">
                  <c:v>5.5594482421875</c:v>
                </c:pt>
                <c:pt idx="72">
                  <c:v>4.8272218704223633</c:v>
                </c:pt>
                <c:pt idx="73">
                  <c:v>4.3035340309143066</c:v>
                </c:pt>
                <c:pt idx="74">
                  <c:v>3.8552918434143066</c:v>
                </c:pt>
                <c:pt idx="75">
                  <c:v>3.4861955642700195</c:v>
                </c:pt>
                <c:pt idx="76">
                  <c:v>3.2002384662628174</c:v>
                </c:pt>
                <c:pt idx="77">
                  <c:v>2.9635419845581055</c:v>
                </c:pt>
                <c:pt idx="78">
                  <c:v>2.7775616645812988</c:v>
                </c:pt>
                <c:pt idx="79">
                  <c:v>2.6563460826873779</c:v>
                </c:pt>
                <c:pt idx="80">
                  <c:v>2.5167689323425293</c:v>
                </c:pt>
                <c:pt idx="81">
                  <c:v>2.4136288166046143</c:v>
                </c:pt>
                <c:pt idx="82">
                  <c:v>2.4142887592315674</c:v>
                </c:pt>
                <c:pt idx="83">
                  <c:v>2.4144315719604492</c:v>
                </c:pt>
                <c:pt idx="84">
                  <c:v>2.3318977355957031</c:v>
                </c:pt>
                <c:pt idx="85">
                  <c:v>2.2845895290374756</c:v>
                </c:pt>
                <c:pt idx="86">
                  <c:v>2.2622213363647461</c:v>
                </c:pt>
                <c:pt idx="87">
                  <c:v>2.1883611679077148</c:v>
                </c:pt>
                <c:pt idx="88">
                  <c:v>2.2189884185791016</c:v>
                </c:pt>
                <c:pt idx="89">
                  <c:v>2.2875692844390869</c:v>
                </c:pt>
                <c:pt idx="90">
                  <c:v>2.2414653301239014</c:v>
                </c:pt>
                <c:pt idx="91">
                  <c:v>2.159747838973999</c:v>
                </c:pt>
                <c:pt idx="92">
                  <c:v>2.0940513610839844</c:v>
                </c:pt>
                <c:pt idx="93">
                  <c:v>2.1711974143981934</c:v>
                </c:pt>
                <c:pt idx="94">
                  <c:v>2.2064368724822998</c:v>
                </c:pt>
                <c:pt idx="95">
                  <c:v>2.0971739292144775</c:v>
                </c:pt>
                <c:pt idx="96">
                  <c:v>2.1071403026580811</c:v>
                </c:pt>
                <c:pt idx="97">
                  <c:v>2.167482852935791</c:v>
                </c:pt>
                <c:pt idx="98">
                  <c:v>2.1969330310821533</c:v>
                </c:pt>
                <c:pt idx="99">
                  <c:v>2.126345157623291</c:v>
                </c:pt>
                <c:pt idx="100">
                  <c:v>2.0740370750427246</c:v>
                </c:pt>
                <c:pt idx="101">
                  <c:v>2.1790616512298584</c:v>
                </c:pt>
                <c:pt idx="102">
                  <c:v>2.1813745498657227</c:v>
                </c:pt>
                <c:pt idx="103">
                  <c:v>2.2250702381134033</c:v>
                </c:pt>
                <c:pt idx="104">
                  <c:v>2.256425142288208</c:v>
                </c:pt>
                <c:pt idx="105">
                  <c:v>2.1372570991516113</c:v>
                </c:pt>
                <c:pt idx="106">
                  <c:v>2.0990855693817139</c:v>
                </c:pt>
                <c:pt idx="107">
                  <c:v>2.1283724308013916</c:v>
                </c:pt>
                <c:pt idx="108">
                  <c:v>2.148883581161499</c:v>
                </c:pt>
                <c:pt idx="109">
                  <c:v>2.1725919246673584</c:v>
                </c:pt>
                <c:pt idx="110">
                  <c:v>2.2391660213470459</c:v>
                </c:pt>
                <c:pt idx="111">
                  <c:v>2.2592213153839111</c:v>
                </c:pt>
                <c:pt idx="112">
                  <c:v>2.2586770057678223</c:v>
                </c:pt>
                <c:pt idx="113">
                  <c:v>2.2667453289031982</c:v>
                </c:pt>
                <c:pt idx="114">
                  <c:v>2.2689495086669922</c:v>
                </c:pt>
                <c:pt idx="115">
                  <c:v>2.271432638168335</c:v>
                </c:pt>
                <c:pt idx="116">
                  <c:v>2.1876060962677002</c:v>
                </c:pt>
                <c:pt idx="117">
                  <c:v>2.1810071468353271</c:v>
                </c:pt>
                <c:pt idx="118">
                  <c:v>2.3132915496826172</c:v>
                </c:pt>
                <c:pt idx="119">
                  <c:v>2.2904400825500488</c:v>
                </c:pt>
                <c:pt idx="120">
                  <c:v>2.228294849395752</c:v>
                </c:pt>
                <c:pt idx="121">
                  <c:v>2.2811405658721924</c:v>
                </c:pt>
                <c:pt idx="122">
                  <c:v>2.3275165557861328</c:v>
                </c:pt>
                <c:pt idx="123">
                  <c:v>2.3944647312164307</c:v>
                </c:pt>
                <c:pt idx="124">
                  <c:v>2.3282580375671387</c:v>
                </c:pt>
                <c:pt idx="125">
                  <c:v>2.2967736721038818</c:v>
                </c:pt>
                <c:pt idx="126">
                  <c:v>2.3617899417877197</c:v>
                </c:pt>
                <c:pt idx="127">
                  <c:v>2.3199174404144287</c:v>
                </c:pt>
                <c:pt idx="128">
                  <c:v>2.3138289451599121</c:v>
                </c:pt>
                <c:pt idx="129">
                  <c:v>2.3645179271697998</c:v>
                </c:pt>
                <c:pt idx="130">
                  <c:v>2.3368024826049805</c:v>
                </c:pt>
                <c:pt idx="131">
                  <c:v>2.3287546634674072</c:v>
                </c:pt>
                <c:pt idx="132">
                  <c:v>2.3615381717681885</c:v>
                </c:pt>
                <c:pt idx="133">
                  <c:v>2.3443946838378906</c:v>
                </c:pt>
                <c:pt idx="134">
                  <c:v>2.2685005664825439</c:v>
                </c:pt>
                <c:pt idx="135">
                  <c:v>2.2761673927307129</c:v>
                </c:pt>
                <c:pt idx="136">
                  <c:v>3.2441041469573975</c:v>
                </c:pt>
                <c:pt idx="137">
                  <c:v>3.7950172424316406</c:v>
                </c:pt>
                <c:pt idx="138">
                  <c:v>2.8908247947692871</c:v>
                </c:pt>
                <c:pt idx="139">
                  <c:v>2.2198114395141602</c:v>
                </c:pt>
                <c:pt idx="140">
                  <c:v>2.2955560684204102</c:v>
                </c:pt>
                <c:pt idx="141">
                  <c:v>2.3019509315490723</c:v>
                </c:pt>
                <c:pt idx="142">
                  <c:v>2.1845719814300537</c:v>
                </c:pt>
                <c:pt idx="143">
                  <c:v>2.2944674491882324</c:v>
                </c:pt>
                <c:pt idx="144">
                  <c:v>2.3442926406860352</c:v>
                </c:pt>
                <c:pt idx="145">
                  <c:v>2.1849937438964844</c:v>
                </c:pt>
                <c:pt idx="146">
                  <c:v>2.2291111946105957</c:v>
                </c:pt>
                <c:pt idx="147">
                  <c:v>2.249894380569458</c:v>
                </c:pt>
                <c:pt idx="148">
                  <c:v>2.2205326557159424</c:v>
                </c:pt>
                <c:pt idx="149">
                  <c:v>2.213416576385498</c:v>
                </c:pt>
                <c:pt idx="150">
                  <c:v>2.239356517791748</c:v>
                </c:pt>
                <c:pt idx="151">
                  <c:v>2.3256185054779053</c:v>
                </c:pt>
                <c:pt idx="152">
                  <c:v>2.2807052135467529</c:v>
                </c:pt>
                <c:pt idx="153">
                  <c:v>2.2978215217590332</c:v>
                </c:pt>
                <c:pt idx="154">
                  <c:v>2.3678786754608154</c:v>
                </c:pt>
                <c:pt idx="155">
                  <c:v>2.2504794597625732</c:v>
                </c:pt>
                <c:pt idx="156">
                  <c:v>2.2274715900421143</c:v>
                </c:pt>
                <c:pt idx="157">
                  <c:v>2.198559045791626</c:v>
                </c:pt>
                <c:pt idx="158">
                  <c:v>2.2034502029418945</c:v>
                </c:pt>
                <c:pt idx="159">
                  <c:v>2.3280880451202393</c:v>
                </c:pt>
                <c:pt idx="160">
                  <c:v>2.2653372287750244</c:v>
                </c:pt>
                <c:pt idx="161">
                  <c:v>2.2515950202941895</c:v>
                </c:pt>
                <c:pt idx="162">
                  <c:v>2.3107266426086426</c:v>
                </c:pt>
                <c:pt idx="163">
                  <c:v>2.2805962562561035</c:v>
                </c:pt>
                <c:pt idx="164">
                  <c:v>2.3030052185058594</c:v>
                </c:pt>
                <c:pt idx="165">
                  <c:v>2.2159066200256348</c:v>
                </c:pt>
                <c:pt idx="166">
                  <c:v>2.2765076160430908</c:v>
                </c:pt>
                <c:pt idx="167">
                  <c:v>2.3739674091339111</c:v>
                </c:pt>
                <c:pt idx="168">
                  <c:v>2.2643234729766846</c:v>
                </c:pt>
                <c:pt idx="169">
                  <c:v>2.2619900703430176</c:v>
                </c:pt>
                <c:pt idx="170">
                  <c:v>2.2522072792053223</c:v>
                </c:pt>
                <c:pt idx="171">
                  <c:v>2.360238790512085</c:v>
                </c:pt>
                <c:pt idx="172">
                  <c:v>2.3234822750091553</c:v>
                </c:pt>
                <c:pt idx="173">
                  <c:v>2.2310364246368408</c:v>
                </c:pt>
                <c:pt idx="174">
                  <c:v>2.3211965560913086</c:v>
                </c:pt>
                <c:pt idx="175">
                  <c:v>2.2710244655609131</c:v>
                </c:pt>
                <c:pt idx="176">
                  <c:v>2.2257301807403564</c:v>
                </c:pt>
                <c:pt idx="177">
                  <c:v>2.2631533145904541</c:v>
                </c:pt>
                <c:pt idx="178">
                  <c:v>2.2136752605438232</c:v>
                </c:pt>
                <c:pt idx="179">
                  <c:v>2.1983344554901123</c:v>
                </c:pt>
                <c:pt idx="180">
                  <c:v>2.2575953006744385</c:v>
                </c:pt>
                <c:pt idx="181">
                  <c:v>2.2544660568237305</c:v>
                </c:pt>
                <c:pt idx="182">
                  <c:v>2.2360775470733643</c:v>
                </c:pt>
                <c:pt idx="183">
                  <c:v>2.2049469947814941</c:v>
                </c:pt>
                <c:pt idx="184">
                  <c:v>2.1682379245758057</c:v>
                </c:pt>
                <c:pt idx="185">
                  <c:v>2.2329413890838623</c:v>
                </c:pt>
                <c:pt idx="186">
                  <c:v>2.2043347358703613</c:v>
                </c:pt>
                <c:pt idx="187">
                  <c:v>2.2225463390350342</c:v>
                </c:pt>
                <c:pt idx="188">
                  <c:v>2.3206045627593994</c:v>
                </c:pt>
                <c:pt idx="189">
                  <c:v>2.2050967216491699</c:v>
                </c:pt>
                <c:pt idx="190">
                  <c:v>2.1845855712890625</c:v>
                </c:pt>
                <c:pt idx="191">
                  <c:v>2.2375876903533936</c:v>
                </c:pt>
                <c:pt idx="192">
                  <c:v>2.125420093536377</c:v>
                </c:pt>
                <c:pt idx="193">
                  <c:v>2.1199436187744141</c:v>
                </c:pt>
                <c:pt idx="194">
                  <c:v>2.1615438461303711</c:v>
                </c:pt>
                <c:pt idx="195">
                  <c:v>2.1392912864685059</c:v>
                </c:pt>
                <c:pt idx="196">
                  <c:v>2.1111881732940674</c:v>
                </c:pt>
                <c:pt idx="197">
                  <c:v>2.1539857387542725</c:v>
                </c:pt>
                <c:pt idx="198">
                  <c:v>2.1520264148712158</c:v>
                </c:pt>
                <c:pt idx="199">
                  <c:v>2.1281547546386719</c:v>
                </c:pt>
                <c:pt idx="200">
                  <c:v>2.1429717540740967</c:v>
                </c:pt>
                <c:pt idx="201">
                  <c:v>2.0601248741149902</c:v>
                </c:pt>
                <c:pt idx="202">
                  <c:v>2.1021332740783691</c:v>
                </c:pt>
                <c:pt idx="203">
                  <c:v>2.1599996089935303</c:v>
                </c:pt>
                <c:pt idx="204">
                  <c:v>2.1448085308074951</c:v>
                </c:pt>
                <c:pt idx="205">
                  <c:v>2.1159162521362305</c:v>
                </c:pt>
                <c:pt idx="206">
                  <c:v>2.1415975093841553</c:v>
                </c:pt>
                <c:pt idx="207">
                  <c:v>2.1377742290496826</c:v>
                </c:pt>
                <c:pt idx="208">
                  <c:v>2.1045756340026855</c:v>
                </c:pt>
                <c:pt idx="209">
                  <c:v>2.1474411487579346</c:v>
                </c:pt>
                <c:pt idx="210">
                  <c:v>2.1727960109710693</c:v>
                </c:pt>
                <c:pt idx="211">
                  <c:v>2.1145012378692627</c:v>
                </c:pt>
                <c:pt idx="212">
                  <c:v>2.094813346862793</c:v>
                </c:pt>
                <c:pt idx="213">
                  <c:v>2.1492917537689209</c:v>
                </c:pt>
                <c:pt idx="214">
                  <c:v>2.1009836196899414</c:v>
                </c:pt>
                <c:pt idx="215">
                  <c:v>2.1242430210113525</c:v>
                </c:pt>
                <c:pt idx="216">
                  <c:v>2.176619291305542</c:v>
                </c:pt>
                <c:pt idx="217">
                  <c:v>2</c:v>
                </c:pt>
                <c:pt idx="218">
                  <c:v>2.0182116031646729</c:v>
                </c:pt>
                <c:pt idx="219">
                  <c:v>2.1603736877441406</c:v>
                </c:pt>
                <c:pt idx="220">
                  <c:v>2.1584620475769043</c:v>
                </c:pt>
                <c:pt idx="221">
                  <c:v>2.1095690727233887</c:v>
                </c:pt>
                <c:pt idx="222">
                  <c:v>2.1208961009979248</c:v>
                </c:pt>
                <c:pt idx="223">
                  <c:v>2.1821908950805664</c:v>
                </c:pt>
                <c:pt idx="224">
                  <c:v>2.0994870662689209</c:v>
                </c:pt>
                <c:pt idx="225">
                  <c:v>2.2223286628723145</c:v>
                </c:pt>
              </c:numCache>
            </c:numRef>
          </c:yVal>
          <c:smooth val="1"/>
          <c:extLst>
            <c:ext xmlns:c16="http://schemas.microsoft.com/office/drawing/2014/chart" uri="{C3380CC4-5D6E-409C-BE32-E72D297353CC}">
              <c16:uniqueId val="{00000002-58F6-4830-8941-1011DB88381F}"/>
            </c:ext>
          </c:extLst>
        </c:ser>
        <c:ser>
          <c:idx val="3"/>
          <c:order val="3"/>
          <c:tx>
            <c:v>4</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78.508743286132813</c:v>
                </c:pt>
                <c:pt idx="1">
                  <c:v>89.222404479980469</c:v>
                </c:pt>
                <c:pt idx="2">
                  <c:v>96.665130615234375</c:v>
                </c:pt>
                <c:pt idx="3">
                  <c:v>100</c:v>
                </c:pt>
                <c:pt idx="4">
                  <c:v>98.496772766113281</c:v>
                </c:pt>
                <c:pt idx="5">
                  <c:v>92.576194763183594</c:v>
                </c:pt>
                <c:pt idx="6">
                  <c:v>82.419036865234375</c:v>
                </c:pt>
                <c:pt idx="7">
                  <c:v>69.997367858886719</c:v>
                </c:pt>
                <c:pt idx="8">
                  <c:v>57.360618591308594</c:v>
                </c:pt>
                <c:pt idx="9">
                  <c:v>45.678024291992188</c:v>
                </c:pt>
                <c:pt idx="10">
                  <c:v>36.271572113037109</c:v>
                </c:pt>
                <c:pt idx="11">
                  <c:v>28.87757682800293</c:v>
                </c:pt>
                <c:pt idx="12">
                  <c:v>22.873184204101563</c:v>
                </c:pt>
                <c:pt idx="13">
                  <c:v>17.996192932128906</c:v>
                </c:pt>
                <c:pt idx="14">
                  <c:v>14.437150955200195</c:v>
                </c:pt>
                <c:pt idx="15">
                  <c:v>11.879470825195313</c:v>
                </c:pt>
                <c:pt idx="16">
                  <c:v>10.096652030944824</c:v>
                </c:pt>
                <c:pt idx="17">
                  <c:v>8.9709959030151367</c:v>
                </c:pt>
                <c:pt idx="18">
                  <c:v>8.2427940368652344</c:v>
                </c:pt>
                <c:pt idx="19">
                  <c:v>7.5785818099975586</c:v>
                </c:pt>
                <c:pt idx="20">
                  <c:v>6.9133667945861816</c:v>
                </c:pt>
                <c:pt idx="21">
                  <c:v>6.3444762229919434</c:v>
                </c:pt>
                <c:pt idx="22">
                  <c:v>5.8216619491577148</c:v>
                </c:pt>
                <c:pt idx="23">
                  <c:v>5.5438451766967773</c:v>
                </c:pt>
                <c:pt idx="24">
                  <c:v>5.1221408843994141</c:v>
                </c:pt>
                <c:pt idx="25">
                  <c:v>4.8596181869506836</c:v>
                </c:pt>
                <c:pt idx="26">
                  <c:v>4.6184039115905762</c:v>
                </c:pt>
                <c:pt idx="27">
                  <c:v>4.3462777137756348</c:v>
                </c:pt>
                <c:pt idx="28">
                  <c:v>4.2896280288696289</c:v>
                </c:pt>
                <c:pt idx="29">
                  <c:v>4.2670588493347168</c:v>
                </c:pt>
                <c:pt idx="30">
                  <c:v>4.3881831169128418</c:v>
                </c:pt>
                <c:pt idx="31">
                  <c:v>4.5317802429199219</c:v>
                </c:pt>
                <c:pt idx="32">
                  <c:v>4.7934942245483398</c:v>
                </c:pt>
                <c:pt idx="33">
                  <c:v>5.1574821472167969</c:v>
                </c:pt>
                <c:pt idx="34">
                  <c:v>5.5179777145385742</c:v>
                </c:pt>
                <c:pt idx="35">
                  <c:v>5.7702183723449707</c:v>
                </c:pt>
                <c:pt idx="36">
                  <c:v>6.0141487121582031</c:v>
                </c:pt>
                <c:pt idx="37">
                  <c:v>6.2522263526916504</c:v>
                </c:pt>
                <c:pt idx="38">
                  <c:v>6.5401639938354492</c:v>
                </c:pt>
                <c:pt idx="39">
                  <c:v>7.0484275817871094</c:v>
                </c:pt>
                <c:pt idx="40">
                  <c:v>7.4555492401123047</c:v>
                </c:pt>
                <c:pt idx="41">
                  <c:v>7.7100210189819336</c:v>
                </c:pt>
                <c:pt idx="42">
                  <c:v>8.0640172958374023</c:v>
                </c:pt>
                <c:pt idx="43">
                  <c:v>8.4316911697387695</c:v>
                </c:pt>
                <c:pt idx="44">
                  <c:v>8.3551883697509766</c:v>
                </c:pt>
                <c:pt idx="45">
                  <c:v>8.6611032485961914</c:v>
                </c:pt>
                <c:pt idx="46">
                  <c:v>8.8278522491455078</c:v>
                </c:pt>
                <c:pt idx="47">
                  <c:v>8.7640886306762695</c:v>
                </c:pt>
                <c:pt idx="48">
                  <c:v>8.8342218399047852</c:v>
                </c:pt>
                <c:pt idx="49">
                  <c:v>8.7785091400146484</c:v>
                </c:pt>
                <c:pt idx="50">
                  <c:v>8.3326187133789063</c:v>
                </c:pt>
                <c:pt idx="51">
                  <c:v>8.1062784194946289</c:v>
                </c:pt>
                <c:pt idx="52">
                  <c:v>8.1582393646240234</c:v>
                </c:pt>
                <c:pt idx="53">
                  <c:v>8.0422239303588867</c:v>
                </c:pt>
                <c:pt idx="54">
                  <c:v>7.516596794128418</c:v>
                </c:pt>
                <c:pt idx="55">
                  <c:v>6.7918543815612793</c:v>
                </c:pt>
                <c:pt idx="56">
                  <c:v>6.0534992218017578</c:v>
                </c:pt>
                <c:pt idx="57">
                  <c:v>5.4337468147277832</c:v>
                </c:pt>
                <c:pt idx="58">
                  <c:v>4.8528923988342285</c:v>
                </c:pt>
                <c:pt idx="59">
                  <c:v>4.3090934753417969</c:v>
                </c:pt>
                <c:pt idx="60">
                  <c:v>3.7970788478851318</c:v>
                </c:pt>
                <c:pt idx="61">
                  <c:v>3.3589160442352295</c:v>
                </c:pt>
                <c:pt idx="62">
                  <c:v>3.0465338230133057</c:v>
                </c:pt>
                <c:pt idx="63">
                  <c:v>2.9795691967010498</c:v>
                </c:pt>
                <c:pt idx="64">
                  <c:v>2.9958658218383789</c:v>
                </c:pt>
                <c:pt idx="65">
                  <c:v>2.8568282127380371</c:v>
                </c:pt>
                <c:pt idx="66">
                  <c:v>2.8975694179534912</c:v>
                </c:pt>
                <c:pt idx="67">
                  <c:v>2.9135749340057373</c:v>
                </c:pt>
                <c:pt idx="68">
                  <c:v>2.7531964778900146</c:v>
                </c:pt>
                <c:pt idx="69">
                  <c:v>2.8734157085418701</c:v>
                </c:pt>
                <c:pt idx="70">
                  <c:v>3.024320125579834</c:v>
                </c:pt>
                <c:pt idx="71">
                  <c:v>2.9714210033416748</c:v>
                </c:pt>
                <c:pt idx="72">
                  <c:v>2.6614961624145508</c:v>
                </c:pt>
                <c:pt idx="73">
                  <c:v>2.5613892078399658</c:v>
                </c:pt>
                <c:pt idx="74">
                  <c:v>2.8494882583618164</c:v>
                </c:pt>
                <c:pt idx="75">
                  <c:v>2.7613446712493896</c:v>
                </c:pt>
                <c:pt idx="76">
                  <c:v>2.7143628597259521</c:v>
                </c:pt>
                <c:pt idx="77">
                  <c:v>2.6857147216796875</c:v>
                </c:pt>
                <c:pt idx="78">
                  <c:v>2.6946389675140381</c:v>
                </c:pt>
                <c:pt idx="79">
                  <c:v>2.8517839908599854</c:v>
                </c:pt>
                <c:pt idx="80">
                  <c:v>2.6105048656463623</c:v>
                </c:pt>
                <c:pt idx="81">
                  <c:v>2.4932606220245361</c:v>
                </c:pt>
                <c:pt idx="82">
                  <c:v>2.9332988262176514</c:v>
                </c:pt>
                <c:pt idx="83">
                  <c:v>3.2654697895050049</c:v>
                </c:pt>
                <c:pt idx="84">
                  <c:v>3.1252355575561523</c:v>
                </c:pt>
                <c:pt idx="85">
                  <c:v>2.9935376644134521</c:v>
                </c:pt>
                <c:pt idx="86">
                  <c:v>2.9573554992675781</c:v>
                </c:pt>
                <c:pt idx="87">
                  <c:v>3.13315749168396</c:v>
                </c:pt>
                <c:pt idx="88">
                  <c:v>3.1329958438873291</c:v>
                </c:pt>
                <c:pt idx="89">
                  <c:v>2.7300450801849365</c:v>
                </c:pt>
                <c:pt idx="90">
                  <c:v>2.5601603984832764</c:v>
                </c:pt>
                <c:pt idx="91">
                  <c:v>2.8167011737823486</c:v>
                </c:pt>
                <c:pt idx="92">
                  <c:v>2.9076254367828369</c:v>
                </c:pt>
                <c:pt idx="93">
                  <c:v>2.8386886119842529</c:v>
                </c:pt>
                <c:pt idx="94">
                  <c:v>2.7010087966918945</c:v>
                </c:pt>
                <c:pt idx="95">
                  <c:v>2.4353175163269043</c:v>
                </c:pt>
                <c:pt idx="96">
                  <c:v>2.1911931037902832</c:v>
                </c:pt>
                <c:pt idx="97">
                  <c:v>2.4287536144256592</c:v>
                </c:pt>
                <c:pt idx="98">
                  <c:v>2.8551144599914551</c:v>
                </c:pt>
                <c:pt idx="99">
                  <c:v>2.8135647773742676</c:v>
                </c:pt>
                <c:pt idx="100">
                  <c:v>2.6834189891815186</c:v>
                </c:pt>
                <c:pt idx="101">
                  <c:v>2.4540066719055176</c:v>
                </c:pt>
                <c:pt idx="102">
                  <c:v>2.4162077903747559</c:v>
                </c:pt>
                <c:pt idx="103">
                  <c:v>2.6597177982330322</c:v>
                </c:pt>
                <c:pt idx="104">
                  <c:v>2.4999215602874756</c:v>
                </c:pt>
                <c:pt idx="105">
                  <c:v>2.2306408882141113</c:v>
                </c:pt>
                <c:pt idx="106">
                  <c:v>2.3160684108734131</c:v>
                </c:pt>
                <c:pt idx="107">
                  <c:v>2.5810160636901855</c:v>
                </c:pt>
                <c:pt idx="108">
                  <c:v>2.8169598579406738</c:v>
                </c:pt>
                <c:pt idx="109">
                  <c:v>2.7565269470214844</c:v>
                </c:pt>
                <c:pt idx="110">
                  <c:v>2.7584023475646973</c:v>
                </c:pt>
                <c:pt idx="111">
                  <c:v>2.7902839183807373</c:v>
                </c:pt>
                <c:pt idx="112">
                  <c:v>2.4509673118591309</c:v>
                </c:pt>
                <c:pt idx="113">
                  <c:v>2.2395329475402832</c:v>
                </c:pt>
                <c:pt idx="114">
                  <c:v>2.3950612545013428</c:v>
                </c:pt>
                <c:pt idx="115">
                  <c:v>2.4611849784851074</c:v>
                </c:pt>
                <c:pt idx="116">
                  <c:v>2.5359096527099609</c:v>
                </c:pt>
                <c:pt idx="117">
                  <c:v>2.3388640880584717</c:v>
                </c:pt>
                <c:pt idx="118">
                  <c:v>2.3502457141876221</c:v>
                </c:pt>
                <c:pt idx="119">
                  <c:v>2.378570556640625</c:v>
                </c:pt>
                <c:pt idx="120">
                  <c:v>2.3319768905639648</c:v>
                </c:pt>
                <c:pt idx="121">
                  <c:v>2.3057537078857422</c:v>
                </c:pt>
                <c:pt idx="122">
                  <c:v>2.1523270606994629</c:v>
                </c:pt>
                <c:pt idx="123">
                  <c:v>2.4326982498168945</c:v>
                </c:pt>
                <c:pt idx="124">
                  <c:v>2.6300673484802246</c:v>
                </c:pt>
                <c:pt idx="125">
                  <c:v>2.8148257732391357</c:v>
                </c:pt>
                <c:pt idx="126">
                  <c:v>2.7415561676025391</c:v>
                </c:pt>
                <c:pt idx="127">
                  <c:v>2.4470224380493164</c:v>
                </c:pt>
                <c:pt idx="128">
                  <c:v>2.4801006317138672</c:v>
                </c:pt>
                <c:pt idx="129">
                  <c:v>2.3837442398071289</c:v>
                </c:pt>
                <c:pt idx="130">
                  <c:v>2.2277956008911133</c:v>
                </c:pt>
                <c:pt idx="131">
                  <c:v>2.4001700878143311</c:v>
                </c:pt>
                <c:pt idx="132">
                  <c:v>2.3644728660583496</c:v>
                </c:pt>
                <c:pt idx="133">
                  <c:v>2.3694846630096436</c:v>
                </c:pt>
                <c:pt idx="134">
                  <c:v>2.6135766506195068</c:v>
                </c:pt>
                <c:pt idx="135">
                  <c:v>2.5967304706573486</c:v>
                </c:pt>
                <c:pt idx="136">
                  <c:v>5.0553054809570313</c:v>
                </c:pt>
                <c:pt idx="137">
                  <c:v>6.6924586296081543</c:v>
                </c:pt>
                <c:pt idx="138">
                  <c:v>4.3241610527038574</c:v>
                </c:pt>
                <c:pt idx="139">
                  <c:v>2.7764124870300293</c:v>
                </c:pt>
                <c:pt idx="140">
                  <c:v>3.071237325668335</c:v>
                </c:pt>
                <c:pt idx="141">
                  <c:v>3.018887996673584</c:v>
                </c:pt>
                <c:pt idx="142">
                  <c:v>2.7497367858886719</c:v>
                </c:pt>
                <c:pt idx="143">
                  <c:v>2.7104504108428955</c:v>
                </c:pt>
                <c:pt idx="144">
                  <c:v>2.5912013053894043</c:v>
                </c:pt>
                <c:pt idx="145">
                  <c:v>2.7103533744812012</c:v>
                </c:pt>
                <c:pt idx="146">
                  <c:v>3.0709786415100098</c:v>
                </c:pt>
                <c:pt idx="147">
                  <c:v>2.8543705940246582</c:v>
                </c:pt>
                <c:pt idx="148">
                  <c:v>2.7027225494384766</c:v>
                </c:pt>
                <c:pt idx="149">
                  <c:v>2.8392705917358398</c:v>
                </c:pt>
                <c:pt idx="150">
                  <c:v>3.0657727718353271</c:v>
                </c:pt>
                <c:pt idx="151">
                  <c:v>2.7917068004608154</c:v>
                </c:pt>
                <c:pt idx="152">
                  <c:v>2.6602351665496826</c:v>
                </c:pt>
                <c:pt idx="153">
                  <c:v>2.8058044910430908</c:v>
                </c:pt>
                <c:pt idx="154">
                  <c:v>2.8236854076385498</c:v>
                </c:pt>
                <c:pt idx="155">
                  <c:v>2.5655603408813477</c:v>
                </c:pt>
                <c:pt idx="156">
                  <c:v>2.3177497386932373</c:v>
                </c:pt>
                <c:pt idx="157">
                  <c:v>2.7253243923187256</c:v>
                </c:pt>
                <c:pt idx="158">
                  <c:v>2.3548049926757813</c:v>
                </c:pt>
                <c:pt idx="159">
                  <c:v>2.1356425285339355</c:v>
                </c:pt>
                <c:pt idx="160">
                  <c:v>2.7128109931945801</c:v>
                </c:pt>
                <c:pt idx="161">
                  <c:v>2.7910923957824707</c:v>
                </c:pt>
                <c:pt idx="162">
                  <c:v>2.4991776943206787</c:v>
                </c:pt>
                <c:pt idx="163">
                  <c:v>2.7871475219726563</c:v>
                </c:pt>
                <c:pt idx="164">
                  <c:v>2.8806586265563965</c:v>
                </c:pt>
                <c:pt idx="165">
                  <c:v>2.3342080116271973</c:v>
                </c:pt>
                <c:pt idx="166">
                  <c:v>2.6820609569549561</c:v>
                </c:pt>
                <c:pt idx="167">
                  <c:v>2.8826632499694824</c:v>
                </c:pt>
                <c:pt idx="168">
                  <c:v>2.81107497215271</c:v>
                </c:pt>
                <c:pt idx="169">
                  <c:v>2.9188454151153564</c:v>
                </c:pt>
                <c:pt idx="170">
                  <c:v>2.8037350177764893</c:v>
                </c:pt>
                <c:pt idx="171">
                  <c:v>2.4242591857910156</c:v>
                </c:pt>
                <c:pt idx="172">
                  <c:v>2.9044241905212402</c:v>
                </c:pt>
                <c:pt idx="173">
                  <c:v>3.0205047130584717</c:v>
                </c:pt>
                <c:pt idx="174">
                  <c:v>2</c:v>
                </c:pt>
                <c:pt idx="175">
                  <c:v>2.2484896183013916</c:v>
                </c:pt>
                <c:pt idx="176">
                  <c:v>3.2504019737243652</c:v>
                </c:pt>
                <c:pt idx="177">
                  <c:v>3.3356997966766357</c:v>
                </c:pt>
                <c:pt idx="178">
                  <c:v>2.9134454727172852</c:v>
                </c:pt>
                <c:pt idx="179">
                  <c:v>2.6171982288360596</c:v>
                </c:pt>
                <c:pt idx="180">
                  <c:v>3.1293420791625977</c:v>
                </c:pt>
                <c:pt idx="181">
                  <c:v>3.1746425628662109</c:v>
                </c:pt>
                <c:pt idx="182">
                  <c:v>2.5612597465515137</c:v>
                </c:pt>
                <c:pt idx="183">
                  <c:v>2.4502236843109131</c:v>
                </c:pt>
                <c:pt idx="184">
                  <c:v>2.0874967575073242</c:v>
                </c:pt>
                <c:pt idx="185">
                  <c:v>2.2837340831756592</c:v>
                </c:pt>
                <c:pt idx="186">
                  <c:v>2.7293660640716553</c:v>
                </c:pt>
                <c:pt idx="187">
                  <c:v>2.9839022159576416</c:v>
                </c:pt>
                <c:pt idx="188">
                  <c:v>2.8325450420379639</c:v>
                </c:pt>
                <c:pt idx="189">
                  <c:v>2.7859835624694824</c:v>
                </c:pt>
                <c:pt idx="190">
                  <c:v>2.7463738918304443</c:v>
                </c:pt>
                <c:pt idx="191">
                  <c:v>2.6084678173065186</c:v>
                </c:pt>
                <c:pt idx="192">
                  <c:v>2.6528630256652832</c:v>
                </c:pt>
                <c:pt idx="193">
                  <c:v>2.5768449306488037</c:v>
                </c:pt>
                <c:pt idx="194">
                  <c:v>2.4618315696716309</c:v>
                </c:pt>
                <c:pt idx="195">
                  <c:v>2.5357155799865723</c:v>
                </c:pt>
                <c:pt idx="196">
                  <c:v>2.4424309730529785</c:v>
                </c:pt>
                <c:pt idx="197">
                  <c:v>2.6143527030944824</c:v>
                </c:pt>
                <c:pt idx="198">
                  <c:v>2.8328037261962891</c:v>
                </c:pt>
                <c:pt idx="199">
                  <c:v>2.7454040050506592</c:v>
                </c:pt>
                <c:pt idx="200">
                  <c:v>2.5815980434417725</c:v>
                </c:pt>
                <c:pt idx="201">
                  <c:v>2.6038117408752441</c:v>
                </c:pt>
                <c:pt idx="202">
                  <c:v>2.8441853523254395</c:v>
                </c:pt>
                <c:pt idx="203">
                  <c:v>2.9195568561553955</c:v>
                </c:pt>
                <c:pt idx="204">
                  <c:v>2.6389591693878174</c:v>
                </c:pt>
                <c:pt idx="205">
                  <c:v>2.4638364315032959</c:v>
                </c:pt>
                <c:pt idx="206">
                  <c:v>2.6837747097015381</c:v>
                </c:pt>
                <c:pt idx="207">
                  <c:v>2.4911589622497559</c:v>
                </c:pt>
                <c:pt idx="208">
                  <c:v>2.2081038951873779</c:v>
                </c:pt>
                <c:pt idx="209">
                  <c:v>2.3658633232116699</c:v>
                </c:pt>
                <c:pt idx="210">
                  <c:v>2.8383975028991699</c:v>
                </c:pt>
                <c:pt idx="211">
                  <c:v>2.7389693260192871</c:v>
                </c:pt>
                <c:pt idx="212">
                  <c:v>2.4115841388702393</c:v>
                </c:pt>
                <c:pt idx="213">
                  <c:v>2.619138240814209</c:v>
                </c:pt>
                <c:pt idx="214">
                  <c:v>2.6516342163085938</c:v>
                </c:pt>
                <c:pt idx="215">
                  <c:v>2.794487476348877</c:v>
                </c:pt>
                <c:pt idx="216">
                  <c:v>2.4470224380493164</c:v>
                </c:pt>
                <c:pt idx="217">
                  <c:v>2.5818891525268555</c:v>
                </c:pt>
                <c:pt idx="218">
                  <c:v>3.288459300994873</c:v>
                </c:pt>
                <c:pt idx="219">
                  <c:v>3.4769687652587891</c:v>
                </c:pt>
                <c:pt idx="220">
                  <c:v>3.0771219730377197</c:v>
                </c:pt>
                <c:pt idx="221">
                  <c:v>2.9198801517486572</c:v>
                </c:pt>
                <c:pt idx="222">
                  <c:v>3.2165801525115967</c:v>
                </c:pt>
                <c:pt idx="223">
                  <c:v>3.421062707901001</c:v>
                </c:pt>
                <c:pt idx="224">
                  <c:v>3.5270223617553711</c:v>
                </c:pt>
                <c:pt idx="225">
                  <c:v>3.5039680004119873</c:v>
                </c:pt>
              </c:numCache>
            </c:numRef>
          </c:yVal>
          <c:smooth val="1"/>
          <c:extLst>
            <c:ext xmlns:c16="http://schemas.microsoft.com/office/drawing/2014/chart" uri="{C3380CC4-5D6E-409C-BE32-E72D297353CC}">
              <c16:uniqueId val="{00000003-58F6-4830-8941-1011DB88381F}"/>
            </c:ext>
          </c:extLst>
        </c:ser>
        <c:ser>
          <c:idx val="4"/>
          <c:order val="4"/>
          <c:tx>
            <c:v>5</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100</c:v>
                </c:pt>
                <c:pt idx="1">
                  <c:v>93.001480102539063</c:v>
                </c:pt>
                <c:pt idx="2">
                  <c:v>84.535896301269531</c:v>
                </c:pt>
                <c:pt idx="3">
                  <c:v>74.899444580078125</c:v>
                </c:pt>
                <c:pt idx="4">
                  <c:v>64.972946166992188</c:v>
                </c:pt>
                <c:pt idx="5">
                  <c:v>55.269924163818359</c:v>
                </c:pt>
                <c:pt idx="6">
                  <c:v>45.509670257568359</c:v>
                </c:pt>
                <c:pt idx="7">
                  <c:v>37.153560638427734</c:v>
                </c:pt>
                <c:pt idx="8">
                  <c:v>30.788291931152344</c:v>
                </c:pt>
                <c:pt idx="9">
                  <c:v>25.957042694091797</c:v>
                </c:pt>
                <c:pt idx="10">
                  <c:v>22.547538757324219</c:v>
                </c:pt>
                <c:pt idx="11">
                  <c:v>20.0836181640625</c:v>
                </c:pt>
                <c:pt idx="12">
                  <c:v>18.206733703613281</c:v>
                </c:pt>
                <c:pt idx="13">
                  <c:v>16.756498336791992</c:v>
                </c:pt>
                <c:pt idx="14">
                  <c:v>15.547471046447754</c:v>
                </c:pt>
                <c:pt idx="15">
                  <c:v>14.544379234313965</c:v>
                </c:pt>
                <c:pt idx="16">
                  <c:v>13.851762771606445</c:v>
                </c:pt>
                <c:pt idx="17">
                  <c:v>13.386196136474609</c:v>
                </c:pt>
                <c:pt idx="18">
                  <c:v>13.123076438903809</c:v>
                </c:pt>
                <c:pt idx="19">
                  <c:v>13.053892135620117</c:v>
                </c:pt>
                <c:pt idx="20">
                  <c:v>13.14442253112793</c:v>
                </c:pt>
                <c:pt idx="21">
                  <c:v>13.360411643981934</c:v>
                </c:pt>
                <c:pt idx="22">
                  <c:v>13.701543807983398</c:v>
                </c:pt>
                <c:pt idx="23">
                  <c:v>14.26203727722168</c:v>
                </c:pt>
                <c:pt idx="24">
                  <c:v>15.129234313964844</c:v>
                </c:pt>
                <c:pt idx="25">
                  <c:v>16.300426483154297</c:v>
                </c:pt>
                <c:pt idx="26">
                  <c:v>17.738327026367188</c:v>
                </c:pt>
                <c:pt idx="27">
                  <c:v>19.366632461547852</c:v>
                </c:pt>
                <c:pt idx="28">
                  <c:v>21.521835327148438</c:v>
                </c:pt>
                <c:pt idx="29">
                  <c:v>24.222984313964844</c:v>
                </c:pt>
                <c:pt idx="30">
                  <c:v>27.476787567138672</c:v>
                </c:pt>
                <c:pt idx="31">
                  <c:v>30.565223693847656</c:v>
                </c:pt>
                <c:pt idx="32">
                  <c:v>33.901214599609375</c:v>
                </c:pt>
                <c:pt idx="33">
                  <c:v>38.134654998779297</c:v>
                </c:pt>
                <c:pt idx="34">
                  <c:v>43.205596923828125</c:v>
                </c:pt>
                <c:pt idx="35">
                  <c:v>48.419986724853516</c:v>
                </c:pt>
                <c:pt idx="36">
                  <c:v>52.275840759277344</c:v>
                </c:pt>
                <c:pt idx="37">
                  <c:v>55.156440734863281</c:v>
                </c:pt>
                <c:pt idx="38">
                  <c:v>58.998973846435547</c:v>
                </c:pt>
                <c:pt idx="39">
                  <c:v>65.081916809082031</c:v>
                </c:pt>
                <c:pt idx="40">
                  <c:v>70.979278564453125</c:v>
                </c:pt>
                <c:pt idx="41">
                  <c:v>72.921005249023438</c:v>
                </c:pt>
                <c:pt idx="42">
                  <c:v>70.888587951660156</c:v>
                </c:pt>
                <c:pt idx="43">
                  <c:v>69.190620422363281</c:v>
                </c:pt>
                <c:pt idx="44">
                  <c:v>71.265052795410156</c:v>
                </c:pt>
                <c:pt idx="45">
                  <c:v>75.176963806152344</c:v>
                </c:pt>
                <c:pt idx="46">
                  <c:v>75.377738952636719</c:v>
                </c:pt>
                <c:pt idx="47">
                  <c:v>68.704437255859375</c:v>
                </c:pt>
                <c:pt idx="48">
                  <c:v>58.075450897216797</c:v>
                </c:pt>
                <c:pt idx="49">
                  <c:v>49.453250885009766</c:v>
                </c:pt>
                <c:pt idx="50">
                  <c:v>45.870323181152344</c:v>
                </c:pt>
                <c:pt idx="51">
                  <c:v>45.512241363525391</c:v>
                </c:pt>
                <c:pt idx="52">
                  <c:v>43.960216522216797</c:v>
                </c:pt>
                <c:pt idx="53">
                  <c:v>37.801319122314453</c:v>
                </c:pt>
                <c:pt idx="54">
                  <c:v>27.299959182739258</c:v>
                </c:pt>
                <c:pt idx="55">
                  <c:v>16.908658981323242</c:v>
                </c:pt>
                <c:pt idx="56">
                  <c:v>9.5513677597045898</c:v>
                </c:pt>
                <c:pt idx="57">
                  <c:v>5.5715336799621582</c:v>
                </c:pt>
                <c:pt idx="58">
                  <c:v>3.6808328628540039</c:v>
                </c:pt>
                <c:pt idx="59">
                  <c:v>2.9529707431793213</c:v>
                </c:pt>
                <c:pt idx="60">
                  <c:v>2.6658070087432861</c:v>
                </c:pt>
                <c:pt idx="61">
                  <c:v>2.484813928604126</c:v>
                </c:pt>
                <c:pt idx="62">
                  <c:v>2.4130978584289551</c:v>
                </c:pt>
                <c:pt idx="63">
                  <c:v>2.4355678558349609</c:v>
                </c:pt>
                <c:pt idx="64">
                  <c:v>2.4376165866851807</c:v>
                </c:pt>
                <c:pt idx="65">
                  <c:v>2.3696067333221436</c:v>
                </c:pt>
                <c:pt idx="66">
                  <c:v>2.3065023422241211</c:v>
                </c:pt>
                <c:pt idx="67">
                  <c:v>2.335585355758667</c:v>
                </c:pt>
                <c:pt idx="68">
                  <c:v>2.3796842098236084</c:v>
                </c:pt>
                <c:pt idx="69">
                  <c:v>2.3270652294158936</c:v>
                </c:pt>
                <c:pt idx="70">
                  <c:v>2.3201110363006592</c:v>
                </c:pt>
                <c:pt idx="71">
                  <c:v>2.3581218719482422</c:v>
                </c:pt>
                <c:pt idx="72">
                  <c:v>2.3272900581359863</c:v>
                </c:pt>
                <c:pt idx="73">
                  <c:v>2.3151557445526123</c:v>
                </c:pt>
                <c:pt idx="74">
                  <c:v>2.3595128059387207</c:v>
                </c:pt>
                <c:pt idx="75">
                  <c:v>2.3762695789337158</c:v>
                </c:pt>
                <c:pt idx="76">
                  <c:v>2.3832988739013672</c:v>
                </c:pt>
                <c:pt idx="77">
                  <c:v>2.3866550922393799</c:v>
                </c:pt>
                <c:pt idx="78">
                  <c:v>2.4139473438262939</c:v>
                </c:pt>
                <c:pt idx="79">
                  <c:v>2.3690822124481201</c:v>
                </c:pt>
                <c:pt idx="80">
                  <c:v>2.3266820907592773</c:v>
                </c:pt>
                <c:pt idx="81">
                  <c:v>2.3785347938537598</c:v>
                </c:pt>
                <c:pt idx="82">
                  <c:v>2.4032869338989258</c:v>
                </c:pt>
                <c:pt idx="83">
                  <c:v>2.4172036647796631</c:v>
                </c:pt>
                <c:pt idx="84">
                  <c:v>2.3509345054626465</c:v>
                </c:pt>
                <c:pt idx="85">
                  <c:v>2.2809758186340332</c:v>
                </c:pt>
                <c:pt idx="86">
                  <c:v>2.3123157024383545</c:v>
                </c:pt>
                <c:pt idx="87">
                  <c:v>2.3954916000366211</c:v>
                </c:pt>
                <c:pt idx="88">
                  <c:v>2.4064433574676514</c:v>
                </c:pt>
                <c:pt idx="89">
                  <c:v>2.356081485748291</c:v>
                </c:pt>
                <c:pt idx="90">
                  <c:v>2.3813333511352539</c:v>
                </c:pt>
                <c:pt idx="91">
                  <c:v>2.39766526222229</c:v>
                </c:pt>
                <c:pt idx="92">
                  <c:v>2.3380920886993408</c:v>
                </c:pt>
                <c:pt idx="93">
                  <c:v>2.3203275203704834</c:v>
                </c:pt>
                <c:pt idx="94">
                  <c:v>2.3526835441589355</c:v>
                </c:pt>
                <c:pt idx="95">
                  <c:v>2.3175625801086426</c:v>
                </c:pt>
                <c:pt idx="96">
                  <c:v>2.3270401954650879</c:v>
                </c:pt>
                <c:pt idx="97">
                  <c:v>2.353541374206543</c:v>
                </c:pt>
                <c:pt idx="98">
                  <c:v>2.3045785427093506</c:v>
                </c:pt>
                <c:pt idx="99">
                  <c:v>2.3253662586212158</c:v>
                </c:pt>
                <c:pt idx="100">
                  <c:v>2.3822910785675049</c:v>
                </c:pt>
                <c:pt idx="101">
                  <c:v>2.3963744640350342</c:v>
                </c:pt>
                <c:pt idx="102">
                  <c:v>2.3914856910705566</c:v>
                </c:pt>
                <c:pt idx="103">
                  <c:v>2.3461124897003174</c:v>
                </c:pt>
                <c:pt idx="104">
                  <c:v>2.3811750411987305</c:v>
                </c:pt>
                <c:pt idx="105">
                  <c:v>2.3762695789337158</c:v>
                </c:pt>
                <c:pt idx="106">
                  <c:v>2.3612534999847412</c:v>
                </c:pt>
                <c:pt idx="107">
                  <c:v>2.3542742729187012</c:v>
                </c:pt>
                <c:pt idx="108">
                  <c:v>2.3122823238372803</c:v>
                </c:pt>
                <c:pt idx="109">
                  <c:v>2.3067688941955566</c:v>
                </c:pt>
                <c:pt idx="110">
                  <c:v>2.3442051410675049</c:v>
                </c:pt>
                <c:pt idx="111">
                  <c:v>2.3202192783355713</c:v>
                </c:pt>
                <c:pt idx="112">
                  <c:v>2.329763650894165</c:v>
                </c:pt>
                <c:pt idx="113">
                  <c:v>2.3327202796936035</c:v>
                </c:pt>
                <c:pt idx="114">
                  <c:v>2.3119325637817383</c:v>
                </c:pt>
                <c:pt idx="115">
                  <c:v>2.2802345752716064</c:v>
                </c:pt>
                <c:pt idx="116">
                  <c:v>2.304661750793457</c:v>
                </c:pt>
                <c:pt idx="117">
                  <c:v>2.4206767082214355</c:v>
                </c:pt>
                <c:pt idx="118">
                  <c:v>2.409508228302002</c:v>
                </c:pt>
                <c:pt idx="119">
                  <c:v>2.365842342376709</c:v>
                </c:pt>
                <c:pt idx="120">
                  <c:v>2.3430142402648926</c:v>
                </c:pt>
                <c:pt idx="121">
                  <c:v>2.2825748920440674</c:v>
                </c:pt>
                <c:pt idx="122">
                  <c:v>2.2766366004943848</c:v>
                </c:pt>
                <c:pt idx="123">
                  <c:v>2.3478281497955322</c:v>
                </c:pt>
                <c:pt idx="124">
                  <c:v>2.37359619140625</c:v>
                </c:pt>
                <c:pt idx="125">
                  <c:v>2.3599209785461426</c:v>
                </c:pt>
                <c:pt idx="126">
                  <c:v>2.3376674652099609</c:v>
                </c:pt>
                <c:pt idx="127">
                  <c:v>2.3415234088897705</c:v>
                </c:pt>
                <c:pt idx="128">
                  <c:v>2.3505263328552246</c:v>
                </c:pt>
                <c:pt idx="129">
                  <c:v>2.4005885124206543</c:v>
                </c:pt>
                <c:pt idx="130">
                  <c:v>2.3835902214050293</c:v>
                </c:pt>
                <c:pt idx="131">
                  <c:v>2.2976243495941162</c:v>
                </c:pt>
                <c:pt idx="132">
                  <c:v>2.3392996788024902</c:v>
                </c:pt>
                <c:pt idx="133">
                  <c:v>2.3849811553955078</c:v>
                </c:pt>
                <c:pt idx="134">
                  <c:v>2.4176702499389648</c:v>
                </c:pt>
                <c:pt idx="135">
                  <c:v>2.3729715347290039</c:v>
                </c:pt>
                <c:pt idx="136">
                  <c:v>2.5614686012268066</c:v>
                </c:pt>
                <c:pt idx="137">
                  <c:v>2.6818726062774658</c:v>
                </c:pt>
                <c:pt idx="138">
                  <c:v>2.3561563491821289</c:v>
                </c:pt>
                <c:pt idx="139">
                  <c:v>2.1761126518249512</c:v>
                </c:pt>
                <c:pt idx="140">
                  <c:v>2.221569299697876</c:v>
                </c:pt>
                <c:pt idx="141">
                  <c:v>2.3317959308624268</c:v>
                </c:pt>
                <c:pt idx="142">
                  <c:v>2.4131810665130615</c:v>
                </c:pt>
                <c:pt idx="143">
                  <c:v>2.3969573974609375</c:v>
                </c:pt>
                <c:pt idx="144">
                  <c:v>2.340648889541626</c:v>
                </c:pt>
                <c:pt idx="145">
                  <c:v>2.4250407218933105</c:v>
                </c:pt>
                <c:pt idx="146">
                  <c:v>2.5015954971313477</c:v>
                </c:pt>
                <c:pt idx="147">
                  <c:v>2.377002477645874</c:v>
                </c:pt>
                <c:pt idx="148">
                  <c:v>2.3608870506286621</c:v>
                </c:pt>
                <c:pt idx="149">
                  <c:v>2.3610868453979492</c:v>
                </c:pt>
                <c:pt idx="150">
                  <c:v>2.2826166152954102</c:v>
                </c:pt>
                <c:pt idx="151">
                  <c:v>2.238492488861084</c:v>
                </c:pt>
                <c:pt idx="152">
                  <c:v>2.2754373550415039</c:v>
                </c:pt>
                <c:pt idx="153">
                  <c:v>2.3164799213409424</c:v>
                </c:pt>
                <c:pt idx="154">
                  <c:v>2.2477121353149414</c:v>
                </c:pt>
                <c:pt idx="155">
                  <c:v>2.2658181190490723</c:v>
                </c:pt>
                <c:pt idx="156">
                  <c:v>2.3115577697753906</c:v>
                </c:pt>
                <c:pt idx="157">
                  <c:v>2.3836653232574463</c:v>
                </c:pt>
                <c:pt idx="158">
                  <c:v>2.4103162288665771</c:v>
                </c:pt>
                <c:pt idx="159">
                  <c:v>2.3921267986297607</c:v>
                </c:pt>
                <c:pt idx="160">
                  <c:v>2.4937169551849365</c:v>
                </c:pt>
                <c:pt idx="161">
                  <c:v>2.487703800201416</c:v>
                </c:pt>
                <c:pt idx="162">
                  <c:v>2.4658501148223877</c:v>
                </c:pt>
                <c:pt idx="163">
                  <c:v>2.4056606292724609</c:v>
                </c:pt>
                <c:pt idx="164">
                  <c:v>2.2200367450714111</c:v>
                </c:pt>
                <c:pt idx="165">
                  <c:v>2.1355867385864258</c:v>
                </c:pt>
                <c:pt idx="166">
                  <c:v>2.2403414249420166</c:v>
                </c:pt>
                <c:pt idx="167">
                  <c:v>2.2716562747955322</c:v>
                </c:pt>
                <c:pt idx="168">
                  <c:v>2.2420072555541992</c:v>
                </c:pt>
                <c:pt idx="169">
                  <c:v>2.3016636371612549</c:v>
                </c:pt>
                <c:pt idx="170">
                  <c:v>2.2443807125091553</c:v>
                </c:pt>
                <c:pt idx="171">
                  <c:v>2.2672755718231201</c:v>
                </c:pt>
                <c:pt idx="172">
                  <c:v>2.3722302913665771</c:v>
                </c:pt>
                <c:pt idx="173">
                  <c:v>2.4135642051696777</c:v>
                </c:pt>
                <c:pt idx="174">
                  <c:v>2.4559807777404785</c:v>
                </c:pt>
                <c:pt idx="175">
                  <c:v>2.4154796600341797</c:v>
                </c:pt>
                <c:pt idx="176">
                  <c:v>2.2943429946899414</c:v>
                </c:pt>
                <c:pt idx="177">
                  <c:v>2.3058362007141113</c:v>
                </c:pt>
                <c:pt idx="178">
                  <c:v>2.4122982025146484</c:v>
                </c:pt>
                <c:pt idx="179">
                  <c:v>2.4680237770080566</c:v>
                </c:pt>
                <c:pt idx="180">
                  <c:v>2.3996057510375977</c:v>
                </c:pt>
                <c:pt idx="181">
                  <c:v>2.2750625610351563</c:v>
                </c:pt>
                <c:pt idx="182">
                  <c:v>2.2914280891418457</c:v>
                </c:pt>
                <c:pt idx="183">
                  <c:v>2.2476871013641357</c:v>
                </c:pt>
                <c:pt idx="184">
                  <c:v>2.30422043800354</c:v>
                </c:pt>
                <c:pt idx="185">
                  <c:v>2.4339854717254639</c:v>
                </c:pt>
                <c:pt idx="186">
                  <c:v>2.430687427520752</c:v>
                </c:pt>
                <c:pt idx="187">
                  <c:v>2.5159454345703125</c:v>
                </c:pt>
                <c:pt idx="188">
                  <c:v>2.4307625293731689</c:v>
                </c:pt>
                <c:pt idx="189">
                  <c:v>2.3583385944366455</c:v>
                </c:pt>
                <c:pt idx="190">
                  <c:v>2.3205690383911133</c:v>
                </c:pt>
                <c:pt idx="191">
                  <c:v>2.2639274597167969</c:v>
                </c:pt>
                <c:pt idx="192">
                  <c:v>2.2673420906066895</c:v>
                </c:pt>
                <c:pt idx="193">
                  <c:v>2.2726640701293945</c:v>
                </c:pt>
                <c:pt idx="194">
                  <c:v>2.2500357627868652</c:v>
                </c:pt>
                <c:pt idx="195">
                  <c:v>2.2629199028015137</c:v>
                </c:pt>
                <c:pt idx="196">
                  <c:v>2.309617280960083</c:v>
                </c:pt>
                <c:pt idx="197">
                  <c:v>2.3438303470611572</c:v>
                </c:pt>
                <c:pt idx="198">
                  <c:v>2.3364846706390381</c:v>
                </c:pt>
                <c:pt idx="199">
                  <c:v>2.3141062259674072</c:v>
                </c:pt>
                <c:pt idx="200">
                  <c:v>2.2983572483062744</c:v>
                </c:pt>
                <c:pt idx="201">
                  <c:v>2.3117327690124512</c:v>
                </c:pt>
                <c:pt idx="202">
                  <c:v>2.3870632648468018</c:v>
                </c:pt>
                <c:pt idx="203">
                  <c:v>2.3810584545135498</c:v>
                </c:pt>
                <c:pt idx="204">
                  <c:v>2.2266578674316406</c:v>
                </c:pt>
                <c:pt idx="205">
                  <c:v>2.2804179191589355</c:v>
                </c:pt>
                <c:pt idx="206">
                  <c:v>2.3337447643280029</c:v>
                </c:pt>
                <c:pt idx="207">
                  <c:v>2.2733385562896729</c:v>
                </c:pt>
                <c:pt idx="208">
                  <c:v>2.2570731639862061</c:v>
                </c:pt>
                <c:pt idx="209">
                  <c:v>2.2555325031280518</c:v>
                </c:pt>
                <c:pt idx="210">
                  <c:v>2.2795600891113281</c:v>
                </c:pt>
                <c:pt idx="211">
                  <c:v>2.3254745006561279</c:v>
                </c:pt>
                <c:pt idx="212">
                  <c:v>2.2719061374664307</c:v>
                </c:pt>
                <c:pt idx="213">
                  <c:v>2.3559231758117676</c:v>
                </c:pt>
                <c:pt idx="214">
                  <c:v>2.4047527313232422</c:v>
                </c:pt>
                <c:pt idx="215">
                  <c:v>2.3413734436035156</c:v>
                </c:pt>
                <c:pt idx="216">
                  <c:v>2.2916779518127441</c:v>
                </c:pt>
                <c:pt idx="217">
                  <c:v>2.2280902862548828</c:v>
                </c:pt>
                <c:pt idx="218">
                  <c:v>2.3644847869873047</c:v>
                </c:pt>
                <c:pt idx="219">
                  <c:v>2.2405414581298828</c:v>
                </c:pt>
                <c:pt idx="220">
                  <c:v>2.2072360515594482</c:v>
                </c:pt>
                <c:pt idx="221">
                  <c:v>2.3007059097290039</c:v>
                </c:pt>
                <c:pt idx="222">
                  <c:v>2.2016394138336182</c:v>
                </c:pt>
                <c:pt idx="223">
                  <c:v>2.3374259471893311</c:v>
                </c:pt>
                <c:pt idx="224">
                  <c:v>2.2558488845825195</c:v>
                </c:pt>
                <c:pt idx="225">
                  <c:v>2</c:v>
                </c:pt>
              </c:numCache>
            </c:numRef>
          </c:yVal>
          <c:smooth val="1"/>
          <c:extLst>
            <c:ext xmlns:c16="http://schemas.microsoft.com/office/drawing/2014/chart" uri="{C3380CC4-5D6E-409C-BE32-E72D297353CC}">
              <c16:uniqueId val="{00000004-58F6-4830-8941-1011DB88381F}"/>
            </c:ext>
          </c:extLst>
        </c:ser>
        <c:ser>
          <c:idx val="5"/>
          <c:order val="5"/>
          <c:tx>
            <c:v>6</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numCache>
            </c:numRef>
          </c:yVal>
          <c:smooth val="1"/>
          <c:extLst>
            <c:ext xmlns:c16="http://schemas.microsoft.com/office/drawing/2014/chart" uri="{C3380CC4-5D6E-409C-BE32-E72D297353CC}">
              <c16:uniqueId val="{00000005-58F6-4830-8941-1011DB88381F}"/>
            </c:ext>
          </c:extLst>
        </c:ser>
        <c:ser>
          <c:idx val="6"/>
          <c:order val="6"/>
          <c:tx>
            <c:v>7</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numCache>
            </c:numRef>
          </c:yVal>
          <c:smooth val="1"/>
          <c:extLst>
            <c:ext xmlns:c16="http://schemas.microsoft.com/office/drawing/2014/chart" uri="{C3380CC4-5D6E-409C-BE32-E72D297353CC}">
              <c16:uniqueId val="{00000006-58F6-4830-8941-1011DB88381F}"/>
            </c:ext>
          </c:extLst>
        </c:ser>
        <c:ser>
          <c:idx val="7"/>
          <c:order val="7"/>
          <c:tx>
            <c:v>8</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NormalisedUVVisData!$I$2:$I$300</c:f>
              <c:numCache>
                <c:formatCode>General</c:formatCode>
                <c:ptCount val="299"/>
              </c:numCache>
            </c:numRef>
          </c:yVal>
          <c:smooth val="1"/>
          <c:extLst>
            <c:ext xmlns:c16="http://schemas.microsoft.com/office/drawing/2014/chart" uri="{C3380CC4-5D6E-409C-BE32-E72D297353CC}">
              <c16:uniqueId val="{00000007-58F6-4830-8941-1011DB88381F}"/>
            </c:ext>
          </c:extLst>
        </c:ser>
        <c:ser>
          <c:idx val="8"/>
          <c:order val="8"/>
          <c:tx>
            <c:v>9</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NormalisedUVVisData!$J$2:$J$300</c:f>
              <c:numCache>
                <c:formatCode>General</c:formatCode>
                <c:ptCount val="299"/>
              </c:numCache>
            </c:numRef>
          </c:yVal>
          <c:smooth val="1"/>
          <c:extLst>
            <c:ext xmlns:c16="http://schemas.microsoft.com/office/drawing/2014/chart" uri="{C3380CC4-5D6E-409C-BE32-E72D297353CC}">
              <c16:uniqueId val="{00000008-58F6-4830-8941-1011DB88381F}"/>
            </c:ext>
          </c:extLst>
        </c:ser>
        <c:ser>
          <c:idx val="9"/>
          <c:order val="9"/>
          <c:tx>
            <c:v>10</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NormalisedUVVisData!$K$2:$K$300</c:f>
              <c:numCache>
                <c:formatCode>General</c:formatCode>
                <c:ptCount val="299"/>
              </c:numCache>
            </c:numRef>
          </c:yVal>
          <c:smooth val="1"/>
          <c:extLst>
            <c:ext xmlns:c16="http://schemas.microsoft.com/office/drawing/2014/chart" uri="{C3380CC4-5D6E-409C-BE32-E72D297353CC}">
              <c16:uniqueId val="{00000009-58F6-4830-8941-1011DB88381F}"/>
            </c:ext>
          </c:extLst>
        </c:ser>
        <c:ser>
          <c:idx val="10"/>
          <c:order val="10"/>
          <c:tx>
            <c:v>11</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NormalisedUVVisData!$L$2:$L$300</c:f>
              <c:numCache>
                <c:formatCode>General</c:formatCode>
                <c:ptCount val="299"/>
              </c:numCache>
            </c:numRef>
          </c:yVal>
          <c:smooth val="1"/>
          <c:extLst>
            <c:ext xmlns:c16="http://schemas.microsoft.com/office/drawing/2014/chart" uri="{C3380CC4-5D6E-409C-BE32-E72D297353CC}">
              <c16:uniqueId val="{0000000A-58F6-4830-8941-1011DB88381F}"/>
            </c:ext>
          </c:extLst>
        </c:ser>
        <c:ser>
          <c:idx val="11"/>
          <c:order val="11"/>
          <c:tx>
            <c:v>12</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NormalisedUVVisData!$M$2:$M$300</c:f>
              <c:numCache>
                <c:formatCode>General</c:formatCode>
                <c:ptCount val="299"/>
              </c:numCache>
            </c:numRef>
          </c:yVal>
          <c:smooth val="1"/>
          <c:extLst>
            <c:ext xmlns:c16="http://schemas.microsoft.com/office/drawing/2014/chart" uri="{C3380CC4-5D6E-409C-BE32-E72D297353CC}">
              <c16:uniqueId val="{0000000B-58F6-4830-8941-1011DB88381F}"/>
            </c:ext>
          </c:extLst>
        </c:ser>
        <c:ser>
          <c:idx val="12"/>
          <c:order val="12"/>
          <c:tx>
            <c:v>13</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NormalisedUVVisData!$N$2:$N$300</c:f>
              <c:numCache>
                <c:formatCode>General</c:formatCode>
                <c:ptCount val="299"/>
              </c:numCache>
            </c:numRef>
          </c:yVal>
          <c:smooth val="1"/>
          <c:extLst>
            <c:ext xmlns:c16="http://schemas.microsoft.com/office/drawing/2014/chart" uri="{C3380CC4-5D6E-409C-BE32-E72D297353CC}">
              <c16:uniqueId val="{0000000C-58F6-4830-8941-1011DB88381F}"/>
            </c:ext>
          </c:extLst>
        </c:ser>
        <c:ser>
          <c:idx val="13"/>
          <c:order val="13"/>
          <c:tx>
            <c:v>14</c:v>
          </c:tx>
          <c:spPr>
            <a:ln w="19050" cap="rnd">
              <a:noFill/>
              <a:round/>
            </a:ln>
            <a:effectLst/>
            <a:extLst>
              <a:ext uri="{91240B29-F687-4F45-9708-019B960494DF}">
                <a14:hiddenLine xmlns:a14="http://schemas.microsoft.com/office/drawing/2010/main" w="19050" cap="rnd">
                  <a:solidFill>
                    <a:srgbClr val="ED7D31">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NormalisedUVVisData!$O$2:$O$300</c:f>
              <c:numCache>
                <c:formatCode>General</c:formatCode>
                <c:ptCount val="299"/>
              </c:numCache>
            </c:numRef>
          </c:yVal>
          <c:smooth val="1"/>
          <c:extLst>
            <c:ext xmlns:c16="http://schemas.microsoft.com/office/drawing/2014/chart" uri="{C3380CC4-5D6E-409C-BE32-E72D297353CC}">
              <c16:uniqueId val="{0000000D-58F6-4830-8941-1011DB88381F}"/>
            </c:ext>
          </c:extLst>
        </c:ser>
        <c:ser>
          <c:idx val="14"/>
          <c:order val="14"/>
          <c:tx>
            <c:v>15</c:v>
          </c:tx>
          <c:spPr>
            <a:ln w="19050" cap="rnd">
              <a:noFill/>
              <a:round/>
            </a:ln>
            <a:effectLst/>
            <a:extLst>
              <a:ext uri="{91240B29-F687-4F45-9708-019B960494DF}">
                <a14:hiddenLine xmlns:a14="http://schemas.microsoft.com/office/drawing/2010/main" w="19050" cap="rnd">
                  <a:solidFill>
                    <a:srgbClr val="A5A5A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NormalisedUVVisData!$P$2:$P$300</c:f>
              <c:numCache>
                <c:formatCode>General</c:formatCode>
                <c:ptCount val="299"/>
              </c:numCache>
            </c:numRef>
          </c:yVal>
          <c:smooth val="1"/>
          <c:extLst>
            <c:ext xmlns:c16="http://schemas.microsoft.com/office/drawing/2014/chart" uri="{C3380CC4-5D6E-409C-BE32-E72D297353CC}">
              <c16:uniqueId val="{0000000E-58F6-4830-8941-1011DB88381F}"/>
            </c:ext>
          </c:extLst>
        </c:ser>
        <c:ser>
          <c:idx val="15"/>
          <c:order val="15"/>
          <c:tx>
            <c:v>16</c:v>
          </c:tx>
          <c:spPr>
            <a:ln w="19050" cap="rnd">
              <a:noFill/>
              <a:round/>
            </a:ln>
            <a:effectLst/>
            <a:extLst>
              <a:ext uri="{91240B29-F687-4F45-9708-019B960494DF}">
                <a14:hiddenLine xmlns:a14="http://schemas.microsoft.com/office/drawing/2010/main" w="19050" cap="rnd">
                  <a:solidFill>
                    <a:srgbClr val="FFC000">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NormalisedUVVisData!$Q$2:$Q$300</c:f>
              <c:numCache>
                <c:formatCode>General</c:formatCode>
                <c:ptCount val="299"/>
              </c:numCache>
            </c:numRef>
          </c:yVal>
          <c:smooth val="1"/>
          <c:extLst>
            <c:ext xmlns:c16="http://schemas.microsoft.com/office/drawing/2014/chart" uri="{C3380CC4-5D6E-409C-BE32-E72D297353CC}">
              <c16:uniqueId val="{0000000F-58F6-4830-8941-1011DB88381F}"/>
            </c:ext>
          </c:extLst>
        </c:ser>
        <c:ser>
          <c:idx val="16"/>
          <c:order val="16"/>
          <c:tx>
            <c:v>17</c:v>
          </c:tx>
          <c:spPr>
            <a:ln w="19050" cap="rnd">
              <a:noFill/>
              <a:round/>
            </a:ln>
            <a:effectLst/>
            <a:extLst>
              <a:ext uri="{91240B29-F687-4F45-9708-019B960494DF}">
                <a14:hiddenLine xmlns:a14="http://schemas.microsoft.com/office/drawing/2010/main" w="19050" cap="rnd">
                  <a:solidFill>
                    <a:srgbClr val="4472C4">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NormalisedUVVisData!$R$2:$R$300</c:f>
              <c:numCache>
                <c:formatCode>General</c:formatCode>
                <c:ptCount val="299"/>
              </c:numCache>
            </c:numRef>
          </c:yVal>
          <c:smooth val="1"/>
          <c:extLst>
            <c:ext xmlns:c16="http://schemas.microsoft.com/office/drawing/2014/chart" uri="{C3380CC4-5D6E-409C-BE32-E72D297353CC}">
              <c16:uniqueId val="{00000010-58F6-4830-8941-1011DB88381F}"/>
            </c:ext>
          </c:extLst>
        </c:ser>
        <c:ser>
          <c:idx val="17"/>
          <c:order val="17"/>
          <c:tx>
            <c:v>18</c:v>
          </c:tx>
          <c:spPr>
            <a:ln w="19050" cap="rnd">
              <a:noFill/>
              <a:round/>
            </a:ln>
            <a:effectLst/>
            <a:extLst>
              <a:ext uri="{91240B29-F687-4F45-9708-019B960494DF}">
                <a14:hiddenLine xmlns:a14="http://schemas.microsoft.com/office/drawing/2010/main" w="19050" cap="rnd">
                  <a:solidFill>
                    <a:srgbClr val="70AD47">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NormalisedUVVisData!$S$2:$S$300</c:f>
              <c:numCache>
                <c:formatCode>General</c:formatCode>
                <c:ptCount val="299"/>
              </c:numCache>
            </c:numRef>
          </c:yVal>
          <c:smooth val="1"/>
          <c:extLst>
            <c:ext xmlns:c16="http://schemas.microsoft.com/office/drawing/2014/chart" uri="{C3380CC4-5D6E-409C-BE32-E72D297353CC}">
              <c16:uniqueId val="{00000011-58F6-4830-8941-1011DB88381F}"/>
            </c:ext>
          </c:extLst>
        </c:ser>
        <c:ser>
          <c:idx val="18"/>
          <c:order val="18"/>
          <c:tx>
            <c:v>19</c:v>
          </c:tx>
          <c:spPr>
            <a:ln w="19050" cap="rnd">
              <a:noFill/>
              <a:round/>
            </a:ln>
            <a:effectLst/>
            <a:extLst>
              <a:ext uri="{91240B29-F687-4F45-9708-019B960494DF}">
                <a14:hiddenLine xmlns:a14="http://schemas.microsoft.com/office/drawing/2010/main" w="19050" cap="rnd">
                  <a:solidFill>
                    <a:srgbClr val="5B9BD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NormalisedUVVisData!$T$2:$T$300</c:f>
              <c:numCache>
                <c:formatCode>General</c:formatCode>
                <c:ptCount val="299"/>
              </c:numCache>
            </c:numRef>
          </c:yVal>
          <c:smooth val="1"/>
          <c:extLst>
            <c:ext xmlns:c16="http://schemas.microsoft.com/office/drawing/2014/chart" uri="{C3380CC4-5D6E-409C-BE32-E72D297353CC}">
              <c16:uniqueId val="{00000012-58F6-4830-8941-1011DB88381F}"/>
            </c:ext>
          </c:extLst>
        </c:ser>
        <c:ser>
          <c:idx val="19"/>
          <c:order val="19"/>
          <c:tx>
            <c:v>20</c:v>
          </c:tx>
          <c:spPr>
            <a:ln w="19050" cap="rnd">
              <a:noFill/>
              <a:round/>
            </a:ln>
            <a:effectLst/>
            <a:extLst>
              <a:ext uri="{91240B29-F687-4F45-9708-019B960494DF}">
                <a14:hiddenLine xmlns:a14="http://schemas.microsoft.com/office/drawing/2010/main" w="19050" cap="rnd">
                  <a:solidFill>
                    <a:srgbClr val="ED7D31">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NormalisedUVVisData!$U$2:$U$300</c:f>
              <c:numCache>
                <c:formatCode>General</c:formatCode>
                <c:ptCount val="299"/>
              </c:numCache>
            </c:numRef>
          </c:yVal>
          <c:smooth val="1"/>
          <c:extLst>
            <c:ext xmlns:c16="http://schemas.microsoft.com/office/drawing/2014/chart" uri="{C3380CC4-5D6E-409C-BE32-E72D297353CC}">
              <c16:uniqueId val="{00000013-58F6-4830-8941-1011DB88381F}"/>
            </c:ext>
          </c:extLst>
        </c:ser>
        <c:ser>
          <c:idx val="20"/>
          <c:order val="20"/>
          <c:tx>
            <c:v>21</c:v>
          </c:tx>
          <c:spPr>
            <a:ln w="19050" cap="rnd">
              <a:noFill/>
              <a:round/>
            </a:ln>
            <a:effectLst/>
            <a:extLst>
              <a:ext uri="{91240B29-F687-4F45-9708-019B960494DF}">
                <a14:hiddenLine xmlns:a14="http://schemas.microsoft.com/office/drawing/2010/main" w="19050" cap="rnd">
                  <a:solidFill>
                    <a:srgbClr val="A5A5A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NormalisedUVVisData!$V$2:$V$300</c:f>
              <c:numCache>
                <c:formatCode>General</c:formatCode>
                <c:ptCount val="299"/>
              </c:numCache>
            </c:numRef>
          </c:yVal>
          <c:smooth val="1"/>
          <c:extLst>
            <c:ext xmlns:c16="http://schemas.microsoft.com/office/drawing/2014/chart" uri="{C3380CC4-5D6E-409C-BE32-E72D297353CC}">
              <c16:uniqueId val="{00000014-58F6-4830-8941-1011DB88381F}"/>
            </c:ext>
          </c:extLst>
        </c:ser>
        <c:ser>
          <c:idx val="21"/>
          <c:order val="21"/>
          <c:tx>
            <c:v>22</c:v>
          </c:tx>
          <c:spPr>
            <a:ln w="19050" cap="rnd">
              <a:noFill/>
              <a:round/>
            </a:ln>
            <a:effectLst/>
            <a:extLst>
              <a:ext uri="{91240B29-F687-4F45-9708-019B960494DF}">
                <a14:hiddenLine xmlns:a14="http://schemas.microsoft.com/office/drawing/2010/main" w="19050" cap="rnd">
                  <a:solidFill>
                    <a:srgbClr val="FFC000">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NormalisedUVVisData!$W$2:$W$300</c:f>
              <c:numCache>
                <c:formatCode>General</c:formatCode>
                <c:ptCount val="299"/>
              </c:numCache>
            </c:numRef>
          </c:yVal>
          <c:smooth val="1"/>
          <c:extLst>
            <c:ext xmlns:c16="http://schemas.microsoft.com/office/drawing/2014/chart" uri="{C3380CC4-5D6E-409C-BE32-E72D297353CC}">
              <c16:uniqueId val="{00000015-58F6-4830-8941-1011DB88381F}"/>
            </c:ext>
          </c:extLst>
        </c:ser>
        <c:ser>
          <c:idx val="22"/>
          <c:order val="22"/>
          <c:tx>
            <c:v>23</c:v>
          </c:tx>
          <c:spPr>
            <a:ln w="19050" cap="rnd">
              <a:noFill/>
              <a:round/>
            </a:ln>
            <a:effectLst/>
            <a:extLst>
              <a:ext uri="{91240B29-F687-4F45-9708-019B960494DF}">
                <a14:hiddenLine xmlns:a14="http://schemas.microsoft.com/office/drawing/2010/main" w="19050" cap="rnd">
                  <a:solidFill>
                    <a:srgbClr val="4472C4">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NormalisedUVVisData!$X$2:$X$300</c:f>
              <c:numCache>
                <c:formatCode>General</c:formatCode>
                <c:ptCount val="299"/>
              </c:numCache>
            </c:numRef>
          </c:yVal>
          <c:smooth val="1"/>
          <c:extLst>
            <c:ext xmlns:c16="http://schemas.microsoft.com/office/drawing/2014/chart" uri="{C3380CC4-5D6E-409C-BE32-E72D297353CC}">
              <c16:uniqueId val="{00000016-58F6-4830-8941-1011DB88381F}"/>
            </c:ext>
          </c:extLst>
        </c:ser>
        <c:ser>
          <c:idx val="23"/>
          <c:order val="23"/>
          <c:tx>
            <c:v>24</c:v>
          </c:tx>
          <c:spPr>
            <a:ln w="19050" cap="rnd">
              <a:noFill/>
              <a:round/>
            </a:ln>
            <a:effectLst/>
            <a:extLst>
              <a:ext uri="{91240B29-F687-4F45-9708-019B960494DF}">
                <a14:hiddenLine xmlns:a14="http://schemas.microsoft.com/office/drawing/2010/main" w="19050" cap="rnd">
                  <a:solidFill>
                    <a:srgbClr val="70AD47">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NormalisedUVVisData!$Y$2:$Y$300</c:f>
              <c:numCache>
                <c:formatCode>General</c:formatCode>
                <c:ptCount val="299"/>
              </c:numCache>
            </c:numRef>
          </c:yVal>
          <c:smooth val="1"/>
          <c:extLst>
            <c:ext xmlns:c16="http://schemas.microsoft.com/office/drawing/2014/chart" uri="{C3380CC4-5D6E-409C-BE32-E72D297353CC}">
              <c16:uniqueId val="{00000017-58F6-4830-8941-1011DB88381F}"/>
            </c:ext>
          </c:extLst>
        </c:ser>
        <c:ser>
          <c:idx val="24"/>
          <c:order val="24"/>
          <c:tx>
            <c:v>25</c:v>
          </c:tx>
          <c:spPr>
            <a:ln w="19050" cap="rnd">
              <a:noFill/>
              <a:round/>
            </a:ln>
            <a:effectLst/>
            <a:extLst>
              <a:ext uri="{91240B29-F687-4F45-9708-019B960494DF}">
                <a14:hiddenLine xmlns:a14="http://schemas.microsoft.com/office/drawing/2010/main" w="19050" cap="rnd">
                  <a:solidFill>
                    <a:srgbClr val="5B9BD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NormalisedUVVisData!$Z$2:$Z$300</c:f>
              <c:numCache>
                <c:formatCode>General</c:formatCode>
                <c:ptCount val="299"/>
              </c:numCache>
            </c:numRef>
          </c:yVal>
          <c:smooth val="1"/>
          <c:extLst>
            <c:ext xmlns:c16="http://schemas.microsoft.com/office/drawing/2014/chart" uri="{C3380CC4-5D6E-409C-BE32-E72D297353CC}">
              <c16:uniqueId val="{00000018-58F6-4830-8941-1011DB88381F}"/>
            </c:ext>
          </c:extLst>
        </c:ser>
        <c:ser>
          <c:idx val="25"/>
          <c:order val="25"/>
          <c:tx>
            <c:v>26</c:v>
          </c:tx>
          <c:spPr>
            <a:ln w="19050" cap="rnd">
              <a:noFill/>
              <a:round/>
            </a:ln>
            <a:effectLst/>
            <a:extLst>
              <a:ext uri="{91240B29-F687-4F45-9708-019B960494DF}">
                <a14:hiddenLine xmlns:a14="http://schemas.microsoft.com/office/drawing/2010/main" w="19050" cap="rnd">
                  <a:solidFill>
                    <a:srgbClr val="ED7D31">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NormalisedUVVisData!$AA$2:$AA$300</c:f>
              <c:numCache>
                <c:formatCode>General</c:formatCode>
                <c:ptCount val="299"/>
              </c:numCache>
            </c:numRef>
          </c:yVal>
          <c:smooth val="1"/>
          <c:extLst>
            <c:ext xmlns:c16="http://schemas.microsoft.com/office/drawing/2014/chart" uri="{C3380CC4-5D6E-409C-BE32-E72D297353CC}">
              <c16:uniqueId val="{00000019-58F6-4830-8941-1011DB88381F}"/>
            </c:ext>
          </c:extLst>
        </c:ser>
        <c:ser>
          <c:idx val="26"/>
          <c:order val="26"/>
          <c:tx>
            <c:v>27</c:v>
          </c:tx>
          <c:spPr>
            <a:ln w="19050" cap="rnd">
              <a:noFill/>
              <a:round/>
            </a:ln>
            <a:effectLst/>
            <a:extLst>
              <a:ext uri="{91240B29-F687-4F45-9708-019B960494DF}">
                <a14:hiddenLine xmlns:a14="http://schemas.microsoft.com/office/drawing/2010/main" w="19050" cap="rnd">
                  <a:solidFill>
                    <a:srgbClr val="A5A5A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NormalisedUVVisData!$AB$2:$AB$300</c:f>
              <c:numCache>
                <c:formatCode>General</c:formatCode>
                <c:ptCount val="299"/>
              </c:numCache>
            </c:numRef>
          </c:yVal>
          <c:smooth val="1"/>
          <c:extLst>
            <c:ext xmlns:c16="http://schemas.microsoft.com/office/drawing/2014/chart" uri="{C3380CC4-5D6E-409C-BE32-E72D297353CC}">
              <c16:uniqueId val="{0000001A-58F6-4830-8941-1011DB88381F}"/>
            </c:ext>
          </c:extLst>
        </c:ser>
        <c:ser>
          <c:idx val="27"/>
          <c:order val="27"/>
          <c:tx>
            <c:v>28</c:v>
          </c:tx>
          <c:spPr>
            <a:ln w="19050" cap="rnd">
              <a:noFill/>
              <a:round/>
            </a:ln>
            <a:effectLst/>
            <a:extLst>
              <a:ext uri="{91240B29-F687-4F45-9708-019B960494DF}">
                <a14:hiddenLine xmlns:a14="http://schemas.microsoft.com/office/drawing/2010/main" w="19050" cap="rnd">
                  <a:solidFill>
                    <a:srgbClr val="FFC000">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NormalisedUVVisData!$AC$2:$AC$300</c:f>
              <c:numCache>
                <c:formatCode>General</c:formatCode>
                <c:ptCount val="299"/>
              </c:numCache>
            </c:numRef>
          </c:yVal>
          <c:smooth val="1"/>
          <c:extLst>
            <c:ext xmlns:c16="http://schemas.microsoft.com/office/drawing/2014/chart" uri="{C3380CC4-5D6E-409C-BE32-E72D297353CC}">
              <c16:uniqueId val="{0000001B-58F6-4830-8941-1011DB88381F}"/>
            </c:ext>
          </c:extLst>
        </c:ser>
        <c:ser>
          <c:idx val="28"/>
          <c:order val="28"/>
          <c:tx>
            <c:v>29</c:v>
          </c:tx>
          <c:spPr>
            <a:ln w="19050" cap="rnd">
              <a:noFill/>
              <a:round/>
            </a:ln>
            <a:effectLst/>
            <a:extLst>
              <a:ext uri="{91240B29-F687-4F45-9708-019B960494DF}">
                <a14:hiddenLine xmlns:a14="http://schemas.microsoft.com/office/drawing/2010/main" w="19050" cap="rnd">
                  <a:solidFill>
                    <a:srgbClr val="4472C4">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NormalisedUVVisData!$AD$2:$AD$300</c:f>
              <c:numCache>
                <c:formatCode>General</c:formatCode>
                <c:ptCount val="299"/>
              </c:numCache>
            </c:numRef>
          </c:yVal>
          <c:smooth val="1"/>
          <c:extLst>
            <c:ext xmlns:c16="http://schemas.microsoft.com/office/drawing/2014/chart" uri="{C3380CC4-5D6E-409C-BE32-E72D297353CC}">
              <c16:uniqueId val="{0000001C-58F6-4830-8941-1011DB88381F}"/>
            </c:ext>
          </c:extLst>
        </c:ser>
        <c:ser>
          <c:idx val="29"/>
          <c:order val="29"/>
          <c:tx>
            <c:v>30</c:v>
          </c:tx>
          <c:spPr>
            <a:ln w="19050" cap="rnd">
              <a:noFill/>
              <a:round/>
            </a:ln>
            <a:effectLst/>
            <a:extLst>
              <a:ext uri="{91240B29-F687-4F45-9708-019B960494DF}">
                <a14:hiddenLine xmlns:a14="http://schemas.microsoft.com/office/drawing/2010/main" w="19050" cap="rnd">
                  <a:solidFill>
                    <a:srgbClr val="70AD47">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NormalisedUVVisData!$AE$2:$AE$300</c:f>
              <c:numCache>
                <c:formatCode>General</c:formatCode>
                <c:ptCount val="299"/>
              </c:numCache>
            </c:numRef>
          </c:yVal>
          <c:smooth val="1"/>
          <c:extLst>
            <c:ext xmlns:c16="http://schemas.microsoft.com/office/drawing/2014/chart" uri="{C3380CC4-5D6E-409C-BE32-E72D297353CC}">
              <c16:uniqueId val="{0000001D-58F6-4830-8941-1011DB88381F}"/>
            </c:ext>
          </c:extLst>
        </c:ser>
        <c:ser>
          <c:idx val="30"/>
          <c:order val="30"/>
          <c:tx>
            <c:v>31</c:v>
          </c:tx>
          <c:spPr>
            <a:ln w="19050" cap="rnd">
              <a:noFill/>
              <a:round/>
            </a:ln>
            <a:effectLst/>
            <a:extLst>
              <a:ext uri="{91240B29-F687-4F45-9708-019B960494DF}">
                <a14:hiddenLine xmlns:a14="http://schemas.microsoft.com/office/drawing/2010/main" w="19050" cap="rnd">
                  <a:solidFill>
                    <a:srgbClr val="5B9BD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NormalisedUVVisData!$AF$2:$AF$300</c:f>
              <c:numCache>
                <c:formatCode>General</c:formatCode>
                <c:ptCount val="299"/>
              </c:numCache>
            </c:numRef>
          </c:yVal>
          <c:smooth val="1"/>
          <c:extLst>
            <c:ext xmlns:c16="http://schemas.microsoft.com/office/drawing/2014/chart" uri="{C3380CC4-5D6E-409C-BE32-E72D297353CC}">
              <c16:uniqueId val="{0000001E-58F6-4830-8941-1011DB88381F}"/>
            </c:ext>
          </c:extLst>
        </c:ser>
        <c:ser>
          <c:idx val="31"/>
          <c:order val="31"/>
          <c:tx>
            <c:v>32</c:v>
          </c:tx>
          <c:spPr>
            <a:ln w="19050" cap="rnd">
              <a:noFill/>
              <a:round/>
            </a:ln>
            <a:effectLst/>
            <a:extLst>
              <a:ext uri="{91240B29-F687-4F45-9708-019B960494DF}">
                <a14:hiddenLine xmlns:a14="http://schemas.microsoft.com/office/drawing/2010/main" w="19050" cap="rnd">
                  <a:solidFill>
                    <a:srgbClr val="ED7D31">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NormalisedUVVisData!$AG$2:$AG$300</c:f>
              <c:numCache>
                <c:formatCode>General</c:formatCode>
                <c:ptCount val="299"/>
              </c:numCache>
            </c:numRef>
          </c:yVal>
          <c:smooth val="1"/>
          <c:extLst>
            <c:ext xmlns:c16="http://schemas.microsoft.com/office/drawing/2014/chart" uri="{C3380CC4-5D6E-409C-BE32-E72D297353CC}">
              <c16:uniqueId val="{0000001F-58F6-4830-8941-1011DB88381F}"/>
            </c:ext>
          </c:extLst>
        </c:ser>
        <c:ser>
          <c:idx val="32"/>
          <c:order val="32"/>
          <c:tx>
            <c:v>33</c:v>
          </c:tx>
          <c:spPr>
            <a:ln w="19050" cap="rnd">
              <a:noFill/>
              <a:round/>
            </a:ln>
            <a:effectLst/>
            <a:extLst>
              <a:ext uri="{91240B29-F687-4F45-9708-019B960494DF}">
                <a14:hiddenLine xmlns:a14="http://schemas.microsoft.com/office/drawing/2010/main" w="19050" cap="rnd">
                  <a:solidFill>
                    <a:srgbClr val="A5A5A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NormalisedUVVisData!$AH$2:$AH$300</c:f>
              <c:numCache>
                <c:formatCode>General</c:formatCode>
                <c:ptCount val="299"/>
              </c:numCache>
            </c:numRef>
          </c:yVal>
          <c:smooth val="1"/>
          <c:extLst>
            <c:ext xmlns:c16="http://schemas.microsoft.com/office/drawing/2014/chart" uri="{C3380CC4-5D6E-409C-BE32-E72D297353CC}">
              <c16:uniqueId val="{00000020-58F6-4830-8941-1011DB88381F}"/>
            </c:ext>
          </c:extLst>
        </c:ser>
        <c:ser>
          <c:idx val="33"/>
          <c:order val="33"/>
          <c:tx>
            <c:v>34</c:v>
          </c:tx>
          <c:spPr>
            <a:ln w="19050" cap="rnd">
              <a:noFill/>
              <a:round/>
            </a:ln>
            <a:effectLst/>
            <a:extLst>
              <a:ext uri="{91240B29-F687-4F45-9708-019B960494DF}">
                <a14:hiddenLine xmlns:a14="http://schemas.microsoft.com/office/drawing/2010/main" w="19050" cap="rnd">
                  <a:solidFill>
                    <a:srgbClr val="FFC000">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NormalisedUVVisData!$AI$2:$AI$300</c:f>
              <c:numCache>
                <c:formatCode>General</c:formatCode>
                <c:ptCount val="299"/>
              </c:numCache>
            </c:numRef>
          </c:yVal>
          <c:smooth val="1"/>
          <c:extLst>
            <c:ext xmlns:c16="http://schemas.microsoft.com/office/drawing/2014/chart" uri="{C3380CC4-5D6E-409C-BE32-E72D297353CC}">
              <c16:uniqueId val="{00000021-58F6-4830-8941-1011DB88381F}"/>
            </c:ext>
          </c:extLst>
        </c:ser>
        <c:ser>
          <c:idx val="34"/>
          <c:order val="34"/>
          <c:tx>
            <c:v>35</c:v>
          </c:tx>
          <c:spPr>
            <a:ln w="19050" cap="rnd">
              <a:noFill/>
              <a:round/>
            </a:ln>
            <a:effectLst/>
            <a:extLst>
              <a:ext uri="{91240B29-F687-4F45-9708-019B960494DF}">
                <a14:hiddenLine xmlns:a14="http://schemas.microsoft.com/office/drawing/2010/main" w="19050" cap="rnd">
                  <a:solidFill>
                    <a:srgbClr val="4472C4">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NormalisedUVVisData!$AJ$2:$AJ$300</c:f>
              <c:numCache>
                <c:formatCode>General</c:formatCode>
                <c:ptCount val="299"/>
              </c:numCache>
            </c:numRef>
          </c:yVal>
          <c:smooth val="1"/>
          <c:extLst>
            <c:ext xmlns:c16="http://schemas.microsoft.com/office/drawing/2014/chart" uri="{C3380CC4-5D6E-409C-BE32-E72D297353CC}">
              <c16:uniqueId val="{00000022-58F6-4830-8941-1011DB88381F}"/>
            </c:ext>
          </c:extLst>
        </c:ser>
        <c:ser>
          <c:idx val="35"/>
          <c:order val="35"/>
          <c:tx>
            <c:v>36</c:v>
          </c:tx>
          <c:spPr>
            <a:ln w="19050" cap="rnd">
              <a:noFill/>
              <a:round/>
            </a:ln>
            <a:effectLst/>
            <a:extLst>
              <a:ext uri="{91240B29-F687-4F45-9708-019B960494DF}">
                <a14:hiddenLine xmlns:a14="http://schemas.microsoft.com/office/drawing/2010/main" w="19050" cap="rnd">
                  <a:solidFill>
                    <a:srgbClr val="70AD47">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NormalisedUVVisData!$AK$2:$AK$300</c:f>
              <c:numCache>
                <c:formatCode>General</c:formatCode>
                <c:ptCount val="299"/>
              </c:numCache>
            </c:numRef>
          </c:yVal>
          <c:smooth val="1"/>
          <c:extLst>
            <c:ext xmlns:c16="http://schemas.microsoft.com/office/drawing/2014/chart" uri="{C3380CC4-5D6E-409C-BE32-E72D297353CC}">
              <c16:uniqueId val="{00000023-58F6-4830-8941-1011DB88381F}"/>
            </c:ext>
          </c:extLst>
        </c:ser>
        <c:ser>
          <c:idx val="36"/>
          <c:order val="36"/>
          <c:tx>
            <c:v>37</c:v>
          </c:tx>
          <c:spPr>
            <a:ln w="19050" cap="rnd">
              <a:noFill/>
              <a:round/>
            </a:ln>
            <a:effectLst/>
            <a:extLst>
              <a:ext uri="{91240B29-F687-4F45-9708-019B960494DF}">
                <a14:hiddenLine xmlns:a14="http://schemas.microsoft.com/office/drawing/2010/main" w="19050" cap="rnd">
                  <a:solidFill>
                    <a:srgbClr val="5B9BD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NormalisedUVVisData!$AL$2:$AL$300</c:f>
              <c:numCache>
                <c:formatCode>General</c:formatCode>
                <c:ptCount val="299"/>
              </c:numCache>
            </c:numRef>
          </c:yVal>
          <c:smooth val="1"/>
          <c:extLst>
            <c:ext xmlns:c16="http://schemas.microsoft.com/office/drawing/2014/chart" uri="{C3380CC4-5D6E-409C-BE32-E72D297353CC}">
              <c16:uniqueId val="{00000024-58F6-4830-8941-1011DB88381F}"/>
            </c:ext>
          </c:extLst>
        </c:ser>
        <c:ser>
          <c:idx val="37"/>
          <c:order val="37"/>
          <c:tx>
            <c:v>38</c:v>
          </c:tx>
          <c:spPr>
            <a:ln w="19050" cap="rnd">
              <a:noFill/>
              <a:round/>
            </a:ln>
            <a:effectLst/>
            <a:extLst>
              <a:ext uri="{91240B29-F687-4F45-9708-019B960494DF}">
                <a14:hiddenLine xmlns:a14="http://schemas.microsoft.com/office/drawing/2010/main" w="19050" cap="rnd">
                  <a:solidFill>
                    <a:srgbClr val="ED7D31">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NormalisedUVVisData!$AM$2:$AM$300</c:f>
              <c:numCache>
                <c:formatCode>General</c:formatCode>
                <c:ptCount val="299"/>
              </c:numCache>
            </c:numRef>
          </c:yVal>
          <c:smooth val="1"/>
          <c:extLst>
            <c:ext xmlns:c16="http://schemas.microsoft.com/office/drawing/2014/chart" uri="{C3380CC4-5D6E-409C-BE32-E72D297353CC}">
              <c16:uniqueId val="{00000025-58F6-4830-8941-1011DB88381F}"/>
            </c:ext>
          </c:extLst>
        </c:ser>
        <c:ser>
          <c:idx val="38"/>
          <c:order val="38"/>
          <c:tx>
            <c:v>39</c:v>
          </c:tx>
          <c:spPr>
            <a:ln w="19050" cap="rnd">
              <a:noFill/>
              <a:round/>
            </a:ln>
            <a:effectLst/>
            <a:extLst>
              <a:ext uri="{91240B29-F687-4F45-9708-019B960494DF}">
                <a14:hiddenLine xmlns:a14="http://schemas.microsoft.com/office/drawing/2010/main" w="19050" cap="rnd">
                  <a:solidFill>
                    <a:srgbClr val="A5A5A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NormalisedUVVisData!$AN$2:$AN$300</c:f>
              <c:numCache>
                <c:formatCode>General</c:formatCode>
                <c:ptCount val="299"/>
              </c:numCache>
            </c:numRef>
          </c:yVal>
          <c:smooth val="1"/>
          <c:extLst>
            <c:ext xmlns:c16="http://schemas.microsoft.com/office/drawing/2014/chart" uri="{C3380CC4-5D6E-409C-BE32-E72D297353CC}">
              <c16:uniqueId val="{00000026-58F6-4830-8941-1011DB88381F}"/>
            </c:ext>
          </c:extLst>
        </c:ser>
        <c:ser>
          <c:idx val="39"/>
          <c:order val="39"/>
          <c:tx>
            <c:v>40</c:v>
          </c:tx>
          <c:spPr>
            <a:ln w="19050" cap="rnd">
              <a:noFill/>
              <a:round/>
            </a:ln>
            <a:effectLst/>
            <a:extLst>
              <a:ext uri="{91240B29-F687-4F45-9708-019B960494DF}">
                <a14:hiddenLine xmlns:a14="http://schemas.microsoft.com/office/drawing/2010/main" w="19050" cap="rnd">
                  <a:solidFill>
                    <a:srgbClr val="FFC000">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NormalisedUVVisData!$AO$2:$AO$300</c:f>
              <c:numCache>
                <c:formatCode>General</c:formatCode>
                <c:ptCount val="299"/>
              </c:numCache>
            </c:numRef>
          </c:yVal>
          <c:smooth val="1"/>
          <c:extLst>
            <c:ext xmlns:c16="http://schemas.microsoft.com/office/drawing/2014/chart" uri="{C3380CC4-5D6E-409C-BE32-E72D297353CC}">
              <c16:uniqueId val="{00000027-58F6-4830-8941-1011DB88381F}"/>
            </c:ext>
          </c:extLst>
        </c:ser>
        <c:ser>
          <c:idx val="40"/>
          <c:order val="40"/>
          <c:tx>
            <c:v>41</c:v>
          </c:tx>
          <c:spPr>
            <a:ln w="19050" cap="rnd">
              <a:noFill/>
              <a:round/>
            </a:ln>
            <a:effectLst/>
            <a:extLst>
              <a:ext uri="{91240B29-F687-4F45-9708-019B960494DF}">
                <a14:hiddenLine xmlns:a14="http://schemas.microsoft.com/office/drawing/2010/main" w="19050" cap="rnd">
                  <a:solidFill>
                    <a:srgbClr val="4472C4">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NormalisedUVVisData!$AP$2:$AP$300</c:f>
              <c:numCache>
                <c:formatCode>General</c:formatCode>
                <c:ptCount val="299"/>
              </c:numCache>
            </c:numRef>
          </c:yVal>
          <c:smooth val="1"/>
          <c:extLst>
            <c:ext xmlns:c16="http://schemas.microsoft.com/office/drawing/2014/chart" uri="{C3380CC4-5D6E-409C-BE32-E72D297353CC}">
              <c16:uniqueId val="{00000028-58F6-4830-8941-1011DB88381F}"/>
            </c:ext>
          </c:extLst>
        </c:ser>
        <c:ser>
          <c:idx val="41"/>
          <c:order val="41"/>
          <c:tx>
            <c:v>42</c:v>
          </c:tx>
          <c:spPr>
            <a:ln w="19050" cap="rnd">
              <a:noFill/>
              <a:round/>
            </a:ln>
            <a:effectLst/>
            <a:extLst>
              <a:ext uri="{91240B29-F687-4F45-9708-019B960494DF}">
                <a14:hiddenLine xmlns:a14="http://schemas.microsoft.com/office/drawing/2010/main" w="19050" cap="rnd">
                  <a:solidFill>
                    <a:srgbClr val="70AD47">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NormalisedUVVisData!$AQ$2:$AQ$300</c:f>
              <c:numCache>
                <c:formatCode>General</c:formatCode>
                <c:ptCount val="299"/>
              </c:numCache>
            </c:numRef>
          </c:yVal>
          <c:smooth val="1"/>
          <c:extLst>
            <c:ext xmlns:c16="http://schemas.microsoft.com/office/drawing/2014/chart" uri="{C3380CC4-5D6E-409C-BE32-E72D297353CC}">
              <c16:uniqueId val="{00000029-58F6-4830-8941-1011DB88381F}"/>
            </c:ext>
          </c:extLst>
        </c:ser>
        <c:ser>
          <c:idx val="42"/>
          <c:order val="42"/>
          <c:tx>
            <c:v>43</c:v>
          </c:tx>
          <c:spPr>
            <a:ln w="19050" cap="rnd">
              <a:noFill/>
              <a:round/>
            </a:ln>
            <a:effectLst/>
            <a:extLst>
              <a:ext uri="{91240B29-F687-4F45-9708-019B960494DF}">
                <a14:hiddenLine xmlns:a14="http://schemas.microsoft.com/office/drawing/2010/main" w="19050" cap="rnd">
                  <a:solidFill>
                    <a:srgbClr val="5B9BD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NormalisedUVVisData!$AR$2:$AR$300</c:f>
              <c:numCache>
                <c:formatCode>General</c:formatCode>
                <c:ptCount val="299"/>
              </c:numCache>
            </c:numRef>
          </c:yVal>
          <c:smooth val="1"/>
          <c:extLst>
            <c:ext xmlns:c16="http://schemas.microsoft.com/office/drawing/2014/chart" uri="{C3380CC4-5D6E-409C-BE32-E72D297353CC}">
              <c16:uniqueId val="{0000002A-58F6-4830-8941-1011DB88381F}"/>
            </c:ext>
          </c:extLst>
        </c:ser>
        <c:ser>
          <c:idx val="43"/>
          <c:order val="43"/>
          <c:tx>
            <c:v>44</c:v>
          </c:tx>
          <c:spPr>
            <a:ln w="19050" cap="rnd">
              <a:noFill/>
              <a:round/>
            </a:ln>
            <a:effectLst/>
            <a:extLst>
              <a:ext uri="{91240B29-F687-4F45-9708-019B960494DF}">
                <a14:hiddenLine xmlns:a14="http://schemas.microsoft.com/office/drawing/2010/main" w="19050" cap="rnd">
                  <a:solidFill>
                    <a:srgbClr val="ED7D31">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NormalisedUVVisData!$AS$2:$AS$300</c:f>
              <c:numCache>
                <c:formatCode>General</c:formatCode>
                <c:ptCount val="299"/>
              </c:numCache>
            </c:numRef>
          </c:yVal>
          <c:smooth val="1"/>
          <c:extLst>
            <c:ext xmlns:c16="http://schemas.microsoft.com/office/drawing/2014/chart" uri="{C3380CC4-5D6E-409C-BE32-E72D297353CC}">
              <c16:uniqueId val="{0000002B-58F6-4830-8941-1011DB88381F}"/>
            </c:ext>
          </c:extLst>
        </c:ser>
        <c:ser>
          <c:idx val="44"/>
          <c:order val="44"/>
          <c:tx>
            <c:v>45</c:v>
          </c:tx>
          <c:spPr>
            <a:ln w="19050" cap="rnd">
              <a:noFill/>
              <a:round/>
            </a:ln>
            <a:effectLst/>
            <a:extLst>
              <a:ext uri="{91240B29-F687-4F45-9708-019B960494DF}">
                <a14:hiddenLine xmlns:a14="http://schemas.microsoft.com/office/drawing/2010/main" w="19050" cap="rnd">
                  <a:solidFill>
                    <a:srgbClr val="A5A5A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NormalisedUVVisData!$AT$2:$AT$300</c:f>
              <c:numCache>
                <c:formatCode>General</c:formatCode>
                <c:ptCount val="299"/>
              </c:numCache>
            </c:numRef>
          </c:yVal>
          <c:smooth val="1"/>
          <c:extLst>
            <c:ext xmlns:c16="http://schemas.microsoft.com/office/drawing/2014/chart" uri="{C3380CC4-5D6E-409C-BE32-E72D297353CC}">
              <c16:uniqueId val="{0000002C-58F6-4830-8941-1011DB88381F}"/>
            </c:ext>
          </c:extLst>
        </c:ser>
        <c:ser>
          <c:idx val="45"/>
          <c:order val="45"/>
          <c:tx>
            <c:v>46</c:v>
          </c:tx>
          <c:spPr>
            <a:ln w="19050" cap="rnd">
              <a:noFill/>
              <a:round/>
            </a:ln>
            <a:effectLst/>
            <a:extLst>
              <a:ext uri="{91240B29-F687-4F45-9708-019B960494DF}">
                <a14:hiddenLine xmlns:a14="http://schemas.microsoft.com/office/drawing/2010/main" w="19050" cap="rnd">
                  <a:solidFill>
                    <a:srgbClr val="FFC000">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NormalisedUVVisData!$AU$2:$AU$300</c:f>
              <c:numCache>
                <c:formatCode>General</c:formatCode>
                <c:ptCount val="299"/>
              </c:numCache>
            </c:numRef>
          </c:yVal>
          <c:smooth val="1"/>
          <c:extLst>
            <c:ext xmlns:c16="http://schemas.microsoft.com/office/drawing/2014/chart" uri="{C3380CC4-5D6E-409C-BE32-E72D297353CC}">
              <c16:uniqueId val="{0000002D-58F6-4830-8941-1011DB88381F}"/>
            </c:ext>
          </c:extLst>
        </c:ser>
        <c:ser>
          <c:idx val="46"/>
          <c:order val="46"/>
          <c:tx>
            <c:v>47</c:v>
          </c:tx>
          <c:spPr>
            <a:ln w="19050" cap="rnd">
              <a:noFill/>
              <a:round/>
            </a:ln>
            <a:effectLst/>
            <a:extLst>
              <a:ext uri="{91240B29-F687-4F45-9708-019B960494DF}">
                <a14:hiddenLine xmlns:a14="http://schemas.microsoft.com/office/drawing/2010/main" w="19050" cap="rnd">
                  <a:solidFill>
                    <a:srgbClr val="4472C4">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NormalisedUVVisData!$AV$2:$AV$300</c:f>
              <c:numCache>
                <c:formatCode>General</c:formatCode>
                <c:ptCount val="299"/>
              </c:numCache>
            </c:numRef>
          </c:yVal>
          <c:smooth val="1"/>
          <c:extLst>
            <c:ext xmlns:c16="http://schemas.microsoft.com/office/drawing/2014/chart" uri="{C3380CC4-5D6E-409C-BE32-E72D297353CC}">
              <c16:uniqueId val="{0000002E-58F6-4830-8941-1011DB88381F}"/>
            </c:ext>
          </c:extLst>
        </c:ser>
        <c:ser>
          <c:idx val="47"/>
          <c:order val="47"/>
          <c:tx>
            <c:v>48</c:v>
          </c:tx>
          <c:spPr>
            <a:ln w="19050" cap="rnd">
              <a:noFill/>
              <a:round/>
            </a:ln>
            <a:effectLst/>
            <a:extLst>
              <a:ext uri="{91240B29-F687-4F45-9708-019B960494DF}">
                <a14:hiddenLine xmlns:a14="http://schemas.microsoft.com/office/drawing/2010/main" w="19050" cap="rnd">
                  <a:solidFill>
                    <a:srgbClr val="70AD47">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NormalisedUVVisData!$AW$2:$AW$300</c:f>
              <c:numCache>
                <c:formatCode>General</c:formatCode>
                <c:ptCount val="299"/>
              </c:numCache>
            </c:numRef>
          </c:yVal>
          <c:smooth val="1"/>
          <c:extLst>
            <c:ext xmlns:c16="http://schemas.microsoft.com/office/drawing/2014/chart" uri="{C3380CC4-5D6E-409C-BE32-E72D297353CC}">
              <c16:uniqueId val="{0000002F-58F6-4830-8941-1011DB88381F}"/>
            </c:ext>
          </c:extLst>
        </c:ser>
        <c:ser>
          <c:idx val="48"/>
          <c:order val="48"/>
          <c:tx>
            <c:v>49</c:v>
          </c:tx>
          <c:spPr>
            <a:ln w="19050" cap="rnd">
              <a:noFill/>
              <a:round/>
            </a:ln>
            <a:effectLst/>
            <a:extLst>
              <a:ext uri="{91240B29-F687-4F45-9708-019B960494DF}">
                <a14:hiddenLine xmlns:a14="http://schemas.microsoft.com/office/drawing/2010/main" w="19050" cap="rnd">
                  <a:solidFill>
                    <a:srgbClr val="5B9BD5">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NormalisedUVVisData!$AX$2:$AX$300</c:f>
              <c:numCache>
                <c:formatCode>General</c:formatCode>
                <c:ptCount val="299"/>
              </c:numCache>
            </c:numRef>
          </c:yVal>
          <c:smooth val="1"/>
          <c:extLst>
            <c:ext xmlns:c16="http://schemas.microsoft.com/office/drawing/2014/chart" uri="{C3380CC4-5D6E-409C-BE32-E72D297353CC}">
              <c16:uniqueId val="{00000030-58F6-4830-8941-1011DB88381F}"/>
            </c:ext>
          </c:extLst>
        </c:ser>
        <c:ser>
          <c:idx val="49"/>
          <c:order val="49"/>
          <c:tx>
            <c:v>50</c:v>
          </c:tx>
          <c:spPr>
            <a:ln w="19050" cap="rnd">
              <a:noFill/>
              <a:round/>
            </a:ln>
            <a:effectLst/>
            <a:extLst>
              <a:ext uri="{91240B29-F687-4F45-9708-019B960494DF}">
                <a14:hiddenLine xmlns:a14="http://schemas.microsoft.com/office/drawing/2010/main" w="19050" cap="rnd">
                  <a:solidFill>
                    <a:srgbClr val="ED7D31">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NormalisedUVVisData!$AY$2:$AY$300</c:f>
              <c:numCache>
                <c:formatCode>General</c:formatCode>
                <c:ptCount val="299"/>
              </c:numCache>
            </c:numRef>
          </c:yVal>
          <c:smooth val="1"/>
          <c:extLst>
            <c:ext xmlns:c16="http://schemas.microsoft.com/office/drawing/2014/chart" uri="{C3380CC4-5D6E-409C-BE32-E72D297353CC}">
              <c16:uniqueId val="{00000031-58F6-4830-8941-1011DB88381F}"/>
            </c:ext>
          </c:extLst>
        </c:ser>
        <c:ser>
          <c:idx val="50"/>
          <c:order val="50"/>
          <c:tx>
            <c:v>51</c:v>
          </c:tx>
          <c:spPr>
            <a:ln w="19050" cap="rnd">
              <a:noFill/>
              <a:round/>
            </a:ln>
            <a:effectLst/>
            <a:extLst>
              <a:ext uri="{91240B29-F687-4F45-9708-019B960494DF}">
                <a14:hiddenLine xmlns:a14="http://schemas.microsoft.com/office/drawing/2010/main" w="19050" cap="rnd">
                  <a:solidFill>
                    <a:srgbClr val="A5A5A5">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NormalisedUVVisData!$AZ$2:$AZ$300</c:f>
              <c:numCache>
                <c:formatCode>General</c:formatCode>
                <c:ptCount val="299"/>
              </c:numCache>
            </c:numRef>
          </c:yVal>
          <c:smooth val="1"/>
          <c:extLst>
            <c:ext xmlns:c16="http://schemas.microsoft.com/office/drawing/2014/chart" uri="{C3380CC4-5D6E-409C-BE32-E72D297353CC}">
              <c16:uniqueId val="{00000032-58F6-4830-8941-1011DB88381F}"/>
            </c:ext>
          </c:extLst>
        </c:ser>
        <c:ser>
          <c:idx val="51"/>
          <c:order val="51"/>
          <c:tx>
            <c:v>52</c:v>
          </c:tx>
          <c:spPr>
            <a:ln w="19050" cap="rnd">
              <a:noFill/>
              <a:round/>
            </a:ln>
            <a:effectLst/>
            <a:extLst>
              <a:ext uri="{91240B29-F687-4F45-9708-019B960494DF}">
                <a14:hiddenLine xmlns:a14="http://schemas.microsoft.com/office/drawing/2010/main" w="19050" cap="rnd">
                  <a:solidFill>
                    <a:srgbClr val="FFC000">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NormalisedUVVisData!$BA$2:$BA$300</c:f>
              <c:numCache>
                <c:formatCode>General</c:formatCode>
                <c:ptCount val="299"/>
              </c:numCache>
            </c:numRef>
          </c:yVal>
          <c:smooth val="1"/>
          <c:extLst>
            <c:ext xmlns:c16="http://schemas.microsoft.com/office/drawing/2014/chart" uri="{C3380CC4-5D6E-409C-BE32-E72D297353CC}">
              <c16:uniqueId val="{00000033-58F6-4830-8941-1011DB88381F}"/>
            </c:ext>
          </c:extLst>
        </c:ser>
        <c:ser>
          <c:idx val="52"/>
          <c:order val="52"/>
          <c:tx>
            <c:v>53</c:v>
          </c:tx>
          <c:spPr>
            <a:ln w="19050" cap="rnd">
              <a:noFill/>
              <a:round/>
            </a:ln>
            <a:effectLst/>
            <a:extLst>
              <a:ext uri="{91240B29-F687-4F45-9708-019B960494DF}">
                <a14:hiddenLine xmlns:a14="http://schemas.microsoft.com/office/drawing/2010/main" w="19050" cap="rnd">
                  <a:solidFill>
                    <a:srgbClr val="4472C4">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NormalisedUVVisData!$BB$2:$BB$300</c:f>
              <c:numCache>
                <c:formatCode>General</c:formatCode>
                <c:ptCount val="299"/>
              </c:numCache>
            </c:numRef>
          </c:yVal>
          <c:smooth val="1"/>
          <c:extLst>
            <c:ext xmlns:c16="http://schemas.microsoft.com/office/drawing/2014/chart" uri="{C3380CC4-5D6E-409C-BE32-E72D297353CC}">
              <c16:uniqueId val="{00000034-58F6-4830-8941-1011DB88381F}"/>
            </c:ext>
          </c:extLst>
        </c:ser>
        <c:ser>
          <c:idx val="53"/>
          <c:order val="53"/>
          <c:tx>
            <c:v>54</c:v>
          </c:tx>
          <c:spPr>
            <a:ln w="19050" cap="rnd">
              <a:noFill/>
              <a:round/>
            </a:ln>
            <a:effectLst/>
            <a:extLst>
              <a:ext uri="{91240B29-F687-4F45-9708-019B960494DF}">
                <a14:hiddenLine xmlns:a14="http://schemas.microsoft.com/office/drawing/2010/main" w="19050" cap="rnd">
                  <a:solidFill>
                    <a:srgbClr val="70AD47">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NormalisedUVVisData!$BC$2:$BC$300</c:f>
              <c:numCache>
                <c:formatCode>General</c:formatCode>
                <c:ptCount val="299"/>
              </c:numCache>
            </c:numRef>
          </c:yVal>
          <c:smooth val="1"/>
          <c:extLst>
            <c:ext xmlns:c16="http://schemas.microsoft.com/office/drawing/2014/chart" uri="{C3380CC4-5D6E-409C-BE32-E72D297353CC}">
              <c16:uniqueId val="{00000035-58F6-4830-8941-1011DB88381F}"/>
            </c:ext>
          </c:extLst>
        </c:ser>
        <c:ser>
          <c:idx val="54"/>
          <c:order val="54"/>
          <c:tx>
            <c:v>55</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NormalisedUVVisData!$BD$2:$BD$300</c:f>
              <c:numCache>
                <c:formatCode>General</c:formatCode>
                <c:ptCount val="299"/>
              </c:numCache>
            </c:numRef>
          </c:yVal>
          <c:smooth val="1"/>
          <c:extLst>
            <c:ext xmlns:c16="http://schemas.microsoft.com/office/drawing/2014/chart" uri="{C3380CC4-5D6E-409C-BE32-E72D297353CC}">
              <c16:uniqueId val="{00000036-58F6-4830-8941-1011DB88381F}"/>
            </c:ext>
          </c:extLst>
        </c:ser>
        <c:ser>
          <c:idx val="55"/>
          <c:order val="55"/>
          <c:tx>
            <c:v>56</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NormalisedUVVisData!$BE$2:$BE$300</c:f>
              <c:numCache>
                <c:formatCode>General</c:formatCode>
                <c:ptCount val="299"/>
              </c:numCache>
            </c:numRef>
          </c:yVal>
          <c:smooth val="1"/>
          <c:extLst>
            <c:ext xmlns:c16="http://schemas.microsoft.com/office/drawing/2014/chart" uri="{C3380CC4-5D6E-409C-BE32-E72D297353CC}">
              <c16:uniqueId val="{00000037-58F6-4830-8941-1011DB88381F}"/>
            </c:ext>
          </c:extLst>
        </c:ser>
        <c:ser>
          <c:idx val="56"/>
          <c:order val="56"/>
          <c:tx>
            <c:v>57</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NormalisedUVVisData!$BF$2:$BF$300</c:f>
              <c:numCache>
                <c:formatCode>General</c:formatCode>
                <c:ptCount val="299"/>
              </c:numCache>
            </c:numRef>
          </c:yVal>
          <c:smooth val="1"/>
          <c:extLst>
            <c:ext xmlns:c16="http://schemas.microsoft.com/office/drawing/2014/chart" uri="{C3380CC4-5D6E-409C-BE32-E72D297353CC}">
              <c16:uniqueId val="{00000038-58F6-4830-8941-1011DB88381F}"/>
            </c:ext>
          </c:extLst>
        </c:ser>
        <c:ser>
          <c:idx val="57"/>
          <c:order val="57"/>
          <c:tx>
            <c:v>58</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NormalisedUVVisData!$BG$2:$BG$300</c:f>
              <c:numCache>
                <c:formatCode>General</c:formatCode>
                <c:ptCount val="299"/>
              </c:numCache>
            </c:numRef>
          </c:yVal>
          <c:smooth val="1"/>
          <c:extLst>
            <c:ext xmlns:c16="http://schemas.microsoft.com/office/drawing/2014/chart" uri="{C3380CC4-5D6E-409C-BE32-E72D297353CC}">
              <c16:uniqueId val="{00000039-58F6-4830-8941-1011DB88381F}"/>
            </c:ext>
          </c:extLst>
        </c:ser>
        <c:ser>
          <c:idx val="58"/>
          <c:order val="58"/>
          <c:tx>
            <c:v>59</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NormalisedUVVisData!$BH$2:$BH$300</c:f>
              <c:numCache>
                <c:formatCode>General</c:formatCode>
                <c:ptCount val="299"/>
              </c:numCache>
            </c:numRef>
          </c:yVal>
          <c:smooth val="1"/>
          <c:extLst>
            <c:ext xmlns:c16="http://schemas.microsoft.com/office/drawing/2014/chart" uri="{C3380CC4-5D6E-409C-BE32-E72D297353CC}">
              <c16:uniqueId val="{0000003A-58F6-4830-8941-1011DB88381F}"/>
            </c:ext>
          </c:extLst>
        </c:ser>
        <c:ser>
          <c:idx val="59"/>
          <c:order val="59"/>
          <c:tx>
            <c:v>60</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NormalisedUVVisData!$BI$2:$BI$300</c:f>
              <c:numCache>
                <c:formatCode>General</c:formatCode>
                <c:ptCount val="299"/>
              </c:numCache>
            </c:numRef>
          </c:yVal>
          <c:smooth val="1"/>
          <c:extLst>
            <c:ext xmlns:c16="http://schemas.microsoft.com/office/drawing/2014/chart" uri="{C3380CC4-5D6E-409C-BE32-E72D297353CC}">
              <c16:uniqueId val="{0000003B-58F6-4830-8941-1011DB88381F}"/>
            </c:ext>
          </c:extLst>
        </c:ser>
        <c:ser>
          <c:idx val="60"/>
          <c:order val="60"/>
          <c:tx>
            <c:v>61</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NormalisedUVVisData!$BJ$2:$BJ$300</c:f>
              <c:numCache>
                <c:formatCode>General</c:formatCode>
                <c:ptCount val="299"/>
              </c:numCache>
            </c:numRef>
          </c:yVal>
          <c:smooth val="1"/>
          <c:extLst>
            <c:ext xmlns:c16="http://schemas.microsoft.com/office/drawing/2014/chart" uri="{C3380CC4-5D6E-409C-BE32-E72D297353CC}">
              <c16:uniqueId val="{0000003C-58F6-4830-8941-1011DB88381F}"/>
            </c:ext>
          </c:extLst>
        </c:ser>
        <c:ser>
          <c:idx val="61"/>
          <c:order val="61"/>
          <c:tx>
            <c:v>62</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NormalisedUVVisData!$BK$2:$BK$300</c:f>
              <c:numCache>
                <c:formatCode>General</c:formatCode>
                <c:ptCount val="299"/>
              </c:numCache>
            </c:numRef>
          </c:yVal>
          <c:smooth val="1"/>
          <c:extLst>
            <c:ext xmlns:c16="http://schemas.microsoft.com/office/drawing/2014/chart" uri="{C3380CC4-5D6E-409C-BE32-E72D297353CC}">
              <c16:uniqueId val="{0000003D-58F6-4830-8941-1011DB88381F}"/>
            </c:ext>
          </c:extLst>
        </c:ser>
        <c:ser>
          <c:idx val="62"/>
          <c:order val="62"/>
          <c:tx>
            <c:v>63</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NormalisedUVVisData!$BL$2:$BL$300</c:f>
              <c:numCache>
                <c:formatCode>General</c:formatCode>
                <c:ptCount val="299"/>
              </c:numCache>
            </c:numRef>
          </c:yVal>
          <c:smooth val="1"/>
          <c:extLst>
            <c:ext xmlns:c16="http://schemas.microsoft.com/office/drawing/2014/chart" uri="{C3380CC4-5D6E-409C-BE32-E72D297353CC}">
              <c16:uniqueId val="{0000003E-58F6-4830-8941-1011DB88381F}"/>
            </c:ext>
          </c:extLst>
        </c:ser>
        <c:ser>
          <c:idx val="63"/>
          <c:order val="63"/>
          <c:tx>
            <c:v>64</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NormalisedUVVisData!$BM$2:$BM$300</c:f>
              <c:numCache>
                <c:formatCode>General</c:formatCode>
                <c:ptCount val="299"/>
              </c:numCache>
            </c:numRef>
          </c:yVal>
          <c:smooth val="1"/>
          <c:extLst>
            <c:ext xmlns:c16="http://schemas.microsoft.com/office/drawing/2014/chart" uri="{C3380CC4-5D6E-409C-BE32-E72D297353CC}">
              <c16:uniqueId val="{0000003F-58F6-4830-8941-1011DB88381F}"/>
            </c:ext>
          </c:extLst>
        </c:ser>
        <c:ser>
          <c:idx val="64"/>
          <c:order val="64"/>
          <c:tx>
            <c:v>65</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NormalisedUVVisData!$BN$2:$BN$300</c:f>
              <c:numCache>
                <c:formatCode>General</c:formatCode>
                <c:ptCount val="299"/>
              </c:numCache>
            </c:numRef>
          </c:yVal>
          <c:smooth val="1"/>
          <c:extLst>
            <c:ext xmlns:c16="http://schemas.microsoft.com/office/drawing/2014/chart" uri="{C3380CC4-5D6E-409C-BE32-E72D297353CC}">
              <c16:uniqueId val="{00000040-58F6-4830-8941-1011DB88381F}"/>
            </c:ext>
          </c:extLst>
        </c:ser>
        <c:ser>
          <c:idx val="65"/>
          <c:order val="65"/>
          <c:tx>
            <c:v>66</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NormalisedUVVisData!$BO$2:$BO$300</c:f>
              <c:numCache>
                <c:formatCode>General</c:formatCode>
                <c:ptCount val="299"/>
              </c:numCache>
            </c:numRef>
          </c:yVal>
          <c:smooth val="1"/>
          <c:extLst>
            <c:ext xmlns:c16="http://schemas.microsoft.com/office/drawing/2014/chart" uri="{C3380CC4-5D6E-409C-BE32-E72D297353CC}">
              <c16:uniqueId val="{00000041-58F6-4830-8941-1011DB88381F}"/>
            </c:ext>
          </c:extLst>
        </c:ser>
        <c:ser>
          <c:idx val="66"/>
          <c:order val="66"/>
          <c:tx>
            <c:v>67</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NormalisedUVVisData!$BP$2:$BP$300</c:f>
              <c:numCache>
                <c:formatCode>General</c:formatCode>
                <c:ptCount val="299"/>
              </c:numCache>
            </c:numRef>
          </c:yVal>
          <c:smooth val="1"/>
          <c:extLst>
            <c:ext xmlns:c16="http://schemas.microsoft.com/office/drawing/2014/chart" uri="{C3380CC4-5D6E-409C-BE32-E72D297353CC}">
              <c16:uniqueId val="{00000042-58F6-4830-8941-1011DB88381F}"/>
            </c:ext>
          </c:extLst>
        </c:ser>
        <c:ser>
          <c:idx val="67"/>
          <c:order val="67"/>
          <c:tx>
            <c:v>68</c:v>
          </c:tx>
          <c:spPr>
            <a:ln w="19050" cap="rnd">
              <a:noFill/>
              <a:round/>
            </a:ln>
            <a:effectLst/>
            <a:extLst>
              <a:ext uri="{91240B29-F687-4F45-9708-019B960494DF}">
                <a14:hiddenLine xmlns:a14="http://schemas.microsoft.com/office/drawing/2010/main" w="19050" cap="rnd">
                  <a:solidFill>
                    <a:srgbClr val="ED7D31">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NormalisedUVVisData!$BQ$2:$BQ$300</c:f>
              <c:numCache>
                <c:formatCode>General</c:formatCode>
                <c:ptCount val="299"/>
              </c:numCache>
            </c:numRef>
          </c:yVal>
          <c:smooth val="1"/>
          <c:extLst>
            <c:ext xmlns:c16="http://schemas.microsoft.com/office/drawing/2014/chart" uri="{C3380CC4-5D6E-409C-BE32-E72D297353CC}">
              <c16:uniqueId val="{00000043-58F6-4830-8941-1011DB88381F}"/>
            </c:ext>
          </c:extLst>
        </c:ser>
        <c:ser>
          <c:idx val="68"/>
          <c:order val="68"/>
          <c:tx>
            <c:v>69</c:v>
          </c:tx>
          <c:spPr>
            <a:ln w="19050" cap="rnd">
              <a:noFill/>
              <a:round/>
            </a:ln>
            <a:effectLst/>
            <a:extLst>
              <a:ext uri="{91240B29-F687-4F45-9708-019B960494DF}">
                <a14:hiddenLine xmlns:a14="http://schemas.microsoft.com/office/drawing/2010/main" w="19050" cap="rnd">
                  <a:solidFill>
                    <a:srgbClr val="A5A5A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NormalisedUVVisData!$BR$2:$BR$300</c:f>
              <c:numCache>
                <c:formatCode>General</c:formatCode>
                <c:ptCount val="299"/>
              </c:numCache>
            </c:numRef>
          </c:yVal>
          <c:smooth val="1"/>
          <c:extLst>
            <c:ext xmlns:c16="http://schemas.microsoft.com/office/drawing/2014/chart" uri="{C3380CC4-5D6E-409C-BE32-E72D297353CC}">
              <c16:uniqueId val="{00000044-58F6-4830-8941-1011DB88381F}"/>
            </c:ext>
          </c:extLst>
        </c:ser>
        <c:ser>
          <c:idx val="69"/>
          <c:order val="69"/>
          <c:tx>
            <c:v>70</c:v>
          </c:tx>
          <c:spPr>
            <a:ln w="19050" cap="rnd">
              <a:noFill/>
              <a:round/>
            </a:ln>
            <a:effectLst/>
            <a:extLst>
              <a:ext uri="{91240B29-F687-4F45-9708-019B960494DF}">
                <a14:hiddenLine xmlns:a14="http://schemas.microsoft.com/office/drawing/2010/main" w="19050" cap="rnd">
                  <a:solidFill>
                    <a:srgbClr val="FFC000">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NormalisedUVVisData!$BS$2:$BS$300</c:f>
              <c:numCache>
                <c:formatCode>General</c:formatCode>
                <c:ptCount val="299"/>
              </c:numCache>
            </c:numRef>
          </c:yVal>
          <c:smooth val="1"/>
          <c:extLst>
            <c:ext xmlns:c16="http://schemas.microsoft.com/office/drawing/2014/chart" uri="{C3380CC4-5D6E-409C-BE32-E72D297353CC}">
              <c16:uniqueId val="{00000045-58F6-4830-8941-1011DB88381F}"/>
            </c:ext>
          </c:extLst>
        </c:ser>
        <c:ser>
          <c:idx val="70"/>
          <c:order val="70"/>
          <c:tx>
            <c:v>71</c:v>
          </c:tx>
          <c:spPr>
            <a:ln w="19050" cap="rnd">
              <a:noFill/>
              <a:round/>
            </a:ln>
            <a:effectLst/>
            <a:extLst>
              <a:ext uri="{91240B29-F687-4F45-9708-019B960494DF}">
                <a14:hiddenLine xmlns:a14="http://schemas.microsoft.com/office/drawing/2010/main" w="19050" cap="rnd">
                  <a:solidFill>
                    <a:srgbClr val="4472C4">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NormalisedUVVisData!$BT$2:$BT$300</c:f>
              <c:numCache>
                <c:formatCode>General</c:formatCode>
                <c:ptCount val="299"/>
              </c:numCache>
            </c:numRef>
          </c:yVal>
          <c:smooth val="1"/>
          <c:extLst>
            <c:ext xmlns:c16="http://schemas.microsoft.com/office/drawing/2014/chart" uri="{C3380CC4-5D6E-409C-BE32-E72D297353CC}">
              <c16:uniqueId val="{00000046-58F6-4830-8941-1011DB88381F}"/>
            </c:ext>
          </c:extLst>
        </c:ser>
        <c:ser>
          <c:idx val="71"/>
          <c:order val="71"/>
          <c:tx>
            <c:v>72</c:v>
          </c:tx>
          <c:spPr>
            <a:ln w="19050" cap="rnd">
              <a:noFill/>
              <a:round/>
            </a:ln>
            <a:effectLst/>
            <a:extLst>
              <a:ext uri="{91240B29-F687-4F45-9708-019B960494DF}">
                <a14:hiddenLine xmlns:a14="http://schemas.microsoft.com/office/drawing/2010/main" w="19050" cap="rnd">
                  <a:solidFill>
                    <a:srgbClr val="70AD47">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NormalisedUVVisData!$BU$2:$BU$300</c:f>
              <c:numCache>
                <c:formatCode>General</c:formatCode>
                <c:ptCount val="299"/>
              </c:numCache>
            </c:numRef>
          </c:yVal>
          <c:smooth val="1"/>
          <c:extLst>
            <c:ext xmlns:c16="http://schemas.microsoft.com/office/drawing/2014/chart" uri="{C3380CC4-5D6E-409C-BE32-E72D297353CC}">
              <c16:uniqueId val="{00000047-58F6-4830-8941-1011DB88381F}"/>
            </c:ext>
          </c:extLst>
        </c:ser>
        <c:ser>
          <c:idx val="72"/>
          <c:order val="72"/>
          <c:tx>
            <c:v>73</c:v>
          </c:tx>
          <c:spPr>
            <a:ln w="19050" cap="rnd">
              <a:noFill/>
              <a:round/>
            </a:ln>
            <a:effectLst/>
            <a:extLst>
              <a:ext uri="{91240B29-F687-4F45-9708-019B960494DF}">
                <a14:hiddenLine xmlns:a14="http://schemas.microsoft.com/office/drawing/2010/main" w="19050" cap="rnd">
                  <a:solidFill>
                    <a:srgbClr val="5B9BD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NormalisedUVVisData!$BV$2:$BV$300</c:f>
              <c:numCache>
                <c:formatCode>General</c:formatCode>
                <c:ptCount val="299"/>
              </c:numCache>
            </c:numRef>
          </c:yVal>
          <c:smooth val="1"/>
          <c:extLst>
            <c:ext xmlns:c16="http://schemas.microsoft.com/office/drawing/2014/chart" uri="{C3380CC4-5D6E-409C-BE32-E72D297353CC}">
              <c16:uniqueId val="{00000048-58F6-4830-8941-1011DB88381F}"/>
            </c:ext>
          </c:extLst>
        </c:ser>
        <c:ser>
          <c:idx val="73"/>
          <c:order val="73"/>
          <c:tx>
            <c:v>74</c:v>
          </c:tx>
          <c:spPr>
            <a:ln w="19050" cap="rnd">
              <a:noFill/>
              <a:round/>
            </a:ln>
            <a:effectLst/>
            <a:extLst>
              <a:ext uri="{91240B29-F687-4F45-9708-019B960494DF}">
                <a14:hiddenLine xmlns:a14="http://schemas.microsoft.com/office/drawing/2010/main" w="19050" cap="rnd">
                  <a:solidFill>
                    <a:srgbClr val="ED7D31">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NormalisedUVVisData!$BW$2:$BW$300</c:f>
              <c:numCache>
                <c:formatCode>General</c:formatCode>
                <c:ptCount val="299"/>
              </c:numCache>
            </c:numRef>
          </c:yVal>
          <c:smooth val="1"/>
          <c:extLst>
            <c:ext xmlns:c16="http://schemas.microsoft.com/office/drawing/2014/chart" uri="{C3380CC4-5D6E-409C-BE32-E72D297353CC}">
              <c16:uniqueId val="{00000049-58F6-4830-8941-1011DB88381F}"/>
            </c:ext>
          </c:extLst>
        </c:ser>
        <c:ser>
          <c:idx val="74"/>
          <c:order val="74"/>
          <c:tx>
            <c:v>75</c:v>
          </c:tx>
          <c:spPr>
            <a:ln w="19050" cap="rnd">
              <a:noFill/>
              <a:round/>
            </a:ln>
            <a:effectLst/>
            <a:extLst>
              <a:ext uri="{91240B29-F687-4F45-9708-019B960494DF}">
                <a14:hiddenLine xmlns:a14="http://schemas.microsoft.com/office/drawing/2010/main" w="19050" cap="rnd">
                  <a:solidFill>
                    <a:srgbClr val="A5A5A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NormalisedUVVisData!$BX$2:$BX$300</c:f>
              <c:numCache>
                <c:formatCode>General</c:formatCode>
                <c:ptCount val="299"/>
              </c:numCache>
            </c:numRef>
          </c:yVal>
          <c:smooth val="1"/>
          <c:extLst>
            <c:ext xmlns:c16="http://schemas.microsoft.com/office/drawing/2014/chart" uri="{C3380CC4-5D6E-409C-BE32-E72D297353CC}">
              <c16:uniqueId val="{0000004A-58F6-4830-8941-1011DB88381F}"/>
            </c:ext>
          </c:extLst>
        </c:ser>
        <c:ser>
          <c:idx val="75"/>
          <c:order val="75"/>
          <c:tx>
            <c:v>76</c:v>
          </c:tx>
          <c:spPr>
            <a:ln w="19050" cap="rnd">
              <a:noFill/>
              <a:round/>
            </a:ln>
            <a:effectLst/>
            <a:extLst>
              <a:ext uri="{91240B29-F687-4F45-9708-019B960494DF}">
                <a14:hiddenLine xmlns:a14="http://schemas.microsoft.com/office/drawing/2010/main" w="19050" cap="rnd">
                  <a:solidFill>
                    <a:srgbClr val="FFC000">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NormalisedUVVisData!$BY$2:$BY$300</c:f>
              <c:numCache>
                <c:formatCode>General</c:formatCode>
                <c:ptCount val="299"/>
              </c:numCache>
            </c:numRef>
          </c:yVal>
          <c:smooth val="1"/>
          <c:extLst>
            <c:ext xmlns:c16="http://schemas.microsoft.com/office/drawing/2014/chart" uri="{C3380CC4-5D6E-409C-BE32-E72D297353CC}">
              <c16:uniqueId val="{0000004B-58F6-4830-8941-1011DB88381F}"/>
            </c:ext>
          </c:extLst>
        </c:ser>
        <c:ser>
          <c:idx val="76"/>
          <c:order val="76"/>
          <c:tx>
            <c:v>77</c:v>
          </c:tx>
          <c:spPr>
            <a:ln w="19050" cap="rnd">
              <a:noFill/>
              <a:round/>
            </a:ln>
            <a:effectLst/>
            <a:extLst>
              <a:ext uri="{91240B29-F687-4F45-9708-019B960494DF}">
                <a14:hiddenLine xmlns:a14="http://schemas.microsoft.com/office/drawing/2010/main" w="19050" cap="rnd">
                  <a:solidFill>
                    <a:srgbClr val="4472C4">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NormalisedUVVisData!$BZ$2:$BZ$300</c:f>
              <c:numCache>
                <c:formatCode>General</c:formatCode>
                <c:ptCount val="299"/>
              </c:numCache>
            </c:numRef>
          </c:yVal>
          <c:smooth val="1"/>
          <c:extLst>
            <c:ext xmlns:c16="http://schemas.microsoft.com/office/drawing/2014/chart" uri="{C3380CC4-5D6E-409C-BE32-E72D297353CC}">
              <c16:uniqueId val="{0000004C-58F6-4830-8941-1011DB88381F}"/>
            </c:ext>
          </c:extLst>
        </c:ser>
        <c:ser>
          <c:idx val="77"/>
          <c:order val="77"/>
          <c:tx>
            <c:v>78</c:v>
          </c:tx>
          <c:spPr>
            <a:ln w="19050" cap="rnd">
              <a:noFill/>
              <a:round/>
            </a:ln>
            <a:effectLst/>
            <a:extLst>
              <a:ext uri="{91240B29-F687-4F45-9708-019B960494DF}">
                <a14:hiddenLine xmlns:a14="http://schemas.microsoft.com/office/drawing/2010/main" w="19050" cap="rnd">
                  <a:solidFill>
                    <a:srgbClr val="70AD47">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NormalisedUVVisData!$CA$2:$CA$300</c:f>
              <c:numCache>
                <c:formatCode>General</c:formatCode>
                <c:ptCount val="299"/>
              </c:numCache>
            </c:numRef>
          </c:yVal>
          <c:smooth val="1"/>
          <c:extLst>
            <c:ext xmlns:c16="http://schemas.microsoft.com/office/drawing/2014/chart" uri="{C3380CC4-5D6E-409C-BE32-E72D297353CC}">
              <c16:uniqueId val="{0000004D-58F6-4830-8941-1011DB88381F}"/>
            </c:ext>
          </c:extLst>
        </c:ser>
        <c:ser>
          <c:idx val="78"/>
          <c:order val="78"/>
          <c:tx>
            <c:v>79</c:v>
          </c:tx>
          <c:spPr>
            <a:ln w="19050" cap="rnd">
              <a:noFill/>
              <a:round/>
            </a:ln>
            <a:effectLst/>
            <a:extLst>
              <a:ext uri="{91240B29-F687-4F45-9708-019B960494DF}">
                <a14:hiddenLine xmlns:a14="http://schemas.microsoft.com/office/drawing/2010/main" w="19050" cap="rnd">
                  <a:solidFill>
                    <a:srgbClr val="5B9BD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NormalisedUVVisData!$CB$2:$CB$300</c:f>
              <c:numCache>
                <c:formatCode>General</c:formatCode>
                <c:ptCount val="299"/>
              </c:numCache>
            </c:numRef>
          </c:yVal>
          <c:smooth val="1"/>
          <c:extLst>
            <c:ext xmlns:c16="http://schemas.microsoft.com/office/drawing/2014/chart" uri="{C3380CC4-5D6E-409C-BE32-E72D297353CC}">
              <c16:uniqueId val="{0000004E-58F6-4830-8941-1011DB88381F}"/>
            </c:ext>
          </c:extLst>
        </c:ser>
        <c:ser>
          <c:idx val="79"/>
          <c:order val="79"/>
          <c:tx>
            <c:v>80</c:v>
          </c:tx>
          <c:spPr>
            <a:ln w="19050" cap="rnd">
              <a:noFill/>
              <a:round/>
            </a:ln>
            <a:effectLst/>
            <a:extLst>
              <a:ext uri="{91240B29-F687-4F45-9708-019B960494DF}">
                <a14:hiddenLine xmlns:a14="http://schemas.microsoft.com/office/drawing/2010/main" w="19050" cap="rnd">
                  <a:solidFill>
                    <a:srgbClr val="ED7D31">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NormalisedUVVisData!$CC$2:$CC$300</c:f>
              <c:numCache>
                <c:formatCode>General</c:formatCode>
                <c:ptCount val="299"/>
              </c:numCache>
            </c:numRef>
          </c:yVal>
          <c:smooth val="1"/>
          <c:extLst>
            <c:ext xmlns:c16="http://schemas.microsoft.com/office/drawing/2014/chart" uri="{C3380CC4-5D6E-409C-BE32-E72D297353CC}">
              <c16:uniqueId val="{0000004F-58F6-4830-8941-1011DB88381F}"/>
            </c:ext>
          </c:extLst>
        </c:ser>
        <c:ser>
          <c:idx val="80"/>
          <c:order val="80"/>
          <c:tx>
            <c:v>81</c:v>
          </c:tx>
          <c:spPr>
            <a:ln w="19050" cap="rnd">
              <a:noFill/>
              <a:round/>
            </a:ln>
            <a:effectLst/>
            <a:extLst>
              <a:ext uri="{91240B29-F687-4F45-9708-019B960494DF}">
                <a14:hiddenLine xmlns:a14="http://schemas.microsoft.com/office/drawing/2010/main" w="19050" cap="rnd">
                  <a:solidFill>
                    <a:srgbClr val="A5A5A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NormalisedUVVisData!$CD$2:$CD$300</c:f>
              <c:numCache>
                <c:formatCode>General</c:formatCode>
                <c:ptCount val="299"/>
              </c:numCache>
            </c:numRef>
          </c:yVal>
          <c:smooth val="1"/>
          <c:extLst>
            <c:ext xmlns:c16="http://schemas.microsoft.com/office/drawing/2014/chart" uri="{C3380CC4-5D6E-409C-BE32-E72D297353CC}">
              <c16:uniqueId val="{00000050-58F6-4830-8941-1011DB88381F}"/>
            </c:ext>
          </c:extLst>
        </c:ser>
        <c:ser>
          <c:idx val="81"/>
          <c:order val="81"/>
          <c:tx>
            <c:v>82</c:v>
          </c:tx>
          <c:spPr>
            <a:ln w="19050" cap="rnd">
              <a:noFill/>
              <a:round/>
            </a:ln>
            <a:effectLst/>
            <a:extLst>
              <a:ext uri="{91240B29-F687-4F45-9708-019B960494DF}">
                <a14:hiddenLine xmlns:a14="http://schemas.microsoft.com/office/drawing/2010/main" w="19050" cap="rnd">
                  <a:solidFill>
                    <a:srgbClr val="FFC000">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NormalisedUVVisData!$CE$2:$CE$300</c:f>
              <c:numCache>
                <c:formatCode>General</c:formatCode>
                <c:ptCount val="299"/>
              </c:numCache>
            </c:numRef>
          </c:yVal>
          <c:smooth val="1"/>
          <c:extLst>
            <c:ext xmlns:c16="http://schemas.microsoft.com/office/drawing/2014/chart" uri="{C3380CC4-5D6E-409C-BE32-E72D297353CC}">
              <c16:uniqueId val="{00000051-58F6-4830-8941-1011DB88381F}"/>
            </c:ext>
          </c:extLst>
        </c:ser>
        <c:ser>
          <c:idx val="82"/>
          <c:order val="82"/>
          <c:tx>
            <c:v>83</c:v>
          </c:tx>
          <c:spPr>
            <a:ln w="19050" cap="rnd">
              <a:noFill/>
              <a:round/>
            </a:ln>
            <a:effectLst/>
            <a:extLst>
              <a:ext uri="{91240B29-F687-4F45-9708-019B960494DF}">
                <a14:hiddenLine xmlns:a14="http://schemas.microsoft.com/office/drawing/2010/main" w="19050" cap="rnd">
                  <a:solidFill>
                    <a:srgbClr val="4472C4">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NormalisedUVVisData!$CF$2:$CF$300</c:f>
              <c:numCache>
                <c:formatCode>General</c:formatCode>
                <c:ptCount val="299"/>
              </c:numCache>
            </c:numRef>
          </c:yVal>
          <c:smooth val="1"/>
          <c:extLst>
            <c:ext xmlns:c16="http://schemas.microsoft.com/office/drawing/2014/chart" uri="{C3380CC4-5D6E-409C-BE32-E72D297353CC}">
              <c16:uniqueId val="{00000052-58F6-4830-8941-1011DB88381F}"/>
            </c:ext>
          </c:extLst>
        </c:ser>
        <c:ser>
          <c:idx val="83"/>
          <c:order val="83"/>
          <c:tx>
            <c:v>84</c:v>
          </c:tx>
          <c:spPr>
            <a:ln w="19050" cap="rnd">
              <a:noFill/>
              <a:round/>
            </a:ln>
            <a:effectLst/>
            <a:extLst>
              <a:ext uri="{91240B29-F687-4F45-9708-019B960494DF}">
                <a14:hiddenLine xmlns:a14="http://schemas.microsoft.com/office/drawing/2010/main" w="19050" cap="rnd">
                  <a:solidFill>
                    <a:srgbClr val="70AD47">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NormalisedUVVisData!$CG$2:$CG$300</c:f>
              <c:numCache>
                <c:formatCode>General</c:formatCode>
                <c:ptCount val="299"/>
              </c:numCache>
            </c:numRef>
          </c:yVal>
          <c:smooth val="1"/>
          <c:extLst>
            <c:ext xmlns:c16="http://schemas.microsoft.com/office/drawing/2014/chart" uri="{C3380CC4-5D6E-409C-BE32-E72D297353CC}">
              <c16:uniqueId val="{00000053-58F6-4830-8941-1011DB88381F}"/>
            </c:ext>
          </c:extLst>
        </c:ser>
        <c:ser>
          <c:idx val="84"/>
          <c:order val="84"/>
          <c:tx>
            <c:v>85</c:v>
          </c:tx>
          <c:spPr>
            <a:ln w="19050" cap="rnd">
              <a:noFill/>
              <a:round/>
            </a:ln>
            <a:effectLst/>
            <a:extLst>
              <a:ext uri="{91240B29-F687-4F45-9708-019B960494DF}">
                <a14:hiddenLine xmlns:a14="http://schemas.microsoft.com/office/drawing/2010/main" w="19050" cap="rnd">
                  <a:solidFill>
                    <a:srgbClr val="5B9BD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NormalisedUVVisData!$CH$2:$CH$300</c:f>
              <c:numCache>
                <c:formatCode>General</c:formatCode>
                <c:ptCount val="299"/>
              </c:numCache>
            </c:numRef>
          </c:yVal>
          <c:smooth val="1"/>
          <c:extLst>
            <c:ext xmlns:c16="http://schemas.microsoft.com/office/drawing/2014/chart" uri="{C3380CC4-5D6E-409C-BE32-E72D297353CC}">
              <c16:uniqueId val="{00000054-58F6-4830-8941-1011DB88381F}"/>
            </c:ext>
          </c:extLst>
        </c:ser>
        <c:ser>
          <c:idx val="85"/>
          <c:order val="85"/>
          <c:tx>
            <c:v>86</c:v>
          </c:tx>
          <c:spPr>
            <a:ln w="19050" cap="rnd">
              <a:noFill/>
              <a:round/>
            </a:ln>
            <a:effectLst/>
            <a:extLst>
              <a:ext uri="{91240B29-F687-4F45-9708-019B960494DF}">
                <a14:hiddenLine xmlns:a14="http://schemas.microsoft.com/office/drawing/2010/main" w="19050" cap="rnd">
                  <a:solidFill>
                    <a:srgbClr val="ED7D31">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NormalisedUVVisData!$CI$2:$CI$300</c:f>
              <c:numCache>
                <c:formatCode>General</c:formatCode>
                <c:ptCount val="299"/>
              </c:numCache>
            </c:numRef>
          </c:yVal>
          <c:smooth val="1"/>
          <c:extLst>
            <c:ext xmlns:c16="http://schemas.microsoft.com/office/drawing/2014/chart" uri="{C3380CC4-5D6E-409C-BE32-E72D297353CC}">
              <c16:uniqueId val="{00000055-58F6-4830-8941-1011DB88381F}"/>
            </c:ext>
          </c:extLst>
        </c:ser>
        <c:ser>
          <c:idx val="86"/>
          <c:order val="86"/>
          <c:tx>
            <c:v>87</c:v>
          </c:tx>
          <c:spPr>
            <a:ln w="19050" cap="rnd">
              <a:noFill/>
              <a:round/>
            </a:ln>
            <a:effectLst/>
            <a:extLst>
              <a:ext uri="{91240B29-F687-4F45-9708-019B960494DF}">
                <a14:hiddenLine xmlns:a14="http://schemas.microsoft.com/office/drawing/2010/main" w="19050" cap="rnd">
                  <a:solidFill>
                    <a:srgbClr val="A5A5A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NormalisedUVVisData!$CJ$2:$CJ$300</c:f>
              <c:numCache>
                <c:formatCode>General</c:formatCode>
                <c:ptCount val="299"/>
              </c:numCache>
            </c:numRef>
          </c:yVal>
          <c:smooth val="1"/>
          <c:extLst>
            <c:ext xmlns:c16="http://schemas.microsoft.com/office/drawing/2014/chart" uri="{C3380CC4-5D6E-409C-BE32-E72D297353CC}">
              <c16:uniqueId val="{00000056-58F6-4830-8941-1011DB88381F}"/>
            </c:ext>
          </c:extLst>
        </c:ser>
        <c:ser>
          <c:idx val="87"/>
          <c:order val="87"/>
          <c:tx>
            <c:v>88</c:v>
          </c:tx>
          <c:spPr>
            <a:ln w="19050" cap="rnd">
              <a:noFill/>
              <a:round/>
            </a:ln>
            <a:effectLst/>
            <a:extLst>
              <a:ext uri="{91240B29-F687-4F45-9708-019B960494DF}">
                <a14:hiddenLine xmlns:a14="http://schemas.microsoft.com/office/drawing/2010/main" w="19050" cap="rnd">
                  <a:solidFill>
                    <a:srgbClr val="FFC000">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NormalisedUVVisData!$CK$2:$CK$300</c:f>
              <c:numCache>
                <c:formatCode>General</c:formatCode>
                <c:ptCount val="299"/>
              </c:numCache>
            </c:numRef>
          </c:yVal>
          <c:smooth val="1"/>
          <c:extLst>
            <c:ext xmlns:c16="http://schemas.microsoft.com/office/drawing/2014/chart" uri="{C3380CC4-5D6E-409C-BE32-E72D297353CC}">
              <c16:uniqueId val="{00000057-58F6-4830-8941-1011DB88381F}"/>
            </c:ext>
          </c:extLst>
        </c:ser>
        <c:ser>
          <c:idx val="88"/>
          <c:order val="88"/>
          <c:tx>
            <c:v>89</c:v>
          </c:tx>
          <c:spPr>
            <a:ln w="19050" cap="rnd">
              <a:noFill/>
              <a:round/>
            </a:ln>
            <a:effectLst/>
            <a:extLst>
              <a:ext uri="{91240B29-F687-4F45-9708-019B960494DF}">
                <a14:hiddenLine xmlns:a14="http://schemas.microsoft.com/office/drawing/2010/main" w="19050" cap="rnd">
                  <a:solidFill>
                    <a:srgbClr val="4472C4">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NormalisedUVVisData!$CL$2:$CL$300</c:f>
              <c:numCache>
                <c:formatCode>General</c:formatCode>
                <c:ptCount val="299"/>
              </c:numCache>
            </c:numRef>
          </c:yVal>
          <c:smooth val="1"/>
          <c:extLst>
            <c:ext xmlns:c16="http://schemas.microsoft.com/office/drawing/2014/chart" uri="{C3380CC4-5D6E-409C-BE32-E72D297353CC}">
              <c16:uniqueId val="{00000058-58F6-4830-8941-1011DB88381F}"/>
            </c:ext>
          </c:extLst>
        </c:ser>
        <c:ser>
          <c:idx val="89"/>
          <c:order val="89"/>
          <c:tx>
            <c:v>90</c:v>
          </c:tx>
          <c:spPr>
            <a:ln w="19050" cap="rnd">
              <a:noFill/>
              <a:round/>
            </a:ln>
            <a:effectLst/>
            <a:extLst>
              <a:ext uri="{91240B29-F687-4F45-9708-019B960494DF}">
                <a14:hiddenLine xmlns:a14="http://schemas.microsoft.com/office/drawing/2010/main" w="19050" cap="rnd">
                  <a:solidFill>
                    <a:srgbClr val="70AD47">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NormalisedUVVisData!$CM$2:$CM$300</c:f>
              <c:numCache>
                <c:formatCode>General</c:formatCode>
                <c:ptCount val="299"/>
              </c:numCache>
            </c:numRef>
          </c:yVal>
          <c:smooth val="1"/>
          <c:extLst>
            <c:ext xmlns:c16="http://schemas.microsoft.com/office/drawing/2014/chart" uri="{C3380CC4-5D6E-409C-BE32-E72D297353CC}">
              <c16:uniqueId val="{00000059-58F6-4830-8941-1011DB88381F}"/>
            </c:ext>
          </c:extLst>
        </c:ser>
        <c:ser>
          <c:idx val="90"/>
          <c:order val="90"/>
          <c:tx>
            <c:v>91</c:v>
          </c:tx>
          <c:spPr>
            <a:ln w="19050" cap="rnd">
              <a:noFill/>
              <a:round/>
            </a:ln>
            <a:effectLst/>
            <a:extLst>
              <a:ext uri="{91240B29-F687-4F45-9708-019B960494DF}">
                <a14:hiddenLine xmlns:a14="http://schemas.microsoft.com/office/drawing/2010/main" w="19050" cap="rnd">
                  <a:solidFill>
                    <a:srgbClr val="5B9BD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NormalisedUVVisData!$CN$2:$CN$300</c:f>
              <c:numCache>
                <c:formatCode>General</c:formatCode>
                <c:ptCount val="299"/>
              </c:numCache>
            </c:numRef>
          </c:yVal>
          <c:smooth val="1"/>
          <c:extLst>
            <c:ext xmlns:c16="http://schemas.microsoft.com/office/drawing/2014/chart" uri="{C3380CC4-5D6E-409C-BE32-E72D297353CC}">
              <c16:uniqueId val="{0000005A-58F6-4830-8941-1011DB88381F}"/>
            </c:ext>
          </c:extLst>
        </c:ser>
        <c:ser>
          <c:idx val="91"/>
          <c:order val="91"/>
          <c:tx>
            <c:v>92</c:v>
          </c:tx>
          <c:spPr>
            <a:ln w="19050" cap="rnd">
              <a:noFill/>
              <a:round/>
            </a:ln>
            <a:effectLst/>
            <a:extLst>
              <a:ext uri="{91240B29-F687-4F45-9708-019B960494DF}">
                <a14:hiddenLine xmlns:a14="http://schemas.microsoft.com/office/drawing/2010/main" w="19050" cap="rnd">
                  <a:solidFill>
                    <a:srgbClr val="ED7D31">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NormalisedUVVisData!$CO$2:$CO$300</c:f>
              <c:numCache>
                <c:formatCode>General</c:formatCode>
                <c:ptCount val="299"/>
              </c:numCache>
            </c:numRef>
          </c:yVal>
          <c:smooth val="1"/>
          <c:extLst>
            <c:ext xmlns:c16="http://schemas.microsoft.com/office/drawing/2014/chart" uri="{C3380CC4-5D6E-409C-BE32-E72D297353CC}">
              <c16:uniqueId val="{0000005B-58F6-4830-8941-1011DB88381F}"/>
            </c:ext>
          </c:extLst>
        </c:ser>
        <c:ser>
          <c:idx val="92"/>
          <c:order val="92"/>
          <c:tx>
            <c:v>93</c:v>
          </c:tx>
          <c:spPr>
            <a:ln w="19050" cap="rnd">
              <a:noFill/>
              <a:round/>
            </a:ln>
            <a:effectLst/>
            <a:extLst>
              <a:ext uri="{91240B29-F687-4F45-9708-019B960494DF}">
                <a14:hiddenLine xmlns:a14="http://schemas.microsoft.com/office/drawing/2010/main" w="19050" cap="rnd">
                  <a:solidFill>
                    <a:srgbClr val="A5A5A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NormalisedUVVisData!$CP$2:$CP$300</c:f>
              <c:numCache>
                <c:formatCode>General</c:formatCode>
                <c:ptCount val="299"/>
              </c:numCache>
            </c:numRef>
          </c:yVal>
          <c:smooth val="1"/>
          <c:extLst>
            <c:ext xmlns:c16="http://schemas.microsoft.com/office/drawing/2014/chart" uri="{C3380CC4-5D6E-409C-BE32-E72D297353CC}">
              <c16:uniqueId val="{0000005C-58F6-4830-8941-1011DB88381F}"/>
            </c:ext>
          </c:extLst>
        </c:ser>
        <c:ser>
          <c:idx val="93"/>
          <c:order val="93"/>
          <c:tx>
            <c:v>94</c:v>
          </c:tx>
          <c:spPr>
            <a:ln w="19050" cap="rnd">
              <a:noFill/>
              <a:round/>
            </a:ln>
            <a:effectLst/>
            <a:extLst>
              <a:ext uri="{91240B29-F687-4F45-9708-019B960494DF}">
                <a14:hiddenLine xmlns:a14="http://schemas.microsoft.com/office/drawing/2010/main" w="19050" cap="rnd">
                  <a:solidFill>
                    <a:srgbClr val="FFC000">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NormalisedUVVisData!$CQ$2:$CQ$300</c:f>
              <c:numCache>
                <c:formatCode>General</c:formatCode>
                <c:ptCount val="299"/>
              </c:numCache>
            </c:numRef>
          </c:yVal>
          <c:smooth val="1"/>
          <c:extLst>
            <c:ext xmlns:c16="http://schemas.microsoft.com/office/drawing/2014/chart" uri="{C3380CC4-5D6E-409C-BE32-E72D297353CC}">
              <c16:uniqueId val="{0000005D-58F6-4830-8941-1011DB88381F}"/>
            </c:ext>
          </c:extLst>
        </c:ser>
        <c:ser>
          <c:idx val="94"/>
          <c:order val="94"/>
          <c:tx>
            <c:v>95</c:v>
          </c:tx>
          <c:spPr>
            <a:ln w="19050" cap="rnd">
              <a:noFill/>
              <a:round/>
            </a:ln>
            <a:effectLst/>
            <a:extLst>
              <a:ext uri="{91240B29-F687-4F45-9708-019B960494DF}">
                <a14:hiddenLine xmlns:a14="http://schemas.microsoft.com/office/drawing/2010/main" w="19050" cap="rnd">
                  <a:solidFill>
                    <a:srgbClr val="4472C4">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NormalisedUVVisData!$CR$2:$CR$300</c:f>
              <c:numCache>
                <c:formatCode>General</c:formatCode>
                <c:ptCount val="299"/>
              </c:numCache>
            </c:numRef>
          </c:yVal>
          <c:smooth val="1"/>
          <c:extLst>
            <c:ext xmlns:c16="http://schemas.microsoft.com/office/drawing/2014/chart" uri="{C3380CC4-5D6E-409C-BE32-E72D297353CC}">
              <c16:uniqueId val="{0000005E-58F6-4830-8941-1011DB88381F}"/>
            </c:ext>
          </c:extLst>
        </c:ser>
        <c:ser>
          <c:idx val="95"/>
          <c:order val="95"/>
          <c:tx>
            <c:v>96</c:v>
          </c:tx>
          <c:spPr>
            <a:ln w="19050" cap="rnd">
              <a:noFill/>
              <a:round/>
            </a:ln>
            <a:effectLst/>
            <a:extLst>
              <a:ext uri="{91240B29-F687-4F45-9708-019B960494DF}">
                <a14:hiddenLine xmlns:a14="http://schemas.microsoft.com/office/drawing/2010/main" w="19050" cap="rnd">
                  <a:solidFill>
                    <a:srgbClr val="70AD47">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NormalisedUVVisData!$CS$2:$CS$300</c:f>
              <c:numCache>
                <c:formatCode>General</c:formatCode>
                <c:ptCount val="299"/>
              </c:numCache>
            </c:numRef>
          </c:yVal>
          <c:smooth val="1"/>
          <c:extLst>
            <c:ext xmlns:c16="http://schemas.microsoft.com/office/drawing/2014/chart" uri="{C3380CC4-5D6E-409C-BE32-E72D297353CC}">
              <c16:uniqueId val="{0000005F-58F6-4830-8941-1011DB88381F}"/>
            </c:ext>
          </c:extLst>
        </c:ser>
        <c:ser>
          <c:idx val="96"/>
          <c:order val="96"/>
          <c:tx>
            <c:v>97</c:v>
          </c:tx>
          <c:spPr>
            <a:ln w="19050" cap="rnd">
              <a:noFill/>
              <a:round/>
            </a:ln>
            <a:effectLst/>
            <a:extLst>
              <a:ext uri="{91240B29-F687-4F45-9708-019B960494DF}">
                <a14:hiddenLine xmlns:a14="http://schemas.microsoft.com/office/drawing/2010/main" w="19050" cap="rnd">
                  <a:solidFill>
                    <a:srgbClr val="5B9BD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NormalisedUVVisData!$CT$2:$CT$300</c:f>
              <c:numCache>
                <c:formatCode>General</c:formatCode>
                <c:ptCount val="299"/>
              </c:numCache>
            </c:numRef>
          </c:yVal>
          <c:smooth val="1"/>
          <c:extLst>
            <c:ext xmlns:c16="http://schemas.microsoft.com/office/drawing/2014/chart" uri="{C3380CC4-5D6E-409C-BE32-E72D297353CC}">
              <c16:uniqueId val="{00000060-58F6-4830-8941-1011DB88381F}"/>
            </c:ext>
          </c:extLst>
        </c:ser>
        <c:ser>
          <c:idx val="97"/>
          <c:order val="97"/>
          <c:tx>
            <c:v>98</c:v>
          </c:tx>
          <c:spPr>
            <a:ln w="19050" cap="rnd">
              <a:noFill/>
              <a:round/>
            </a:ln>
            <a:effectLst/>
            <a:extLst>
              <a:ext uri="{91240B29-F687-4F45-9708-019B960494DF}">
                <a14:hiddenLine xmlns:a14="http://schemas.microsoft.com/office/drawing/2010/main" w="19050" cap="rnd">
                  <a:solidFill>
                    <a:srgbClr val="ED7D31">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NormalisedUVVisData!$CU$2:$CU$300</c:f>
              <c:numCache>
                <c:formatCode>General</c:formatCode>
                <c:ptCount val="299"/>
              </c:numCache>
            </c:numRef>
          </c:yVal>
          <c:smooth val="1"/>
          <c:extLst>
            <c:ext xmlns:c16="http://schemas.microsoft.com/office/drawing/2014/chart" uri="{C3380CC4-5D6E-409C-BE32-E72D297353CC}">
              <c16:uniqueId val="{00000061-58F6-4830-8941-1011DB88381F}"/>
            </c:ext>
          </c:extLst>
        </c:ser>
        <c:ser>
          <c:idx val="98"/>
          <c:order val="98"/>
          <c:tx>
            <c:v>99</c:v>
          </c:tx>
          <c:spPr>
            <a:ln w="19050" cap="rnd">
              <a:noFill/>
              <a:round/>
            </a:ln>
            <a:effectLst/>
            <a:extLst>
              <a:ext uri="{91240B29-F687-4F45-9708-019B960494DF}">
                <a14:hiddenLine xmlns:a14="http://schemas.microsoft.com/office/drawing/2010/main" w="19050" cap="rnd">
                  <a:solidFill>
                    <a:srgbClr val="A5A5A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NormalisedUVVisData!$CV$2:$CV$300</c:f>
              <c:numCache>
                <c:formatCode>General</c:formatCode>
                <c:ptCount val="299"/>
              </c:numCache>
            </c:numRef>
          </c:yVal>
          <c:smooth val="1"/>
          <c:extLst>
            <c:ext xmlns:c16="http://schemas.microsoft.com/office/drawing/2014/chart" uri="{C3380CC4-5D6E-409C-BE32-E72D297353CC}">
              <c16:uniqueId val="{00000062-58F6-4830-8941-1011DB88381F}"/>
            </c:ext>
          </c:extLst>
        </c:ser>
        <c:ser>
          <c:idx val="99"/>
          <c:order val="99"/>
          <c:tx>
            <c:v>100</c:v>
          </c:tx>
          <c:spPr>
            <a:ln w="19050" cap="rnd">
              <a:noFill/>
              <a:round/>
            </a:ln>
            <a:effectLst/>
            <a:extLst>
              <a:ext uri="{91240B29-F687-4F45-9708-019B960494DF}">
                <a14:hiddenLine xmlns:a14="http://schemas.microsoft.com/office/drawing/2010/main" w="19050" cap="rnd">
                  <a:solidFill>
                    <a:srgbClr val="FFC000">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NormalisedUVVisData!$CW$2:$CW$300</c:f>
              <c:numCache>
                <c:formatCode>General</c:formatCode>
                <c:ptCount val="299"/>
              </c:numCache>
            </c:numRef>
          </c:yVal>
          <c:smooth val="1"/>
          <c:extLst>
            <c:ext xmlns:c16="http://schemas.microsoft.com/office/drawing/2014/chart" uri="{C3380CC4-5D6E-409C-BE32-E72D297353CC}">
              <c16:uniqueId val="{00000063-58F6-4830-8941-1011DB88381F}"/>
            </c:ext>
          </c:extLst>
        </c:ser>
        <c:dLbls>
          <c:showLegendKey val="0"/>
          <c:showVal val="0"/>
          <c:showCatName val="0"/>
          <c:showSerName val="0"/>
          <c:showPercent val="0"/>
          <c:showBubbleSize val="0"/>
        </c:dLbls>
        <c:axId val="1816212544"/>
        <c:axId val="1816212000"/>
      </c:scatterChart>
      <c:valAx>
        <c:axId val="1816212544"/>
        <c:scaling>
          <c:orientation val="minMax"/>
          <c:max val="600"/>
          <c:min val="2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2000"/>
        <c:crosses val="autoZero"/>
        <c:crossBetween val="midCat"/>
        <c:majorUnit val="100"/>
      </c:valAx>
      <c:valAx>
        <c:axId val="1816212000"/>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2544"/>
        <c:crosses val="autoZero"/>
        <c:crossBetween val="midCat"/>
        <c:majorUnit val="2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100</c:v>
                </c:pt>
                <c:pt idx="1">
                  <c:v>84.18011474609375</c:v>
                </c:pt>
                <c:pt idx="2">
                  <c:v>70.125495910644531</c:v>
                </c:pt>
                <c:pt idx="3">
                  <c:v>59.003433227539063</c:v>
                </c:pt>
                <c:pt idx="4">
                  <c:v>51.549526214599609</c:v>
                </c:pt>
                <c:pt idx="5">
                  <c:v>47.429611206054688</c:v>
                </c:pt>
                <c:pt idx="6">
                  <c:v>46.082263946533203</c:v>
                </c:pt>
                <c:pt idx="7">
                  <c:v>47.040214538574219</c:v>
                </c:pt>
                <c:pt idx="8">
                  <c:v>48.897247314453125</c:v>
                </c:pt>
                <c:pt idx="9">
                  <c:v>50.815036773681641</c:v>
                </c:pt>
                <c:pt idx="10">
                  <c:v>52.408370971679688</c:v>
                </c:pt>
                <c:pt idx="11">
                  <c:v>53.289295196533203</c:v>
                </c:pt>
                <c:pt idx="12">
                  <c:v>52.763526916503906</c:v>
                </c:pt>
                <c:pt idx="13">
                  <c:v>50.994796752929688</c:v>
                </c:pt>
                <c:pt idx="14">
                  <c:v>48.249614715576172</c:v>
                </c:pt>
                <c:pt idx="15">
                  <c:v>44.738803863525391</c:v>
                </c:pt>
                <c:pt idx="16">
                  <c:v>40.727088928222656</c:v>
                </c:pt>
                <c:pt idx="17">
                  <c:v>36.107898712158203</c:v>
                </c:pt>
                <c:pt idx="18">
                  <c:v>31.441665649414063</c:v>
                </c:pt>
                <c:pt idx="19">
                  <c:v>27.282987594604492</c:v>
                </c:pt>
                <c:pt idx="20">
                  <c:v>24.380807876586914</c:v>
                </c:pt>
                <c:pt idx="21">
                  <c:v>22.538333892822266</c:v>
                </c:pt>
                <c:pt idx="22">
                  <c:v>21.357892990112305</c:v>
                </c:pt>
                <c:pt idx="23">
                  <c:v>20.584510803222656</c:v>
                </c:pt>
                <c:pt idx="24">
                  <c:v>19.988075256347656</c:v>
                </c:pt>
                <c:pt idx="25">
                  <c:v>19.691131591796875</c:v>
                </c:pt>
                <c:pt idx="26">
                  <c:v>19.547588348388672</c:v>
                </c:pt>
                <c:pt idx="27">
                  <c:v>19.469350814819336</c:v>
                </c:pt>
                <c:pt idx="28">
                  <c:v>19.703300476074219</c:v>
                </c:pt>
                <c:pt idx="29">
                  <c:v>19.98841667175293</c:v>
                </c:pt>
                <c:pt idx="30">
                  <c:v>20.135692596435547</c:v>
                </c:pt>
                <c:pt idx="31">
                  <c:v>20.065261840820313</c:v>
                </c:pt>
                <c:pt idx="32">
                  <c:v>19.59925651550293</c:v>
                </c:pt>
                <c:pt idx="33">
                  <c:v>18.835597991943359</c:v>
                </c:pt>
                <c:pt idx="34">
                  <c:v>17.711711883544922</c:v>
                </c:pt>
                <c:pt idx="35">
                  <c:v>16.426517486572266</c:v>
                </c:pt>
                <c:pt idx="36">
                  <c:v>15.145421981811523</c:v>
                </c:pt>
                <c:pt idx="37">
                  <c:v>13.563967704772949</c:v>
                </c:pt>
                <c:pt idx="38">
                  <c:v>12.246026992797852</c:v>
                </c:pt>
                <c:pt idx="39">
                  <c:v>11.451462745666504</c:v>
                </c:pt>
                <c:pt idx="40">
                  <c:v>11.229602813720703</c:v>
                </c:pt>
                <c:pt idx="41">
                  <c:v>11.388941764831543</c:v>
                </c:pt>
                <c:pt idx="42">
                  <c:v>11.870951652526855</c:v>
                </c:pt>
                <c:pt idx="43">
                  <c:v>12.398769378662109</c:v>
                </c:pt>
                <c:pt idx="44">
                  <c:v>12.665936470031738</c:v>
                </c:pt>
                <c:pt idx="45">
                  <c:v>13.123716354370117</c:v>
                </c:pt>
                <c:pt idx="46">
                  <c:v>13.52044677734375</c:v>
                </c:pt>
                <c:pt idx="47">
                  <c:v>13.790058135986328</c:v>
                </c:pt>
                <c:pt idx="48">
                  <c:v>14.007555961608887</c:v>
                </c:pt>
                <c:pt idx="49">
                  <c:v>14.115174293518066</c:v>
                </c:pt>
                <c:pt idx="50">
                  <c:v>14.233962059020996</c:v>
                </c:pt>
                <c:pt idx="51">
                  <c:v>14.144949913024902</c:v>
                </c:pt>
                <c:pt idx="52">
                  <c:v>13.925113677978516</c:v>
                </c:pt>
                <c:pt idx="53">
                  <c:v>13.89478588104248</c:v>
                </c:pt>
                <c:pt idx="54">
                  <c:v>13.800413131713867</c:v>
                </c:pt>
                <c:pt idx="55">
                  <c:v>13.546648979187012</c:v>
                </c:pt>
                <c:pt idx="56">
                  <c:v>13.40252685546875</c:v>
                </c:pt>
                <c:pt idx="57">
                  <c:v>12.990133285522461</c:v>
                </c:pt>
                <c:pt idx="58">
                  <c:v>12.532431602478027</c:v>
                </c:pt>
                <c:pt idx="59">
                  <c:v>12.189682006835938</c:v>
                </c:pt>
                <c:pt idx="60">
                  <c:v>11.90593147277832</c:v>
                </c:pt>
                <c:pt idx="61">
                  <c:v>11.61529541015625</c:v>
                </c:pt>
                <c:pt idx="62">
                  <c:v>11.050370216369629</c:v>
                </c:pt>
                <c:pt idx="63">
                  <c:v>10.438692092895508</c:v>
                </c:pt>
                <c:pt idx="64">
                  <c:v>9.9723176956176758</c:v>
                </c:pt>
                <c:pt idx="65">
                  <c:v>9.5816326141357422</c:v>
                </c:pt>
                <c:pt idx="66">
                  <c:v>9.2963838577270508</c:v>
                </c:pt>
                <c:pt idx="67">
                  <c:v>8.9581279754638672</c:v>
                </c:pt>
                <c:pt idx="68">
                  <c:v>8.5663118362426758</c:v>
                </c:pt>
                <c:pt idx="69">
                  <c:v>8.3851871490478516</c:v>
                </c:pt>
                <c:pt idx="70">
                  <c:v>8.1467170715332031</c:v>
                </c:pt>
                <c:pt idx="71">
                  <c:v>7.7838363647460938</c:v>
                </c:pt>
                <c:pt idx="72">
                  <c:v>7.607231616973877</c:v>
                </c:pt>
                <c:pt idx="73">
                  <c:v>7.7186083793640137</c:v>
                </c:pt>
                <c:pt idx="74">
                  <c:v>7.8296170234680176</c:v>
                </c:pt>
                <c:pt idx="75">
                  <c:v>7.5830798149108887</c:v>
                </c:pt>
                <c:pt idx="76">
                  <c:v>7.2687125205993652</c:v>
                </c:pt>
                <c:pt idx="77">
                  <c:v>7.3096837997436523</c:v>
                </c:pt>
                <c:pt idx="78">
                  <c:v>7.1933403015136719</c:v>
                </c:pt>
                <c:pt idx="79">
                  <c:v>6.8575019836425781</c:v>
                </c:pt>
                <c:pt idx="80">
                  <c:v>6.6767973899841309</c:v>
                </c:pt>
                <c:pt idx="81">
                  <c:v>6.616877555847168</c:v>
                </c:pt>
                <c:pt idx="82">
                  <c:v>6.51690673828125</c:v>
                </c:pt>
                <c:pt idx="83">
                  <c:v>6.4993777275085449</c:v>
                </c:pt>
                <c:pt idx="84">
                  <c:v>6.4270534515380859</c:v>
                </c:pt>
                <c:pt idx="85">
                  <c:v>6.5041871070861816</c:v>
                </c:pt>
                <c:pt idx="86">
                  <c:v>6.466789722442627</c:v>
                </c:pt>
                <c:pt idx="87">
                  <c:v>6.2799615859985352</c:v>
                </c:pt>
                <c:pt idx="88">
                  <c:v>6.2287149429321289</c:v>
                </c:pt>
                <c:pt idx="89">
                  <c:v>6.3807735443115234</c:v>
                </c:pt>
                <c:pt idx="90">
                  <c:v>6.3785400390625</c:v>
                </c:pt>
                <c:pt idx="91">
                  <c:v>6.0757884979248047</c:v>
                </c:pt>
                <c:pt idx="92">
                  <c:v>6.2021188735961914</c:v>
                </c:pt>
                <c:pt idx="93">
                  <c:v>6.5810046195983887</c:v>
                </c:pt>
                <c:pt idx="94">
                  <c:v>6.9871959686279297</c:v>
                </c:pt>
                <c:pt idx="95">
                  <c:v>7.187164306640625</c:v>
                </c:pt>
                <c:pt idx="96">
                  <c:v>6.7465720176696777</c:v>
                </c:pt>
                <c:pt idx="97">
                  <c:v>6.5719904899597168</c:v>
                </c:pt>
                <c:pt idx="98">
                  <c:v>6.5709128379821777</c:v>
                </c:pt>
                <c:pt idx="99">
                  <c:v>6.5246858596801758</c:v>
                </c:pt>
                <c:pt idx="100">
                  <c:v>6.4251875877380371</c:v>
                </c:pt>
                <c:pt idx="101">
                  <c:v>6.0945529937744141</c:v>
                </c:pt>
                <c:pt idx="102">
                  <c:v>5.9875388145446777</c:v>
                </c:pt>
                <c:pt idx="103">
                  <c:v>6.582240104675293</c:v>
                </c:pt>
                <c:pt idx="104">
                  <c:v>6.686521053314209</c:v>
                </c:pt>
                <c:pt idx="105">
                  <c:v>6.5896248817443848</c:v>
                </c:pt>
                <c:pt idx="106">
                  <c:v>7.0170245170593262</c:v>
                </c:pt>
                <c:pt idx="107">
                  <c:v>7.148505687713623</c:v>
                </c:pt>
                <c:pt idx="108">
                  <c:v>7.1421718597412109</c:v>
                </c:pt>
                <c:pt idx="109">
                  <c:v>7.1906332969665527</c:v>
                </c:pt>
                <c:pt idx="110">
                  <c:v>7.225165843963623</c:v>
                </c:pt>
                <c:pt idx="111">
                  <c:v>7.2228794097900391</c:v>
                </c:pt>
                <c:pt idx="112">
                  <c:v>7.3236651420593262</c:v>
                </c:pt>
                <c:pt idx="113">
                  <c:v>7.2716035842895508</c:v>
                </c:pt>
                <c:pt idx="114">
                  <c:v>7.1438016891479492</c:v>
                </c:pt>
                <c:pt idx="115">
                  <c:v>7.294677734375</c:v>
                </c:pt>
                <c:pt idx="116">
                  <c:v>7.3227190971374512</c:v>
                </c:pt>
                <c:pt idx="117">
                  <c:v>7.252655029296875</c:v>
                </c:pt>
                <c:pt idx="118">
                  <c:v>7.0300593376159668</c:v>
                </c:pt>
                <c:pt idx="119">
                  <c:v>7.2886857986450195</c:v>
                </c:pt>
                <c:pt idx="120">
                  <c:v>7.5180883407592773</c:v>
                </c:pt>
                <c:pt idx="121">
                  <c:v>6.8993139266967773</c:v>
                </c:pt>
                <c:pt idx="122">
                  <c:v>6.8212084770202637</c:v>
                </c:pt>
                <c:pt idx="123">
                  <c:v>6.8654384613037109</c:v>
                </c:pt>
                <c:pt idx="124">
                  <c:v>6.5031356811523438</c:v>
                </c:pt>
                <c:pt idx="125">
                  <c:v>7.1367321014404297</c:v>
                </c:pt>
                <c:pt idx="126">
                  <c:v>7.721341609954834</c:v>
                </c:pt>
                <c:pt idx="127">
                  <c:v>7.3530206680297852</c:v>
                </c:pt>
                <c:pt idx="128">
                  <c:v>6.6270480155944824</c:v>
                </c:pt>
                <c:pt idx="129">
                  <c:v>6.3965945243835449</c:v>
                </c:pt>
                <c:pt idx="130">
                  <c:v>6.9895610809326172</c:v>
                </c:pt>
                <c:pt idx="131">
                  <c:v>7.2385163307189941</c:v>
                </c:pt>
                <c:pt idx="132">
                  <c:v>6.8305907249450684</c:v>
                </c:pt>
                <c:pt idx="133">
                  <c:v>6.3574891090393066</c:v>
                </c:pt>
                <c:pt idx="134">
                  <c:v>5.4524154663085938</c:v>
                </c:pt>
                <c:pt idx="135">
                  <c:v>5.2777814865112305</c:v>
                </c:pt>
                <c:pt idx="136">
                  <c:v>4.9807066917419434</c:v>
                </c:pt>
                <c:pt idx="137">
                  <c:v>5.1473512649536133</c:v>
                </c:pt>
                <c:pt idx="138">
                  <c:v>6.1421732902526855</c:v>
                </c:pt>
                <c:pt idx="139">
                  <c:v>6.2625904083251953</c:v>
                </c:pt>
                <c:pt idx="140">
                  <c:v>6.8066492080688477</c:v>
                </c:pt>
                <c:pt idx="141">
                  <c:v>7.2889747619628906</c:v>
                </c:pt>
                <c:pt idx="142">
                  <c:v>6.1582040786743164</c:v>
                </c:pt>
                <c:pt idx="143">
                  <c:v>5.6540918350219727</c:v>
                </c:pt>
                <c:pt idx="144">
                  <c:v>6.226165771484375</c:v>
                </c:pt>
                <c:pt idx="145">
                  <c:v>5.5975098609924316</c:v>
                </c:pt>
                <c:pt idx="146">
                  <c:v>2.2531862258911133</c:v>
                </c:pt>
                <c:pt idx="147">
                  <c:v>2</c:v>
                </c:pt>
                <c:pt idx="148">
                  <c:v>3.1076176166534424</c:v>
                </c:pt>
                <c:pt idx="149">
                  <c:v>3.8820247650146484</c:v>
                </c:pt>
                <c:pt idx="150">
                  <c:v>5.8230752944946289</c:v>
                </c:pt>
                <c:pt idx="151">
                  <c:v>6.1074042320251465</c:v>
                </c:pt>
                <c:pt idx="152">
                  <c:v>6.0666694641113281</c:v>
                </c:pt>
                <c:pt idx="153">
                  <c:v>5.5372753143310547</c:v>
                </c:pt>
                <c:pt idx="154">
                  <c:v>5.1534748077392578</c:v>
                </c:pt>
                <c:pt idx="155">
                  <c:v>5.1610174179077148</c:v>
                </c:pt>
                <c:pt idx="156">
                  <c:v>5.5276041030883789</c:v>
                </c:pt>
                <c:pt idx="157">
                  <c:v>5.4497346878051758</c:v>
                </c:pt>
                <c:pt idx="158">
                  <c:v>4.4923892021179199</c:v>
                </c:pt>
                <c:pt idx="159">
                  <c:v>5.000180721282959</c:v>
                </c:pt>
                <c:pt idx="160">
                  <c:v>5.7788190841674805</c:v>
                </c:pt>
                <c:pt idx="161">
                  <c:v>5.3262166976928711</c:v>
                </c:pt>
                <c:pt idx="162">
                  <c:v>5.8426542282104492</c:v>
                </c:pt>
                <c:pt idx="163">
                  <c:v>5.8981060981750488</c:v>
                </c:pt>
                <c:pt idx="164">
                  <c:v>5.0324530601501465</c:v>
                </c:pt>
                <c:pt idx="165">
                  <c:v>5.3751506805419922</c:v>
                </c:pt>
                <c:pt idx="166">
                  <c:v>4.3275318145751953</c:v>
                </c:pt>
                <c:pt idx="167">
                  <c:v>5.123988151550293</c:v>
                </c:pt>
                <c:pt idx="168">
                  <c:v>6.0679306983947754</c:v>
                </c:pt>
                <c:pt idx="169">
                  <c:v>5.445319652557373</c:v>
                </c:pt>
                <c:pt idx="170">
                  <c:v>6.6300969123840332</c:v>
                </c:pt>
                <c:pt idx="171">
                  <c:v>4.8713798522949219</c:v>
                </c:pt>
                <c:pt idx="172">
                  <c:v>4.9176335334777832</c:v>
                </c:pt>
                <c:pt idx="173">
                  <c:v>5.2307133674621582</c:v>
                </c:pt>
                <c:pt idx="174">
                  <c:v>5.4847140312194824</c:v>
                </c:pt>
                <c:pt idx="175">
                  <c:v>5.2878208160400391</c:v>
                </c:pt>
                <c:pt idx="176">
                  <c:v>5.4765410423278809</c:v>
                </c:pt>
                <c:pt idx="177">
                  <c:v>6.5676279067993164</c:v>
                </c:pt>
                <c:pt idx="178">
                  <c:v>5.9900617599487305</c:v>
                </c:pt>
                <c:pt idx="179">
                  <c:v>5.338200569152832</c:v>
                </c:pt>
                <c:pt idx="180">
                  <c:v>4.9910612106323242</c:v>
                </c:pt>
                <c:pt idx="181">
                  <c:v>5.5374326705932617</c:v>
                </c:pt>
                <c:pt idx="182">
                  <c:v>5.5608749389648438</c:v>
                </c:pt>
                <c:pt idx="183">
                  <c:v>4.2474288940429688</c:v>
                </c:pt>
                <c:pt idx="184">
                  <c:v>4.0272245407104492</c:v>
                </c:pt>
                <c:pt idx="185">
                  <c:v>5.4951739311218262</c:v>
                </c:pt>
                <c:pt idx="186">
                  <c:v>6.3324174880981445</c:v>
                </c:pt>
                <c:pt idx="187">
                  <c:v>6.3358602523803711</c:v>
                </c:pt>
                <c:pt idx="188">
                  <c:v>4.726837158203125</c:v>
                </c:pt>
                <c:pt idx="189">
                  <c:v>5.592832088470459</c:v>
                </c:pt>
                <c:pt idx="190">
                  <c:v>5.4644780158996582</c:v>
                </c:pt>
                <c:pt idx="191">
                  <c:v>3.7108335494995117</c:v>
                </c:pt>
                <c:pt idx="192">
                  <c:v>4.3872408866882324</c:v>
                </c:pt>
                <c:pt idx="193">
                  <c:v>4.179572582244873</c:v>
                </c:pt>
                <c:pt idx="194">
                  <c:v>6.1188888549804688</c:v>
                </c:pt>
                <c:pt idx="195">
                  <c:v>5.2779130935668945</c:v>
                </c:pt>
                <c:pt idx="196">
                  <c:v>7.3874478340148926</c:v>
                </c:pt>
                <c:pt idx="197">
                  <c:v>6.6446561813354492</c:v>
                </c:pt>
                <c:pt idx="198">
                  <c:v>5.5963797569274902</c:v>
                </c:pt>
                <c:pt idx="199">
                  <c:v>5.5430569648742676</c:v>
                </c:pt>
                <c:pt idx="200">
                  <c:v>6.4304437637329102</c:v>
                </c:pt>
                <c:pt idx="201">
                  <c:v>5.8880410194396973</c:v>
                </c:pt>
                <c:pt idx="202">
                  <c:v>3.3732607364654541</c:v>
                </c:pt>
                <c:pt idx="203">
                  <c:v>5.5298113822937012</c:v>
                </c:pt>
                <c:pt idx="204">
                  <c:v>4.8334312438964844</c:v>
                </c:pt>
                <c:pt idx="205">
                  <c:v>7.0912928581237793</c:v>
                </c:pt>
                <c:pt idx="206">
                  <c:v>4.6551704406738281</c:v>
                </c:pt>
                <c:pt idx="207">
                  <c:v>7.4482607841491699</c:v>
                </c:pt>
                <c:pt idx="208">
                  <c:v>4.9938998222351074</c:v>
                </c:pt>
                <c:pt idx="209">
                  <c:v>5.2579135894775391</c:v>
                </c:pt>
                <c:pt idx="210">
                  <c:v>4.8412628173828125</c:v>
                </c:pt>
                <c:pt idx="211">
                  <c:v>3.2873497009277344</c:v>
                </c:pt>
                <c:pt idx="212">
                  <c:v>6.448209285736084</c:v>
                </c:pt>
                <c:pt idx="213">
                  <c:v>4.8094897270202637</c:v>
                </c:pt>
                <c:pt idx="214">
                  <c:v>6.7420516014099121</c:v>
                </c:pt>
                <c:pt idx="215">
                  <c:v>3.6670241355895996</c:v>
                </c:pt>
                <c:pt idx="216">
                  <c:v>5.2522892951965332</c:v>
                </c:pt>
                <c:pt idx="217">
                  <c:v>5.4456348419189453</c:v>
                </c:pt>
                <c:pt idx="218">
                  <c:v>4.2843003273010254</c:v>
                </c:pt>
                <c:pt idx="219">
                  <c:v>7.5196914672851563</c:v>
                </c:pt>
                <c:pt idx="220">
                  <c:v>3.2866401672363281</c:v>
                </c:pt>
                <c:pt idx="221">
                  <c:v>7.0273261070251465</c:v>
                </c:pt>
                <c:pt idx="222">
                  <c:v>4.775719165802002</c:v>
                </c:pt>
                <c:pt idx="223">
                  <c:v>3.1284580230712891</c:v>
                </c:pt>
                <c:pt idx="224">
                  <c:v>7.8455958366394043</c:v>
                </c:pt>
                <c:pt idx="225">
                  <c:v>2.7694401741027832</c:v>
                </c:pt>
              </c:numCache>
            </c:numRef>
          </c:yVal>
          <c:smooth val="1"/>
          <c:extLst>
            <c:ext xmlns:c16="http://schemas.microsoft.com/office/drawing/2014/chart" uri="{C3380CC4-5D6E-409C-BE32-E72D297353CC}">
              <c16:uniqueId val="{00000000-C55B-4A1A-87F7-276FE06EA34B}"/>
            </c:ext>
          </c:extLst>
        </c:ser>
        <c:ser>
          <c:idx val="1"/>
          <c:order val="1"/>
          <c:tx>
            <c:v>2</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55.889392852783203</c:v>
                </c:pt>
                <c:pt idx="1">
                  <c:v>54.661392211914063</c:v>
                </c:pt>
                <c:pt idx="2">
                  <c:v>53.409122467041016</c:v>
                </c:pt>
                <c:pt idx="3">
                  <c:v>52.62017822265625</c:v>
                </c:pt>
                <c:pt idx="4">
                  <c:v>52.760089874267578</c:v>
                </c:pt>
                <c:pt idx="5">
                  <c:v>54.649894714355469</c:v>
                </c:pt>
                <c:pt idx="6">
                  <c:v>59.084308624267578</c:v>
                </c:pt>
                <c:pt idx="7">
                  <c:v>66.044105529785156</c:v>
                </c:pt>
                <c:pt idx="8">
                  <c:v>74.592208862304688</c:v>
                </c:pt>
                <c:pt idx="9">
                  <c:v>83.886405944824219</c:v>
                </c:pt>
                <c:pt idx="10">
                  <c:v>91.923873901367188</c:v>
                </c:pt>
                <c:pt idx="11">
                  <c:v>97.599861145019531</c:v>
                </c:pt>
                <c:pt idx="12">
                  <c:v>99.999992370605469</c:v>
                </c:pt>
                <c:pt idx="13">
                  <c:v>99.147613525390625</c:v>
                </c:pt>
                <c:pt idx="14">
                  <c:v>96.001640319824219</c:v>
                </c:pt>
                <c:pt idx="15">
                  <c:v>91.216896057128906</c:v>
                </c:pt>
                <c:pt idx="16">
                  <c:v>84.376785278320313</c:v>
                </c:pt>
                <c:pt idx="17">
                  <c:v>74.724876403808594</c:v>
                </c:pt>
                <c:pt idx="18">
                  <c:v>63.507514953613281</c:v>
                </c:pt>
                <c:pt idx="19">
                  <c:v>52.920326232910156</c:v>
                </c:pt>
                <c:pt idx="20">
                  <c:v>45.275135040283203</c:v>
                </c:pt>
                <c:pt idx="21">
                  <c:v>40.417812347412109</c:v>
                </c:pt>
                <c:pt idx="22">
                  <c:v>37.616847991943359</c:v>
                </c:pt>
                <c:pt idx="23">
                  <c:v>36.10894775390625</c:v>
                </c:pt>
                <c:pt idx="24">
                  <c:v>35.096569061279297</c:v>
                </c:pt>
                <c:pt idx="25">
                  <c:v>34.322574615478516</c:v>
                </c:pt>
                <c:pt idx="26">
                  <c:v>33.780612945556641</c:v>
                </c:pt>
                <c:pt idx="27">
                  <c:v>33.775867462158203</c:v>
                </c:pt>
                <c:pt idx="28">
                  <c:v>34.368484497070313</c:v>
                </c:pt>
                <c:pt idx="29">
                  <c:v>35.213302612304688</c:v>
                </c:pt>
                <c:pt idx="30">
                  <c:v>35.714405059814453</c:v>
                </c:pt>
                <c:pt idx="31">
                  <c:v>35.283885955810547</c:v>
                </c:pt>
                <c:pt idx="32">
                  <c:v>33.833145141601563</c:v>
                </c:pt>
                <c:pt idx="33">
                  <c:v>31.509349822998047</c:v>
                </c:pt>
                <c:pt idx="34">
                  <c:v>28.506931304931641</c:v>
                </c:pt>
                <c:pt idx="35">
                  <c:v>24.691051483154297</c:v>
                </c:pt>
                <c:pt idx="36">
                  <c:v>20.286096572875977</c:v>
                </c:pt>
                <c:pt idx="37">
                  <c:v>15.727624893188477</c:v>
                </c:pt>
                <c:pt idx="38">
                  <c:v>11.927992820739746</c:v>
                </c:pt>
                <c:pt idx="39">
                  <c:v>9.3046045303344727</c:v>
                </c:pt>
                <c:pt idx="40">
                  <c:v>8.0070362091064453</c:v>
                </c:pt>
                <c:pt idx="41">
                  <c:v>7.6428713798522949</c:v>
                </c:pt>
                <c:pt idx="42">
                  <c:v>7.7787976264953613</c:v>
                </c:pt>
                <c:pt idx="43">
                  <c:v>8.1862096786499023</c:v>
                </c:pt>
                <c:pt idx="44">
                  <c:v>8.6800346374511719</c:v>
                </c:pt>
                <c:pt idx="45">
                  <c:v>9.2260665893554688</c:v>
                </c:pt>
                <c:pt idx="46">
                  <c:v>9.7816505432128906</c:v>
                </c:pt>
                <c:pt idx="47">
                  <c:v>10.313471794128418</c:v>
                </c:pt>
                <c:pt idx="48">
                  <c:v>10.774637222290039</c:v>
                </c:pt>
                <c:pt idx="49">
                  <c:v>11.173943519592285</c:v>
                </c:pt>
                <c:pt idx="50">
                  <c:v>11.533088684082031</c:v>
                </c:pt>
                <c:pt idx="51">
                  <c:v>11.871551513671875</c:v>
                </c:pt>
                <c:pt idx="52">
                  <c:v>12.276987075805664</c:v>
                </c:pt>
                <c:pt idx="53">
                  <c:v>12.740976333618164</c:v>
                </c:pt>
                <c:pt idx="54">
                  <c:v>13.216762542724609</c:v>
                </c:pt>
                <c:pt idx="55">
                  <c:v>13.719448089599609</c:v>
                </c:pt>
                <c:pt idx="56">
                  <c:v>14.22400951385498</c:v>
                </c:pt>
                <c:pt idx="57">
                  <c:v>14.646254539489746</c:v>
                </c:pt>
                <c:pt idx="58">
                  <c:v>14.940304756164551</c:v>
                </c:pt>
                <c:pt idx="59">
                  <c:v>15.047256469726563</c:v>
                </c:pt>
                <c:pt idx="60">
                  <c:v>15.024728775024414</c:v>
                </c:pt>
                <c:pt idx="61">
                  <c:v>14.844626426696777</c:v>
                </c:pt>
                <c:pt idx="62">
                  <c:v>14.484945297241211</c:v>
                </c:pt>
                <c:pt idx="63">
                  <c:v>13.937690734863281</c:v>
                </c:pt>
                <c:pt idx="64">
                  <c:v>13.258457183837891</c:v>
                </c:pt>
                <c:pt idx="65">
                  <c:v>12.415014266967773</c:v>
                </c:pt>
                <c:pt idx="66">
                  <c:v>11.605366706848145</c:v>
                </c:pt>
                <c:pt idx="67">
                  <c:v>10.792507171630859</c:v>
                </c:pt>
                <c:pt idx="68">
                  <c:v>10.047019004821777</c:v>
                </c:pt>
                <c:pt idx="69">
                  <c:v>9.3699922561645508</c:v>
                </c:pt>
                <c:pt idx="70">
                  <c:v>8.7404031753540039</c:v>
                </c:pt>
                <c:pt idx="71">
                  <c:v>8.2144794464111328</c:v>
                </c:pt>
                <c:pt idx="72">
                  <c:v>7.7318096160888672</c:v>
                </c:pt>
                <c:pt idx="73">
                  <c:v>7.2463836669921875</c:v>
                </c:pt>
                <c:pt idx="74">
                  <c:v>6.7560443878173828</c:v>
                </c:pt>
                <c:pt idx="75">
                  <c:v>6.2866926193237305</c:v>
                </c:pt>
                <c:pt idx="76">
                  <c:v>5.7770552635192871</c:v>
                </c:pt>
                <c:pt idx="77">
                  <c:v>5.2717700004577637</c:v>
                </c:pt>
                <c:pt idx="78">
                  <c:v>4.8368678092956543</c:v>
                </c:pt>
                <c:pt idx="79">
                  <c:v>4.468226432800293</c:v>
                </c:pt>
                <c:pt idx="80">
                  <c:v>4.1319141387939453</c:v>
                </c:pt>
                <c:pt idx="81">
                  <c:v>3.8050980567932129</c:v>
                </c:pt>
                <c:pt idx="82">
                  <c:v>3.6349654197692871</c:v>
                </c:pt>
                <c:pt idx="83">
                  <c:v>3.4843738079071045</c:v>
                </c:pt>
                <c:pt idx="84">
                  <c:v>3.2598893642425537</c:v>
                </c:pt>
                <c:pt idx="85">
                  <c:v>3.1145663261413574</c:v>
                </c:pt>
                <c:pt idx="86">
                  <c:v>3.0484986305236816</c:v>
                </c:pt>
                <c:pt idx="87">
                  <c:v>2.9224984645843506</c:v>
                </c:pt>
                <c:pt idx="88">
                  <c:v>2.8201980590820313</c:v>
                </c:pt>
                <c:pt idx="89">
                  <c:v>2.7964670658111572</c:v>
                </c:pt>
                <c:pt idx="90">
                  <c:v>2.7619678974151611</c:v>
                </c:pt>
                <c:pt idx="91">
                  <c:v>2.6235723495483398</c:v>
                </c:pt>
                <c:pt idx="92">
                  <c:v>2.5345280170440674</c:v>
                </c:pt>
                <c:pt idx="93">
                  <c:v>2.5830998420715332</c:v>
                </c:pt>
                <c:pt idx="94">
                  <c:v>2.6370713710784912</c:v>
                </c:pt>
                <c:pt idx="95">
                  <c:v>2.668041467666626</c:v>
                </c:pt>
                <c:pt idx="96">
                  <c:v>2.6527466773986816</c:v>
                </c:pt>
                <c:pt idx="97">
                  <c:v>2.6174681186676025</c:v>
                </c:pt>
                <c:pt idx="98">
                  <c:v>2.6175241470336914</c:v>
                </c:pt>
                <c:pt idx="99">
                  <c:v>2.6052098274230957</c:v>
                </c:pt>
                <c:pt idx="100">
                  <c:v>2.5393352508544922</c:v>
                </c:pt>
                <c:pt idx="101">
                  <c:v>2.5298891067504883</c:v>
                </c:pt>
                <c:pt idx="102">
                  <c:v>2.5490310192108154</c:v>
                </c:pt>
                <c:pt idx="103">
                  <c:v>2.5732545852661133</c:v>
                </c:pt>
                <c:pt idx="104">
                  <c:v>2.5853695869445801</c:v>
                </c:pt>
                <c:pt idx="105">
                  <c:v>2.5463624000549316</c:v>
                </c:pt>
                <c:pt idx="106">
                  <c:v>2.5053598880767822</c:v>
                </c:pt>
                <c:pt idx="107">
                  <c:v>2.4468677043914795</c:v>
                </c:pt>
                <c:pt idx="108">
                  <c:v>2.4662778377532959</c:v>
                </c:pt>
                <c:pt idx="109">
                  <c:v>2.5085334777832031</c:v>
                </c:pt>
                <c:pt idx="110">
                  <c:v>2.4699878692626953</c:v>
                </c:pt>
                <c:pt idx="111">
                  <c:v>2.4389429092407227</c:v>
                </c:pt>
                <c:pt idx="112">
                  <c:v>2.4799890518188477</c:v>
                </c:pt>
                <c:pt idx="113">
                  <c:v>2.4894413948059082</c:v>
                </c:pt>
                <c:pt idx="114">
                  <c:v>2.375319242477417</c:v>
                </c:pt>
                <c:pt idx="115">
                  <c:v>2.3582413196563721</c:v>
                </c:pt>
                <c:pt idx="116">
                  <c:v>2.4291350841522217</c:v>
                </c:pt>
                <c:pt idx="117">
                  <c:v>2.3914060592651367</c:v>
                </c:pt>
                <c:pt idx="118">
                  <c:v>2.3683609962463379</c:v>
                </c:pt>
                <c:pt idx="119">
                  <c:v>2.3919172286987305</c:v>
                </c:pt>
                <c:pt idx="120">
                  <c:v>2.3174569606781006</c:v>
                </c:pt>
                <c:pt idx="121">
                  <c:v>2.32015061378479</c:v>
                </c:pt>
                <c:pt idx="122">
                  <c:v>2.3784432411193848</c:v>
                </c:pt>
                <c:pt idx="123">
                  <c:v>2.3131484985351563</c:v>
                </c:pt>
                <c:pt idx="124">
                  <c:v>2.3196020126342773</c:v>
                </c:pt>
                <c:pt idx="125">
                  <c:v>2.3723077774047852</c:v>
                </c:pt>
                <c:pt idx="126">
                  <c:v>2.308222770690918</c:v>
                </c:pt>
                <c:pt idx="127">
                  <c:v>2.3278510570526123</c:v>
                </c:pt>
                <c:pt idx="128">
                  <c:v>2.345116138458252</c:v>
                </c:pt>
                <c:pt idx="129">
                  <c:v>2.3201630115509033</c:v>
                </c:pt>
                <c:pt idx="130">
                  <c:v>2.4213910102844238</c:v>
                </c:pt>
                <c:pt idx="131">
                  <c:v>2.4254875183105469</c:v>
                </c:pt>
                <c:pt idx="132">
                  <c:v>2.3706803321838379</c:v>
                </c:pt>
                <c:pt idx="133">
                  <c:v>2.3558406829833984</c:v>
                </c:pt>
                <c:pt idx="134">
                  <c:v>2.3766162395477295</c:v>
                </c:pt>
                <c:pt idx="135">
                  <c:v>2.4555346965789795</c:v>
                </c:pt>
                <c:pt idx="136">
                  <c:v>3.3306646347045898</c:v>
                </c:pt>
                <c:pt idx="137">
                  <c:v>3.7435321807861328</c:v>
                </c:pt>
                <c:pt idx="138">
                  <c:v>2.8816020488739014</c:v>
                </c:pt>
                <c:pt idx="139">
                  <c:v>2.4287359714508057</c:v>
                </c:pt>
                <c:pt idx="140">
                  <c:v>2.3726942539215088</c:v>
                </c:pt>
                <c:pt idx="141">
                  <c:v>2.3228192329406738</c:v>
                </c:pt>
                <c:pt idx="142">
                  <c:v>2.3908073902130127</c:v>
                </c:pt>
                <c:pt idx="143">
                  <c:v>2.3873469829559326</c:v>
                </c:pt>
                <c:pt idx="144">
                  <c:v>2.4212226867675781</c:v>
                </c:pt>
                <c:pt idx="145">
                  <c:v>2.4343287944793701</c:v>
                </c:pt>
                <c:pt idx="146">
                  <c:v>2.5036826133728027</c:v>
                </c:pt>
                <c:pt idx="147">
                  <c:v>2.3834624290466309</c:v>
                </c:pt>
                <c:pt idx="148">
                  <c:v>2.3740599155426025</c:v>
                </c:pt>
                <c:pt idx="149">
                  <c:v>2.3935883045196533</c:v>
                </c:pt>
                <c:pt idx="150">
                  <c:v>2.319788932800293</c:v>
                </c:pt>
                <c:pt idx="151">
                  <c:v>2.3947107791900635</c:v>
                </c:pt>
                <c:pt idx="152">
                  <c:v>2.295621395111084</c:v>
                </c:pt>
                <c:pt idx="153">
                  <c:v>2.3207118511199951</c:v>
                </c:pt>
                <c:pt idx="154">
                  <c:v>2.3135662078857422</c:v>
                </c:pt>
                <c:pt idx="155">
                  <c:v>2.3161849975585938</c:v>
                </c:pt>
                <c:pt idx="156">
                  <c:v>2.3783247470855713</c:v>
                </c:pt>
                <c:pt idx="157">
                  <c:v>2.4660909175872803</c:v>
                </c:pt>
                <c:pt idx="158">
                  <c:v>2.4160099029541016</c:v>
                </c:pt>
                <c:pt idx="159">
                  <c:v>2.2931337356567383</c:v>
                </c:pt>
                <c:pt idx="160">
                  <c:v>2.3584718704223633</c:v>
                </c:pt>
                <c:pt idx="161">
                  <c:v>2.3215723037719727</c:v>
                </c:pt>
                <c:pt idx="162">
                  <c:v>2.3196704387664795</c:v>
                </c:pt>
                <c:pt idx="163">
                  <c:v>2.4070625305175781</c:v>
                </c:pt>
                <c:pt idx="164">
                  <c:v>2.351207971572876</c:v>
                </c:pt>
                <c:pt idx="165">
                  <c:v>2.3984143733978271</c:v>
                </c:pt>
                <c:pt idx="166">
                  <c:v>2.3810930252075195</c:v>
                </c:pt>
                <c:pt idx="167">
                  <c:v>2.3183362483978271</c:v>
                </c:pt>
                <c:pt idx="168">
                  <c:v>2.4377083778381348</c:v>
                </c:pt>
                <c:pt idx="169">
                  <c:v>2.3265914916992188</c:v>
                </c:pt>
                <c:pt idx="170">
                  <c:v>2.3335561752319336</c:v>
                </c:pt>
                <c:pt idx="171">
                  <c:v>2.1932089328765869</c:v>
                </c:pt>
                <c:pt idx="172">
                  <c:v>2.213604211807251</c:v>
                </c:pt>
                <c:pt idx="173">
                  <c:v>2.2903029918670654</c:v>
                </c:pt>
                <c:pt idx="174">
                  <c:v>2.2184364795684814</c:v>
                </c:pt>
                <c:pt idx="175">
                  <c:v>2.2315676212310791</c:v>
                </c:pt>
                <c:pt idx="176">
                  <c:v>2.3079795837402344</c:v>
                </c:pt>
                <c:pt idx="177">
                  <c:v>2.360835075378418</c:v>
                </c:pt>
                <c:pt idx="178">
                  <c:v>2.3662409782409668</c:v>
                </c:pt>
                <c:pt idx="179">
                  <c:v>2.515460729598999</c:v>
                </c:pt>
                <c:pt idx="180">
                  <c:v>2.4001102447509766</c:v>
                </c:pt>
                <c:pt idx="181">
                  <c:v>2.2276644706726074</c:v>
                </c:pt>
                <c:pt idx="182">
                  <c:v>2.2038774490356445</c:v>
                </c:pt>
                <c:pt idx="183">
                  <c:v>2.2974858283996582</c:v>
                </c:pt>
                <c:pt idx="184">
                  <c:v>2.3354017734527588</c:v>
                </c:pt>
                <c:pt idx="185">
                  <c:v>2.4247641563415527</c:v>
                </c:pt>
                <c:pt idx="186">
                  <c:v>2.4769089221954346</c:v>
                </c:pt>
                <c:pt idx="187">
                  <c:v>2.3450539112091064</c:v>
                </c:pt>
                <c:pt idx="188">
                  <c:v>2.3279197216033936</c:v>
                </c:pt>
                <c:pt idx="189">
                  <c:v>2.3653554916381836</c:v>
                </c:pt>
                <c:pt idx="190">
                  <c:v>2.4016067981719971</c:v>
                </c:pt>
                <c:pt idx="191">
                  <c:v>2.3595879077911377</c:v>
                </c:pt>
                <c:pt idx="192">
                  <c:v>2.3233928680419922</c:v>
                </c:pt>
                <c:pt idx="193">
                  <c:v>2.3322343826293945</c:v>
                </c:pt>
                <c:pt idx="194">
                  <c:v>2.4334123134613037</c:v>
                </c:pt>
                <c:pt idx="195">
                  <c:v>2.3404772281646729</c:v>
                </c:pt>
                <c:pt idx="196">
                  <c:v>2.4862117767333984</c:v>
                </c:pt>
                <c:pt idx="197">
                  <c:v>2.3740661144256592</c:v>
                </c:pt>
                <c:pt idx="198">
                  <c:v>2.2592394351959229</c:v>
                </c:pt>
                <c:pt idx="199">
                  <c:v>2.3241848945617676</c:v>
                </c:pt>
                <c:pt idx="200">
                  <c:v>2.3583970069885254</c:v>
                </c:pt>
                <c:pt idx="201">
                  <c:v>2.4630169868469238</c:v>
                </c:pt>
                <c:pt idx="202">
                  <c:v>2.2875657081604004</c:v>
                </c:pt>
                <c:pt idx="203">
                  <c:v>2.3302888870239258</c:v>
                </c:pt>
                <c:pt idx="204">
                  <c:v>2.2406210899353027</c:v>
                </c:pt>
                <c:pt idx="205">
                  <c:v>2.3679368495941162</c:v>
                </c:pt>
                <c:pt idx="206">
                  <c:v>2.2872600555419922</c:v>
                </c:pt>
                <c:pt idx="207">
                  <c:v>2.3200445175170898</c:v>
                </c:pt>
                <c:pt idx="208">
                  <c:v>2.2320663928985596</c:v>
                </c:pt>
                <c:pt idx="209">
                  <c:v>2.2737672328948975</c:v>
                </c:pt>
                <c:pt idx="210">
                  <c:v>2.3055479526519775</c:v>
                </c:pt>
                <c:pt idx="211">
                  <c:v>2.1709556579589844</c:v>
                </c:pt>
                <c:pt idx="212">
                  <c:v>2.3130862712860107</c:v>
                </c:pt>
                <c:pt idx="213">
                  <c:v>2.275407075881958</c:v>
                </c:pt>
                <c:pt idx="214">
                  <c:v>2.4391798973083496</c:v>
                </c:pt>
                <c:pt idx="215">
                  <c:v>2.2959394454956055</c:v>
                </c:pt>
                <c:pt idx="216">
                  <c:v>2.2818853855133057</c:v>
                </c:pt>
                <c:pt idx="217">
                  <c:v>2.3777074813842773</c:v>
                </c:pt>
                <c:pt idx="218">
                  <c:v>2.3779754638671875</c:v>
                </c:pt>
                <c:pt idx="219">
                  <c:v>2.6676485538482666</c:v>
                </c:pt>
                <c:pt idx="220">
                  <c:v>2.4942736625671387</c:v>
                </c:pt>
                <c:pt idx="221">
                  <c:v>2.4381136894226074</c:v>
                </c:pt>
                <c:pt idx="222">
                  <c:v>2.3637843132019043</c:v>
                </c:pt>
                <c:pt idx="223">
                  <c:v>2</c:v>
                </c:pt>
                <c:pt idx="224">
                  <c:v>2.351370096206665</c:v>
                </c:pt>
                <c:pt idx="225">
                  <c:v>2.2016327381134033</c:v>
                </c:pt>
              </c:numCache>
            </c:numRef>
          </c:yVal>
          <c:smooth val="1"/>
          <c:extLst>
            <c:ext xmlns:c16="http://schemas.microsoft.com/office/drawing/2014/chart" uri="{C3380CC4-5D6E-409C-BE32-E72D297353CC}">
              <c16:uniqueId val="{00000001-C55B-4A1A-87F7-276FE06EA34B}"/>
            </c:ext>
          </c:extLst>
        </c:ser>
        <c:ser>
          <c:idx val="2"/>
          <c:order val="2"/>
          <c:tx>
            <c:v>3</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71.868148803710938</c:v>
                </c:pt>
                <c:pt idx="1">
                  <c:v>69.054214477539063</c:v>
                </c:pt>
                <c:pt idx="2">
                  <c:v>65.788444519042969</c:v>
                </c:pt>
                <c:pt idx="3">
                  <c:v>63.130088806152344</c:v>
                </c:pt>
                <c:pt idx="4">
                  <c:v>61.789306640625</c:v>
                </c:pt>
                <c:pt idx="5">
                  <c:v>62.497287750244141</c:v>
                </c:pt>
                <c:pt idx="6">
                  <c:v>65.970695495605469</c:v>
                </c:pt>
                <c:pt idx="7">
                  <c:v>72.044532775878906</c:v>
                </c:pt>
                <c:pt idx="8">
                  <c:v>79.516525268554688</c:v>
                </c:pt>
                <c:pt idx="9">
                  <c:v>87.438461303710938</c:v>
                </c:pt>
                <c:pt idx="10">
                  <c:v>94.007270812988281</c:v>
                </c:pt>
                <c:pt idx="11">
                  <c:v>98.375961303710938</c:v>
                </c:pt>
                <c:pt idx="12">
                  <c:v>100</c:v>
                </c:pt>
                <c:pt idx="13">
                  <c:v>99.113929748535156</c:v>
                </c:pt>
                <c:pt idx="14">
                  <c:v>96.299201965332031</c:v>
                </c:pt>
                <c:pt idx="15">
                  <c:v>91.601737976074219</c:v>
                </c:pt>
                <c:pt idx="16">
                  <c:v>84.2674560546875</c:v>
                </c:pt>
                <c:pt idx="17">
                  <c:v>73.912948608398438</c:v>
                </c:pt>
                <c:pt idx="18">
                  <c:v>62.142513275146484</c:v>
                </c:pt>
                <c:pt idx="19">
                  <c:v>50.984291076660156</c:v>
                </c:pt>
                <c:pt idx="20">
                  <c:v>42.551288604736328</c:v>
                </c:pt>
                <c:pt idx="21">
                  <c:v>36.802043914794922</c:v>
                </c:pt>
                <c:pt idx="22">
                  <c:v>33.191246032714844</c:v>
                </c:pt>
                <c:pt idx="23">
                  <c:v>31.246896743774414</c:v>
                </c:pt>
                <c:pt idx="24">
                  <c:v>30.252285003662109</c:v>
                </c:pt>
                <c:pt idx="25">
                  <c:v>30.002439498901367</c:v>
                </c:pt>
                <c:pt idx="26">
                  <c:v>30.456409454345703</c:v>
                </c:pt>
                <c:pt idx="27">
                  <c:v>31.541248321533203</c:v>
                </c:pt>
                <c:pt idx="28">
                  <c:v>33.105426788330078</c:v>
                </c:pt>
                <c:pt idx="29">
                  <c:v>34.652408599853516</c:v>
                </c:pt>
                <c:pt idx="30">
                  <c:v>35.602035522460938</c:v>
                </c:pt>
                <c:pt idx="31">
                  <c:v>35.424289703369141</c:v>
                </c:pt>
                <c:pt idx="32">
                  <c:v>34.066184997558594</c:v>
                </c:pt>
                <c:pt idx="33">
                  <c:v>31.735658645629883</c:v>
                </c:pt>
                <c:pt idx="34">
                  <c:v>28.772682189941406</c:v>
                </c:pt>
                <c:pt idx="35">
                  <c:v>24.95612907409668</c:v>
                </c:pt>
                <c:pt idx="36">
                  <c:v>20.314479827880859</c:v>
                </c:pt>
                <c:pt idx="37">
                  <c:v>15.330424308776855</c:v>
                </c:pt>
                <c:pt idx="38">
                  <c:v>10.899614334106445</c:v>
                </c:pt>
                <c:pt idx="39">
                  <c:v>7.5867404937744141</c:v>
                </c:pt>
                <c:pt idx="40">
                  <c:v>5.6774802207946777</c:v>
                </c:pt>
                <c:pt idx="41">
                  <c:v>4.7372794151306152</c:v>
                </c:pt>
                <c:pt idx="42">
                  <c:v>4.4183483123779297</c:v>
                </c:pt>
                <c:pt idx="43">
                  <c:v>4.5180530548095703</c:v>
                </c:pt>
                <c:pt idx="44">
                  <c:v>4.7450213432312012</c:v>
                </c:pt>
                <c:pt idx="45">
                  <c:v>5.1027021408081055</c:v>
                </c:pt>
                <c:pt idx="46">
                  <c:v>5.6141443252563477</c:v>
                </c:pt>
                <c:pt idx="47">
                  <c:v>6.1744999885559082</c:v>
                </c:pt>
                <c:pt idx="48">
                  <c:v>6.7855587005615234</c:v>
                </c:pt>
                <c:pt idx="49">
                  <c:v>7.4680280685424805</c:v>
                </c:pt>
                <c:pt idx="50">
                  <c:v>8.200282096862793</c:v>
                </c:pt>
                <c:pt idx="51">
                  <c:v>9.0006675720214844</c:v>
                </c:pt>
                <c:pt idx="52">
                  <c:v>9.8020191192626953</c:v>
                </c:pt>
                <c:pt idx="53">
                  <c:v>10.615827560424805</c:v>
                </c:pt>
                <c:pt idx="54">
                  <c:v>11.501297950744629</c:v>
                </c:pt>
                <c:pt idx="55">
                  <c:v>12.281281471252441</c:v>
                </c:pt>
                <c:pt idx="56">
                  <c:v>12.969064712524414</c:v>
                </c:pt>
                <c:pt idx="57">
                  <c:v>13.588116645812988</c:v>
                </c:pt>
                <c:pt idx="58">
                  <c:v>14.108456611633301</c:v>
                </c:pt>
                <c:pt idx="59">
                  <c:v>14.399998664855957</c:v>
                </c:pt>
                <c:pt idx="60">
                  <c:v>14.455634117126465</c:v>
                </c:pt>
                <c:pt idx="61">
                  <c:v>14.333513259887695</c:v>
                </c:pt>
                <c:pt idx="62">
                  <c:v>14.045052528381348</c:v>
                </c:pt>
                <c:pt idx="63">
                  <c:v>13.530209541320801</c:v>
                </c:pt>
                <c:pt idx="64">
                  <c:v>12.758988380432129</c:v>
                </c:pt>
                <c:pt idx="65">
                  <c:v>11.844992637634277</c:v>
                </c:pt>
                <c:pt idx="66">
                  <c:v>10.873062133789063</c:v>
                </c:pt>
                <c:pt idx="67">
                  <c:v>9.7595548629760742</c:v>
                </c:pt>
                <c:pt idx="68">
                  <c:v>8.6292514801025391</c:v>
                </c:pt>
                <c:pt idx="69">
                  <c:v>7.4784913063049316</c:v>
                </c:pt>
                <c:pt idx="70">
                  <c:v>6.4421095848083496</c:v>
                </c:pt>
                <c:pt idx="71">
                  <c:v>5.5594482421875</c:v>
                </c:pt>
                <c:pt idx="72">
                  <c:v>4.8272218704223633</c:v>
                </c:pt>
                <c:pt idx="73">
                  <c:v>4.3035340309143066</c:v>
                </c:pt>
                <c:pt idx="74">
                  <c:v>3.8552918434143066</c:v>
                </c:pt>
                <c:pt idx="75">
                  <c:v>3.4861955642700195</c:v>
                </c:pt>
                <c:pt idx="76">
                  <c:v>3.2002384662628174</c:v>
                </c:pt>
                <c:pt idx="77">
                  <c:v>2.9635419845581055</c:v>
                </c:pt>
                <c:pt idx="78">
                  <c:v>2.7775616645812988</c:v>
                </c:pt>
                <c:pt idx="79">
                  <c:v>2.6563460826873779</c:v>
                </c:pt>
                <c:pt idx="80">
                  <c:v>2.5167689323425293</c:v>
                </c:pt>
                <c:pt idx="81">
                  <c:v>2.4136288166046143</c:v>
                </c:pt>
                <c:pt idx="82">
                  <c:v>2.4142887592315674</c:v>
                </c:pt>
                <c:pt idx="83">
                  <c:v>2.4144315719604492</c:v>
                </c:pt>
                <c:pt idx="84">
                  <c:v>2.3318977355957031</c:v>
                </c:pt>
                <c:pt idx="85">
                  <c:v>2.2845895290374756</c:v>
                </c:pt>
                <c:pt idx="86">
                  <c:v>2.2622213363647461</c:v>
                </c:pt>
                <c:pt idx="87">
                  <c:v>2.1883611679077148</c:v>
                </c:pt>
                <c:pt idx="88">
                  <c:v>2.2189884185791016</c:v>
                </c:pt>
                <c:pt idx="89">
                  <c:v>2.2875692844390869</c:v>
                </c:pt>
                <c:pt idx="90">
                  <c:v>2.2414653301239014</c:v>
                </c:pt>
                <c:pt idx="91">
                  <c:v>2.159747838973999</c:v>
                </c:pt>
                <c:pt idx="92">
                  <c:v>2.0940513610839844</c:v>
                </c:pt>
                <c:pt idx="93">
                  <c:v>2.1711974143981934</c:v>
                </c:pt>
                <c:pt idx="94">
                  <c:v>2.2064368724822998</c:v>
                </c:pt>
                <c:pt idx="95">
                  <c:v>2.0971739292144775</c:v>
                </c:pt>
                <c:pt idx="96">
                  <c:v>2.1071403026580811</c:v>
                </c:pt>
                <c:pt idx="97">
                  <c:v>2.167482852935791</c:v>
                </c:pt>
                <c:pt idx="98">
                  <c:v>2.1969330310821533</c:v>
                </c:pt>
                <c:pt idx="99">
                  <c:v>2.126345157623291</c:v>
                </c:pt>
                <c:pt idx="100">
                  <c:v>2.0740370750427246</c:v>
                </c:pt>
                <c:pt idx="101">
                  <c:v>2.1790616512298584</c:v>
                </c:pt>
                <c:pt idx="102">
                  <c:v>2.1813745498657227</c:v>
                </c:pt>
                <c:pt idx="103">
                  <c:v>2.2250702381134033</c:v>
                </c:pt>
                <c:pt idx="104">
                  <c:v>2.256425142288208</c:v>
                </c:pt>
                <c:pt idx="105">
                  <c:v>2.1372570991516113</c:v>
                </c:pt>
                <c:pt idx="106">
                  <c:v>2.0990855693817139</c:v>
                </c:pt>
                <c:pt idx="107">
                  <c:v>2.1283724308013916</c:v>
                </c:pt>
                <c:pt idx="108">
                  <c:v>2.148883581161499</c:v>
                </c:pt>
                <c:pt idx="109">
                  <c:v>2.1725919246673584</c:v>
                </c:pt>
                <c:pt idx="110">
                  <c:v>2.2391660213470459</c:v>
                </c:pt>
                <c:pt idx="111">
                  <c:v>2.2592213153839111</c:v>
                </c:pt>
                <c:pt idx="112">
                  <c:v>2.2586770057678223</c:v>
                </c:pt>
                <c:pt idx="113">
                  <c:v>2.2667453289031982</c:v>
                </c:pt>
                <c:pt idx="114">
                  <c:v>2.2689495086669922</c:v>
                </c:pt>
                <c:pt idx="115">
                  <c:v>2.271432638168335</c:v>
                </c:pt>
                <c:pt idx="116">
                  <c:v>2.1876060962677002</c:v>
                </c:pt>
                <c:pt idx="117">
                  <c:v>2.1810071468353271</c:v>
                </c:pt>
                <c:pt idx="118">
                  <c:v>2.3132915496826172</c:v>
                </c:pt>
                <c:pt idx="119">
                  <c:v>2.2904400825500488</c:v>
                </c:pt>
                <c:pt idx="120">
                  <c:v>2.228294849395752</c:v>
                </c:pt>
                <c:pt idx="121">
                  <c:v>2.2811405658721924</c:v>
                </c:pt>
                <c:pt idx="122">
                  <c:v>2.3275165557861328</c:v>
                </c:pt>
                <c:pt idx="123">
                  <c:v>2.3944647312164307</c:v>
                </c:pt>
                <c:pt idx="124">
                  <c:v>2.3282580375671387</c:v>
                </c:pt>
                <c:pt idx="125">
                  <c:v>2.2967736721038818</c:v>
                </c:pt>
                <c:pt idx="126">
                  <c:v>2.3617899417877197</c:v>
                </c:pt>
                <c:pt idx="127">
                  <c:v>2.3199174404144287</c:v>
                </c:pt>
                <c:pt idx="128">
                  <c:v>2.3138289451599121</c:v>
                </c:pt>
                <c:pt idx="129">
                  <c:v>2.3645179271697998</c:v>
                </c:pt>
                <c:pt idx="130">
                  <c:v>2.3368024826049805</c:v>
                </c:pt>
                <c:pt idx="131">
                  <c:v>2.3287546634674072</c:v>
                </c:pt>
                <c:pt idx="132">
                  <c:v>2.3615381717681885</c:v>
                </c:pt>
                <c:pt idx="133">
                  <c:v>2.3443946838378906</c:v>
                </c:pt>
                <c:pt idx="134">
                  <c:v>2.2685005664825439</c:v>
                </c:pt>
                <c:pt idx="135">
                  <c:v>2.2761673927307129</c:v>
                </c:pt>
                <c:pt idx="136">
                  <c:v>3.2441041469573975</c:v>
                </c:pt>
                <c:pt idx="137">
                  <c:v>3.7950172424316406</c:v>
                </c:pt>
                <c:pt idx="138">
                  <c:v>2.8908247947692871</c:v>
                </c:pt>
                <c:pt idx="139">
                  <c:v>2.2198114395141602</c:v>
                </c:pt>
                <c:pt idx="140">
                  <c:v>2.2955560684204102</c:v>
                </c:pt>
                <c:pt idx="141">
                  <c:v>2.3019509315490723</c:v>
                </c:pt>
                <c:pt idx="142">
                  <c:v>2.1845719814300537</c:v>
                </c:pt>
                <c:pt idx="143">
                  <c:v>2.2944674491882324</c:v>
                </c:pt>
                <c:pt idx="144">
                  <c:v>2.3442926406860352</c:v>
                </c:pt>
                <c:pt idx="145">
                  <c:v>2.1849937438964844</c:v>
                </c:pt>
                <c:pt idx="146">
                  <c:v>2.2291111946105957</c:v>
                </c:pt>
                <c:pt idx="147">
                  <c:v>2.249894380569458</c:v>
                </c:pt>
                <c:pt idx="148">
                  <c:v>2.2205326557159424</c:v>
                </c:pt>
                <c:pt idx="149">
                  <c:v>2.213416576385498</c:v>
                </c:pt>
                <c:pt idx="150">
                  <c:v>2.239356517791748</c:v>
                </c:pt>
                <c:pt idx="151">
                  <c:v>2.3256185054779053</c:v>
                </c:pt>
                <c:pt idx="152">
                  <c:v>2.2807052135467529</c:v>
                </c:pt>
                <c:pt idx="153">
                  <c:v>2.2978215217590332</c:v>
                </c:pt>
                <c:pt idx="154">
                  <c:v>2.3678786754608154</c:v>
                </c:pt>
                <c:pt idx="155">
                  <c:v>2.2504794597625732</c:v>
                </c:pt>
                <c:pt idx="156">
                  <c:v>2.2274715900421143</c:v>
                </c:pt>
                <c:pt idx="157">
                  <c:v>2.198559045791626</c:v>
                </c:pt>
                <c:pt idx="158">
                  <c:v>2.2034502029418945</c:v>
                </c:pt>
                <c:pt idx="159">
                  <c:v>2.3280880451202393</c:v>
                </c:pt>
                <c:pt idx="160">
                  <c:v>2.2653372287750244</c:v>
                </c:pt>
                <c:pt idx="161">
                  <c:v>2.2515950202941895</c:v>
                </c:pt>
                <c:pt idx="162">
                  <c:v>2.3107266426086426</c:v>
                </c:pt>
                <c:pt idx="163">
                  <c:v>2.2805962562561035</c:v>
                </c:pt>
                <c:pt idx="164">
                  <c:v>2.3030052185058594</c:v>
                </c:pt>
                <c:pt idx="165">
                  <c:v>2.2159066200256348</c:v>
                </c:pt>
                <c:pt idx="166">
                  <c:v>2.2765076160430908</c:v>
                </c:pt>
                <c:pt idx="167">
                  <c:v>2.3739674091339111</c:v>
                </c:pt>
                <c:pt idx="168">
                  <c:v>2.2643234729766846</c:v>
                </c:pt>
                <c:pt idx="169">
                  <c:v>2.2619900703430176</c:v>
                </c:pt>
                <c:pt idx="170">
                  <c:v>2.2522072792053223</c:v>
                </c:pt>
                <c:pt idx="171">
                  <c:v>2.360238790512085</c:v>
                </c:pt>
                <c:pt idx="172">
                  <c:v>2.3234822750091553</c:v>
                </c:pt>
                <c:pt idx="173">
                  <c:v>2.2310364246368408</c:v>
                </c:pt>
                <c:pt idx="174">
                  <c:v>2.3211965560913086</c:v>
                </c:pt>
                <c:pt idx="175">
                  <c:v>2.2710244655609131</c:v>
                </c:pt>
                <c:pt idx="176">
                  <c:v>2.2257301807403564</c:v>
                </c:pt>
                <c:pt idx="177">
                  <c:v>2.2631533145904541</c:v>
                </c:pt>
                <c:pt idx="178">
                  <c:v>2.2136752605438232</c:v>
                </c:pt>
                <c:pt idx="179">
                  <c:v>2.1983344554901123</c:v>
                </c:pt>
                <c:pt idx="180">
                  <c:v>2.2575953006744385</c:v>
                </c:pt>
                <c:pt idx="181">
                  <c:v>2.2544660568237305</c:v>
                </c:pt>
                <c:pt idx="182">
                  <c:v>2.2360775470733643</c:v>
                </c:pt>
                <c:pt idx="183">
                  <c:v>2.2049469947814941</c:v>
                </c:pt>
                <c:pt idx="184">
                  <c:v>2.1682379245758057</c:v>
                </c:pt>
                <c:pt idx="185">
                  <c:v>2.2329413890838623</c:v>
                </c:pt>
                <c:pt idx="186">
                  <c:v>2.2043347358703613</c:v>
                </c:pt>
                <c:pt idx="187">
                  <c:v>2.2225463390350342</c:v>
                </c:pt>
                <c:pt idx="188">
                  <c:v>2.3206045627593994</c:v>
                </c:pt>
                <c:pt idx="189">
                  <c:v>2.2050967216491699</c:v>
                </c:pt>
                <c:pt idx="190">
                  <c:v>2.1845855712890625</c:v>
                </c:pt>
                <c:pt idx="191">
                  <c:v>2.2375876903533936</c:v>
                </c:pt>
                <c:pt idx="192">
                  <c:v>2.125420093536377</c:v>
                </c:pt>
                <c:pt idx="193">
                  <c:v>2.1199436187744141</c:v>
                </c:pt>
                <c:pt idx="194">
                  <c:v>2.1615438461303711</c:v>
                </c:pt>
                <c:pt idx="195">
                  <c:v>2.1392912864685059</c:v>
                </c:pt>
                <c:pt idx="196">
                  <c:v>2.1111881732940674</c:v>
                </c:pt>
                <c:pt idx="197">
                  <c:v>2.1539857387542725</c:v>
                </c:pt>
                <c:pt idx="198">
                  <c:v>2.1520264148712158</c:v>
                </c:pt>
                <c:pt idx="199">
                  <c:v>2.1281547546386719</c:v>
                </c:pt>
                <c:pt idx="200">
                  <c:v>2.1429717540740967</c:v>
                </c:pt>
                <c:pt idx="201">
                  <c:v>2.0601248741149902</c:v>
                </c:pt>
                <c:pt idx="202">
                  <c:v>2.1021332740783691</c:v>
                </c:pt>
                <c:pt idx="203">
                  <c:v>2.1599996089935303</c:v>
                </c:pt>
                <c:pt idx="204">
                  <c:v>2.1448085308074951</c:v>
                </c:pt>
                <c:pt idx="205">
                  <c:v>2.1159162521362305</c:v>
                </c:pt>
                <c:pt idx="206">
                  <c:v>2.1415975093841553</c:v>
                </c:pt>
                <c:pt idx="207">
                  <c:v>2.1377742290496826</c:v>
                </c:pt>
                <c:pt idx="208">
                  <c:v>2.1045756340026855</c:v>
                </c:pt>
                <c:pt idx="209">
                  <c:v>2.1474411487579346</c:v>
                </c:pt>
                <c:pt idx="210">
                  <c:v>2.1727960109710693</c:v>
                </c:pt>
                <c:pt idx="211">
                  <c:v>2.1145012378692627</c:v>
                </c:pt>
                <c:pt idx="212">
                  <c:v>2.094813346862793</c:v>
                </c:pt>
                <c:pt idx="213">
                  <c:v>2.1492917537689209</c:v>
                </c:pt>
                <c:pt idx="214">
                  <c:v>2.1009836196899414</c:v>
                </c:pt>
                <c:pt idx="215">
                  <c:v>2.1242430210113525</c:v>
                </c:pt>
                <c:pt idx="216">
                  <c:v>2.176619291305542</c:v>
                </c:pt>
                <c:pt idx="217">
                  <c:v>2</c:v>
                </c:pt>
                <c:pt idx="218">
                  <c:v>2.0182116031646729</c:v>
                </c:pt>
                <c:pt idx="219">
                  <c:v>2.1603736877441406</c:v>
                </c:pt>
                <c:pt idx="220">
                  <c:v>2.1584620475769043</c:v>
                </c:pt>
                <c:pt idx="221">
                  <c:v>2.1095690727233887</c:v>
                </c:pt>
                <c:pt idx="222">
                  <c:v>2.1208961009979248</c:v>
                </c:pt>
                <c:pt idx="223">
                  <c:v>2.1821908950805664</c:v>
                </c:pt>
                <c:pt idx="224">
                  <c:v>2.0994870662689209</c:v>
                </c:pt>
                <c:pt idx="225">
                  <c:v>2.2223286628723145</c:v>
                </c:pt>
              </c:numCache>
            </c:numRef>
          </c:yVal>
          <c:smooth val="1"/>
          <c:extLst>
            <c:ext xmlns:c16="http://schemas.microsoft.com/office/drawing/2014/chart" uri="{C3380CC4-5D6E-409C-BE32-E72D297353CC}">
              <c16:uniqueId val="{00000002-C55B-4A1A-87F7-276FE06EA34B}"/>
            </c:ext>
          </c:extLst>
        </c:ser>
        <c:ser>
          <c:idx val="3"/>
          <c:order val="3"/>
          <c:tx>
            <c:v>4</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78.508743286132813</c:v>
                </c:pt>
                <c:pt idx="1">
                  <c:v>89.222404479980469</c:v>
                </c:pt>
                <c:pt idx="2">
                  <c:v>96.665130615234375</c:v>
                </c:pt>
                <c:pt idx="3">
                  <c:v>100</c:v>
                </c:pt>
                <c:pt idx="4">
                  <c:v>98.496772766113281</c:v>
                </c:pt>
                <c:pt idx="5">
                  <c:v>92.576194763183594</c:v>
                </c:pt>
                <c:pt idx="6">
                  <c:v>82.419036865234375</c:v>
                </c:pt>
                <c:pt idx="7">
                  <c:v>69.997367858886719</c:v>
                </c:pt>
                <c:pt idx="8">
                  <c:v>57.360618591308594</c:v>
                </c:pt>
                <c:pt idx="9">
                  <c:v>45.678024291992188</c:v>
                </c:pt>
                <c:pt idx="10">
                  <c:v>36.271572113037109</c:v>
                </c:pt>
                <c:pt idx="11">
                  <c:v>28.87757682800293</c:v>
                </c:pt>
                <c:pt idx="12">
                  <c:v>22.873184204101563</c:v>
                </c:pt>
                <c:pt idx="13">
                  <c:v>17.996192932128906</c:v>
                </c:pt>
                <c:pt idx="14">
                  <c:v>14.437150955200195</c:v>
                </c:pt>
                <c:pt idx="15">
                  <c:v>11.879470825195313</c:v>
                </c:pt>
                <c:pt idx="16">
                  <c:v>10.096652030944824</c:v>
                </c:pt>
                <c:pt idx="17">
                  <c:v>8.9709959030151367</c:v>
                </c:pt>
                <c:pt idx="18">
                  <c:v>8.2427940368652344</c:v>
                </c:pt>
                <c:pt idx="19">
                  <c:v>7.5785818099975586</c:v>
                </c:pt>
                <c:pt idx="20">
                  <c:v>6.9133667945861816</c:v>
                </c:pt>
                <c:pt idx="21">
                  <c:v>6.3444762229919434</c:v>
                </c:pt>
                <c:pt idx="22">
                  <c:v>5.8216619491577148</c:v>
                </c:pt>
                <c:pt idx="23">
                  <c:v>5.5438451766967773</c:v>
                </c:pt>
                <c:pt idx="24">
                  <c:v>5.1221408843994141</c:v>
                </c:pt>
                <c:pt idx="25">
                  <c:v>4.8596181869506836</c:v>
                </c:pt>
                <c:pt idx="26">
                  <c:v>4.6184039115905762</c:v>
                </c:pt>
                <c:pt idx="27">
                  <c:v>4.3462777137756348</c:v>
                </c:pt>
                <c:pt idx="28">
                  <c:v>4.2896280288696289</c:v>
                </c:pt>
                <c:pt idx="29">
                  <c:v>4.2670588493347168</c:v>
                </c:pt>
                <c:pt idx="30">
                  <c:v>4.3881831169128418</c:v>
                </c:pt>
                <c:pt idx="31">
                  <c:v>4.5317802429199219</c:v>
                </c:pt>
                <c:pt idx="32">
                  <c:v>4.7934942245483398</c:v>
                </c:pt>
                <c:pt idx="33">
                  <c:v>5.1574821472167969</c:v>
                </c:pt>
                <c:pt idx="34">
                  <c:v>5.5179777145385742</c:v>
                </c:pt>
                <c:pt idx="35">
                  <c:v>5.7702183723449707</c:v>
                </c:pt>
                <c:pt idx="36">
                  <c:v>6.0141487121582031</c:v>
                </c:pt>
                <c:pt idx="37">
                  <c:v>6.2522263526916504</c:v>
                </c:pt>
                <c:pt idx="38">
                  <c:v>6.5401639938354492</c:v>
                </c:pt>
                <c:pt idx="39">
                  <c:v>7.0484275817871094</c:v>
                </c:pt>
                <c:pt idx="40">
                  <c:v>7.4555492401123047</c:v>
                </c:pt>
                <c:pt idx="41">
                  <c:v>7.7100210189819336</c:v>
                </c:pt>
                <c:pt idx="42">
                  <c:v>8.0640172958374023</c:v>
                </c:pt>
                <c:pt idx="43">
                  <c:v>8.4316911697387695</c:v>
                </c:pt>
                <c:pt idx="44">
                  <c:v>8.3551883697509766</c:v>
                </c:pt>
                <c:pt idx="45">
                  <c:v>8.6611032485961914</c:v>
                </c:pt>
                <c:pt idx="46">
                  <c:v>8.8278522491455078</c:v>
                </c:pt>
                <c:pt idx="47">
                  <c:v>8.7640886306762695</c:v>
                </c:pt>
                <c:pt idx="48">
                  <c:v>8.8342218399047852</c:v>
                </c:pt>
                <c:pt idx="49">
                  <c:v>8.7785091400146484</c:v>
                </c:pt>
                <c:pt idx="50">
                  <c:v>8.3326187133789063</c:v>
                </c:pt>
                <c:pt idx="51">
                  <c:v>8.1062784194946289</c:v>
                </c:pt>
                <c:pt idx="52">
                  <c:v>8.1582393646240234</c:v>
                </c:pt>
                <c:pt idx="53">
                  <c:v>8.0422239303588867</c:v>
                </c:pt>
                <c:pt idx="54">
                  <c:v>7.516596794128418</c:v>
                </c:pt>
                <c:pt idx="55">
                  <c:v>6.7918543815612793</c:v>
                </c:pt>
                <c:pt idx="56">
                  <c:v>6.0534992218017578</c:v>
                </c:pt>
                <c:pt idx="57">
                  <c:v>5.4337468147277832</c:v>
                </c:pt>
                <c:pt idx="58">
                  <c:v>4.8528923988342285</c:v>
                </c:pt>
                <c:pt idx="59">
                  <c:v>4.3090934753417969</c:v>
                </c:pt>
                <c:pt idx="60">
                  <c:v>3.7970788478851318</c:v>
                </c:pt>
                <c:pt idx="61">
                  <c:v>3.3589160442352295</c:v>
                </c:pt>
                <c:pt idx="62">
                  <c:v>3.0465338230133057</c:v>
                </c:pt>
                <c:pt idx="63">
                  <c:v>2.9795691967010498</c:v>
                </c:pt>
                <c:pt idx="64">
                  <c:v>2.9958658218383789</c:v>
                </c:pt>
                <c:pt idx="65">
                  <c:v>2.8568282127380371</c:v>
                </c:pt>
                <c:pt idx="66">
                  <c:v>2.8975694179534912</c:v>
                </c:pt>
                <c:pt idx="67">
                  <c:v>2.9135749340057373</c:v>
                </c:pt>
                <c:pt idx="68">
                  <c:v>2.7531964778900146</c:v>
                </c:pt>
                <c:pt idx="69">
                  <c:v>2.8734157085418701</c:v>
                </c:pt>
                <c:pt idx="70">
                  <c:v>3.024320125579834</c:v>
                </c:pt>
                <c:pt idx="71">
                  <c:v>2.9714210033416748</c:v>
                </c:pt>
                <c:pt idx="72">
                  <c:v>2.6614961624145508</c:v>
                </c:pt>
                <c:pt idx="73">
                  <c:v>2.5613892078399658</c:v>
                </c:pt>
                <c:pt idx="74">
                  <c:v>2.8494882583618164</c:v>
                </c:pt>
                <c:pt idx="75">
                  <c:v>2.7613446712493896</c:v>
                </c:pt>
                <c:pt idx="76">
                  <c:v>2.7143628597259521</c:v>
                </c:pt>
                <c:pt idx="77">
                  <c:v>2.6857147216796875</c:v>
                </c:pt>
                <c:pt idx="78">
                  <c:v>2.6946389675140381</c:v>
                </c:pt>
                <c:pt idx="79">
                  <c:v>2.8517839908599854</c:v>
                </c:pt>
                <c:pt idx="80">
                  <c:v>2.6105048656463623</c:v>
                </c:pt>
                <c:pt idx="81">
                  <c:v>2.4932606220245361</c:v>
                </c:pt>
                <c:pt idx="82">
                  <c:v>2.9332988262176514</c:v>
                </c:pt>
                <c:pt idx="83">
                  <c:v>3.2654697895050049</c:v>
                </c:pt>
                <c:pt idx="84">
                  <c:v>3.1252355575561523</c:v>
                </c:pt>
                <c:pt idx="85">
                  <c:v>2.9935376644134521</c:v>
                </c:pt>
                <c:pt idx="86">
                  <c:v>2.9573554992675781</c:v>
                </c:pt>
                <c:pt idx="87">
                  <c:v>3.13315749168396</c:v>
                </c:pt>
                <c:pt idx="88">
                  <c:v>3.1329958438873291</c:v>
                </c:pt>
                <c:pt idx="89">
                  <c:v>2.7300450801849365</c:v>
                </c:pt>
                <c:pt idx="90">
                  <c:v>2.5601603984832764</c:v>
                </c:pt>
                <c:pt idx="91">
                  <c:v>2.8167011737823486</c:v>
                </c:pt>
                <c:pt idx="92">
                  <c:v>2.9076254367828369</c:v>
                </c:pt>
                <c:pt idx="93">
                  <c:v>2.8386886119842529</c:v>
                </c:pt>
                <c:pt idx="94">
                  <c:v>2.7010087966918945</c:v>
                </c:pt>
                <c:pt idx="95">
                  <c:v>2.4353175163269043</c:v>
                </c:pt>
                <c:pt idx="96">
                  <c:v>2.1911931037902832</c:v>
                </c:pt>
                <c:pt idx="97">
                  <c:v>2.4287536144256592</c:v>
                </c:pt>
                <c:pt idx="98">
                  <c:v>2.8551144599914551</c:v>
                </c:pt>
                <c:pt idx="99">
                  <c:v>2.8135647773742676</c:v>
                </c:pt>
                <c:pt idx="100">
                  <c:v>2.6834189891815186</c:v>
                </c:pt>
                <c:pt idx="101">
                  <c:v>2.4540066719055176</c:v>
                </c:pt>
                <c:pt idx="102">
                  <c:v>2.4162077903747559</c:v>
                </c:pt>
                <c:pt idx="103">
                  <c:v>2.6597177982330322</c:v>
                </c:pt>
                <c:pt idx="104">
                  <c:v>2.4999215602874756</c:v>
                </c:pt>
                <c:pt idx="105">
                  <c:v>2.2306408882141113</c:v>
                </c:pt>
                <c:pt idx="106">
                  <c:v>2.3160684108734131</c:v>
                </c:pt>
                <c:pt idx="107">
                  <c:v>2.5810160636901855</c:v>
                </c:pt>
                <c:pt idx="108">
                  <c:v>2.8169598579406738</c:v>
                </c:pt>
                <c:pt idx="109">
                  <c:v>2.7565269470214844</c:v>
                </c:pt>
                <c:pt idx="110">
                  <c:v>2.7584023475646973</c:v>
                </c:pt>
                <c:pt idx="111">
                  <c:v>2.7902839183807373</c:v>
                </c:pt>
                <c:pt idx="112">
                  <c:v>2.4509673118591309</c:v>
                </c:pt>
                <c:pt idx="113">
                  <c:v>2.2395329475402832</c:v>
                </c:pt>
                <c:pt idx="114">
                  <c:v>2.3950612545013428</c:v>
                </c:pt>
                <c:pt idx="115">
                  <c:v>2.4611849784851074</c:v>
                </c:pt>
                <c:pt idx="116">
                  <c:v>2.5359096527099609</c:v>
                </c:pt>
                <c:pt idx="117">
                  <c:v>2.3388640880584717</c:v>
                </c:pt>
                <c:pt idx="118">
                  <c:v>2.3502457141876221</c:v>
                </c:pt>
                <c:pt idx="119">
                  <c:v>2.378570556640625</c:v>
                </c:pt>
                <c:pt idx="120">
                  <c:v>2.3319768905639648</c:v>
                </c:pt>
                <c:pt idx="121">
                  <c:v>2.3057537078857422</c:v>
                </c:pt>
                <c:pt idx="122">
                  <c:v>2.1523270606994629</c:v>
                </c:pt>
                <c:pt idx="123">
                  <c:v>2.4326982498168945</c:v>
                </c:pt>
                <c:pt idx="124">
                  <c:v>2.6300673484802246</c:v>
                </c:pt>
                <c:pt idx="125">
                  <c:v>2.8148257732391357</c:v>
                </c:pt>
                <c:pt idx="126">
                  <c:v>2.7415561676025391</c:v>
                </c:pt>
                <c:pt idx="127">
                  <c:v>2.4470224380493164</c:v>
                </c:pt>
                <c:pt idx="128">
                  <c:v>2.4801006317138672</c:v>
                </c:pt>
                <c:pt idx="129">
                  <c:v>2.3837442398071289</c:v>
                </c:pt>
                <c:pt idx="130">
                  <c:v>2.2277956008911133</c:v>
                </c:pt>
                <c:pt idx="131">
                  <c:v>2.4001700878143311</c:v>
                </c:pt>
                <c:pt idx="132">
                  <c:v>2.3644728660583496</c:v>
                </c:pt>
                <c:pt idx="133">
                  <c:v>2.3694846630096436</c:v>
                </c:pt>
                <c:pt idx="134">
                  <c:v>2.6135766506195068</c:v>
                </c:pt>
                <c:pt idx="135">
                  <c:v>2.5967304706573486</c:v>
                </c:pt>
                <c:pt idx="136">
                  <c:v>5.0553054809570313</c:v>
                </c:pt>
                <c:pt idx="137">
                  <c:v>6.6924586296081543</c:v>
                </c:pt>
                <c:pt idx="138">
                  <c:v>4.3241610527038574</c:v>
                </c:pt>
                <c:pt idx="139">
                  <c:v>2.7764124870300293</c:v>
                </c:pt>
                <c:pt idx="140">
                  <c:v>3.071237325668335</c:v>
                </c:pt>
                <c:pt idx="141">
                  <c:v>3.018887996673584</c:v>
                </c:pt>
                <c:pt idx="142">
                  <c:v>2.7497367858886719</c:v>
                </c:pt>
                <c:pt idx="143">
                  <c:v>2.7104504108428955</c:v>
                </c:pt>
                <c:pt idx="144">
                  <c:v>2.5912013053894043</c:v>
                </c:pt>
                <c:pt idx="145">
                  <c:v>2.7103533744812012</c:v>
                </c:pt>
                <c:pt idx="146">
                  <c:v>3.0709786415100098</c:v>
                </c:pt>
                <c:pt idx="147">
                  <c:v>2.8543705940246582</c:v>
                </c:pt>
                <c:pt idx="148">
                  <c:v>2.7027225494384766</c:v>
                </c:pt>
                <c:pt idx="149">
                  <c:v>2.8392705917358398</c:v>
                </c:pt>
                <c:pt idx="150">
                  <c:v>3.0657727718353271</c:v>
                </c:pt>
                <c:pt idx="151">
                  <c:v>2.7917068004608154</c:v>
                </c:pt>
                <c:pt idx="152">
                  <c:v>2.6602351665496826</c:v>
                </c:pt>
                <c:pt idx="153">
                  <c:v>2.8058044910430908</c:v>
                </c:pt>
                <c:pt idx="154">
                  <c:v>2.8236854076385498</c:v>
                </c:pt>
                <c:pt idx="155">
                  <c:v>2.5655603408813477</c:v>
                </c:pt>
                <c:pt idx="156">
                  <c:v>2.3177497386932373</c:v>
                </c:pt>
                <c:pt idx="157">
                  <c:v>2.7253243923187256</c:v>
                </c:pt>
                <c:pt idx="158">
                  <c:v>2.3548049926757813</c:v>
                </c:pt>
                <c:pt idx="159">
                  <c:v>2.1356425285339355</c:v>
                </c:pt>
                <c:pt idx="160">
                  <c:v>2.7128109931945801</c:v>
                </c:pt>
                <c:pt idx="161">
                  <c:v>2.7910923957824707</c:v>
                </c:pt>
                <c:pt idx="162">
                  <c:v>2.4991776943206787</c:v>
                </c:pt>
                <c:pt idx="163">
                  <c:v>2.7871475219726563</c:v>
                </c:pt>
                <c:pt idx="164">
                  <c:v>2.8806586265563965</c:v>
                </c:pt>
                <c:pt idx="165">
                  <c:v>2.3342080116271973</c:v>
                </c:pt>
                <c:pt idx="166">
                  <c:v>2.6820609569549561</c:v>
                </c:pt>
                <c:pt idx="167">
                  <c:v>2.8826632499694824</c:v>
                </c:pt>
                <c:pt idx="168">
                  <c:v>2.81107497215271</c:v>
                </c:pt>
                <c:pt idx="169">
                  <c:v>2.9188454151153564</c:v>
                </c:pt>
                <c:pt idx="170">
                  <c:v>2.8037350177764893</c:v>
                </c:pt>
                <c:pt idx="171">
                  <c:v>2.4242591857910156</c:v>
                </c:pt>
                <c:pt idx="172">
                  <c:v>2.9044241905212402</c:v>
                </c:pt>
                <c:pt idx="173">
                  <c:v>3.0205047130584717</c:v>
                </c:pt>
                <c:pt idx="174">
                  <c:v>2</c:v>
                </c:pt>
                <c:pt idx="175">
                  <c:v>2.2484896183013916</c:v>
                </c:pt>
                <c:pt idx="176">
                  <c:v>3.2504019737243652</c:v>
                </c:pt>
                <c:pt idx="177">
                  <c:v>3.3356997966766357</c:v>
                </c:pt>
                <c:pt idx="178">
                  <c:v>2.9134454727172852</c:v>
                </c:pt>
                <c:pt idx="179">
                  <c:v>2.6171982288360596</c:v>
                </c:pt>
                <c:pt idx="180">
                  <c:v>3.1293420791625977</c:v>
                </c:pt>
                <c:pt idx="181">
                  <c:v>3.1746425628662109</c:v>
                </c:pt>
                <c:pt idx="182">
                  <c:v>2.5612597465515137</c:v>
                </c:pt>
                <c:pt idx="183">
                  <c:v>2.4502236843109131</c:v>
                </c:pt>
                <c:pt idx="184">
                  <c:v>2.0874967575073242</c:v>
                </c:pt>
                <c:pt idx="185">
                  <c:v>2.2837340831756592</c:v>
                </c:pt>
                <c:pt idx="186">
                  <c:v>2.7293660640716553</c:v>
                </c:pt>
                <c:pt idx="187">
                  <c:v>2.9839022159576416</c:v>
                </c:pt>
                <c:pt idx="188">
                  <c:v>2.8325450420379639</c:v>
                </c:pt>
                <c:pt idx="189">
                  <c:v>2.7859835624694824</c:v>
                </c:pt>
                <c:pt idx="190">
                  <c:v>2.7463738918304443</c:v>
                </c:pt>
                <c:pt idx="191">
                  <c:v>2.6084678173065186</c:v>
                </c:pt>
                <c:pt idx="192">
                  <c:v>2.6528630256652832</c:v>
                </c:pt>
                <c:pt idx="193">
                  <c:v>2.5768449306488037</c:v>
                </c:pt>
                <c:pt idx="194">
                  <c:v>2.4618315696716309</c:v>
                </c:pt>
                <c:pt idx="195">
                  <c:v>2.5357155799865723</c:v>
                </c:pt>
                <c:pt idx="196">
                  <c:v>2.4424309730529785</c:v>
                </c:pt>
                <c:pt idx="197">
                  <c:v>2.6143527030944824</c:v>
                </c:pt>
                <c:pt idx="198">
                  <c:v>2.8328037261962891</c:v>
                </c:pt>
                <c:pt idx="199">
                  <c:v>2.7454040050506592</c:v>
                </c:pt>
                <c:pt idx="200">
                  <c:v>2.5815980434417725</c:v>
                </c:pt>
                <c:pt idx="201">
                  <c:v>2.6038117408752441</c:v>
                </c:pt>
                <c:pt idx="202">
                  <c:v>2.8441853523254395</c:v>
                </c:pt>
                <c:pt idx="203">
                  <c:v>2.9195568561553955</c:v>
                </c:pt>
                <c:pt idx="204">
                  <c:v>2.6389591693878174</c:v>
                </c:pt>
                <c:pt idx="205">
                  <c:v>2.4638364315032959</c:v>
                </c:pt>
                <c:pt idx="206">
                  <c:v>2.6837747097015381</c:v>
                </c:pt>
                <c:pt idx="207">
                  <c:v>2.4911589622497559</c:v>
                </c:pt>
                <c:pt idx="208">
                  <c:v>2.2081038951873779</c:v>
                </c:pt>
                <c:pt idx="209">
                  <c:v>2.3658633232116699</c:v>
                </c:pt>
                <c:pt idx="210">
                  <c:v>2.8383975028991699</c:v>
                </c:pt>
                <c:pt idx="211">
                  <c:v>2.7389693260192871</c:v>
                </c:pt>
                <c:pt idx="212">
                  <c:v>2.4115841388702393</c:v>
                </c:pt>
                <c:pt idx="213">
                  <c:v>2.619138240814209</c:v>
                </c:pt>
                <c:pt idx="214">
                  <c:v>2.6516342163085938</c:v>
                </c:pt>
                <c:pt idx="215">
                  <c:v>2.794487476348877</c:v>
                </c:pt>
                <c:pt idx="216">
                  <c:v>2.4470224380493164</c:v>
                </c:pt>
                <c:pt idx="217">
                  <c:v>2.5818891525268555</c:v>
                </c:pt>
                <c:pt idx="218">
                  <c:v>3.288459300994873</c:v>
                </c:pt>
                <c:pt idx="219">
                  <c:v>3.4769687652587891</c:v>
                </c:pt>
                <c:pt idx="220">
                  <c:v>3.0771219730377197</c:v>
                </c:pt>
                <c:pt idx="221">
                  <c:v>2.9198801517486572</c:v>
                </c:pt>
                <c:pt idx="222">
                  <c:v>3.2165801525115967</c:v>
                </c:pt>
                <c:pt idx="223">
                  <c:v>3.421062707901001</c:v>
                </c:pt>
                <c:pt idx="224">
                  <c:v>3.5270223617553711</c:v>
                </c:pt>
                <c:pt idx="225">
                  <c:v>3.5039680004119873</c:v>
                </c:pt>
              </c:numCache>
            </c:numRef>
          </c:yVal>
          <c:smooth val="1"/>
          <c:extLst>
            <c:ext xmlns:c16="http://schemas.microsoft.com/office/drawing/2014/chart" uri="{C3380CC4-5D6E-409C-BE32-E72D297353CC}">
              <c16:uniqueId val="{00000003-C55B-4A1A-87F7-276FE06EA34B}"/>
            </c:ext>
          </c:extLst>
        </c:ser>
        <c:ser>
          <c:idx val="4"/>
          <c:order val="4"/>
          <c:tx>
            <c:v>5</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100</c:v>
                </c:pt>
                <c:pt idx="1">
                  <c:v>93.001480102539063</c:v>
                </c:pt>
                <c:pt idx="2">
                  <c:v>84.535896301269531</c:v>
                </c:pt>
                <c:pt idx="3">
                  <c:v>74.899444580078125</c:v>
                </c:pt>
                <c:pt idx="4">
                  <c:v>64.972946166992188</c:v>
                </c:pt>
                <c:pt idx="5">
                  <c:v>55.269924163818359</c:v>
                </c:pt>
                <c:pt idx="6">
                  <c:v>45.509670257568359</c:v>
                </c:pt>
                <c:pt idx="7">
                  <c:v>37.153560638427734</c:v>
                </c:pt>
                <c:pt idx="8">
                  <c:v>30.788291931152344</c:v>
                </c:pt>
                <c:pt idx="9">
                  <c:v>25.957042694091797</c:v>
                </c:pt>
                <c:pt idx="10">
                  <c:v>22.547538757324219</c:v>
                </c:pt>
                <c:pt idx="11">
                  <c:v>20.0836181640625</c:v>
                </c:pt>
                <c:pt idx="12">
                  <c:v>18.206733703613281</c:v>
                </c:pt>
                <c:pt idx="13">
                  <c:v>16.756498336791992</c:v>
                </c:pt>
                <c:pt idx="14">
                  <c:v>15.547471046447754</c:v>
                </c:pt>
                <c:pt idx="15">
                  <c:v>14.544379234313965</c:v>
                </c:pt>
                <c:pt idx="16">
                  <c:v>13.851762771606445</c:v>
                </c:pt>
                <c:pt idx="17">
                  <c:v>13.386196136474609</c:v>
                </c:pt>
                <c:pt idx="18">
                  <c:v>13.123076438903809</c:v>
                </c:pt>
                <c:pt idx="19">
                  <c:v>13.053892135620117</c:v>
                </c:pt>
                <c:pt idx="20">
                  <c:v>13.14442253112793</c:v>
                </c:pt>
                <c:pt idx="21">
                  <c:v>13.360411643981934</c:v>
                </c:pt>
                <c:pt idx="22">
                  <c:v>13.701543807983398</c:v>
                </c:pt>
                <c:pt idx="23">
                  <c:v>14.26203727722168</c:v>
                </c:pt>
                <c:pt idx="24">
                  <c:v>15.129234313964844</c:v>
                </c:pt>
                <c:pt idx="25">
                  <c:v>16.300426483154297</c:v>
                </c:pt>
                <c:pt idx="26">
                  <c:v>17.738327026367188</c:v>
                </c:pt>
                <c:pt idx="27">
                  <c:v>19.366632461547852</c:v>
                </c:pt>
                <c:pt idx="28">
                  <c:v>21.521835327148438</c:v>
                </c:pt>
                <c:pt idx="29">
                  <c:v>24.222984313964844</c:v>
                </c:pt>
                <c:pt idx="30">
                  <c:v>27.476787567138672</c:v>
                </c:pt>
                <c:pt idx="31">
                  <c:v>30.565223693847656</c:v>
                </c:pt>
                <c:pt idx="32">
                  <c:v>33.901214599609375</c:v>
                </c:pt>
                <c:pt idx="33">
                  <c:v>38.134654998779297</c:v>
                </c:pt>
                <c:pt idx="34">
                  <c:v>43.205596923828125</c:v>
                </c:pt>
                <c:pt idx="35">
                  <c:v>48.419986724853516</c:v>
                </c:pt>
                <c:pt idx="36">
                  <c:v>52.275840759277344</c:v>
                </c:pt>
                <c:pt idx="37">
                  <c:v>55.156440734863281</c:v>
                </c:pt>
                <c:pt idx="38">
                  <c:v>58.998973846435547</c:v>
                </c:pt>
                <c:pt idx="39">
                  <c:v>65.081916809082031</c:v>
                </c:pt>
                <c:pt idx="40">
                  <c:v>70.979278564453125</c:v>
                </c:pt>
                <c:pt idx="41">
                  <c:v>72.921005249023438</c:v>
                </c:pt>
                <c:pt idx="42">
                  <c:v>70.888587951660156</c:v>
                </c:pt>
                <c:pt idx="43">
                  <c:v>69.190620422363281</c:v>
                </c:pt>
                <c:pt idx="44">
                  <c:v>71.265052795410156</c:v>
                </c:pt>
                <c:pt idx="45">
                  <c:v>75.176963806152344</c:v>
                </c:pt>
                <c:pt idx="46">
                  <c:v>75.377738952636719</c:v>
                </c:pt>
                <c:pt idx="47">
                  <c:v>68.704437255859375</c:v>
                </c:pt>
                <c:pt idx="48">
                  <c:v>58.075450897216797</c:v>
                </c:pt>
                <c:pt idx="49">
                  <c:v>49.453250885009766</c:v>
                </c:pt>
                <c:pt idx="50">
                  <c:v>45.870323181152344</c:v>
                </c:pt>
                <c:pt idx="51">
                  <c:v>45.512241363525391</c:v>
                </c:pt>
                <c:pt idx="52">
                  <c:v>43.960216522216797</c:v>
                </c:pt>
                <c:pt idx="53">
                  <c:v>37.801319122314453</c:v>
                </c:pt>
                <c:pt idx="54">
                  <c:v>27.299959182739258</c:v>
                </c:pt>
                <c:pt idx="55">
                  <c:v>16.908658981323242</c:v>
                </c:pt>
                <c:pt idx="56">
                  <c:v>9.5513677597045898</c:v>
                </c:pt>
                <c:pt idx="57">
                  <c:v>5.5715336799621582</c:v>
                </c:pt>
                <c:pt idx="58">
                  <c:v>3.6808328628540039</c:v>
                </c:pt>
                <c:pt idx="59">
                  <c:v>2.9529707431793213</c:v>
                </c:pt>
                <c:pt idx="60">
                  <c:v>2.6658070087432861</c:v>
                </c:pt>
                <c:pt idx="61">
                  <c:v>2.484813928604126</c:v>
                </c:pt>
                <c:pt idx="62">
                  <c:v>2.4130978584289551</c:v>
                </c:pt>
                <c:pt idx="63">
                  <c:v>2.4355678558349609</c:v>
                </c:pt>
                <c:pt idx="64">
                  <c:v>2.4376165866851807</c:v>
                </c:pt>
                <c:pt idx="65">
                  <c:v>2.3696067333221436</c:v>
                </c:pt>
                <c:pt idx="66">
                  <c:v>2.3065023422241211</c:v>
                </c:pt>
                <c:pt idx="67">
                  <c:v>2.335585355758667</c:v>
                </c:pt>
                <c:pt idx="68">
                  <c:v>2.3796842098236084</c:v>
                </c:pt>
                <c:pt idx="69">
                  <c:v>2.3270652294158936</c:v>
                </c:pt>
                <c:pt idx="70">
                  <c:v>2.3201110363006592</c:v>
                </c:pt>
                <c:pt idx="71">
                  <c:v>2.3581218719482422</c:v>
                </c:pt>
                <c:pt idx="72">
                  <c:v>2.3272900581359863</c:v>
                </c:pt>
                <c:pt idx="73">
                  <c:v>2.3151557445526123</c:v>
                </c:pt>
                <c:pt idx="74">
                  <c:v>2.3595128059387207</c:v>
                </c:pt>
                <c:pt idx="75">
                  <c:v>2.3762695789337158</c:v>
                </c:pt>
                <c:pt idx="76">
                  <c:v>2.3832988739013672</c:v>
                </c:pt>
                <c:pt idx="77">
                  <c:v>2.3866550922393799</c:v>
                </c:pt>
                <c:pt idx="78">
                  <c:v>2.4139473438262939</c:v>
                </c:pt>
                <c:pt idx="79">
                  <c:v>2.3690822124481201</c:v>
                </c:pt>
                <c:pt idx="80">
                  <c:v>2.3266820907592773</c:v>
                </c:pt>
                <c:pt idx="81">
                  <c:v>2.3785347938537598</c:v>
                </c:pt>
                <c:pt idx="82">
                  <c:v>2.4032869338989258</c:v>
                </c:pt>
                <c:pt idx="83">
                  <c:v>2.4172036647796631</c:v>
                </c:pt>
                <c:pt idx="84">
                  <c:v>2.3509345054626465</c:v>
                </c:pt>
                <c:pt idx="85">
                  <c:v>2.2809758186340332</c:v>
                </c:pt>
                <c:pt idx="86">
                  <c:v>2.3123157024383545</c:v>
                </c:pt>
                <c:pt idx="87">
                  <c:v>2.3954916000366211</c:v>
                </c:pt>
                <c:pt idx="88">
                  <c:v>2.4064433574676514</c:v>
                </c:pt>
                <c:pt idx="89">
                  <c:v>2.356081485748291</c:v>
                </c:pt>
                <c:pt idx="90">
                  <c:v>2.3813333511352539</c:v>
                </c:pt>
                <c:pt idx="91">
                  <c:v>2.39766526222229</c:v>
                </c:pt>
                <c:pt idx="92">
                  <c:v>2.3380920886993408</c:v>
                </c:pt>
                <c:pt idx="93">
                  <c:v>2.3203275203704834</c:v>
                </c:pt>
                <c:pt idx="94">
                  <c:v>2.3526835441589355</c:v>
                </c:pt>
                <c:pt idx="95">
                  <c:v>2.3175625801086426</c:v>
                </c:pt>
                <c:pt idx="96">
                  <c:v>2.3270401954650879</c:v>
                </c:pt>
                <c:pt idx="97">
                  <c:v>2.353541374206543</c:v>
                </c:pt>
                <c:pt idx="98">
                  <c:v>2.3045785427093506</c:v>
                </c:pt>
                <c:pt idx="99">
                  <c:v>2.3253662586212158</c:v>
                </c:pt>
                <c:pt idx="100">
                  <c:v>2.3822910785675049</c:v>
                </c:pt>
                <c:pt idx="101">
                  <c:v>2.3963744640350342</c:v>
                </c:pt>
                <c:pt idx="102">
                  <c:v>2.3914856910705566</c:v>
                </c:pt>
                <c:pt idx="103">
                  <c:v>2.3461124897003174</c:v>
                </c:pt>
                <c:pt idx="104">
                  <c:v>2.3811750411987305</c:v>
                </c:pt>
                <c:pt idx="105">
                  <c:v>2.3762695789337158</c:v>
                </c:pt>
                <c:pt idx="106">
                  <c:v>2.3612534999847412</c:v>
                </c:pt>
                <c:pt idx="107">
                  <c:v>2.3542742729187012</c:v>
                </c:pt>
                <c:pt idx="108">
                  <c:v>2.3122823238372803</c:v>
                </c:pt>
                <c:pt idx="109">
                  <c:v>2.3067688941955566</c:v>
                </c:pt>
                <c:pt idx="110">
                  <c:v>2.3442051410675049</c:v>
                </c:pt>
                <c:pt idx="111">
                  <c:v>2.3202192783355713</c:v>
                </c:pt>
                <c:pt idx="112">
                  <c:v>2.329763650894165</c:v>
                </c:pt>
                <c:pt idx="113">
                  <c:v>2.3327202796936035</c:v>
                </c:pt>
                <c:pt idx="114">
                  <c:v>2.3119325637817383</c:v>
                </c:pt>
                <c:pt idx="115">
                  <c:v>2.2802345752716064</c:v>
                </c:pt>
                <c:pt idx="116">
                  <c:v>2.304661750793457</c:v>
                </c:pt>
                <c:pt idx="117">
                  <c:v>2.4206767082214355</c:v>
                </c:pt>
                <c:pt idx="118">
                  <c:v>2.409508228302002</c:v>
                </c:pt>
                <c:pt idx="119">
                  <c:v>2.365842342376709</c:v>
                </c:pt>
                <c:pt idx="120">
                  <c:v>2.3430142402648926</c:v>
                </c:pt>
                <c:pt idx="121">
                  <c:v>2.2825748920440674</c:v>
                </c:pt>
                <c:pt idx="122">
                  <c:v>2.2766366004943848</c:v>
                </c:pt>
                <c:pt idx="123">
                  <c:v>2.3478281497955322</c:v>
                </c:pt>
                <c:pt idx="124">
                  <c:v>2.37359619140625</c:v>
                </c:pt>
                <c:pt idx="125">
                  <c:v>2.3599209785461426</c:v>
                </c:pt>
                <c:pt idx="126">
                  <c:v>2.3376674652099609</c:v>
                </c:pt>
                <c:pt idx="127">
                  <c:v>2.3415234088897705</c:v>
                </c:pt>
                <c:pt idx="128">
                  <c:v>2.3505263328552246</c:v>
                </c:pt>
                <c:pt idx="129">
                  <c:v>2.4005885124206543</c:v>
                </c:pt>
                <c:pt idx="130">
                  <c:v>2.3835902214050293</c:v>
                </c:pt>
                <c:pt idx="131">
                  <c:v>2.2976243495941162</c:v>
                </c:pt>
                <c:pt idx="132">
                  <c:v>2.3392996788024902</c:v>
                </c:pt>
                <c:pt idx="133">
                  <c:v>2.3849811553955078</c:v>
                </c:pt>
                <c:pt idx="134">
                  <c:v>2.4176702499389648</c:v>
                </c:pt>
                <c:pt idx="135">
                  <c:v>2.3729715347290039</c:v>
                </c:pt>
                <c:pt idx="136">
                  <c:v>2.5614686012268066</c:v>
                </c:pt>
                <c:pt idx="137">
                  <c:v>2.6818726062774658</c:v>
                </c:pt>
                <c:pt idx="138">
                  <c:v>2.3561563491821289</c:v>
                </c:pt>
                <c:pt idx="139">
                  <c:v>2.1761126518249512</c:v>
                </c:pt>
                <c:pt idx="140">
                  <c:v>2.221569299697876</c:v>
                </c:pt>
                <c:pt idx="141">
                  <c:v>2.3317959308624268</c:v>
                </c:pt>
                <c:pt idx="142">
                  <c:v>2.4131810665130615</c:v>
                </c:pt>
                <c:pt idx="143">
                  <c:v>2.3969573974609375</c:v>
                </c:pt>
                <c:pt idx="144">
                  <c:v>2.340648889541626</c:v>
                </c:pt>
                <c:pt idx="145">
                  <c:v>2.4250407218933105</c:v>
                </c:pt>
                <c:pt idx="146">
                  <c:v>2.5015954971313477</c:v>
                </c:pt>
                <c:pt idx="147">
                  <c:v>2.377002477645874</c:v>
                </c:pt>
                <c:pt idx="148">
                  <c:v>2.3608870506286621</c:v>
                </c:pt>
                <c:pt idx="149">
                  <c:v>2.3610868453979492</c:v>
                </c:pt>
                <c:pt idx="150">
                  <c:v>2.2826166152954102</c:v>
                </c:pt>
                <c:pt idx="151">
                  <c:v>2.238492488861084</c:v>
                </c:pt>
                <c:pt idx="152">
                  <c:v>2.2754373550415039</c:v>
                </c:pt>
                <c:pt idx="153">
                  <c:v>2.3164799213409424</c:v>
                </c:pt>
                <c:pt idx="154">
                  <c:v>2.2477121353149414</c:v>
                </c:pt>
                <c:pt idx="155">
                  <c:v>2.2658181190490723</c:v>
                </c:pt>
                <c:pt idx="156">
                  <c:v>2.3115577697753906</c:v>
                </c:pt>
                <c:pt idx="157">
                  <c:v>2.3836653232574463</c:v>
                </c:pt>
                <c:pt idx="158">
                  <c:v>2.4103162288665771</c:v>
                </c:pt>
                <c:pt idx="159">
                  <c:v>2.3921267986297607</c:v>
                </c:pt>
                <c:pt idx="160">
                  <c:v>2.4937169551849365</c:v>
                </c:pt>
                <c:pt idx="161">
                  <c:v>2.487703800201416</c:v>
                </c:pt>
                <c:pt idx="162">
                  <c:v>2.4658501148223877</c:v>
                </c:pt>
                <c:pt idx="163">
                  <c:v>2.4056606292724609</c:v>
                </c:pt>
                <c:pt idx="164">
                  <c:v>2.2200367450714111</c:v>
                </c:pt>
                <c:pt idx="165">
                  <c:v>2.1355867385864258</c:v>
                </c:pt>
                <c:pt idx="166">
                  <c:v>2.2403414249420166</c:v>
                </c:pt>
                <c:pt idx="167">
                  <c:v>2.2716562747955322</c:v>
                </c:pt>
                <c:pt idx="168">
                  <c:v>2.2420072555541992</c:v>
                </c:pt>
                <c:pt idx="169">
                  <c:v>2.3016636371612549</c:v>
                </c:pt>
                <c:pt idx="170">
                  <c:v>2.2443807125091553</c:v>
                </c:pt>
                <c:pt idx="171">
                  <c:v>2.2672755718231201</c:v>
                </c:pt>
                <c:pt idx="172">
                  <c:v>2.3722302913665771</c:v>
                </c:pt>
                <c:pt idx="173">
                  <c:v>2.4135642051696777</c:v>
                </c:pt>
                <c:pt idx="174">
                  <c:v>2.4559807777404785</c:v>
                </c:pt>
                <c:pt idx="175">
                  <c:v>2.4154796600341797</c:v>
                </c:pt>
                <c:pt idx="176">
                  <c:v>2.2943429946899414</c:v>
                </c:pt>
                <c:pt idx="177">
                  <c:v>2.3058362007141113</c:v>
                </c:pt>
                <c:pt idx="178">
                  <c:v>2.4122982025146484</c:v>
                </c:pt>
                <c:pt idx="179">
                  <c:v>2.4680237770080566</c:v>
                </c:pt>
                <c:pt idx="180">
                  <c:v>2.3996057510375977</c:v>
                </c:pt>
                <c:pt idx="181">
                  <c:v>2.2750625610351563</c:v>
                </c:pt>
                <c:pt idx="182">
                  <c:v>2.2914280891418457</c:v>
                </c:pt>
                <c:pt idx="183">
                  <c:v>2.2476871013641357</c:v>
                </c:pt>
                <c:pt idx="184">
                  <c:v>2.30422043800354</c:v>
                </c:pt>
                <c:pt idx="185">
                  <c:v>2.4339854717254639</c:v>
                </c:pt>
                <c:pt idx="186">
                  <c:v>2.430687427520752</c:v>
                </c:pt>
                <c:pt idx="187">
                  <c:v>2.5159454345703125</c:v>
                </c:pt>
                <c:pt idx="188">
                  <c:v>2.4307625293731689</c:v>
                </c:pt>
                <c:pt idx="189">
                  <c:v>2.3583385944366455</c:v>
                </c:pt>
                <c:pt idx="190">
                  <c:v>2.3205690383911133</c:v>
                </c:pt>
                <c:pt idx="191">
                  <c:v>2.2639274597167969</c:v>
                </c:pt>
                <c:pt idx="192">
                  <c:v>2.2673420906066895</c:v>
                </c:pt>
                <c:pt idx="193">
                  <c:v>2.2726640701293945</c:v>
                </c:pt>
                <c:pt idx="194">
                  <c:v>2.2500357627868652</c:v>
                </c:pt>
                <c:pt idx="195">
                  <c:v>2.2629199028015137</c:v>
                </c:pt>
                <c:pt idx="196">
                  <c:v>2.309617280960083</c:v>
                </c:pt>
                <c:pt idx="197">
                  <c:v>2.3438303470611572</c:v>
                </c:pt>
                <c:pt idx="198">
                  <c:v>2.3364846706390381</c:v>
                </c:pt>
                <c:pt idx="199">
                  <c:v>2.3141062259674072</c:v>
                </c:pt>
                <c:pt idx="200">
                  <c:v>2.2983572483062744</c:v>
                </c:pt>
                <c:pt idx="201">
                  <c:v>2.3117327690124512</c:v>
                </c:pt>
                <c:pt idx="202">
                  <c:v>2.3870632648468018</c:v>
                </c:pt>
                <c:pt idx="203">
                  <c:v>2.3810584545135498</c:v>
                </c:pt>
                <c:pt idx="204">
                  <c:v>2.2266578674316406</c:v>
                </c:pt>
                <c:pt idx="205">
                  <c:v>2.2804179191589355</c:v>
                </c:pt>
                <c:pt idx="206">
                  <c:v>2.3337447643280029</c:v>
                </c:pt>
                <c:pt idx="207">
                  <c:v>2.2733385562896729</c:v>
                </c:pt>
                <c:pt idx="208">
                  <c:v>2.2570731639862061</c:v>
                </c:pt>
                <c:pt idx="209">
                  <c:v>2.2555325031280518</c:v>
                </c:pt>
                <c:pt idx="210">
                  <c:v>2.2795600891113281</c:v>
                </c:pt>
                <c:pt idx="211">
                  <c:v>2.3254745006561279</c:v>
                </c:pt>
                <c:pt idx="212">
                  <c:v>2.2719061374664307</c:v>
                </c:pt>
                <c:pt idx="213">
                  <c:v>2.3559231758117676</c:v>
                </c:pt>
                <c:pt idx="214">
                  <c:v>2.4047527313232422</c:v>
                </c:pt>
                <c:pt idx="215">
                  <c:v>2.3413734436035156</c:v>
                </c:pt>
                <c:pt idx="216">
                  <c:v>2.2916779518127441</c:v>
                </c:pt>
                <c:pt idx="217">
                  <c:v>2.2280902862548828</c:v>
                </c:pt>
                <c:pt idx="218">
                  <c:v>2.3644847869873047</c:v>
                </c:pt>
                <c:pt idx="219">
                  <c:v>2.2405414581298828</c:v>
                </c:pt>
                <c:pt idx="220">
                  <c:v>2.2072360515594482</c:v>
                </c:pt>
                <c:pt idx="221">
                  <c:v>2.3007059097290039</c:v>
                </c:pt>
                <c:pt idx="222">
                  <c:v>2.2016394138336182</c:v>
                </c:pt>
                <c:pt idx="223">
                  <c:v>2.3374259471893311</c:v>
                </c:pt>
                <c:pt idx="224">
                  <c:v>2.2558488845825195</c:v>
                </c:pt>
                <c:pt idx="225">
                  <c:v>2</c:v>
                </c:pt>
              </c:numCache>
            </c:numRef>
          </c:yVal>
          <c:smooth val="1"/>
          <c:extLst>
            <c:ext xmlns:c16="http://schemas.microsoft.com/office/drawing/2014/chart" uri="{C3380CC4-5D6E-409C-BE32-E72D297353CC}">
              <c16:uniqueId val="{00000004-C55B-4A1A-87F7-276FE06EA34B}"/>
            </c:ext>
          </c:extLst>
        </c:ser>
        <c:dLbls>
          <c:showLegendKey val="0"/>
          <c:showVal val="0"/>
          <c:showCatName val="0"/>
          <c:showSerName val="0"/>
          <c:showPercent val="0"/>
          <c:showBubbleSize val="0"/>
        </c:dLbls>
        <c:axId val="1816209824"/>
        <c:axId val="1816210368"/>
      </c:scatterChart>
      <c:valAx>
        <c:axId val="1816209824"/>
        <c:scaling>
          <c:orientation val="minMax"/>
          <c:max val="600"/>
          <c:min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AU" sz="1400">
                    <a:solidFill>
                      <a:schemeClr val="tx1"/>
                    </a:solidFill>
                  </a:rPr>
                  <a:t>Wavelength (nm)</a:t>
                </a:r>
              </a:p>
            </c:rich>
          </c:tx>
          <c:layout>
            <c:manualLayout>
              <c:xMode val="edge"/>
              <c:yMode val="edge"/>
              <c:x val="0.40139134506920809"/>
              <c:y val="0.955066043015989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0368"/>
        <c:crosses val="autoZero"/>
        <c:crossBetween val="midCat"/>
        <c:majorUnit val="50"/>
      </c:valAx>
      <c:valAx>
        <c:axId val="1816210368"/>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9824"/>
        <c:crosses val="autoZero"/>
        <c:crossBetween val="midCat"/>
        <c:majorUnit val="25"/>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1"/>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2"/>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3"/>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4"/>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ayout>
        <c:manualLayout>
          <c:xMode val="edge"/>
          <c:yMode val="edge"/>
          <c:x val="0.82240397165544188"/>
          <c:y val="1.5864471655588207E-2"/>
          <c:w val="0.1725423562561009"/>
          <c:h val="0.968271056688823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0.51300000000000001</c:v>
                </c:pt>
                <c:pt idx="1">
                  <c:v>0.54</c:v>
                </c:pt>
                <c:pt idx="2">
                  <c:v>0.56699999999999995</c:v>
                </c:pt>
                <c:pt idx="3">
                  <c:v>0.59299999999999997</c:v>
                </c:pt>
                <c:pt idx="4">
                  <c:v>0.62</c:v>
                </c:pt>
                <c:pt idx="5">
                  <c:v>0.64700000000000002</c:v>
                </c:pt>
                <c:pt idx="6">
                  <c:v>0.67300000000000004</c:v>
                </c:pt>
                <c:pt idx="7">
                  <c:v>0.7</c:v>
                </c:pt>
                <c:pt idx="8">
                  <c:v>0.72699999999999998</c:v>
                </c:pt>
                <c:pt idx="9">
                  <c:v>0.753</c:v>
                </c:pt>
                <c:pt idx="10">
                  <c:v>0.78</c:v>
                </c:pt>
                <c:pt idx="11">
                  <c:v>0.80700000000000005</c:v>
                </c:pt>
                <c:pt idx="12">
                  <c:v>0.83299999999999996</c:v>
                </c:pt>
                <c:pt idx="13">
                  <c:v>0.86</c:v>
                </c:pt>
                <c:pt idx="14">
                  <c:v>0.88700000000000001</c:v>
                </c:pt>
                <c:pt idx="15">
                  <c:v>0.91300000000000003</c:v>
                </c:pt>
                <c:pt idx="16">
                  <c:v>0.94</c:v>
                </c:pt>
                <c:pt idx="17">
                  <c:v>0.96699999999999997</c:v>
                </c:pt>
                <c:pt idx="18">
                  <c:v>0.99299999999999999</c:v>
                </c:pt>
                <c:pt idx="19">
                  <c:v>1.02</c:v>
                </c:pt>
                <c:pt idx="20">
                  <c:v>1.0469999999999999</c:v>
                </c:pt>
                <c:pt idx="21">
                  <c:v>1.073</c:v>
                </c:pt>
                <c:pt idx="22">
                  <c:v>1.1000000000000001</c:v>
                </c:pt>
                <c:pt idx="23">
                  <c:v>1.127</c:v>
                </c:pt>
                <c:pt idx="24">
                  <c:v>1.153</c:v>
                </c:pt>
                <c:pt idx="25">
                  <c:v>1.18</c:v>
                </c:pt>
                <c:pt idx="26">
                  <c:v>1.2070000000000001</c:v>
                </c:pt>
                <c:pt idx="27">
                  <c:v>1.2330000000000001</c:v>
                </c:pt>
                <c:pt idx="28">
                  <c:v>1.26</c:v>
                </c:pt>
                <c:pt idx="29">
                  <c:v>1.2869999999999999</c:v>
                </c:pt>
                <c:pt idx="30">
                  <c:v>1.3129999999999999</c:v>
                </c:pt>
                <c:pt idx="31">
                  <c:v>1.34</c:v>
                </c:pt>
                <c:pt idx="32">
                  <c:v>1.367</c:v>
                </c:pt>
                <c:pt idx="33">
                  <c:v>1.393</c:v>
                </c:pt>
                <c:pt idx="34">
                  <c:v>1.42</c:v>
                </c:pt>
                <c:pt idx="35">
                  <c:v>1.4470000000000001</c:v>
                </c:pt>
                <c:pt idx="36">
                  <c:v>1.4730000000000001</c:v>
                </c:pt>
                <c:pt idx="37">
                  <c:v>1.5</c:v>
                </c:pt>
                <c:pt idx="38">
                  <c:v>1.5269999999999999</c:v>
                </c:pt>
                <c:pt idx="39">
                  <c:v>1.5529999999999999</c:v>
                </c:pt>
                <c:pt idx="40">
                  <c:v>1.58</c:v>
                </c:pt>
                <c:pt idx="41">
                  <c:v>1.607</c:v>
                </c:pt>
                <c:pt idx="42">
                  <c:v>1.633</c:v>
                </c:pt>
                <c:pt idx="43">
                  <c:v>1.66</c:v>
                </c:pt>
                <c:pt idx="44">
                  <c:v>1.6870000000000001</c:v>
                </c:pt>
                <c:pt idx="45">
                  <c:v>1.7130000000000001</c:v>
                </c:pt>
                <c:pt idx="46">
                  <c:v>1.74</c:v>
                </c:pt>
                <c:pt idx="47">
                  <c:v>1.7669999999999999</c:v>
                </c:pt>
                <c:pt idx="48">
                  <c:v>1.7929999999999999</c:v>
                </c:pt>
                <c:pt idx="49">
                  <c:v>1.82</c:v>
                </c:pt>
                <c:pt idx="50">
                  <c:v>1.847</c:v>
                </c:pt>
                <c:pt idx="51">
                  <c:v>1.873</c:v>
                </c:pt>
                <c:pt idx="52">
                  <c:v>1.9</c:v>
                </c:pt>
                <c:pt idx="53">
                  <c:v>1.927</c:v>
                </c:pt>
                <c:pt idx="54">
                  <c:v>1.9530000000000001</c:v>
                </c:pt>
                <c:pt idx="55">
                  <c:v>1.98</c:v>
                </c:pt>
                <c:pt idx="56">
                  <c:v>2.0070000000000001</c:v>
                </c:pt>
                <c:pt idx="57">
                  <c:v>2.0329999999999999</c:v>
                </c:pt>
                <c:pt idx="58">
                  <c:v>2.06</c:v>
                </c:pt>
                <c:pt idx="59">
                  <c:v>2.0870000000000002</c:v>
                </c:pt>
                <c:pt idx="60">
                  <c:v>2.113</c:v>
                </c:pt>
                <c:pt idx="61">
                  <c:v>2.14</c:v>
                </c:pt>
                <c:pt idx="62">
                  <c:v>2.1669999999999998</c:v>
                </c:pt>
                <c:pt idx="63">
                  <c:v>2.1930000000000001</c:v>
                </c:pt>
                <c:pt idx="64">
                  <c:v>2.2200000000000002</c:v>
                </c:pt>
                <c:pt idx="65">
                  <c:v>2.2469999999999999</c:v>
                </c:pt>
                <c:pt idx="66">
                  <c:v>2.2730000000000001</c:v>
                </c:pt>
                <c:pt idx="67">
                  <c:v>2.2999999999999998</c:v>
                </c:pt>
                <c:pt idx="68">
                  <c:v>2.327</c:v>
                </c:pt>
                <c:pt idx="69">
                  <c:v>2.3530000000000002</c:v>
                </c:pt>
                <c:pt idx="70">
                  <c:v>2.38</c:v>
                </c:pt>
                <c:pt idx="71">
                  <c:v>2.407</c:v>
                </c:pt>
                <c:pt idx="72">
                  <c:v>2.4329999999999998</c:v>
                </c:pt>
                <c:pt idx="73">
                  <c:v>2.46</c:v>
                </c:pt>
                <c:pt idx="74">
                  <c:v>2.4870000000000001</c:v>
                </c:pt>
                <c:pt idx="75">
                  <c:v>2.5129999999999999</c:v>
                </c:pt>
                <c:pt idx="76">
                  <c:v>2.54</c:v>
                </c:pt>
                <c:pt idx="77">
                  <c:v>2.5670000000000002</c:v>
                </c:pt>
                <c:pt idx="78">
                  <c:v>2.593</c:v>
                </c:pt>
                <c:pt idx="79">
                  <c:v>2.62</c:v>
                </c:pt>
                <c:pt idx="80">
                  <c:v>2.6469999999999998</c:v>
                </c:pt>
                <c:pt idx="81">
                  <c:v>2.673</c:v>
                </c:pt>
                <c:pt idx="82">
                  <c:v>2.7</c:v>
                </c:pt>
                <c:pt idx="83">
                  <c:v>2.7269999999999999</c:v>
                </c:pt>
                <c:pt idx="84">
                  <c:v>2.7530000000000001</c:v>
                </c:pt>
                <c:pt idx="85">
                  <c:v>2.78</c:v>
                </c:pt>
                <c:pt idx="86">
                  <c:v>2.8069999999999999</c:v>
                </c:pt>
                <c:pt idx="87">
                  <c:v>2.8330000000000002</c:v>
                </c:pt>
                <c:pt idx="88">
                  <c:v>2.86</c:v>
                </c:pt>
                <c:pt idx="89">
                  <c:v>2.887</c:v>
                </c:pt>
                <c:pt idx="90">
                  <c:v>2.9129999999999998</c:v>
                </c:pt>
                <c:pt idx="91">
                  <c:v>2.94</c:v>
                </c:pt>
                <c:pt idx="92">
                  <c:v>2.9670000000000001</c:v>
                </c:pt>
                <c:pt idx="93">
                  <c:v>2.9929999999999999</c:v>
                </c:pt>
                <c:pt idx="94">
                  <c:v>3.02</c:v>
                </c:pt>
                <c:pt idx="95">
                  <c:v>3.0470000000000002</c:v>
                </c:pt>
                <c:pt idx="96">
                  <c:v>3.073</c:v>
                </c:pt>
                <c:pt idx="97">
                  <c:v>3.1</c:v>
                </c:pt>
                <c:pt idx="98">
                  <c:v>3.1269999999999998</c:v>
                </c:pt>
                <c:pt idx="99">
                  <c:v>3.153</c:v>
                </c:pt>
                <c:pt idx="100">
                  <c:v>3.18</c:v>
                </c:pt>
                <c:pt idx="101">
                  <c:v>3.2069999999999999</c:v>
                </c:pt>
                <c:pt idx="102">
                  <c:v>3.2330000000000001</c:v>
                </c:pt>
                <c:pt idx="103">
                  <c:v>3.26</c:v>
                </c:pt>
                <c:pt idx="104">
                  <c:v>3.2869999999999999</c:v>
                </c:pt>
                <c:pt idx="105">
                  <c:v>3.3130000000000002</c:v>
                </c:pt>
                <c:pt idx="106">
                  <c:v>3.34</c:v>
                </c:pt>
                <c:pt idx="107">
                  <c:v>3.367</c:v>
                </c:pt>
                <c:pt idx="108">
                  <c:v>3.3929999999999998</c:v>
                </c:pt>
                <c:pt idx="109">
                  <c:v>3.42</c:v>
                </c:pt>
                <c:pt idx="110">
                  <c:v>3.4470000000000001</c:v>
                </c:pt>
                <c:pt idx="111">
                  <c:v>3.4729999999999999</c:v>
                </c:pt>
                <c:pt idx="112">
                  <c:v>3.5</c:v>
                </c:pt>
                <c:pt idx="113">
                  <c:v>3.5270000000000001</c:v>
                </c:pt>
                <c:pt idx="114">
                  <c:v>3.5529999999999999</c:v>
                </c:pt>
                <c:pt idx="115">
                  <c:v>3.58</c:v>
                </c:pt>
                <c:pt idx="116">
                  <c:v>3.6070000000000002</c:v>
                </c:pt>
                <c:pt idx="117">
                  <c:v>3.633</c:v>
                </c:pt>
                <c:pt idx="118">
                  <c:v>3.66</c:v>
                </c:pt>
                <c:pt idx="119">
                  <c:v>3.6869999999999998</c:v>
                </c:pt>
                <c:pt idx="120">
                  <c:v>3.7130000000000001</c:v>
                </c:pt>
                <c:pt idx="121">
                  <c:v>3.74</c:v>
                </c:pt>
                <c:pt idx="122">
                  <c:v>3.7669999999999999</c:v>
                </c:pt>
                <c:pt idx="123">
                  <c:v>3.7930000000000001</c:v>
                </c:pt>
                <c:pt idx="124">
                  <c:v>3.82</c:v>
                </c:pt>
                <c:pt idx="125">
                  <c:v>3.847</c:v>
                </c:pt>
                <c:pt idx="126">
                  <c:v>3.8730000000000002</c:v>
                </c:pt>
                <c:pt idx="127">
                  <c:v>3.9</c:v>
                </c:pt>
                <c:pt idx="128">
                  <c:v>3.927</c:v>
                </c:pt>
                <c:pt idx="129">
                  <c:v>3.9529999999999998</c:v>
                </c:pt>
                <c:pt idx="130">
                  <c:v>3.98</c:v>
                </c:pt>
                <c:pt idx="131">
                  <c:v>4.0069999999999997</c:v>
                </c:pt>
                <c:pt idx="132">
                  <c:v>4.0330000000000004</c:v>
                </c:pt>
                <c:pt idx="133">
                  <c:v>4.0599999999999996</c:v>
                </c:pt>
                <c:pt idx="134">
                  <c:v>4.0869999999999997</c:v>
                </c:pt>
                <c:pt idx="135">
                  <c:v>4.1130000000000004</c:v>
                </c:pt>
                <c:pt idx="136">
                  <c:v>4.1399999999999997</c:v>
                </c:pt>
                <c:pt idx="137">
                  <c:v>4.1669999999999998</c:v>
                </c:pt>
                <c:pt idx="138">
                  <c:v>4.1929999999999996</c:v>
                </c:pt>
                <c:pt idx="139">
                  <c:v>4.22</c:v>
                </c:pt>
                <c:pt idx="140">
                  <c:v>4.2469999999999999</c:v>
                </c:pt>
                <c:pt idx="141">
                  <c:v>4.2729999999999997</c:v>
                </c:pt>
                <c:pt idx="142">
                  <c:v>4.3</c:v>
                </c:pt>
                <c:pt idx="143">
                  <c:v>4.327</c:v>
                </c:pt>
                <c:pt idx="144">
                  <c:v>4.3529999999999998</c:v>
                </c:pt>
                <c:pt idx="145">
                  <c:v>4.38</c:v>
                </c:pt>
                <c:pt idx="146">
                  <c:v>4.407</c:v>
                </c:pt>
                <c:pt idx="147">
                  <c:v>4.4329999999999998</c:v>
                </c:pt>
                <c:pt idx="148">
                  <c:v>4.46</c:v>
                </c:pt>
                <c:pt idx="149">
                  <c:v>4.4870000000000001</c:v>
                </c:pt>
                <c:pt idx="150">
                  <c:v>4.5129999999999999</c:v>
                </c:pt>
                <c:pt idx="151">
                  <c:v>4.54</c:v>
                </c:pt>
                <c:pt idx="152">
                  <c:v>4.5670000000000002</c:v>
                </c:pt>
                <c:pt idx="153">
                  <c:v>4.593</c:v>
                </c:pt>
                <c:pt idx="154">
                  <c:v>4.62</c:v>
                </c:pt>
                <c:pt idx="155">
                  <c:v>4.6470000000000002</c:v>
                </c:pt>
                <c:pt idx="156">
                  <c:v>4.673</c:v>
                </c:pt>
                <c:pt idx="157">
                  <c:v>4.7</c:v>
                </c:pt>
                <c:pt idx="158">
                  <c:v>4.7270000000000003</c:v>
                </c:pt>
                <c:pt idx="159">
                  <c:v>4.7530000000000001</c:v>
                </c:pt>
                <c:pt idx="160">
                  <c:v>4.78</c:v>
                </c:pt>
                <c:pt idx="161">
                  <c:v>4.8070000000000004</c:v>
                </c:pt>
                <c:pt idx="162">
                  <c:v>4.8330000000000002</c:v>
                </c:pt>
                <c:pt idx="163">
                  <c:v>4.8600000000000003</c:v>
                </c:pt>
                <c:pt idx="164">
                  <c:v>4.8869999999999996</c:v>
                </c:pt>
                <c:pt idx="165">
                  <c:v>4.9130000000000003</c:v>
                </c:pt>
                <c:pt idx="166">
                  <c:v>4.9400000000000004</c:v>
                </c:pt>
                <c:pt idx="167">
                  <c:v>4.9669999999999996</c:v>
                </c:pt>
                <c:pt idx="168">
                  <c:v>4.9930000000000003</c:v>
                </c:pt>
                <c:pt idx="169">
                  <c:v>5.0199999999999996</c:v>
                </c:pt>
                <c:pt idx="170">
                  <c:v>5.0469999999999997</c:v>
                </c:pt>
                <c:pt idx="171">
                  <c:v>5.0730000000000004</c:v>
                </c:pt>
                <c:pt idx="172">
                  <c:v>5.0999999999999996</c:v>
                </c:pt>
                <c:pt idx="173">
                  <c:v>5.1269999999999998</c:v>
                </c:pt>
                <c:pt idx="174">
                  <c:v>5.1529999999999996</c:v>
                </c:pt>
                <c:pt idx="175">
                  <c:v>5.18</c:v>
                </c:pt>
                <c:pt idx="176">
                  <c:v>5.2069999999999999</c:v>
                </c:pt>
                <c:pt idx="177">
                  <c:v>5.2329999999999997</c:v>
                </c:pt>
                <c:pt idx="178">
                  <c:v>5.26</c:v>
                </c:pt>
                <c:pt idx="179">
                  <c:v>5.2869999999999999</c:v>
                </c:pt>
                <c:pt idx="180">
                  <c:v>5.3129999999999997</c:v>
                </c:pt>
                <c:pt idx="181">
                  <c:v>5.34</c:v>
                </c:pt>
                <c:pt idx="182">
                  <c:v>5.367</c:v>
                </c:pt>
                <c:pt idx="183">
                  <c:v>5.3929999999999998</c:v>
                </c:pt>
                <c:pt idx="184">
                  <c:v>5.42</c:v>
                </c:pt>
                <c:pt idx="185">
                  <c:v>5.4470000000000001</c:v>
                </c:pt>
                <c:pt idx="186">
                  <c:v>5.4729999999999999</c:v>
                </c:pt>
                <c:pt idx="187">
                  <c:v>5.5</c:v>
                </c:pt>
                <c:pt idx="188">
                  <c:v>5.5270000000000001</c:v>
                </c:pt>
                <c:pt idx="189">
                  <c:v>5.5529999999999999</c:v>
                </c:pt>
                <c:pt idx="190">
                  <c:v>5.58</c:v>
                </c:pt>
                <c:pt idx="191">
                  <c:v>5.6070000000000002</c:v>
                </c:pt>
                <c:pt idx="192">
                  <c:v>5.633</c:v>
                </c:pt>
                <c:pt idx="193">
                  <c:v>5.66</c:v>
                </c:pt>
                <c:pt idx="194">
                  <c:v>5.6870000000000003</c:v>
                </c:pt>
                <c:pt idx="195">
                  <c:v>5.7130000000000001</c:v>
                </c:pt>
                <c:pt idx="196">
                  <c:v>5.74</c:v>
                </c:pt>
                <c:pt idx="197">
                  <c:v>5.7670000000000003</c:v>
                </c:pt>
                <c:pt idx="198">
                  <c:v>5.7930000000000001</c:v>
                </c:pt>
                <c:pt idx="199">
                  <c:v>5.82</c:v>
                </c:pt>
                <c:pt idx="200">
                  <c:v>5.8470000000000004</c:v>
                </c:pt>
                <c:pt idx="201">
                  <c:v>5.8730000000000002</c:v>
                </c:pt>
                <c:pt idx="202">
                  <c:v>5.9</c:v>
                </c:pt>
                <c:pt idx="203">
                  <c:v>5.9269999999999996</c:v>
                </c:pt>
                <c:pt idx="204">
                  <c:v>5.9530000000000003</c:v>
                </c:pt>
                <c:pt idx="205">
                  <c:v>5.98</c:v>
                </c:pt>
                <c:pt idx="206">
                  <c:v>6.0069999999999997</c:v>
                </c:pt>
                <c:pt idx="207">
                  <c:v>6.0330000000000004</c:v>
                </c:pt>
                <c:pt idx="208">
                  <c:v>6.06</c:v>
                </c:pt>
                <c:pt idx="209">
                  <c:v>6.0869999999999997</c:v>
                </c:pt>
                <c:pt idx="210">
                  <c:v>6.1130000000000004</c:v>
                </c:pt>
                <c:pt idx="211">
                  <c:v>6.14</c:v>
                </c:pt>
                <c:pt idx="212">
                  <c:v>6.1669999999999998</c:v>
                </c:pt>
                <c:pt idx="213">
                  <c:v>6.1929999999999996</c:v>
                </c:pt>
                <c:pt idx="214">
                  <c:v>6.22</c:v>
                </c:pt>
                <c:pt idx="215">
                  <c:v>6.2469999999999999</c:v>
                </c:pt>
                <c:pt idx="216">
                  <c:v>6.2729999999999997</c:v>
                </c:pt>
                <c:pt idx="217">
                  <c:v>6.3</c:v>
                </c:pt>
                <c:pt idx="218">
                  <c:v>6.327</c:v>
                </c:pt>
                <c:pt idx="219">
                  <c:v>6.3529999999999998</c:v>
                </c:pt>
                <c:pt idx="220">
                  <c:v>6.38</c:v>
                </c:pt>
                <c:pt idx="221">
                  <c:v>6.407</c:v>
                </c:pt>
                <c:pt idx="222">
                  <c:v>6.4329999999999998</c:v>
                </c:pt>
                <c:pt idx="223">
                  <c:v>6.46</c:v>
                </c:pt>
                <c:pt idx="224">
                  <c:v>6.4870000000000001</c:v>
                </c:pt>
                <c:pt idx="225">
                  <c:v>6.5129999999999999</c:v>
                </c:pt>
                <c:pt idx="226">
                  <c:v>6.54</c:v>
                </c:pt>
                <c:pt idx="227">
                  <c:v>6.5670000000000002</c:v>
                </c:pt>
                <c:pt idx="228">
                  <c:v>6.593</c:v>
                </c:pt>
                <c:pt idx="229">
                  <c:v>6.62</c:v>
                </c:pt>
                <c:pt idx="230">
                  <c:v>6.6470000000000002</c:v>
                </c:pt>
                <c:pt idx="231">
                  <c:v>6.673</c:v>
                </c:pt>
                <c:pt idx="232">
                  <c:v>6.7</c:v>
                </c:pt>
                <c:pt idx="233">
                  <c:v>6.7270000000000003</c:v>
                </c:pt>
                <c:pt idx="234">
                  <c:v>6.7530000000000001</c:v>
                </c:pt>
                <c:pt idx="235">
                  <c:v>6.78</c:v>
                </c:pt>
                <c:pt idx="236">
                  <c:v>6.8070000000000004</c:v>
                </c:pt>
                <c:pt idx="237">
                  <c:v>6.8330000000000002</c:v>
                </c:pt>
                <c:pt idx="238">
                  <c:v>6.86</c:v>
                </c:pt>
                <c:pt idx="239">
                  <c:v>6.8869999999999996</c:v>
                </c:pt>
                <c:pt idx="240">
                  <c:v>6.9130000000000003</c:v>
                </c:pt>
                <c:pt idx="241">
                  <c:v>6.94</c:v>
                </c:pt>
                <c:pt idx="242">
                  <c:v>6.9669999999999996</c:v>
                </c:pt>
                <c:pt idx="243">
                  <c:v>6.9930000000000003</c:v>
                </c:pt>
                <c:pt idx="244">
                  <c:v>7.02</c:v>
                </c:pt>
                <c:pt idx="245">
                  <c:v>7.0469999999999997</c:v>
                </c:pt>
                <c:pt idx="246">
                  <c:v>7.0730000000000004</c:v>
                </c:pt>
                <c:pt idx="247">
                  <c:v>7.1</c:v>
                </c:pt>
                <c:pt idx="248">
                  <c:v>7.1269999999999998</c:v>
                </c:pt>
                <c:pt idx="249">
                  <c:v>7.1529999999999996</c:v>
                </c:pt>
                <c:pt idx="250">
                  <c:v>7.18</c:v>
                </c:pt>
                <c:pt idx="251">
                  <c:v>7.2069999999999999</c:v>
                </c:pt>
                <c:pt idx="252">
                  <c:v>7.2329999999999997</c:v>
                </c:pt>
                <c:pt idx="253">
                  <c:v>7.26</c:v>
                </c:pt>
                <c:pt idx="254">
                  <c:v>7.2869999999999999</c:v>
                </c:pt>
                <c:pt idx="255">
                  <c:v>7.3129999999999997</c:v>
                </c:pt>
                <c:pt idx="256">
                  <c:v>7.34</c:v>
                </c:pt>
                <c:pt idx="257">
                  <c:v>7.367</c:v>
                </c:pt>
                <c:pt idx="258">
                  <c:v>7.3929999999999998</c:v>
                </c:pt>
                <c:pt idx="259">
                  <c:v>7.42</c:v>
                </c:pt>
                <c:pt idx="260">
                  <c:v>7.4470000000000001</c:v>
                </c:pt>
                <c:pt idx="261">
                  <c:v>7.4729999999999999</c:v>
                </c:pt>
                <c:pt idx="262">
                  <c:v>7.5</c:v>
                </c:pt>
                <c:pt idx="263">
                  <c:v>7.5270000000000001</c:v>
                </c:pt>
                <c:pt idx="264">
                  <c:v>7.5529999999999999</c:v>
                </c:pt>
                <c:pt idx="265">
                  <c:v>7.58</c:v>
                </c:pt>
                <c:pt idx="266">
                  <c:v>7.6070000000000002</c:v>
                </c:pt>
                <c:pt idx="267">
                  <c:v>7.633</c:v>
                </c:pt>
                <c:pt idx="268">
                  <c:v>7.66</c:v>
                </c:pt>
                <c:pt idx="269">
                  <c:v>7.6870000000000003</c:v>
                </c:pt>
                <c:pt idx="270">
                  <c:v>7.7130000000000001</c:v>
                </c:pt>
                <c:pt idx="271">
                  <c:v>7.74</c:v>
                </c:pt>
                <c:pt idx="272">
                  <c:v>7.7670000000000003</c:v>
                </c:pt>
                <c:pt idx="273">
                  <c:v>7.7930000000000001</c:v>
                </c:pt>
                <c:pt idx="274">
                  <c:v>7.82</c:v>
                </c:pt>
                <c:pt idx="275">
                  <c:v>7.8470000000000004</c:v>
                </c:pt>
                <c:pt idx="276">
                  <c:v>7.8730000000000002</c:v>
                </c:pt>
                <c:pt idx="277">
                  <c:v>7.9</c:v>
                </c:pt>
                <c:pt idx="278">
                  <c:v>7.9269999999999996</c:v>
                </c:pt>
                <c:pt idx="279">
                  <c:v>7.9530000000000003</c:v>
                </c:pt>
                <c:pt idx="280">
                  <c:v>7.98</c:v>
                </c:pt>
                <c:pt idx="281">
                  <c:v>8.0069999999999997</c:v>
                </c:pt>
                <c:pt idx="282">
                  <c:v>8.0329999999999995</c:v>
                </c:pt>
                <c:pt idx="283">
                  <c:v>8.06</c:v>
                </c:pt>
                <c:pt idx="284">
                  <c:v>8.0869999999999997</c:v>
                </c:pt>
                <c:pt idx="285">
                  <c:v>8.1129999999999995</c:v>
                </c:pt>
                <c:pt idx="286">
                  <c:v>8.14</c:v>
                </c:pt>
                <c:pt idx="287">
                  <c:v>8.1669999999999998</c:v>
                </c:pt>
                <c:pt idx="288">
                  <c:v>8.1929999999999996</c:v>
                </c:pt>
                <c:pt idx="289">
                  <c:v>8.2200000000000006</c:v>
                </c:pt>
                <c:pt idx="290">
                  <c:v>8.2469999999999999</c:v>
                </c:pt>
                <c:pt idx="291">
                  <c:v>8.2729999999999997</c:v>
                </c:pt>
                <c:pt idx="292">
                  <c:v>8.3000000000000007</c:v>
                </c:pt>
                <c:pt idx="293">
                  <c:v>8.327</c:v>
                </c:pt>
                <c:pt idx="294">
                  <c:v>8.3529999999999998</c:v>
                </c:pt>
                <c:pt idx="295">
                  <c:v>8.3800000000000008</c:v>
                </c:pt>
                <c:pt idx="296">
                  <c:v>8.407</c:v>
                </c:pt>
                <c:pt idx="297">
                  <c:v>8.4329999999999998</c:v>
                </c:pt>
                <c:pt idx="298">
                  <c:v>8.4600000000000009</c:v>
                </c:pt>
                <c:pt idx="299">
                  <c:v>8.4870000000000001</c:v>
                </c:pt>
                <c:pt idx="300">
                  <c:v>8.5129999999999999</c:v>
                </c:pt>
                <c:pt idx="301">
                  <c:v>8.5399999999999991</c:v>
                </c:pt>
                <c:pt idx="302">
                  <c:v>8.5670000000000002</c:v>
                </c:pt>
                <c:pt idx="303">
                  <c:v>8.593</c:v>
                </c:pt>
                <c:pt idx="304">
                  <c:v>8.6199999999999992</c:v>
                </c:pt>
                <c:pt idx="305">
                  <c:v>8.6470000000000002</c:v>
                </c:pt>
                <c:pt idx="306">
                  <c:v>8.673</c:v>
                </c:pt>
                <c:pt idx="307">
                  <c:v>8.6999999999999993</c:v>
                </c:pt>
                <c:pt idx="308">
                  <c:v>8.7270000000000003</c:v>
                </c:pt>
                <c:pt idx="309">
                  <c:v>8.7530000000000001</c:v>
                </c:pt>
                <c:pt idx="310">
                  <c:v>8.7799999999999994</c:v>
                </c:pt>
                <c:pt idx="311">
                  <c:v>8.8070000000000004</c:v>
                </c:pt>
                <c:pt idx="312">
                  <c:v>8.8330000000000002</c:v>
                </c:pt>
                <c:pt idx="313">
                  <c:v>8.86</c:v>
                </c:pt>
                <c:pt idx="314">
                  <c:v>8.8870000000000005</c:v>
                </c:pt>
                <c:pt idx="315">
                  <c:v>8.9130000000000003</c:v>
                </c:pt>
                <c:pt idx="316">
                  <c:v>8.94</c:v>
                </c:pt>
                <c:pt idx="317">
                  <c:v>8.9670000000000005</c:v>
                </c:pt>
                <c:pt idx="318">
                  <c:v>8.9930000000000003</c:v>
                </c:pt>
                <c:pt idx="319">
                  <c:v>9.02</c:v>
                </c:pt>
                <c:pt idx="320">
                  <c:v>9.0470000000000006</c:v>
                </c:pt>
                <c:pt idx="321">
                  <c:v>9.0730000000000004</c:v>
                </c:pt>
                <c:pt idx="322">
                  <c:v>9.1</c:v>
                </c:pt>
                <c:pt idx="323">
                  <c:v>9.1270000000000007</c:v>
                </c:pt>
                <c:pt idx="324">
                  <c:v>9.1530000000000005</c:v>
                </c:pt>
                <c:pt idx="325">
                  <c:v>9.18</c:v>
                </c:pt>
                <c:pt idx="326">
                  <c:v>9.2070000000000007</c:v>
                </c:pt>
                <c:pt idx="327">
                  <c:v>9.2330000000000005</c:v>
                </c:pt>
                <c:pt idx="328">
                  <c:v>9.26</c:v>
                </c:pt>
                <c:pt idx="329">
                  <c:v>9.2870000000000008</c:v>
                </c:pt>
                <c:pt idx="330">
                  <c:v>9.3130000000000006</c:v>
                </c:pt>
                <c:pt idx="331">
                  <c:v>9.34</c:v>
                </c:pt>
                <c:pt idx="332">
                  <c:v>9.3670000000000009</c:v>
                </c:pt>
                <c:pt idx="333">
                  <c:v>9.3930000000000007</c:v>
                </c:pt>
                <c:pt idx="334">
                  <c:v>9.42</c:v>
                </c:pt>
                <c:pt idx="335">
                  <c:v>9.4469999999999992</c:v>
                </c:pt>
                <c:pt idx="336">
                  <c:v>9.4730000000000008</c:v>
                </c:pt>
                <c:pt idx="337">
                  <c:v>9.5</c:v>
                </c:pt>
                <c:pt idx="338">
                  <c:v>9.5269999999999992</c:v>
                </c:pt>
                <c:pt idx="339">
                  <c:v>9.5530000000000008</c:v>
                </c:pt>
                <c:pt idx="340">
                  <c:v>9.58</c:v>
                </c:pt>
                <c:pt idx="341">
                  <c:v>9.6069999999999993</c:v>
                </c:pt>
                <c:pt idx="342">
                  <c:v>9.6329999999999991</c:v>
                </c:pt>
                <c:pt idx="343">
                  <c:v>9.66</c:v>
                </c:pt>
                <c:pt idx="344">
                  <c:v>9.6869999999999994</c:v>
                </c:pt>
                <c:pt idx="345">
                  <c:v>9.7129999999999992</c:v>
                </c:pt>
                <c:pt idx="346">
                  <c:v>9.74</c:v>
                </c:pt>
                <c:pt idx="347">
                  <c:v>9.7669999999999995</c:v>
                </c:pt>
                <c:pt idx="348">
                  <c:v>9.7929999999999993</c:v>
                </c:pt>
                <c:pt idx="349">
                  <c:v>9.82</c:v>
                </c:pt>
                <c:pt idx="350">
                  <c:v>9.8469999999999995</c:v>
                </c:pt>
                <c:pt idx="351">
                  <c:v>9.8729999999999993</c:v>
                </c:pt>
                <c:pt idx="352">
                  <c:v>9.9</c:v>
                </c:pt>
                <c:pt idx="353">
                  <c:v>9.9269999999999996</c:v>
                </c:pt>
                <c:pt idx="354">
                  <c:v>9.9529999999999994</c:v>
                </c:pt>
                <c:pt idx="355">
                  <c:v>9.98</c:v>
                </c:pt>
                <c:pt idx="356">
                  <c:v>10.007</c:v>
                </c:pt>
              </c:numCache>
            </c:numRef>
          </c:xVal>
          <c:yVal>
            <c:numRef>
              <c:f>ChromatogramData!$B$2:$B$10001</c:f>
              <c:numCache>
                <c:formatCode>General</c:formatCode>
                <c:ptCount val="10000"/>
                <c:pt idx="0">
                  <c:v>57.963095374155643</c:v>
                </c:pt>
                <c:pt idx="1">
                  <c:v>56.725137089530065</c:v>
                </c:pt>
                <c:pt idx="2">
                  <c:v>52.353701737586668</c:v>
                </c:pt>
                <c:pt idx="3">
                  <c:v>48.975316933744011</c:v>
                </c:pt>
                <c:pt idx="4">
                  <c:v>46.781212006521464</c:v>
                </c:pt>
                <c:pt idx="5">
                  <c:v>44.667624691307076</c:v>
                </c:pt>
                <c:pt idx="6">
                  <c:v>42.792235311616857</c:v>
                </c:pt>
                <c:pt idx="7">
                  <c:v>41.547567225990605</c:v>
                </c:pt>
                <c:pt idx="8">
                  <c:v>40.950394936930039</c:v>
                </c:pt>
                <c:pt idx="9">
                  <c:v>40.85645772292051</c:v>
                </c:pt>
                <c:pt idx="10">
                  <c:v>40.977234140932758</c:v>
                </c:pt>
                <c:pt idx="11">
                  <c:v>41.074526255442628</c:v>
                </c:pt>
                <c:pt idx="12">
                  <c:v>40.95710473793072</c:v>
                </c:pt>
                <c:pt idx="13">
                  <c:v>40.554516677889886</c:v>
                </c:pt>
                <c:pt idx="14">
                  <c:v>39.930505184826593</c:v>
                </c:pt>
                <c:pt idx="15">
                  <c:v>39.360172099768739</c:v>
                </c:pt>
                <c:pt idx="16">
                  <c:v>38.991133044731313</c:v>
                </c:pt>
                <c:pt idx="17">
                  <c:v>38.695901800701364</c:v>
                </c:pt>
                <c:pt idx="18">
                  <c:v>38.467768566678231</c:v>
                </c:pt>
                <c:pt idx="19">
                  <c:v>38.320152944663249</c:v>
                </c:pt>
                <c:pt idx="20">
                  <c:v>38.128923616143851</c:v>
                </c:pt>
                <c:pt idx="21">
                  <c:v>37.894080581120043</c:v>
                </c:pt>
                <c:pt idx="22">
                  <c:v>37.679366949098259</c:v>
                </c:pt>
                <c:pt idx="23">
                  <c:v>37.494847421579543</c:v>
                </c:pt>
                <c:pt idx="24">
                  <c:v>37.364006302066272</c:v>
                </c:pt>
                <c:pt idx="25">
                  <c:v>37.260004386555721</c:v>
                </c:pt>
                <c:pt idx="26">
                  <c:v>37.162712272045859</c:v>
                </c:pt>
                <c:pt idx="27">
                  <c:v>37.092259361538709</c:v>
                </c:pt>
                <c:pt idx="28">
                  <c:v>37.041935854033603</c:v>
                </c:pt>
                <c:pt idx="29">
                  <c:v>36.981547645027476</c:v>
                </c:pt>
                <c:pt idx="30">
                  <c:v>36.921159436021355</c:v>
                </c:pt>
                <c:pt idx="31">
                  <c:v>36.874190829016591</c:v>
                </c:pt>
                <c:pt idx="32">
                  <c:v>36.773543814006374</c:v>
                </c:pt>
                <c:pt idx="33">
                  <c:v>36.656122296494466</c:v>
                </c:pt>
                <c:pt idx="34">
                  <c:v>36.535345878482218</c:v>
                </c:pt>
                <c:pt idx="35">
                  <c:v>36.397794957968266</c:v>
                </c:pt>
                <c:pt idx="36">
                  <c:v>36.327342047461123</c:v>
                </c:pt>
                <c:pt idx="37">
                  <c:v>36.260244037454321</c:v>
                </c:pt>
                <c:pt idx="38">
                  <c:v>36.199855828448186</c:v>
                </c:pt>
                <c:pt idx="39">
                  <c:v>36.15624212194377</c:v>
                </c:pt>
                <c:pt idx="40">
                  <c:v>36.115983315939687</c:v>
                </c:pt>
                <c:pt idx="41">
                  <c:v>36.149532320943081</c:v>
                </c:pt>
                <c:pt idx="42">
                  <c:v>36.213275430449549</c:v>
                </c:pt>
                <c:pt idx="43">
                  <c:v>36.293793042457722</c:v>
                </c:pt>
                <c:pt idx="44">
                  <c:v>36.421279261470652</c:v>
                </c:pt>
                <c:pt idx="45">
                  <c:v>36.555475281484263</c:v>
                </c:pt>
                <c:pt idx="46">
                  <c:v>36.71315560500026</c:v>
                </c:pt>
                <c:pt idx="47">
                  <c:v>36.907739834019992</c:v>
                </c:pt>
                <c:pt idx="48">
                  <c:v>37.119098565541428</c:v>
                </c:pt>
                <c:pt idx="49">
                  <c:v>37.357296501065591</c:v>
                </c:pt>
                <c:pt idx="50">
                  <c:v>37.618978740092132</c:v>
                </c:pt>
                <c:pt idx="51">
                  <c:v>37.924274685623097</c:v>
                </c:pt>
                <c:pt idx="52">
                  <c:v>38.263119636157469</c:v>
                </c:pt>
                <c:pt idx="53">
                  <c:v>38.628803790694562</c:v>
                </c:pt>
                <c:pt idx="54">
                  <c:v>38.994487945231647</c:v>
                </c:pt>
                <c:pt idx="55">
                  <c:v>39.413850507774185</c:v>
                </c:pt>
                <c:pt idx="56">
                  <c:v>39.839922871317398</c:v>
                </c:pt>
                <c:pt idx="57">
                  <c:v>40.306254040864701</c:v>
                </c:pt>
                <c:pt idx="58">
                  <c:v>40.775940110912344</c:v>
                </c:pt>
                <c:pt idx="59">
                  <c:v>41.215432076456921</c:v>
                </c:pt>
                <c:pt idx="60">
                  <c:v>41.614665235997421</c:v>
                </c:pt>
                <c:pt idx="61">
                  <c:v>41.970284689033484</c:v>
                </c:pt>
                <c:pt idx="62">
                  <c:v>42.25209633106207</c:v>
                </c:pt>
                <c:pt idx="63">
                  <c:v>42.543972674591672</c:v>
                </c:pt>
                <c:pt idx="64">
                  <c:v>42.869398023124681</c:v>
                </c:pt>
                <c:pt idx="65">
                  <c:v>43.251856680163478</c:v>
                </c:pt>
                <c:pt idx="66">
                  <c:v>43.684638844707372</c:v>
                </c:pt>
                <c:pt idx="67">
                  <c:v>44.157679815255356</c:v>
                </c:pt>
                <c:pt idx="68">
                  <c:v>44.677689392808098</c:v>
                </c:pt>
                <c:pt idx="69">
                  <c:v>45.197698970360847</c:v>
                </c:pt>
                <c:pt idx="70">
                  <c:v>45.664030139908142</c:v>
                </c:pt>
                <c:pt idx="71">
                  <c:v>46.096812304452044</c:v>
                </c:pt>
                <c:pt idx="72">
                  <c:v>46.573208175500362</c:v>
                </c:pt>
                <c:pt idx="73">
                  <c:v>47.163670663560247</c:v>
                </c:pt>
                <c:pt idx="74">
                  <c:v>48.616342580207593</c:v>
                </c:pt>
                <c:pt idx="75">
                  <c:v>51.098968950459415</c:v>
                </c:pt>
                <c:pt idx="76">
                  <c:v>52.417444847093137</c:v>
                </c:pt>
                <c:pt idx="77">
                  <c:v>51.400909995490039</c:v>
                </c:pt>
                <c:pt idx="78">
                  <c:v>49.793912655827036</c:v>
                </c:pt>
                <c:pt idx="79">
                  <c:v>49.042414943750813</c:v>
                </c:pt>
                <c:pt idx="80">
                  <c:v>48.834411112729718</c:v>
                </c:pt>
                <c:pt idx="81">
                  <c:v>48.794152306725628</c:v>
                </c:pt>
                <c:pt idx="82">
                  <c:v>48.720344495718152</c:v>
                </c:pt>
                <c:pt idx="83">
                  <c:v>48.646536684710661</c:v>
                </c:pt>
                <c:pt idx="84">
                  <c:v>48.653246485711342</c:v>
                </c:pt>
                <c:pt idx="85">
                  <c:v>48.743828799220523</c:v>
                </c:pt>
                <c:pt idx="86">
                  <c:v>48.787442505724954</c:v>
                </c:pt>
                <c:pt idx="87">
                  <c:v>48.827701311729037</c:v>
                </c:pt>
                <c:pt idx="88">
                  <c:v>49.0994482522566</c:v>
                </c:pt>
                <c:pt idx="89">
                  <c:v>49.736879347321256</c:v>
                </c:pt>
                <c:pt idx="90">
                  <c:v>50.219985019370256</c:v>
                </c:pt>
                <c:pt idx="91">
                  <c:v>50.370955541885564</c:v>
                </c:pt>
                <c:pt idx="92">
                  <c:v>50.411214347889647</c:v>
                </c:pt>
                <c:pt idx="93">
                  <c:v>50.944643527443752</c:v>
                </c:pt>
                <c:pt idx="94">
                  <c:v>52.544931066106066</c:v>
                </c:pt>
                <c:pt idx="95">
                  <c:v>53.316558181184341</c:v>
                </c:pt>
                <c:pt idx="96">
                  <c:v>52.568415369608452</c:v>
                </c:pt>
                <c:pt idx="97">
                  <c:v>52.377186041089061</c:v>
                </c:pt>
                <c:pt idx="98">
                  <c:v>53.26958957417957</c:v>
                </c:pt>
                <c:pt idx="99">
                  <c:v>53.78624425123197</c:v>
                </c:pt>
                <c:pt idx="100">
                  <c:v>54.420320445796293</c:v>
                </c:pt>
                <c:pt idx="101">
                  <c:v>54.111669599764987</c:v>
                </c:pt>
                <c:pt idx="102">
                  <c:v>52.404025245091781</c:v>
                </c:pt>
                <c:pt idx="103">
                  <c:v>50.817157308430829</c:v>
                </c:pt>
                <c:pt idx="104">
                  <c:v>50.434698651392033</c:v>
                </c:pt>
                <c:pt idx="105">
                  <c:v>50.458182954894419</c:v>
                </c:pt>
                <c:pt idx="106">
                  <c:v>51.441168801494122</c:v>
                </c:pt>
                <c:pt idx="107">
                  <c:v>52.323507633083608</c:v>
                </c:pt>
                <c:pt idx="108">
                  <c:v>52.296668429080896</c:v>
                </c:pt>
                <c:pt idx="109">
                  <c:v>51.249939472974717</c:v>
                </c:pt>
                <c:pt idx="110">
                  <c:v>50.971482731446478</c:v>
                </c:pt>
                <c:pt idx="111">
                  <c:v>51.256649273975405</c:v>
                </c:pt>
                <c:pt idx="112">
                  <c:v>51.32039238348186</c:v>
                </c:pt>
                <c:pt idx="113">
                  <c:v>51.092259149458727</c:v>
                </c:pt>
                <c:pt idx="114">
                  <c:v>50.773543601926406</c:v>
                </c:pt>
                <c:pt idx="115">
                  <c:v>50.52192606440088</c:v>
                </c:pt>
                <c:pt idx="116">
                  <c:v>50.471602556895775</c:v>
                </c:pt>
                <c:pt idx="117">
                  <c:v>50.65276718391415</c:v>
                </c:pt>
                <c:pt idx="118">
                  <c:v>50.793673004928444</c:v>
                </c:pt>
                <c:pt idx="119">
                  <c:v>50.847351412933889</c:v>
                </c:pt>
                <c:pt idx="120">
                  <c:v>50.823867109431511</c:v>
                </c:pt>
                <c:pt idx="121">
                  <c:v>51.206325766470293</c:v>
                </c:pt>
                <c:pt idx="122">
                  <c:v>52.357056638087023</c:v>
                </c:pt>
                <c:pt idx="123">
                  <c:v>52.474478155598931</c:v>
                </c:pt>
                <c:pt idx="124">
                  <c:v>51.729690244523383</c:v>
                </c:pt>
                <c:pt idx="125">
                  <c:v>51.400909995490039</c:v>
                </c:pt>
                <c:pt idx="126">
                  <c:v>51.508266811500931</c:v>
                </c:pt>
                <c:pt idx="127">
                  <c:v>51.709560841521345</c:v>
                </c:pt>
                <c:pt idx="128">
                  <c:v>51.961178379046871</c:v>
                </c:pt>
                <c:pt idx="129">
                  <c:v>52.145697906565573</c:v>
                </c:pt>
                <c:pt idx="130">
                  <c:v>52.105439100561497</c:v>
                </c:pt>
                <c:pt idx="131">
                  <c:v>52.118858702562854</c:v>
                </c:pt>
                <c:pt idx="132">
                  <c:v>52.038341090554688</c:v>
                </c:pt>
                <c:pt idx="133">
                  <c:v>51.773303951027813</c:v>
                </c:pt>
                <c:pt idx="134">
                  <c:v>51.36400608998629</c:v>
                </c:pt>
                <c:pt idx="135">
                  <c:v>51.008386636950227</c:v>
                </c:pt>
                <c:pt idx="136">
                  <c:v>50.904384721439676</c:v>
                </c:pt>
                <c:pt idx="137">
                  <c:v>51.092259149458727</c:v>
                </c:pt>
                <c:pt idx="138">
                  <c:v>51.350586487984934</c:v>
                </c:pt>
                <c:pt idx="139">
                  <c:v>51.454588403495478</c:v>
                </c:pt>
                <c:pt idx="140">
                  <c:v>51.471362905997175</c:v>
                </c:pt>
                <c:pt idx="141">
                  <c:v>51.384135492988328</c:v>
                </c:pt>
                <c:pt idx="142">
                  <c:v>51.471362905997175</c:v>
                </c:pt>
                <c:pt idx="143">
                  <c:v>57.359213284094395</c:v>
                </c:pt>
                <c:pt idx="144">
                  <c:v>78.622572655251119</c:v>
                </c:pt>
                <c:pt idx="145">
                  <c:v>96.725615755087318</c:v>
                </c:pt>
                <c:pt idx="146">
                  <c:v>98.393001303756449</c:v>
                </c:pt>
                <c:pt idx="147">
                  <c:v>85.513538282950094</c:v>
                </c:pt>
                <c:pt idx="148">
                  <c:v>72.234842102603224</c:v>
                </c:pt>
                <c:pt idx="149">
                  <c:v>64.266953414295045</c:v>
                </c:pt>
                <c:pt idx="150">
                  <c:v>60.925472515956109</c:v>
                </c:pt>
                <c:pt idx="151">
                  <c:v>59.40570258930196</c:v>
                </c:pt>
                <c:pt idx="152">
                  <c:v>58.432781444203286</c:v>
                </c:pt>
                <c:pt idx="153">
                  <c:v>57.406181891099152</c:v>
                </c:pt>
                <c:pt idx="154">
                  <c:v>56.433260746000471</c:v>
                </c:pt>
                <c:pt idx="155">
                  <c:v>55.9031864669467</c:v>
                </c:pt>
                <c:pt idx="156">
                  <c:v>55.906541367447041</c:v>
                </c:pt>
                <c:pt idx="157">
                  <c:v>55.987058979455206</c:v>
                </c:pt>
                <c:pt idx="158">
                  <c:v>55.554276814911319</c:v>
                </c:pt>
                <c:pt idx="159">
                  <c:v>55.014137834356518</c:v>
                </c:pt>
                <c:pt idx="160">
                  <c:v>54.661873281820796</c:v>
                </c:pt>
                <c:pt idx="161">
                  <c:v>54.433740047797663</c:v>
                </c:pt>
                <c:pt idx="162">
                  <c:v>54.319673430786082</c:v>
                </c:pt>
                <c:pt idx="163">
                  <c:v>54.299544027784044</c:v>
                </c:pt>
                <c:pt idx="164">
                  <c:v>54.752455595329984</c:v>
                </c:pt>
                <c:pt idx="165">
                  <c:v>55.34962788439055</c:v>
                </c:pt>
                <c:pt idx="166">
                  <c:v>55.497243506405532</c:v>
                </c:pt>
                <c:pt idx="167">
                  <c:v>55.178527958873197</c:v>
                </c:pt>
                <c:pt idx="168">
                  <c:v>54.950394724850064</c:v>
                </c:pt>
                <c:pt idx="169">
                  <c:v>55.175173058372856</c:v>
                </c:pt>
                <c:pt idx="170">
                  <c:v>55.309369078386474</c:v>
                </c:pt>
                <c:pt idx="171">
                  <c:v>55.165108356871848</c:v>
                </c:pt>
                <c:pt idx="172">
                  <c:v>54.890006515843929</c:v>
                </c:pt>
                <c:pt idx="173">
                  <c:v>54.863167311841217</c:v>
                </c:pt>
                <c:pt idx="174">
                  <c:v>54.950394724850064</c:v>
                </c:pt>
                <c:pt idx="175">
                  <c:v>55.037622137858911</c:v>
                </c:pt>
                <c:pt idx="176">
                  <c:v>55.00407313285551</c:v>
                </c:pt>
                <c:pt idx="177">
                  <c:v>54.86652221234155</c:v>
                </c:pt>
                <c:pt idx="178">
                  <c:v>54.728971291827605</c:v>
                </c:pt>
                <c:pt idx="179">
                  <c:v>54.749100694829643</c:v>
                </c:pt>
                <c:pt idx="180">
                  <c:v>57.661154329125019</c:v>
                </c:pt>
                <c:pt idx="181">
                  <c:v>73.479510188229469</c:v>
                </c:pt>
                <c:pt idx="182">
                  <c:v>91.01893000400851</c:v>
                </c:pt>
                <c:pt idx="183">
                  <c:v>99.999998643419445</c:v>
                </c:pt>
                <c:pt idx="184">
                  <c:v>95.880180829001574</c:v>
                </c:pt>
                <c:pt idx="185">
                  <c:v>84.48693872984596</c:v>
                </c:pt>
                <c:pt idx="186">
                  <c:v>73.066857426687605</c:v>
                </c:pt>
                <c:pt idx="187">
                  <c:v>65.521686201422312</c:v>
                </c:pt>
                <c:pt idx="188">
                  <c:v>61.281091968992186</c:v>
                </c:pt>
                <c:pt idx="189">
                  <c:v>58.848789106245476</c:v>
                </c:pt>
                <c:pt idx="190">
                  <c:v>57.446440697103235</c:v>
                </c:pt>
                <c:pt idx="191">
                  <c:v>56.715072388029057</c:v>
                </c:pt>
                <c:pt idx="192">
                  <c:v>56.403066641497404</c:v>
                </c:pt>
                <c:pt idx="193">
                  <c:v>56.138029501970514</c:v>
                </c:pt>
                <c:pt idx="194">
                  <c:v>55.923315869948738</c:v>
                </c:pt>
                <c:pt idx="195">
                  <c:v>55.802539451936489</c:v>
                </c:pt>
                <c:pt idx="196">
                  <c:v>55.799184551436156</c:v>
                </c:pt>
                <c:pt idx="197">
                  <c:v>55.869637461943306</c:v>
                </c:pt>
                <c:pt idx="198">
                  <c:v>55.893121765445677</c:v>
                </c:pt>
                <c:pt idx="199">
                  <c:v>55.906541367447041</c:v>
                </c:pt>
                <c:pt idx="200">
                  <c:v>55.883057063944662</c:v>
                </c:pt>
                <c:pt idx="201">
                  <c:v>55.919960969448404</c:v>
                </c:pt>
                <c:pt idx="202">
                  <c:v>56.087705994465416</c:v>
                </c:pt>
                <c:pt idx="203">
                  <c:v>56.215192213478346</c:v>
                </c:pt>
                <c:pt idx="204">
                  <c:v>56.319194128988904</c:v>
                </c:pt>
                <c:pt idx="205">
                  <c:v>56.292354924986171</c:v>
                </c:pt>
                <c:pt idx="206">
                  <c:v>56.295709825486512</c:v>
                </c:pt>
                <c:pt idx="207">
                  <c:v>56.349388233491965</c:v>
                </c:pt>
                <c:pt idx="208">
                  <c:v>56.439970547001153</c:v>
                </c:pt>
                <c:pt idx="209">
                  <c:v>56.51713325850897</c:v>
                </c:pt>
                <c:pt idx="210">
                  <c:v>56.584231268515779</c:v>
                </c:pt>
                <c:pt idx="211">
                  <c:v>56.644619477521907</c:v>
                </c:pt>
                <c:pt idx="212">
                  <c:v>56.654684179022922</c:v>
                </c:pt>
                <c:pt idx="213">
                  <c:v>56.62784497502021</c:v>
                </c:pt>
                <c:pt idx="214">
                  <c:v>56.604360671517817</c:v>
                </c:pt>
                <c:pt idx="215">
                  <c:v>56.577521467515098</c:v>
                </c:pt>
                <c:pt idx="216">
                  <c:v>56.580876368015439</c:v>
                </c:pt>
                <c:pt idx="217">
                  <c:v>56.691588084526664</c:v>
                </c:pt>
                <c:pt idx="218">
                  <c:v>56.785525298536207</c:v>
                </c:pt>
                <c:pt idx="219">
                  <c:v>56.798944900537563</c:v>
                </c:pt>
                <c:pt idx="220">
                  <c:v>56.798944900537563</c:v>
                </c:pt>
                <c:pt idx="221">
                  <c:v>56.829139005040624</c:v>
                </c:pt>
                <c:pt idx="222">
                  <c:v>56.939850721551849</c:v>
                </c:pt>
                <c:pt idx="223">
                  <c:v>57.053917338563416</c:v>
                </c:pt>
                <c:pt idx="224">
                  <c:v>57.080756542566135</c:v>
                </c:pt>
                <c:pt idx="225">
                  <c:v>57.037142836061719</c:v>
                </c:pt>
                <c:pt idx="226">
                  <c:v>56.976754627055591</c:v>
                </c:pt>
                <c:pt idx="227">
                  <c:v>57.027078134560696</c:v>
                </c:pt>
                <c:pt idx="228">
                  <c:v>57.097531045067846</c:v>
                </c:pt>
                <c:pt idx="229">
                  <c:v>57.191468259077375</c:v>
                </c:pt>
                <c:pt idx="230">
                  <c:v>57.275340771585874</c:v>
                </c:pt>
                <c:pt idx="231">
                  <c:v>57.339083881092343</c:v>
                </c:pt>
                <c:pt idx="232">
                  <c:v>57.402826990598818</c:v>
                </c:pt>
                <c:pt idx="233">
                  <c:v>57.446440697103235</c:v>
                </c:pt>
                <c:pt idx="234">
                  <c:v>57.459860299104591</c:v>
                </c:pt>
                <c:pt idx="235">
                  <c:v>57.449795597603568</c:v>
                </c:pt>
                <c:pt idx="236">
                  <c:v>57.459860299104591</c:v>
                </c:pt>
                <c:pt idx="237">
                  <c:v>57.486699503107324</c:v>
                </c:pt>
                <c:pt idx="238">
                  <c:v>57.513538707110037</c:v>
                </c:pt>
                <c:pt idx="239">
                  <c:v>57.654444528124323</c:v>
                </c:pt>
                <c:pt idx="240">
                  <c:v>57.916126767150885</c:v>
                </c:pt>
                <c:pt idx="241">
                  <c:v>58.157679603175374</c:v>
                </c:pt>
                <c:pt idx="242">
                  <c:v>58.312005026191024</c:v>
                </c:pt>
                <c:pt idx="243">
                  <c:v>58.399232439199871</c:v>
                </c:pt>
                <c:pt idx="244">
                  <c:v>58.657559777726078</c:v>
                </c:pt>
                <c:pt idx="245">
                  <c:v>58.707883285231176</c:v>
                </c:pt>
                <c:pt idx="246">
                  <c:v>58.650849976725404</c:v>
                </c:pt>
                <c:pt idx="247">
                  <c:v>58.258326618185585</c:v>
                </c:pt>
                <c:pt idx="248">
                  <c:v>57.956385573154961</c:v>
                </c:pt>
                <c:pt idx="249">
                  <c:v>57.88257776214747</c:v>
                </c:pt>
                <c:pt idx="250">
                  <c:v>58.107356095670269</c:v>
                </c:pt>
                <c:pt idx="251">
                  <c:v>58.399232439199871</c:v>
                </c:pt>
                <c:pt idx="252">
                  <c:v>58.644140175724715</c:v>
                </c:pt>
                <c:pt idx="253">
                  <c:v>58.724657787732887</c:v>
                </c:pt>
                <c:pt idx="254">
                  <c:v>58.684398981728798</c:v>
                </c:pt>
                <c:pt idx="255">
                  <c:v>58.580397066218254</c:v>
                </c:pt>
                <c:pt idx="256">
                  <c:v>58.479750051208043</c:v>
                </c:pt>
                <c:pt idx="257">
                  <c:v>58.389167737698848</c:v>
                </c:pt>
                <c:pt idx="258">
                  <c:v>58.318714827191705</c:v>
                </c:pt>
                <c:pt idx="259">
                  <c:v>58.241552115683888</c:v>
                </c:pt>
                <c:pt idx="260">
                  <c:v>58.184518807178094</c:v>
                </c:pt>
                <c:pt idx="261">
                  <c:v>58.117420797171292</c:v>
                </c:pt>
                <c:pt idx="262">
                  <c:v>58.124130598171966</c:v>
                </c:pt>
                <c:pt idx="263">
                  <c:v>58.214712911681154</c:v>
                </c:pt>
                <c:pt idx="264">
                  <c:v>58.305295225190356</c:v>
                </c:pt>
                <c:pt idx="265">
                  <c:v>58.375748135697499</c:v>
                </c:pt>
                <c:pt idx="266">
                  <c:v>58.416006941701582</c:v>
                </c:pt>
                <c:pt idx="267">
                  <c:v>58.452910847205324</c:v>
                </c:pt>
                <c:pt idx="268">
                  <c:v>58.439491245203961</c:v>
                </c:pt>
                <c:pt idx="269">
                  <c:v>58.365683434196477</c:v>
                </c:pt>
                <c:pt idx="270">
                  <c:v>58.25161681718491</c:v>
                </c:pt>
                <c:pt idx="271">
                  <c:v>58.077161991167209</c:v>
                </c:pt>
                <c:pt idx="272">
                  <c:v>57.959740473655302</c:v>
                </c:pt>
                <c:pt idx="273">
                  <c:v>57.902707165149515</c:v>
                </c:pt>
                <c:pt idx="274">
                  <c:v>57.875867961146795</c:v>
                </c:pt>
                <c:pt idx="275">
                  <c:v>57.865803259645773</c:v>
                </c:pt>
                <c:pt idx="276">
                  <c:v>57.698058234628753</c:v>
                </c:pt>
                <c:pt idx="277">
                  <c:v>57.523603408611059</c:v>
                </c:pt>
                <c:pt idx="278">
                  <c:v>57.221662363580435</c:v>
                </c:pt>
                <c:pt idx="279">
                  <c:v>56.923076219050152</c:v>
                </c:pt>
                <c:pt idx="280">
                  <c:v>56.711717487528702</c:v>
                </c:pt>
                <c:pt idx="281">
                  <c:v>56.644619477521907</c:v>
                </c:pt>
                <c:pt idx="282">
                  <c:v>56.651329278522581</c:v>
                </c:pt>
                <c:pt idx="283">
                  <c:v>56.738556691531436</c:v>
                </c:pt>
                <c:pt idx="284">
                  <c:v>56.855978209043329</c:v>
                </c:pt>
                <c:pt idx="285">
                  <c:v>56.970044826054924</c:v>
                </c:pt>
                <c:pt idx="286">
                  <c:v>57.047207537562741</c:v>
                </c:pt>
                <c:pt idx="287">
                  <c:v>57.020368333560022</c:v>
                </c:pt>
                <c:pt idx="288">
                  <c:v>56.866042910544358</c:v>
                </c:pt>
                <c:pt idx="289">
                  <c:v>56.58758616901612</c:v>
                </c:pt>
                <c:pt idx="290">
                  <c:v>56.215192213478346</c:v>
                </c:pt>
                <c:pt idx="291">
                  <c:v>55.799184551436156</c:v>
                </c:pt>
                <c:pt idx="292">
                  <c:v>55.336208282389194</c:v>
                </c:pt>
                <c:pt idx="293">
                  <c:v>54.9369751228487</c:v>
                </c:pt>
                <c:pt idx="294">
                  <c:v>54.655163480820114</c:v>
                </c:pt>
                <c:pt idx="295">
                  <c:v>54.319673430786082</c:v>
                </c:pt>
                <c:pt idx="296">
                  <c:v>54.051281390758867</c:v>
                </c:pt>
                <c:pt idx="297">
                  <c:v>53.766114848229932</c:v>
                </c:pt>
                <c:pt idx="298">
                  <c:v>53.329977783185704</c:v>
                </c:pt>
                <c:pt idx="299">
                  <c:v>53.098489648662216</c:v>
                </c:pt>
                <c:pt idx="300">
                  <c:v>53.78624425123197</c:v>
                </c:pt>
                <c:pt idx="301">
                  <c:v>53.943924574747967</c:v>
                </c:pt>
                <c:pt idx="302">
                  <c:v>53.930504972746611</c:v>
                </c:pt>
                <c:pt idx="303">
                  <c:v>52.960938728148271</c:v>
                </c:pt>
                <c:pt idx="304">
                  <c:v>51.645817732014876</c:v>
                </c:pt>
                <c:pt idx="305">
                  <c:v>50.827222009931852</c:v>
                </c:pt>
                <c:pt idx="306">
                  <c:v>50.233404621371612</c:v>
                </c:pt>
                <c:pt idx="307">
                  <c:v>49.679846038815462</c:v>
                </c:pt>
                <c:pt idx="308">
                  <c:v>49.0994482522566</c:v>
                </c:pt>
                <c:pt idx="309">
                  <c:v>48.559309271701814</c:v>
                </c:pt>
                <c:pt idx="310">
                  <c:v>48.106397704155867</c:v>
                </c:pt>
                <c:pt idx="311">
                  <c:v>47.713874345616063</c:v>
                </c:pt>
                <c:pt idx="312">
                  <c:v>47.385094096582712</c:v>
                </c:pt>
                <c:pt idx="313">
                  <c:v>47.002635439543923</c:v>
                </c:pt>
                <c:pt idx="314">
                  <c:v>46.536304269996613</c:v>
                </c:pt>
                <c:pt idx="315">
                  <c:v>45.992810388941493</c:v>
                </c:pt>
                <c:pt idx="316">
                  <c:v>45.271506781368331</c:v>
                </c:pt>
                <c:pt idx="317">
                  <c:v>44.483105163788359</c:v>
                </c:pt>
                <c:pt idx="318">
                  <c:v>43.751736854714181</c:v>
                </c:pt>
                <c:pt idx="319">
                  <c:v>43.174693968655646</c:v>
                </c:pt>
                <c:pt idx="320">
                  <c:v>42.678168694605283</c:v>
                </c:pt>
                <c:pt idx="321">
                  <c:v>42.205127724057306</c:v>
                </c:pt>
                <c:pt idx="322">
                  <c:v>41.6381495394998</c:v>
                </c:pt>
                <c:pt idx="323">
                  <c:v>40.947040036429705</c:v>
                </c:pt>
                <c:pt idx="324">
                  <c:v>40.14521881684837</c:v>
                </c:pt>
                <c:pt idx="325">
                  <c:v>39.172297671749689</c:v>
                </c:pt>
                <c:pt idx="326">
                  <c:v>38.055115805136374</c:v>
                </c:pt>
                <c:pt idx="327">
                  <c:v>36.760124212005024</c:v>
                </c:pt>
                <c:pt idx="328">
                  <c:v>35.27725819085461</c:v>
                </c:pt>
                <c:pt idx="329">
                  <c:v>33.727294159697394</c:v>
                </c:pt>
                <c:pt idx="330">
                  <c:v>32.140426223036442</c:v>
                </c:pt>
                <c:pt idx="331">
                  <c:v>30.553558286375488</c:v>
                </c:pt>
                <c:pt idx="332">
                  <c:v>29.023723658220316</c:v>
                </c:pt>
                <c:pt idx="333">
                  <c:v>27.571051741572969</c:v>
                </c:pt>
                <c:pt idx="334">
                  <c:v>26.161993531430049</c:v>
                </c:pt>
                <c:pt idx="335">
                  <c:v>24.769709823788833</c:v>
                </c:pt>
                <c:pt idx="336">
                  <c:v>23.350586912144891</c:v>
                </c:pt>
                <c:pt idx="337">
                  <c:v>21.854301288993121</c:v>
                </c:pt>
                <c:pt idx="338">
                  <c:v>20.23052944682842</c:v>
                </c:pt>
                <c:pt idx="339">
                  <c:v>18.546369395657599</c:v>
                </c:pt>
                <c:pt idx="340">
                  <c:v>16.946081856995281</c:v>
                </c:pt>
                <c:pt idx="341">
                  <c:v>15.402827626838747</c:v>
                </c:pt>
                <c:pt idx="342">
                  <c:v>13.849508695181195</c:v>
                </c:pt>
                <c:pt idx="343">
                  <c:v>12.208962350514794</c:v>
                </c:pt>
                <c:pt idx="344">
                  <c:v>10.682482622859963</c:v>
                </c:pt>
                <c:pt idx="345">
                  <c:v>9.5485262537449458</c:v>
                </c:pt>
                <c:pt idx="346">
                  <c:v>8.5252816011411596</c:v>
                </c:pt>
                <c:pt idx="347">
                  <c:v>7.4382938390309032</c:v>
                </c:pt>
                <c:pt idx="348">
                  <c:v>6.2003355544053376</c:v>
                </c:pt>
                <c:pt idx="349">
                  <c:v>5.0697340857906603</c:v>
                </c:pt>
                <c:pt idx="350">
                  <c:v>4.0867482391909586</c:v>
                </c:pt>
                <c:pt idx="351">
                  <c:v>3.2312486116041832</c:v>
                </c:pt>
                <c:pt idx="352">
                  <c:v>2.5904626160391859</c:v>
                </c:pt>
                <c:pt idx="353">
                  <c:v>2.6609155265463347</c:v>
                </c:pt>
                <c:pt idx="354">
                  <c:v>2.6374312230439538</c:v>
                </c:pt>
                <c:pt idx="355">
                  <c:v>2.5837528150385092</c:v>
                </c:pt>
                <c:pt idx="356">
                  <c:v>2.0000001279792947</c:v>
                </c:pt>
              </c:numCache>
            </c:numRef>
          </c:yVal>
          <c:smooth val="1"/>
          <c:extLst>
            <c:ext xmlns:c16="http://schemas.microsoft.com/office/drawing/2014/chart" uri="{C3380CC4-5D6E-409C-BE32-E72D297353CC}">
              <c16:uniqueId val="{00000000-0B7A-4B2F-BFF6-096568D6F33F}"/>
            </c:ext>
          </c:extLst>
        </c:ser>
        <c:dLbls>
          <c:showLegendKey val="0"/>
          <c:showVal val="0"/>
          <c:showCatName val="0"/>
          <c:showSerName val="0"/>
          <c:showPercent val="0"/>
          <c:showBubbleSize val="0"/>
        </c:dLbls>
        <c:axId val="1816210912"/>
        <c:axId val="1816211456"/>
      </c:scatterChart>
      <c:scatterChart>
        <c:scatterStyle val="smoothMarker"/>
        <c:varyColors val="0"/>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0.51300000000000001</c:v>
                </c:pt>
                <c:pt idx="1">
                  <c:v>0.54</c:v>
                </c:pt>
                <c:pt idx="2">
                  <c:v>0.56699999999999995</c:v>
                </c:pt>
                <c:pt idx="3">
                  <c:v>0.59299999999999997</c:v>
                </c:pt>
                <c:pt idx="4">
                  <c:v>0.62</c:v>
                </c:pt>
                <c:pt idx="5">
                  <c:v>0.64700000000000002</c:v>
                </c:pt>
                <c:pt idx="6">
                  <c:v>0.67300000000000004</c:v>
                </c:pt>
                <c:pt idx="7">
                  <c:v>0.7</c:v>
                </c:pt>
                <c:pt idx="8">
                  <c:v>0.72699999999999998</c:v>
                </c:pt>
                <c:pt idx="9">
                  <c:v>0.753</c:v>
                </c:pt>
                <c:pt idx="10">
                  <c:v>0.78</c:v>
                </c:pt>
                <c:pt idx="11">
                  <c:v>0.80700000000000005</c:v>
                </c:pt>
                <c:pt idx="12">
                  <c:v>0.83299999999999996</c:v>
                </c:pt>
                <c:pt idx="13">
                  <c:v>0.86</c:v>
                </c:pt>
                <c:pt idx="14">
                  <c:v>0.88700000000000001</c:v>
                </c:pt>
                <c:pt idx="15">
                  <c:v>0.91300000000000003</c:v>
                </c:pt>
                <c:pt idx="16">
                  <c:v>0.94</c:v>
                </c:pt>
                <c:pt idx="17">
                  <c:v>0.96699999999999997</c:v>
                </c:pt>
                <c:pt idx="18">
                  <c:v>0.99299999999999999</c:v>
                </c:pt>
                <c:pt idx="19">
                  <c:v>1.02</c:v>
                </c:pt>
                <c:pt idx="20">
                  <c:v>1.0469999999999999</c:v>
                </c:pt>
                <c:pt idx="21">
                  <c:v>1.073</c:v>
                </c:pt>
                <c:pt idx="22">
                  <c:v>1.1000000000000001</c:v>
                </c:pt>
                <c:pt idx="23">
                  <c:v>1.127</c:v>
                </c:pt>
                <c:pt idx="24">
                  <c:v>1.153</c:v>
                </c:pt>
                <c:pt idx="25">
                  <c:v>1.18</c:v>
                </c:pt>
                <c:pt idx="26">
                  <c:v>1.2070000000000001</c:v>
                </c:pt>
                <c:pt idx="27">
                  <c:v>1.2330000000000001</c:v>
                </c:pt>
                <c:pt idx="28">
                  <c:v>1.26</c:v>
                </c:pt>
                <c:pt idx="29">
                  <c:v>1.2869999999999999</c:v>
                </c:pt>
                <c:pt idx="30">
                  <c:v>1.3129999999999999</c:v>
                </c:pt>
                <c:pt idx="31">
                  <c:v>1.34</c:v>
                </c:pt>
                <c:pt idx="32">
                  <c:v>1.367</c:v>
                </c:pt>
                <c:pt idx="33">
                  <c:v>1.393</c:v>
                </c:pt>
                <c:pt idx="34">
                  <c:v>1.42</c:v>
                </c:pt>
                <c:pt idx="35">
                  <c:v>1.4470000000000001</c:v>
                </c:pt>
                <c:pt idx="36">
                  <c:v>1.4730000000000001</c:v>
                </c:pt>
                <c:pt idx="37">
                  <c:v>1.5</c:v>
                </c:pt>
                <c:pt idx="38">
                  <c:v>1.5269999999999999</c:v>
                </c:pt>
                <c:pt idx="39">
                  <c:v>1.5529999999999999</c:v>
                </c:pt>
                <c:pt idx="40">
                  <c:v>1.58</c:v>
                </c:pt>
                <c:pt idx="41">
                  <c:v>1.607</c:v>
                </c:pt>
                <c:pt idx="42">
                  <c:v>1.633</c:v>
                </c:pt>
                <c:pt idx="43">
                  <c:v>1.66</c:v>
                </c:pt>
                <c:pt idx="44">
                  <c:v>1.6870000000000001</c:v>
                </c:pt>
                <c:pt idx="45">
                  <c:v>1.7130000000000001</c:v>
                </c:pt>
                <c:pt idx="46">
                  <c:v>1.74</c:v>
                </c:pt>
                <c:pt idx="47">
                  <c:v>1.7669999999999999</c:v>
                </c:pt>
                <c:pt idx="48">
                  <c:v>1.7929999999999999</c:v>
                </c:pt>
                <c:pt idx="49">
                  <c:v>1.82</c:v>
                </c:pt>
                <c:pt idx="50">
                  <c:v>1.847</c:v>
                </c:pt>
                <c:pt idx="51">
                  <c:v>1.873</c:v>
                </c:pt>
                <c:pt idx="52">
                  <c:v>1.9</c:v>
                </c:pt>
                <c:pt idx="53">
                  <c:v>1.927</c:v>
                </c:pt>
                <c:pt idx="54">
                  <c:v>1.9530000000000001</c:v>
                </c:pt>
                <c:pt idx="55">
                  <c:v>1.98</c:v>
                </c:pt>
                <c:pt idx="56">
                  <c:v>2.0070000000000001</c:v>
                </c:pt>
                <c:pt idx="57">
                  <c:v>2.0329999999999999</c:v>
                </c:pt>
                <c:pt idx="58">
                  <c:v>2.06</c:v>
                </c:pt>
                <c:pt idx="59">
                  <c:v>2.0870000000000002</c:v>
                </c:pt>
                <c:pt idx="60">
                  <c:v>2.113</c:v>
                </c:pt>
                <c:pt idx="61">
                  <c:v>2.14</c:v>
                </c:pt>
                <c:pt idx="62">
                  <c:v>2.1669999999999998</c:v>
                </c:pt>
                <c:pt idx="63">
                  <c:v>2.1930000000000001</c:v>
                </c:pt>
                <c:pt idx="64">
                  <c:v>2.2200000000000002</c:v>
                </c:pt>
                <c:pt idx="65">
                  <c:v>2.2469999999999999</c:v>
                </c:pt>
                <c:pt idx="66">
                  <c:v>2.2730000000000001</c:v>
                </c:pt>
                <c:pt idx="67">
                  <c:v>2.2999999999999998</c:v>
                </c:pt>
                <c:pt idx="68">
                  <c:v>2.327</c:v>
                </c:pt>
                <c:pt idx="69">
                  <c:v>2.3530000000000002</c:v>
                </c:pt>
                <c:pt idx="70">
                  <c:v>2.38</c:v>
                </c:pt>
                <c:pt idx="71">
                  <c:v>2.407</c:v>
                </c:pt>
                <c:pt idx="72">
                  <c:v>2.4329999999999998</c:v>
                </c:pt>
                <c:pt idx="73">
                  <c:v>2.46</c:v>
                </c:pt>
                <c:pt idx="74">
                  <c:v>2.4870000000000001</c:v>
                </c:pt>
                <c:pt idx="75">
                  <c:v>2.5129999999999999</c:v>
                </c:pt>
                <c:pt idx="76">
                  <c:v>2.54</c:v>
                </c:pt>
                <c:pt idx="77">
                  <c:v>2.5670000000000002</c:v>
                </c:pt>
                <c:pt idx="78">
                  <c:v>2.593</c:v>
                </c:pt>
                <c:pt idx="79">
                  <c:v>2.62</c:v>
                </c:pt>
                <c:pt idx="80">
                  <c:v>2.6469999999999998</c:v>
                </c:pt>
                <c:pt idx="81">
                  <c:v>2.673</c:v>
                </c:pt>
                <c:pt idx="82">
                  <c:v>2.7</c:v>
                </c:pt>
                <c:pt idx="83">
                  <c:v>2.7269999999999999</c:v>
                </c:pt>
                <c:pt idx="84">
                  <c:v>2.7530000000000001</c:v>
                </c:pt>
                <c:pt idx="85">
                  <c:v>2.78</c:v>
                </c:pt>
                <c:pt idx="86">
                  <c:v>2.8069999999999999</c:v>
                </c:pt>
                <c:pt idx="87">
                  <c:v>2.8330000000000002</c:v>
                </c:pt>
                <c:pt idx="88">
                  <c:v>2.86</c:v>
                </c:pt>
                <c:pt idx="89">
                  <c:v>2.887</c:v>
                </c:pt>
                <c:pt idx="90">
                  <c:v>2.9129999999999998</c:v>
                </c:pt>
                <c:pt idx="91">
                  <c:v>2.94</c:v>
                </c:pt>
                <c:pt idx="92">
                  <c:v>2.9670000000000001</c:v>
                </c:pt>
                <c:pt idx="93">
                  <c:v>2.9929999999999999</c:v>
                </c:pt>
                <c:pt idx="94">
                  <c:v>3.02</c:v>
                </c:pt>
                <c:pt idx="95">
                  <c:v>3.0470000000000002</c:v>
                </c:pt>
                <c:pt idx="96">
                  <c:v>3.073</c:v>
                </c:pt>
                <c:pt idx="97">
                  <c:v>3.1</c:v>
                </c:pt>
                <c:pt idx="98">
                  <c:v>3.1269999999999998</c:v>
                </c:pt>
                <c:pt idx="99">
                  <c:v>3.153</c:v>
                </c:pt>
                <c:pt idx="100">
                  <c:v>3.18</c:v>
                </c:pt>
                <c:pt idx="101">
                  <c:v>3.2069999999999999</c:v>
                </c:pt>
                <c:pt idx="102">
                  <c:v>3.2330000000000001</c:v>
                </c:pt>
                <c:pt idx="103">
                  <c:v>3.26</c:v>
                </c:pt>
                <c:pt idx="104">
                  <c:v>3.2869999999999999</c:v>
                </c:pt>
                <c:pt idx="105">
                  <c:v>3.3130000000000002</c:v>
                </c:pt>
                <c:pt idx="106">
                  <c:v>3.34</c:v>
                </c:pt>
                <c:pt idx="107">
                  <c:v>3.367</c:v>
                </c:pt>
                <c:pt idx="108">
                  <c:v>3.3929999999999998</c:v>
                </c:pt>
                <c:pt idx="109">
                  <c:v>3.42</c:v>
                </c:pt>
                <c:pt idx="110">
                  <c:v>3.4470000000000001</c:v>
                </c:pt>
                <c:pt idx="111">
                  <c:v>3.4729999999999999</c:v>
                </c:pt>
                <c:pt idx="112">
                  <c:v>3.5</c:v>
                </c:pt>
                <c:pt idx="113">
                  <c:v>3.5270000000000001</c:v>
                </c:pt>
                <c:pt idx="114">
                  <c:v>3.5529999999999999</c:v>
                </c:pt>
                <c:pt idx="115">
                  <c:v>3.58</c:v>
                </c:pt>
                <c:pt idx="116">
                  <c:v>3.6070000000000002</c:v>
                </c:pt>
                <c:pt idx="117">
                  <c:v>3.633</c:v>
                </c:pt>
                <c:pt idx="118">
                  <c:v>3.66</c:v>
                </c:pt>
                <c:pt idx="119">
                  <c:v>3.6869999999999998</c:v>
                </c:pt>
                <c:pt idx="120">
                  <c:v>3.7130000000000001</c:v>
                </c:pt>
                <c:pt idx="121">
                  <c:v>3.74</c:v>
                </c:pt>
                <c:pt idx="122">
                  <c:v>3.7669999999999999</c:v>
                </c:pt>
                <c:pt idx="123">
                  <c:v>3.7930000000000001</c:v>
                </c:pt>
                <c:pt idx="124">
                  <c:v>3.82</c:v>
                </c:pt>
                <c:pt idx="125">
                  <c:v>3.847</c:v>
                </c:pt>
                <c:pt idx="126">
                  <c:v>3.8730000000000002</c:v>
                </c:pt>
                <c:pt idx="127">
                  <c:v>3.9</c:v>
                </c:pt>
                <c:pt idx="128">
                  <c:v>3.927</c:v>
                </c:pt>
                <c:pt idx="129">
                  <c:v>3.9529999999999998</c:v>
                </c:pt>
                <c:pt idx="130">
                  <c:v>3.98</c:v>
                </c:pt>
                <c:pt idx="131">
                  <c:v>4.0069999999999997</c:v>
                </c:pt>
                <c:pt idx="132">
                  <c:v>4.0330000000000004</c:v>
                </c:pt>
                <c:pt idx="133">
                  <c:v>4.0599999999999996</c:v>
                </c:pt>
                <c:pt idx="134">
                  <c:v>4.0869999999999997</c:v>
                </c:pt>
                <c:pt idx="135">
                  <c:v>4.1130000000000004</c:v>
                </c:pt>
                <c:pt idx="136">
                  <c:v>4.1399999999999997</c:v>
                </c:pt>
                <c:pt idx="137">
                  <c:v>4.1669999999999998</c:v>
                </c:pt>
                <c:pt idx="138">
                  <c:v>4.1929999999999996</c:v>
                </c:pt>
                <c:pt idx="139">
                  <c:v>4.22</c:v>
                </c:pt>
                <c:pt idx="140">
                  <c:v>4.2469999999999999</c:v>
                </c:pt>
                <c:pt idx="141">
                  <c:v>4.2729999999999997</c:v>
                </c:pt>
                <c:pt idx="142">
                  <c:v>4.3</c:v>
                </c:pt>
                <c:pt idx="143">
                  <c:v>4.327</c:v>
                </c:pt>
                <c:pt idx="144">
                  <c:v>4.3529999999999998</c:v>
                </c:pt>
                <c:pt idx="145">
                  <c:v>4.38</c:v>
                </c:pt>
                <c:pt idx="146">
                  <c:v>4.407</c:v>
                </c:pt>
                <c:pt idx="147">
                  <c:v>4.4329999999999998</c:v>
                </c:pt>
                <c:pt idx="148">
                  <c:v>4.46</c:v>
                </c:pt>
                <c:pt idx="149">
                  <c:v>4.4870000000000001</c:v>
                </c:pt>
                <c:pt idx="150">
                  <c:v>4.5129999999999999</c:v>
                </c:pt>
                <c:pt idx="151">
                  <c:v>4.54</c:v>
                </c:pt>
                <c:pt idx="152">
                  <c:v>4.5670000000000002</c:v>
                </c:pt>
                <c:pt idx="153">
                  <c:v>4.593</c:v>
                </c:pt>
                <c:pt idx="154">
                  <c:v>4.62</c:v>
                </c:pt>
                <c:pt idx="155">
                  <c:v>4.6470000000000002</c:v>
                </c:pt>
                <c:pt idx="156">
                  <c:v>4.673</c:v>
                </c:pt>
                <c:pt idx="157">
                  <c:v>4.7</c:v>
                </c:pt>
                <c:pt idx="158">
                  <c:v>4.7270000000000003</c:v>
                </c:pt>
                <c:pt idx="159">
                  <c:v>4.7530000000000001</c:v>
                </c:pt>
                <c:pt idx="160">
                  <c:v>4.78</c:v>
                </c:pt>
                <c:pt idx="161">
                  <c:v>4.8070000000000004</c:v>
                </c:pt>
                <c:pt idx="162">
                  <c:v>4.8330000000000002</c:v>
                </c:pt>
                <c:pt idx="163">
                  <c:v>4.8600000000000003</c:v>
                </c:pt>
                <c:pt idx="164">
                  <c:v>4.8869999999999996</c:v>
                </c:pt>
                <c:pt idx="165">
                  <c:v>4.9130000000000003</c:v>
                </c:pt>
                <c:pt idx="166">
                  <c:v>4.9400000000000004</c:v>
                </c:pt>
                <c:pt idx="167">
                  <c:v>4.9669999999999996</c:v>
                </c:pt>
                <c:pt idx="168">
                  <c:v>4.9930000000000003</c:v>
                </c:pt>
                <c:pt idx="169">
                  <c:v>5.0199999999999996</c:v>
                </c:pt>
                <c:pt idx="170">
                  <c:v>5.0469999999999997</c:v>
                </c:pt>
                <c:pt idx="171">
                  <c:v>5.0730000000000004</c:v>
                </c:pt>
                <c:pt idx="172">
                  <c:v>5.0999999999999996</c:v>
                </c:pt>
                <c:pt idx="173">
                  <c:v>5.1269999999999998</c:v>
                </c:pt>
                <c:pt idx="174">
                  <c:v>5.1529999999999996</c:v>
                </c:pt>
                <c:pt idx="175">
                  <c:v>5.18</c:v>
                </c:pt>
                <c:pt idx="176">
                  <c:v>5.2069999999999999</c:v>
                </c:pt>
                <c:pt idx="177">
                  <c:v>5.2329999999999997</c:v>
                </c:pt>
                <c:pt idx="178">
                  <c:v>5.26</c:v>
                </c:pt>
                <c:pt idx="179">
                  <c:v>5.2869999999999999</c:v>
                </c:pt>
                <c:pt idx="180">
                  <c:v>5.3129999999999997</c:v>
                </c:pt>
                <c:pt idx="181">
                  <c:v>5.34</c:v>
                </c:pt>
                <c:pt idx="182">
                  <c:v>5.367</c:v>
                </c:pt>
                <c:pt idx="183">
                  <c:v>5.3929999999999998</c:v>
                </c:pt>
                <c:pt idx="184">
                  <c:v>5.42</c:v>
                </c:pt>
                <c:pt idx="185">
                  <c:v>5.4470000000000001</c:v>
                </c:pt>
                <c:pt idx="186">
                  <c:v>5.4729999999999999</c:v>
                </c:pt>
                <c:pt idx="187">
                  <c:v>5.5</c:v>
                </c:pt>
                <c:pt idx="188">
                  <c:v>5.5270000000000001</c:v>
                </c:pt>
                <c:pt idx="189">
                  <c:v>5.5529999999999999</c:v>
                </c:pt>
                <c:pt idx="190">
                  <c:v>5.58</c:v>
                </c:pt>
                <c:pt idx="191">
                  <c:v>5.6070000000000002</c:v>
                </c:pt>
                <c:pt idx="192">
                  <c:v>5.633</c:v>
                </c:pt>
                <c:pt idx="193">
                  <c:v>5.66</c:v>
                </c:pt>
                <c:pt idx="194">
                  <c:v>5.6870000000000003</c:v>
                </c:pt>
                <c:pt idx="195">
                  <c:v>5.7130000000000001</c:v>
                </c:pt>
                <c:pt idx="196">
                  <c:v>5.74</c:v>
                </c:pt>
                <c:pt idx="197">
                  <c:v>5.7670000000000003</c:v>
                </c:pt>
                <c:pt idx="198">
                  <c:v>5.7930000000000001</c:v>
                </c:pt>
                <c:pt idx="199">
                  <c:v>5.82</c:v>
                </c:pt>
                <c:pt idx="200">
                  <c:v>5.8470000000000004</c:v>
                </c:pt>
                <c:pt idx="201">
                  <c:v>5.8730000000000002</c:v>
                </c:pt>
                <c:pt idx="202">
                  <c:v>5.9</c:v>
                </c:pt>
                <c:pt idx="203">
                  <c:v>5.9269999999999996</c:v>
                </c:pt>
                <c:pt idx="204">
                  <c:v>5.9530000000000003</c:v>
                </c:pt>
                <c:pt idx="205">
                  <c:v>5.98</c:v>
                </c:pt>
                <c:pt idx="206">
                  <c:v>6.0069999999999997</c:v>
                </c:pt>
                <c:pt idx="207">
                  <c:v>6.0330000000000004</c:v>
                </c:pt>
                <c:pt idx="208">
                  <c:v>6.06</c:v>
                </c:pt>
                <c:pt idx="209">
                  <c:v>6.0869999999999997</c:v>
                </c:pt>
                <c:pt idx="210">
                  <c:v>6.1130000000000004</c:v>
                </c:pt>
                <c:pt idx="211">
                  <c:v>6.14</c:v>
                </c:pt>
                <c:pt idx="212">
                  <c:v>6.1669999999999998</c:v>
                </c:pt>
                <c:pt idx="213">
                  <c:v>6.1929999999999996</c:v>
                </c:pt>
                <c:pt idx="214">
                  <c:v>6.22</c:v>
                </c:pt>
                <c:pt idx="215">
                  <c:v>6.2469999999999999</c:v>
                </c:pt>
                <c:pt idx="216">
                  <c:v>6.2729999999999997</c:v>
                </c:pt>
                <c:pt idx="217">
                  <c:v>6.3</c:v>
                </c:pt>
                <c:pt idx="218">
                  <c:v>6.327</c:v>
                </c:pt>
                <c:pt idx="219">
                  <c:v>6.3529999999999998</c:v>
                </c:pt>
                <c:pt idx="220">
                  <c:v>6.38</c:v>
                </c:pt>
                <c:pt idx="221">
                  <c:v>6.407</c:v>
                </c:pt>
                <c:pt idx="222">
                  <c:v>6.4329999999999998</c:v>
                </c:pt>
                <c:pt idx="223">
                  <c:v>6.46</c:v>
                </c:pt>
                <c:pt idx="224">
                  <c:v>6.4870000000000001</c:v>
                </c:pt>
                <c:pt idx="225">
                  <c:v>6.5129999999999999</c:v>
                </c:pt>
                <c:pt idx="226">
                  <c:v>6.54</c:v>
                </c:pt>
                <c:pt idx="227">
                  <c:v>6.5670000000000002</c:v>
                </c:pt>
                <c:pt idx="228">
                  <c:v>6.593</c:v>
                </c:pt>
                <c:pt idx="229">
                  <c:v>6.62</c:v>
                </c:pt>
                <c:pt idx="230">
                  <c:v>6.6470000000000002</c:v>
                </c:pt>
                <c:pt idx="231">
                  <c:v>6.673</c:v>
                </c:pt>
                <c:pt idx="232">
                  <c:v>6.7</c:v>
                </c:pt>
                <c:pt idx="233">
                  <c:v>6.7270000000000003</c:v>
                </c:pt>
                <c:pt idx="234">
                  <c:v>6.7530000000000001</c:v>
                </c:pt>
                <c:pt idx="235">
                  <c:v>6.78</c:v>
                </c:pt>
                <c:pt idx="236">
                  <c:v>6.8070000000000004</c:v>
                </c:pt>
                <c:pt idx="237">
                  <c:v>6.8330000000000002</c:v>
                </c:pt>
                <c:pt idx="238">
                  <c:v>6.86</c:v>
                </c:pt>
                <c:pt idx="239">
                  <c:v>6.8869999999999996</c:v>
                </c:pt>
                <c:pt idx="240">
                  <c:v>6.9130000000000003</c:v>
                </c:pt>
                <c:pt idx="241">
                  <c:v>6.94</c:v>
                </c:pt>
                <c:pt idx="242">
                  <c:v>6.9669999999999996</c:v>
                </c:pt>
                <c:pt idx="243">
                  <c:v>6.9930000000000003</c:v>
                </c:pt>
                <c:pt idx="244">
                  <c:v>7.02</c:v>
                </c:pt>
                <c:pt idx="245">
                  <c:v>7.0469999999999997</c:v>
                </c:pt>
                <c:pt idx="246">
                  <c:v>7.0730000000000004</c:v>
                </c:pt>
                <c:pt idx="247">
                  <c:v>7.1</c:v>
                </c:pt>
                <c:pt idx="248">
                  <c:v>7.1269999999999998</c:v>
                </c:pt>
                <c:pt idx="249">
                  <c:v>7.1529999999999996</c:v>
                </c:pt>
                <c:pt idx="250">
                  <c:v>7.18</c:v>
                </c:pt>
                <c:pt idx="251">
                  <c:v>7.2069999999999999</c:v>
                </c:pt>
                <c:pt idx="252">
                  <c:v>7.2329999999999997</c:v>
                </c:pt>
                <c:pt idx="253">
                  <c:v>7.26</c:v>
                </c:pt>
                <c:pt idx="254">
                  <c:v>7.2869999999999999</c:v>
                </c:pt>
                <c:pt idx="255">
                  <c:v>7.3129999999999997</c:v>
                </c:pt>
                <c:pt idx="256">
                  <c:v>7.34</c:v>
                </c:pt>
                <c:pt idx="257">
                  <c:v>7.367</c:v>
                </c:pt>
                <c:pt idx="258">
                  <c:v>7.3929999999999998</c:v>
                </c:pt>
                <c:pt idx="259">
                  <c:v>7.42</c:v>
                </c:pt>
                <c:pt idx="260">
                  <c:v>7.4470000000000001</c:v>
                </c:pt>
                <c:pt idx="261">
                  <c:v>7.4729999999999999</c:v>
                </c:pt>
                <c:pt idx="262">
                  <c:v>7.5</c:v>
                </c:pt>
                <c:pt idx="263">
                  <c:v>7.5270000000000001</c:v>
                </c:pt>
                <c:pt idx="264">
                  <c:v>7.5529999999999999</c:v>
                </c:pt>
                <c:pt idx="265">
                  <c:v>7.58</c:v>
                </c:pt>
                <c:pt idx="266">
                  <c:v>7.6070000000000002</c:v>
                </c:pt>
                <c:pt idx="267">
                  <c:v>7.633</c:v>
                </c:pt>
                <c:pt idx="268">
                  <c:v>7.66</c:v>
                </c:pt>
                <c:pt idx="269">
                  <c:v>7.6870000000000003</c:v>
                </c:pt>
                <c:pt idx="270">
                  <c:v>7.7130000000000001</c:v>
                </c:pt>
                <c:pt idx="271">
                  <c:v>7.74</c:v>
                </c:pt>
                <c:pt idx="272">
                  <c:v>7.7670000000000003</c:v>
                </c:pt>
                <c:pt idx="273">
                  <c:v>7.7930000000000001</c:v>
                </c:pt>
                <c:pt idx="274">
                  <c:v>7.82</c:v>
                </c:pt>
                <c:pt idx="275">
                  <c:v>7.8470000000000004</c:v>
                </c:pt>
                <c:pt idx="276">
                  <c:v>7.8730000000000002</c:v>
                </c:pt>
                <c:pt idx="277">
                  <c:v>7.9</c:v>
                </c:pt>
                <c:pt idx="278">
                  <c:v>7.9269999999999996</c:v>
                </c:pt>
                <c:pt idx="279">
                  <c:v>7.9530000000000003</c:v>
                </c:pt>
                <c:pt idx="280">
                  <c:v>7.98</c:v>
                </c:pt>
                <c:pt idx="281">
                  <c:v>8.0069999999999997</c:v>
                </c:pt>
                <c:pt idx="282">
                  <c:v>8.0329999999999995</c:v>
                </c:pt>
                <c:pt idx="283">
                  <c:v>8.06</c:v>
                </c:pt>
                <c:pt idx="284">
                  <c:v>8.0869999999999997</c:v>
                </c:pt>
                <c:pt idx="285">
                  <c:v>8.1129999999999995</c:v>
                </c:pt>
                <c:pt idx="286">
                  <c:v>8.14</c:v>
                </c:pt>
                <c:pt idx="287">
                  <c:v>8.1669999999999998</c:v>
                </c:pt>
                <c:pt idx="288">
                  <c:v>8.1929999999999996</c:v>
                </c:pt>
                <c:pt idx="289">
                  <c:v>8.2200000000000006</c:v>
                </c:pt>
                <c:pt idx="290">
                  <c:v>8.2469999999999999</c:v>
                </c:pt>
                <c:pt idx="291">
                  <c:v>8.2729999999999997</c:v>
                </c:pt>
                <c:pt idx="292">
                  <c:v>8.3000000000000007</c:v>
                </c:pt>
                <c:pt idx="293">
                  <c:v>8.327</c:v>
                </c:pt>
                <c:pt idx="294">
                  <c:v>8.3529999999999998</c:v>
                </c:pt>
                <c:pt idx="295">
                  <c:v>8.3800000000000008</c:v>
                </c:pt>
                <c:pt idx="296">
                  <c:v>8.407</c:v>
                </c:pt>
                <c:pt idx="297">
                  <c:v>8.4329999999999998</c:v>
                </c:pt>
                <c:pt idx="298">
                  <c:v>8.4600000000000009</c:v>
                </c:pt>
                <c:pt idx="299">
                  <c:v>8.4870000000000001</c:v>
                </c:pt>
                <c:pt idx="300">
                  <c:v>8.5129999999999999</c:v>
                </c:pt>
                <c:pt idx="301">
                  <c:v>8.5399999999999991</c:v>
                </c:pt>
                <c:pt idx="302">
                  <c:v>8.5670000000000002</c:v>
                </c:pt>
                <c:pt idx="303">
                  <c:v>8.593</c:v>
                </c:pt>
                <c:pt idx="304">
                  <c:v>8.6199999999999992</c:v>
                </c:pt>
                <c:pt idx="305">
                  <c:v>8.6470000000000002</c:v>
                </c:pt>
                <c:pt idx="306">
                  <c:v>8.673</c:v>
                </c:pt>
                <c:pt idx="307">
                  <c:v>8.6999999999999993</c:v>
                </c:pt>
                <c:pt idx="308">
                  <c:v>8.7270000000000003</c:v>
                </c:pt>
                <c:pt idx="309">
                  <c:v>8.7530000000000001</c:v>
                </c:pt>
                <c:pt idx="310">
                  <c:v>8.7799999999999994</c:v>
                </c:pt>
                <c:pt idx="311">
                  <c:v>8.8070000000000004</c:v>
                </c:pt>
                <c:pt idx="312">
                  <c:v>8.8330000000000002</c:v>
                </c:pt>
                <c:pt idx="313">
                  <c:v>8.86</c:v>
                </c:pt>
                <c:pt idx="314">
                  <c:v>8.8870000000000005</c:v>
                </c:pt>
                <c:pt idx="315">
                  <c:v>8.9130000000000003</c:v>
                </c:pt>
                <c:pt idx="316">
                  <c:v>8.94</c:v>
                </c:pt>
                <c:pt idx="317">
                  <c:v>8.9670000000000005</c:v>
                </c:pt>
                <c:pt idx="318">
                  <c:v>8.9930000000000003</c:v>
                </c:pt>
                <c:pt idx="319">
                  <c:v>9.02</c:v>
                </c:pt>
                <c:pt idx="320">
                  <c:v>9.0470000000000006</c:v>
                </c:pt>
                <c:pt idx="321">
                  <c:v>9.0730000000000004</c:v>
                </c:pt>
                <c:pt idx="322">
                  <c:v>9.1</c:v>
                </c:pt>
                <c:pt idx="323">
                  <c:v>9.1270000000000007</c:v>
                </c:pt>
                <c:pt idx="324">
                  <c:v>9.1530000000000005</c:v>
                </c:pt>
                <c:pt idx="325">
                  <c:v>9.18</c:v>
                </c:pt>
                <c:pt idx="326">
                  <c:v>9.2070000000000007</c:v>
                </c:pt>
                <c:pt idx="327">
                  <c:v>9.2330000000000005</c:v>
                </c:pt>
                <c:pt idx="328">
                  <c:v>9.26</c:v>
                </c:pt>
                <c:pt idx="329">
                  <c:v>9.2870000000000008</c:v>
                </c:pt>
                <c:pt idx="330">
                  <c:v>9.3130000000000006</c:v>
                </c:pt>
                <c:pt idx="331">
                  <c:v>9.34</c:v>
                </c:pt>
                <c:pt idx="332">
                  <c:v>9.3670000000000009</c:v>
                </c:pt>
                <c:pt idx="333">
                  <c:v>9.3930000000000007</c:v>
                </c:pt>
                <c:pt idx="334">
                  <c:v>9.42</c:v>
                </c:pt>
                <c:pt idx="335">
                  <c:v>9.4469999999999992</c:v>
                </c:pt>
                <c:pt idx="336">
                  <c:v>9.4730000000000008</c:v>
                </c:pt>
                <c:pt idx="337">
                  <c:v>9.5</c:v>
                </c:pt>
                <c:pt idx="338">
                  <c:v>9.5269999999999992</c:v>
                </c:pt>
                <c:pt idx="339">
                  <c:v>9.5530000000000008</c:v>
                </c:pt>
                <c:pt idx="340">
                  <c:v>9.58</c:v>
                </c:pt>
                <c:pt idx="341">
                  <c:v>9.6069999999999993</c:v>
                </c:pt>
                <c:pt idx="342">
                  <c:v>9.6329999999999991</c:v>
                </c:pt>
                <c:pt idx="343">
                  <c:v>9.66</c:v>
                </c:pt>
                <c:pt idx="344">
                  <c:v>9.6869999999999994</c:v>
                </c:pt>
                <c:pt idx="345">
                  <c:v>9.7129999999999992</c:v>
                </c:pt>
                <c:pt idx="346">
                  <c:v>9.74</c:v>
                </c:pt>
                <c:pt idx="347">
                  <c:v>9.7669999999999995</c:v>
                </c:pt>
                <c:pt idx="348">
                  <c:v>9.7929999999999993</c:v>
                </c:pt>
                <c:pt idx="349">
                  <c:v>9.82</c:v>
                </c:pt>
                <c:pt idx="350">
                  <c:v>9.8469999999999995</c:v>
                </c:pt>
                <c:pt idx="351">
                  <c:v>9.8729999999999993</c:v>
                </c:pt>
                <c:pt idx="352">
                  <c:v>9.9</c:v>
                </c:pt>
                <c:pt idx="353">
                  <c:v>9.9269999999999996</c:v>
                </c:pt>
                <c:pt idx="354">
                  <c:v>9.9529999999999994</c:v>
                </c:pt>
                <c:pt idx="355">
                  <c:v>9.98</c:v>
                </c:pt>
                <c:pt idx="356">
                  <c:v>10.007</c:v>
                </c:pt>
              </c:numCache>
            </c:numRef>
          </c:xVal>
          <c:yVal>
            <c:numRef>
              <c:f>ChromatogramData!$C$2:$C$10001</c:f>
              <c:numCache>
                <c:formatCode>General</c:formatCode>
                <c:ptCount val="10000"/>
                <c:pt idx="0">
                  <c:v>10.108794512521959</c:v>
                </c:pt>
                <c:pt idx="1">
                  <c:v>7.4483584157521099</c:v>
                </c:pt>
                <c:pt idx="2">
                  <c:v>5.6232925435669934</c:v>
                </c:pt>
                <c:pt idx="3">
                  <c:v>5.2710279910312625</c:v>
                </c:pt>
                <c:pt idx="4">
                  <c:v>5.311286797035347</c:v>
                </c:pt>
                <c:pt idx="5">
                  <c:v>5.0529594585091449</c:v>
                </c:pt>
                <c:pt idx="6">
                  <c:v>4.4222381644451705</c:v>
                </c:pt>
                <c:pt idx="7">
                  <c:v>3.7915168703811961</c:v>
                </c:pt>
                <c:pt idx="8">
                  <c:v>3.415768014343084</c:v>
                </c:pt>
                <c:pt idx="9">
                  <c:v>3.3453151038359374</c:v>
                </c:pt>
                <c:pt idx="10">
                  <c:v>3.3922837108407018</c:v>
                </c:pt>
                <c:pt idx="11">
                  <c:v>3.4627366213478479</c:v>
                </c:pt>
                <c:pt idx="12">
                  <c:v>3.4761562233492089</c:v>
                </c:pt>
                <c:pt idx="13">
                  <c:v>3.385573909840021</c:v>
                </c:pt>
                <c:pt idx="14">
                  <c:v>3.237958287825049</c:v>
                </c:pt>
                <c:pt idx="15">
                  <c:v>3.1071171683117775</c:v>
                </c:pt>
                <c:pt idx="16">
                  <c:v>3.0232446558032704</c:v>
                </c:pt>
                <c:pt idx="17">
                  <c:v>2.9293074417937421</c:v>
                </c:pt>
                <c:pt idx="18">
                  <c:v>2.8521447302859153</c:v>
                </c:pt>
                <c:pt idx="19">
                  <c:v>2.7816918197787692</c:v>
                </c:pt>
                <c:pt idx="20">
                  <c:v>2.7112389092716236</c:v>
                </c:pt>
                <c:pt idx="21">
                  <c:v>2.6508507002654982</c:v>
                </c:pt>
                <c:pt idx="22">
                  <c:v>2.5904624912593732</c:v>
                </c:pt>
                <c:pt idx="23">
                  <c:v>2.5434938842546089</c:v>
                </c:pt>
                <c:pt idx="24">
                  <c:v>2.5367840832539286</c:v>
                </c:pt>
                <c:pt idx="25">
                  <c:v>2.5468487847549497</c:v>
                </c:pt>
                <c:pt idx="26">
                  <c:v>2.5300742822532478</c:v>
                </c:pt>
                <c:pt idx="27">
                  <c:v>2.5132997797515464</c:v>
                </c:pt>
                <c:pt idx="28">
                  <c:v>2.509944879251206</c:v>
                </c:pt>
                <c:pt idx="29">
                  <c:v>2.4831056752484839</c:v>
                </c:pt>
                <c:pt idx="30">
                  <c:v>2.4596213717461017</c:v>
                </c:pt>
                <c:pt idx="31">
                  <c:v>2.4193625657420186</c:v>
                </c:pt>
                <c:pt idx="32">
                  <c:v>2.3522645557352129</c:v>
                </c:pt>
                <c:pt idx="33">
                  <c:v>2.2818116452280668</c:v>
                </c:pt>
                <c:pt idx="34">
                  <c:v>2.2113587347209207</c:v>
                </c:pt>
                <c:pt idx="35">
                  <c:v>2.1308411227127535</c:v>
                </c:pt>
                <c:pt idx="36">
                  <c:v>2.0771627147073093</c:v>
                </c:pt>
                <c:pt idx="37">
                  <c:v>2.0603882122056079</c:v>
                </c:pt>
                <c:pt idx="38">
                  <c:v>2.0469686102042464</c:v>
                </c:pt>
                <c:pt idx="39">
                  <c:v>2.0100647047005031</c:v>
                </c:pt>
                <c:pt idx="40">
                  <c:v>2.0000000031994825</c:v>
                </c:pt>
                <c:pt idx="41">
                  <c:v>2.0100647047005031</c:v>
                </c:pt>
                <c:pt idx="42">
                  <c:v>2.0301941077025449</c:v>
                </c:pt>
                <c:pt idx="43">
                  <c:v>2.0503235107045867</c:v>
                </c:pt>
                <c:pt idx="44">
                  <c:v>2.0972921177093506</c:v>
                </c:pt>
                <c:pt idx="45">
                  <c:v>2.1509705257147953</c:v>
                </c:pt>
                <c:pt idx="46">
                  <c:v>2.2080038342205803</c:v>
                </c:pt>
                <c:pt idx="47">
                  <c:v>2.2683920432267053</c:v>
                </c:pt>
                <c:pt idx="48">
                  <c:v>2.31871555073181</c:v>
                </c:pt>
                <c:pt idx="49">
                  <c:v>2.3958782622396364</c:v>
                </c:pt>
                <c:pt idx="50">
                  <c:v>2.4797507747481435</c:v>
                </c:pt>
                <c:pt idx="51">
                  <c:v>2.566978187756991</c:v>
                </c:pt>
                <c:pt idx="52">
                  <c:v>2.6508507002654982</c:v>
                </c:pt>
                <c:pt idx="53">
                  <c:v>2.7414330137746861</c:v>
                </c:pt>
                <c:pt idx="54">
                  <c:v>2.8420800287848946</c:v>
                </c:pt>
                <c:pt idx="55">
                  <c:v>2.962856446797145</c:v>
                </c:pt>
                <c:pt idx="56">
                  <c:v>3.080277964309055</c:v>
                </c:pt>
                <c:pt idx="57">
                  <c:v>3.1909896808202847</c:v>
                </c:pt>
                <c:pt idx="58">
                  <c:v>3.3184758998332153</c:v>
                </c:pt>
                <c:pt idx="59">
                  <c:v>3.4459621188461464</c:v>
                </c:pt>
                <c:pt idx="60">
                  <c:v>3.5734483378590776</c:v>
                </c:pt>
                <c:pt idx="61">
                  <c:v>3.6841600543703072</c:v>
                </c:pt>
                <c:pt idx="62">
                  <c:v>3.7814521688801754</c:v>
                </c:pt>
                <c:pt idx="63">
                  <c:v>3.8586148803880018</c:v>
                </c:pt>
                <c:pt idx="64">
                  <c:v>3.942487392896509</c:v>
                </c:pt>
                <c:pt idx="65">
                  <c:v>4.0632638109087598</c:v>
                </c:pt>
                <c:pt idx="66">
                  <c:v>4.1672657264193083</c:v>
                </c:pt>
                <c:pt idx="67">
                  <c:v>4.2846872439312182</c:v>
                </c:pt>
                <c:pt idx="68">
                  <c:v>4.4222381644451705</c:v>
                </c:pt>
                <c:pt idx="69">
                  <c:v>4.5564341844587819</c:v>
                </c:pt>
                <c:pt idx="70">
                  <c:v>4.6671459009700111</c:v>
                </c:pt>
                <c:pt idx="71">
                  <c:v>4.7812125179815812</c:v>
                </c:pt>
                <c:pt idx="72">
                  <c:v>4.932183040496894</c:v>
                </c:pt>
                <c:pt idx="73">
                  <c:v>5.1267672695166304</c:v>
                </c:pt>
                <c:pt idx="74">
                  <c:v>5.5796788370625698</c:v>
                </c:pt>
                <c:pt idx="75">
                  <c:v>6.4251137631483219</c:v>
                </c:pt>
                <c:pt idx="76">
                  <c:v>6.9015096341966427</c:v>
                </c:pt>
                <c:pt idx="77">
                  <c:v>6.5291156786588704</c:v>
                </c:pt>
                <c:pt idx="78">
                  <c:v>5.9654923946017027</c:v>
                </c:pt>
                <c:pt idx="79">
                  <c:v>5.7105199565758404</c:v>
                </c:pt>
                <c:pt idx="80">
                  <c:v>5.6132278420659718</c:v>
                </c:pt>
                <c:pt idx="81">
                  <c:v>5.5796788370625698</c:v>
                </c:pt>
                <c:pt idx="82">
                  <c:v>5.5561945335601877</c:v>
                </c:pt>
                <c:pt idx="83">
                  <c:v>5.5260004290571256</c:v>
                </c:pt>
                <c:pt idx="84">
                  <c:v>5.5025161255547435</c:v>
                </c:pt>
                <c:pt idx="85">
                  <c:v>5.5125808270557641</c:v>
                </c:pt>
                <c:pt idx="86">
                  <c:v>5.5528396330598477</c:v>
                </c:pt>
                <c:pt idx="87">
                  <c:v>5.5930984390639313</c:v>
                </c:pt>
                <c:pt idx="88">
                  <c:v>5.6769709515724376</c:v>
                </c:pt>
                <c:pt idx="89">
                  <c:v>5.8749100810925148</c:v>
                </c:pt>
                <c:pt idx="90">
                  <c:v>6.0292355041081684</c:v>
                </c:pt>
                <c:pt idx="91">
                  <c:v>6.0527198076105497</c:v>
                </c:pt>
                <c:pt idx="92">
                  <c:v>6.0426551061095291</c:v>
                </c:pt>
                <c:pt idx="93">
                  <c:v>6.220464832627564</c:v>
                </c:pt>
                <c:pt idx="94">
                  <c:v>6.7807332161843927</c:v>
                </c:pt>
                <c:pt idx="95">
                  <c:v>7.0189311517085526</c:v>
                </c:pt>
                <c:pt idx="96">
                  <c:v>6.7840881166847335</c:v>
                </c:pt>
                <c:pt idx="97">
                  <c:v>6.8075724201871148</c:v>
                </c:pt>
                <c:pt idx="98">
                  <c:v>7.1564820722225058</c:v>
                </c:pt>
                <c:pt idx="99">
                  <c:v>7.3074525947378177</c:v>
                </c:pt>
                <c:pt idx="100">
                  <c:v>7.5490054307623193</c:v>
                </c:pt>
                <c:pt idx="101">
                  <c:v>7.4684878187541521</c:v>
                </c:pt>
                <c:pt idx="102">
                  <c:v>6.8780253306942605</c:v>
                </c:pt>
                <c:pt idx="103">
                  <c:v>6.2875628426343706</c:v>
                </c:pt>
                <c:pt idx="104">
                  <c:v>6.1231727181176963</c:v>
                </c:pt>
                <c:pt idx="105">
                  <c:v>6.0829139121136127</c:v>
                </c:pt>
                <c:pt idx="106">
                  <c:v>6.0795590116132727</c:v>
                </c:pt>
                <c:pt idx="107">
                  <c:v>6.1332374196187169</c:v>
                </c:pt>
                <c:pt idx="108">
                  <c:v>6.1365923201190569</c:v>
                </c:pt>
                <c:pt idx="109">
                  <c:v>6.1164629171170155</c:v>
                </c:pt>
                <c:pt idx="110">
                  <c:v>6.2372393351292663</c:v>
                </c:pt>
                <c:pt idx="111">
                  <c:v>6.421758862647982</c:v>
                </c:pt>
                <c:pt idx="112">
                  <c:v>6.4687274696527455</c:v>
                </c:pt>
                <c:pt idx="113">
                  <c:v>6.3747902556432177</c:v>
                </c:pt>
                <c:pt idx="114">
                  <c:v>6.2607236386316476</c:v>
                </c:pt>
                <c:pt idx="115">
                  <c:v>6.2070452306262034</c:v>
                </c:pt>
                <c:pt idx="116">
                  <c:v>6.2003354296255226</c:v>
                </c:pt>
                <c:pt idx="117">
                  <c:v>6.2540138376309669</c:v>
                </c:pt>
                <c:pt idx="118">
                  <c:v>6.4083392606466205</c:v>
                </c:pt>
                <c:pt idx="119">
                  <c:v>6.8746704301939205</c:v>
                </c:pt>
                <c:pt idx="120">
                  <c:v>7.1464173707214833</c:v>
                </c:pt>
                <c:pt idx="121">
                  <c:v>7.1531271717221649</c:v>
                </c:pt>
                <c:pt idx="122">
                  <c:v>7.0960938632163799</c:v>
                </c:pt>
                <c:pt idx="123">
                  <c:v>6.891444932695622</c:v>
                </c:pt>
                <c:pt idx="124">
                  <c:v>6.5895038876649963</c:v>
                </c:pt>
                <c:pt idx="125">
                  <c:v>6.4787921711537662</c:v>
                </c:pt>
                <c:pt idx="126">
                  <c:v>6.5559548826615934</c:v>
                </c:pt>
                <c:pt idx="127">
                  <c:v>6.6532469971714612</c:v>
                </c:pt>
                <c:pt idx="128">
                  <c:v>6.686796002174864</c:v>
                </c:pt>
                <c:pt idx="129">
                  <c:v>6.6532469971714612</c:v>
                </c:pt>
                <c:pt idx="130">
                  <c:v>6.6196979921680583</c:v>
                </c:pt>
                <c:pt idx="131">
                  <c:v>6.6264077931687391</c:v>
                </c:pt>
                <c:pt idx="132">
                  <c:v>6.6364724946697606</c:v>
                </c:pt>
                <c:pt idx="133">
                  <c:v>6.5794391861639756</c:v>
                </c:pt>
                <c:pt idx="134">
                  <c:v>6.4418882656500234</c:v>
                </c:pt>
                <c:pt idx="135">
                  <c:v>6.304337345136072</c:v>
                </c:pt>
                <c:pt idx="136">
                  <c:v>6.2774981411333499</c:v>
                </c:pt>
                <c:pt idx="137">
                  <c:v>6.4016294596459398</c:v>
                </c:pt>
                <c:pt idx="138">
                  <c:v>6.5257607781585305</c:v>
                </c:pt>
                <c:pt idx="139">
                  <c:v>6.5525999821612526</c:v>
                </c:pt>
                <c:pt idx="140">
                  <c:v>6.5257607781585305</c:v>
                </c:pt>
                <c:pt idx="141">
                  <c:v>6.4653725691524047</c:v>
                </c:pt>
                <c:pt idx="142">
                  <c:v>6.4754372706534262</c:v>
                </c:pt>
                <c:pt idx="143">
                  <c:v>8.6225735908712089</c:v>
                </c:pt>
                <c:pt idx="144">
                  <c:v>16.137550711633452</c:v>
                </c:pt>
                <c:pt idx="145">
                  <c:v>22.317277433260266</c:v>
                </c:pt>
                <c:pt idx="146">
                  <c:v>22.703090990799399</c:v>
                </c:pt>
                <c:pt idx="147">
                  <c:v>18.143781210836949</c:v>
                </c:pt>
                <c:pt idx="148">
                  <c:v>13.574406729373475</c:v>
                </c:pt>
                <c:pt idx="149">
                  <c:v>10.863647125098524</c:v>
                </c:pt>
                <c:pt idx="150">
                  <c:v>9.6256888404729555</c:v>
                </c:pt>
                <c:pt idx="151">
                  <c:v>9.0117420489106834</c:v>
                </c:pt>
                <c:pt idx="152">
                  <c:v>8.7366402078827807</c:v>
                </c:pt>
                <c:pt idx="153">
                  <c:v>8.5454108793633825</c:v>
                </c:pt>
                <c:pt idx="154">
                  <c:v>8.2535345358337793</c:v>
                </c:pt>
                <c:pt idx="155">
                  <c:v>8.1025640133184673</c:v>
                </c:pt>
                <c:pt idx="156">
                  <c:v>8.2367600333320787</c:v>
                </c:pt>
                <c:pt idx="157">
                  <c:v>8.3306972473416074</c:v>
                </c:pt>
                <c:pt idx="158">
                  <c:v>8.0924993118174449</c:v>
                </c:pt>
                <c:pt idx="159">
                  <c:v>7.7872033662864792</c:v>
                </c:pt>
                <c:pt idx="160">
                  <c:v>7.5724897342647006</c:v>
                </c:pt>
                <c:pt idx="161">
                  <c:v>7.4282290127500685</c:v>
                </c:pt>
                <c:pt idx="162">
                  <c:v>7.357776102242922</c:v>
                </c:pt>
                <c:pt idx="163">
                  <c:v>7.3376466992408806</c:v>
                </c:pt>
                <c:pt idx="164">
                  <c:v>7.4416486147514291</c:v>
                </c:pt>
                <c:pt idx="165">
                  <c:v>7.5121015252585748</c:v>
                </c:pt>
                <c:pt idx="166">
                  <c:v>7.5188113262592555</c:v>
                </c:pt>
                <c:pt idx="167">
                  <c:v>7.4953270227568742</c:v>
                </c:pt>
                <c:pt idx="168">
                  <c:v>7.4684878187541521</c:v>
                </c:pt>
                <c:pt idx="169">
                  <c:v>7.4684878187541521</c:v>
                </c:pt>
                <c:pt idx="170">
                  <c:v>7.4349388137507484</c:v>
                </c:pt>
                <c:pt idx="171">
                  <c:v>7.3812604057453042</c:v>
                </c:pt>
                <c:pt idx="172">
                  <c:v>7.330936898240199</c:v>
                </c:pt>
                <c:pt idx="173">
                  <c:v>7.3208721967391792</c:v>
                </c:pt>
                <c:pt idx="174">
                  <c:v>7.3342917987405398</c:v>
                </c:pt>
                <c:pt idx="175">
                  <c:v>7.32758199773986</c:v>
                </c:pt>
                <c:pt idx="176">
                  <c:v>7.3175172962388384</c:v>
                </c:pt>
                <c:pt idx="177">
                  <c:v>7.297387893236797</c:v>
                </c:pt>
                <c:pt idx="178">
                  <c:v>7.2638388882333942</c:v>
                </c:pt>
                <c:pt idx="179">
                  <c:v>7.2437094852313528</c:v>
                </c:pt>
                <c:pt idx="180">
                  <c:v>8.2434698343327568</c:v>
                </c:pt>
                <c:pt idx="181">
                  <c:v>13.725377251888787</c:v>
                </c:pt>
                <c:pt idx="182">
                  <c:v>19.727294246997566</c:v>
                </c:pt>
                <c:pt idx="183">
                  <c:v>22.780253702307224</c:v>
                </c:pt>
                <c:pt idx="184">
                  <c:v>21.327581785659881</c:v>
                </c:pt>
                <c:pt idx="185">
                  <c:v>17.429187404264468</c:v>
                </c:pt>
                <c:pt idx="186">
                  <c:v>13.460340112361905</c:v>
                </c:pt>
                <c:pt idx="187">
                  <c:v>10.786484413590696</c:v>
                </c:pt>
                <c:pt idx="188">
                  <c:v>9.3170379944416517</c:v>
                </c:pt>
                <c:pt idx="189">
                  <c:v>8.5319912773620246</c:v>
                </c:pt>
                <c:pt idx="190">
                  <c:v>8.1193385158201679</c:v>
                </c:pt>
                <c:pt idx="191">
                  <c:v>7.8442366747922634</c:v>
                </c:pt>
                <c:pt idx="192">
                  <c:v>7.67649164977525</c:v>
                </c:pt>
                <c:pt idx="193">
                  <c:v>7.5456505302619785</c:v>
                </c:pt>
                <c:pt idx="194">
                  <c:v>7.4584231172531306</c:v>
                </c:pt>
                <c:pt idx="195">
                  <c:v>7.4483584157521099</c:v>
                </c:pt>
                <c:pt idx="196">
                  <c:v>7.4684878187541521</c:v>
                </c:pt>
                <c:pt idx="197">
                  <c:v>7.5355858287609578</c:v>
                </c:pt>
                <c:pt idx="198">
                  <c:v>7.5389407292612969</c:v>
                </c:pt>
                <c:pt idx="199">
                  <c:v>7.5221662267595963</c:v>
                </c:pt>
                <c:pt idx="200">
                  <c:v>7.4517133162524498</c:v>
                </c:pt>
                <c:pt idx="201">
                  <c:v>7.414809410748707</c:v>
                </c:pt>
                <c:pt idx="202">
                  <c:v>7.5590701322633391</c:v>
                </c:pt>
                <c:pt idx="203">
                  <c:v>7.6530073462728678</c:v>
                </c:pt>
                <c:pt idx="204">
                  <c:v>7.6530073462728678</c:v>
                </c:pt>
                <c:pt idx="205">
                  <c:v>7.5188113262592555</c:v>
                </c:pt>
                <c:pt idx="206">
                  <c:v>7.4114545102483662</c:v>
                </c:pt>
                <c:pt idx="207">
                  <c:v>7.3477114007419013</c:v>
                </c:pt>
                <c:pt idx="208">
                  <c:v>7.3342917987405398</c:v>
                </c:pt>
                <c:pt idx="209">
                  <c:v>7.32758199773986</c:v>
                </c:pt>
                <c:pt idx="210">
                  <c:v>7.3108074952381576</c:v>
                </c:pt>
                <c:pt idx="211">
                  <c:v>7.2940329927364562</c:v>
                </c:pt>
                <c:pt idx="212">
                  <c:v>7.2772584902347557</c:v>
                </c:pt>
                <c:pt idx="213">
                  <c:v>7.2806133907350956</c:v>
                </c:pt>
                <c:pt idx="214">
                  <c:v>7.2739035897344149</c:v>
                </c:pt>
                <c:pt idx="215">
                  <c:v>7.2671937887337341</c:v>
                </c:pt>
                <c:pt idx="216">
                  <c:v>7.2638388882333942</c:v>
                </c:pt>
                <c:pt idx="217">
                  <c:v>7.2705486892340749</c:v>
                </c:pt>
                <c:pt idx="218">
                  <c:v>7.2873231917357764</c:v>
                </c:pt>
                <c:pt idx="219">
                  <c:v>7.3040976942374769</c:v>
                </c:pt>
                <c:pt idx="220">
                  <c:v>7.3040976942374769</c:v>
                </c:pt>
                <c:pt idx="221">
                  <c:v>7.3074525947378177</c:v>
                </c:pt>
                <c:pt idx="222">
                  <c:v>7.3175172962388384</c:v>
                </c:pt>
                <c:pt idx="223">
                  <c:v>7.3510663012422413</c:v>
                </c:pt>
                <c:pt idx="224">
                  <c:v>7.3946800077466648</c:v>
                </c:pt>
                <c:pt idx="225">
                  <c:v>7.414809410748707</c:v>
                </c:pt>
                <c:pt idx="226">
                  <c:v>7.4349388137507484</c:v>
                </c:pt>
                <c:pt idx="227">
                  <c:v>7.4282290127500685</c:v>
                </c:pt>
                <c:pt idx="228">
                  <c:v>7.4080996097480263</c:v>
                </c:pt>
                <c:pt idx="229">
                  <c:v>7.4047447092476864</c:v>
                </c:pt>
                <c:pt idx="230">
                  <c:v>7.4080996097480263</c:v>
                </c:pt>
                <c:pt idx="231">
                  <c:v>7.4114545102483662</c:v>
                </c:pt>
                <c:pt idx="232">
                  <c:v>7.4282290127500685</c:v>
                </c:pt>
                <c:pt idx="233">
                  <c:v>7.418164311249047</c:v>
                </c:pt>
                <c:pt idx="234">
                  <c:v>7.4114545102483662</c:v>
                </c:pt>
                <c:pt idx="235">
                  <c:v>7.418164311249047</c:v>
                </c:pt>
                <c:pt idx="236">
                  <c:v>7.4315839132504085</c:v>
                </c:pt>
                <c:pt idx="237">
                  <c:v>7.4282290127500685</c:v>
                </c:pt>
                <c:pt idx="238">
                  <c:v>7.4550682167527906</c:v>
                </c:pt>
                <c:pt idx="239">
                  <c:v>7.4986819232572133</c:v>
                </c:pt>
                <c:pt idx="240">
                  <c:v>7.5422956297616377</c:v>
                </c:pt>
                <c:pt idx="241">
                  <c:v>7.5993289382674227</c:v>
                </c:pt>
                <c:pt idx="242">
                  <c:v>7.6328779432708256</c:v>
                </c:pt>
                <c:pt idx="243">
                  <c:v>7.6429426447718471</c:v>
                </c:pt>
                <c:pt idx="244">
                  <c:v>7.6597171472735477</c:v>
                </c:pt>
                <c:pt idx="245">
                  <c:v>7.6630720477738885</c:v>
                </c:pt>
                <c:pt idx="246">
                  <c:v>7.6630720477738885</c:v>
                </c:pt>
                <c:pt idx="247">
                  <c:v>7.5758446347650414</c:v>
                </c:pt>
                <c:pt idx="248">
                  <c:v>7.5389407292612969</c:v>
                </c:pt>
                <c:pt idx="249">
                  <c:v>7.5422956297616377</c:v>
                </c:pt>
                <c:pt idx="250">
                  <c:v>7.5691348337643607</c:v>
                </c:pt>
                <c:pt idx="251">
                  <c:v>7.5959740377670828</c:v>
                </c:pt>
                <c:pt idx="252">
                  <c:v>7.6194583412694641</c:v>
                </c:pt>
                <c:pt idx="253">
                  <c:v>7.6194583412694641</c:v>
                </c:pt>
                <c:pt idx="254">
                  <c:v>7.6261681422701448</c:v>
                </c:pt>
                <c:pt idx="255">
                  <c:v>7.6127485402687842</c:v>
                </c:pt>
                <c:pt idx="256">
                  <c:v>7.6194583412694641</c:v>
                </c:pt>
                <c:pt idx="257">
                  <c:v>7.6395877442715063</c:v>
                </c:pt>
                <c:pt idx="258">
                  <c:v>7.6530073462728678</c:v>
                </c:pt>
                <c:pt idx="259">
                  <c:v>7.6697818487745693</c:v>
                </c:pt>
                <c:pt idx="260">
                  <c:v>7.67649164977525</c:v>
                </c:pt>
                <c:pt idx="261">
                  <c:v>7.67649164977525</c:v>
                </c:pt>
                <c:pt idx="262">
                  <c:v>7.6832014507759299</c:v>
                </c:pt>
                <c:pt idx="263">
                  <c:v>7.706685754278312</c:v>
                </c:pt>
                <c:pt idx="264">
                  <c:v>7.7435896597820548</c:v>
                </c:pt>
                <c:pt idx="265">
                  <c:v>7.7502994607827356</c:v>
                </c:pt>
                <c:pt idx="266">
                  <c:v>7.767073963284437</c:v>
                </c:pt>
                <c:pt idx="267">
                  <c:v>7.767073963284437</c:v>
                </c:pt>
                <c:pt idx="268">
                  <c:v>7.7637190627840962</c:v>
                </c:pt>
                <c:pt idx="269">
                  <c:v>7.7704288637847769</c:v>
                </c:pt>
                <c:pt idx="270">
                  <c:v>7.7737837642851177</c:v>
                </c:pt>
                <c:pt idx="271">
                  <c:v>7.7704288637847769</c:v>
                </c:pt>
                <c:pt idx="272">
                  <c:v>7.7838484657861384</c:v>
                </c:pt>
                <c:pt idx="273">
                  <c:v>7.79391316728716</c:v>
                </c:pt>
                <c:pt idx="274">
                  <c:v>7.8073327692885206</c:v>
                </c:pt>
                <c:pt idx="275">
                  <c:v>7.8475915752926042</c:v>
                </c:pt>
                <c:pt idx="276">
                  <c:v>7.8475915752926042</c:v>
                </c:pt>
                <c:pt idx="277">
                  <c:v>7.8375268737915835</c:v>
                </c:pt>
                <c:pt idx="278">
                  <c:v>7.827462172290562</c:v>
                </c:pt>
                <c:pt idx="279">
                  <c:v>7.8106876697888605</c:v>
                </c:pt>
                <c:pt idx="280">
                  <c:v>7.8207523712898821</c:v>
                </c:pt>
                <c:pt idx="281">
                  <c:v>7.8475915752926042</c:v>
                </c:pt>
                <c:pt idx="282">
                  <c:v>7.8744307792953263</c:v>
                </c:pt>
                <c:pt idx="283">
                  <c:v>7.9046248837983892</c:v>
                </c:pt>
                <c:pt idx="284">
                  <c:v>7.9549483913034935</c:v>
                </c:pt>
                <c:pt idx="285">
                  <c:v>8.001916998308257</c:v>
                </c:pt>
                <c:pt idx="286">
                  <c:v>8.0421758043123415</c:v>
                </c:pt>
                <c:pt idx="287">
                  <c:v>8.0723699088154035</c:v>
                </c:pt>
                <c:pt idx="288">
                  <c:v>8.085789510816765</c:v>
                </c:pt>
                <c:pt idx="289">
                  <c:v>8.1025640133184673</c:v>
                </c:pt>
                <c:pt idx="290">
                  <c:v>8.0924993118174449</c:v>
                </c:pt>
                <c:pt idx="291">
                  <c:v>8.0824346103164242</c:v>
                </c:pt>
                <c:pt idx="292">
                  <c:v>8.0757248093157443</c:v>
                </c:pt>
                <c:pt idx="293">
                  <c:v>8.1394679188222092</c:v>
                </c:pt>
                <c:pt idx="294">
                  <c:v>8.347471749843308</c:v>
                </c:pt>
                <c:pt idx="295">
                  <c:v>8.3977952573484131</c:v>
                </c:pt>
                <c:pt idx="296">
                  <c:v>8.5152167748603205</c:v>
                </c:pt>
                <c:pt idx="297">
                  <c:v>8.5722500833661055</c:v>
                </c:pt>
                <c:pt idx="298">
                  <c:v>8.3709560533456902</c:v>
                </c:pt>
                <c:pt idx="299">
                  <c:v>8.2703090383354798</c:v>
                </c:pt>
                <c:pt idx="300">
                  <c:v>8.2434698343327568</c:v>
                </c:pt>
                <c:pt idx="301">
                  <c:v>8.2568894363341183</c:v>
                </c:pt>
                <c:pt idx="302">
                  <c:v>8.2803737398365005</c:v>
                </c:pt>
                <c:pt idx="303">
                  <c:v>8.3239874463409258</c:v>
                </c:pt>
                <c:pt idx="304">
                  <c:v>8.4179246603504527</c:v>
                </c:pt>
                <c:pt idx="305">
                  <c:v>8.4783128693565786</c:v>
                </c:pt>
                <c:pt idx="306">
                  <c:v>8.5017971728589607</c:v>
                </c:pt>
                <c:pt idx="307">
                  <c:v>8.5789598843667871</c:v>
                </c:pt>
                <c:pt idx="308">
                  <c:v>8.5789598843667871</c:v>
                </c:pt>
                <c:pt idx="309">
                  <c:v>8.558830481364744</c:v>
                </c:pt>
                <c:pt idx="310">
                  <c:v>8.5789598843667871</c:v>
                </c:pt>
                <c:pt idx="311">
                  <c:v>8.61250888937019</c:v>
                </c:pt>
                <c:pt idx="312">
                  <c:v>8.7030912028793779</c:v>
                </c:pt>
                <c:pt idx="313">
                  <c:v>8.8406421233933283</c:v>
                </c:pt>
                <c:pt idx="314">
                  <c:v>8.8809009293974128</c:v>
                </c:pt>
                <c:pt idx="315">
                  <c:v>8.9513538399045594</c:v>
                </c:pt>
                <c:pt idx="316">
                  <c:v>8.9614185414055783</c:v>
                </c:pt>
                <c:pt idx="317">
                  <c:v>8.904385232899795</c:v>
                </c:pt>
                <c:pt idx="318">
                  <c:v>8.8943205313987725</c:v>
                </c:pt>
                <c:pt idx="319">
                  <c:v>8.9245146359018364</c:v>
                </c:pt>
                <c:pt idx="320">
                  <c:v>8.9949675464089829</c:v>
                </c:pt>
                <c:pt idx="321">
                  <c:v>9.0821949594178299</c:v>
                </c:pt>
                <c:pt idx="322">
                  <c:v>9.1325184669229351</c:v>
                </c:pt>
                <c:pt idx="323">
                  <c:v>9.1861968749283793</c:v>
                </c:pt>
                <c:pt idx="324">
                  <c:v>9.2163909794314414</c:v>
                </c:pt>
                <c:pt idx="325">
                  <c:v>9.2197458799317822</c:v>
                </c:pt>
                <c:pt idx="326">
                  <c:v>9.226455680932462</c:v>
                </c:pt>
                <c:pt idx="327">
                  <c:v>9.2465850839345052</c:v>
                </c:pt>
                <c:pt idx="328">
                  <c:v>9.2600046859358649</c:v>
                </c:pt>
                <c:pt idx="329">
                  <c:v>9.2667144869365465</c:v>
                </c:pt>
                <c:pt idx="330">
                  <c:v>9.3036183924402884</c:v>
                </c:pt>
                <c:pt idx="331">
                  <c:v>9.3640066014464143</c:v>
                </c:pt>
                <c:pt idx="332">
                  <c:v>9.4512340144552613</c:v>
                </c:pt>
                <c:pt idx="333">
                  <c:v>9.5418163279644475</c:v>
                </c:pt>
                <c:pt idx="334">
                  <c:v>9.6323986414736371</c:v>
                </c:pt>
                <c:pt idx="335">
                  <c:v>9.7364005569841865</c:v>
                </c:pt>
                <c:pt idx="336">
                  <c:v>9.8672416764974571</c:v>
                </c:pt>
                <c:pt idx="337">
                  <c:v>9.9678886915076674</c:v>
                </c:pt>
                <c:pt idx="338">
                  <c:v>10.045051403015492</c:v>
                </c:pt>
                <c:pt idx="339">
                  <c:v>10.13563371652468</c:v>
                </c:pt>
                <c:pt idx="340">
                  <c:v>10.128923915524</c:v>
                </c:pt>
                <c:pt idx="341">
                  <c:v>10.179247423029103</c:v>
                </c:pt>
                <c:pt idx="342">
                  <c:v>10.236280731534888</c:v>
                </c:pt>
                <c:pt idx="343">
                  <c:v>10.303378741541694</c:v>
                </c:pt>
                <c:pt idx="344">
                  <c:v>10.393961055050882</c:v>
                </c:pt>
                <c:pt idx="345">
                  <c:v>10.508027672062454</c:v>
                </c:pt>
                <c:pt idx="346">
                  <c:v>10.648933493076743</c:v>
                </c:pt>
                <c:pt idx="347">
                  <c:v>10.729451105084911</c:v>
                </c:pt>
                <c:pt idx="348">
                  <c:v>10.769709911088995</c:v>
                </c:pt>
                <c:pt idx="349">
                  <c:v>10.823388319094439</c:v>
                </c:pt>
                <c:pt idx="350">
                  <c:v>10.890486329101245</c:v>
                </c:pt>
                <c:pt idx="351">
                  <c:v>10.964294140108731</c:v>
                </c:pt>
                <c:pt idx="352">
                  <c:v>11.044811752116898</c:v>
                </c:pt>
                <c:pt idx="353">
                  <c:v>11.125329364125065</c:v>
                </c:pt>
                <c:pt idx="354">
                  <c:v>11.215911677634253</c:v>
                </c:pt>
                <c:pt idx="355">
                  <c:v>11.309848891643782</c:v>
                </c:pt>
                <c:pt idx="356">
                  <c:v>11.393721404152288</c:v>
                </c:pt>
              </c:numCache>
            </c:numRef>
          </c:yVal>
          <c:smooth val="1"/>
          <c:extLst>
            <c:ext xmlns:c16="http://schemas.microsoft.com/office/drawing/2014/chart" uri="{C3380CC4-5D6E-409C-BE32-E72D297353CC}">
              <c16:uniqueId val="{00000001-0B7A-4B2F-BFF6-096568D6F33F}"/>
            </c:ext>
          </c:extLst>
        </c:ser>
        <c:dLbls>
          <c:showLegendKey val="0"/>
          <c:showVal val="0"/>
          <c:showCatName val="0"/>
          <c:showSerName val="0"/>
          <c:showPercent val="0"/>
          <c:showBubbleSize val="0"/>
        </c:dLbls>
        <c:axId val="1816227776"/>
        <c:axId val="1816225056"/>
      </c:scatterChart>
      <c:valAx>
        <c:axId val="1816210912"/>
        <c:scaling>
          <c:orientation val="minMax"/>
          <c:max val="10"/>
          <c:min val="0.5"/>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11456"/>
        <c:crosses val="autoZero"/>
        <c:crossBetween val="midCat"/>
        <c:majorUnit val="0.5"/>
      </c:valAx>
      <c:valAx>
        <c:axId val="181621145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10912"/>
        <c:crosses val="autoZero"/>
        <c:crossBetween val="midCat"/>
        <c:majorUnit val="50"/>
        <c:minorUnit val="5"/>
      </c:valAx>
      <c:valAx>
        <c:axId val="1816225056"/>
        <c:scaling>
          <c:orientation val="minMax"/>
          <c:max val="100"/>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27776"/>
        <c:crosses val="max"/>
        <c:crossBetween val="midCat"/>
        <c:majorUnit val="50"/>
      </c:valAx>
      <c:valAx>
        <c:axId val="1816227776"/>
        <c:scaling>
          <c:orientation val="minMax"/>
        </c:scaling>
        <c:delete val="1"/>
        <c:axPos val="b"/>
        <c:numFmt formatCode="General" sourceLinked="1"/>
        <c:majorTickMark val="out"/>
        <c:minorTickMark val="none"/>
        <c:tickLblPos val="nextTo"/>
        <c:crossAx val="1816225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3769042577249E-2"/>
          <c:y val="7.4673103048048639E-2"/>
          <c:w val="0.8806190105088566"/>
          <c:h val="0.72290323006106649"/>
        </c:manualLayout>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0.51300000000000001</c:v>
                </c:pt>
                <c:pt idx="1">
                  <c:v>0.54</c:v>
                </c:pt>
                <c:pt idx="2">
                  <c:v>0.56699999999999995</c:v>
                </c:pt>
                <c:pt idx="3">
                  <c:v>0.59299999999999997</c:v>
                </c:pt>
                <c:pt idx="4">
                  <c:v>0.62</c:v>
                </c:pt>
                <c:pt idx="5">
                  <c:v>0.64700000000000002</c:v>
                </c:pt>
                <c:pt idx="6">
                  <c:v>0.67300000000000004</c:v>
                </c:pt>
                <c:pt idx="7">
                  <c:v>0.7</c:v>
                </c:pt>
                <c:pt idx="8">
                  <c:v>0.72699999999999998</c:v>
                </c:pt>
                <c:pt idx="9">
                  <c:v>0.753</c:v>
                </c:pt>
                <c:pt idx="10">
                  <c:v>0.78</c:v>
                </c:pt>
                <c:pt idx="11">
                  <c:v>0.80700000000000005</c:v>
                </c:pt>
                <c:pt idx="12">
                  <c:v>0.83299999999999996</c:v>
                </c:pt>
                <c:pt idx="13">
                  <c:v>0.86</c:v>
                </c:pt>
                <c:pt idx="14">
                  <c:v>0.88700000000000001</c:v>
                </c:pt>
                <c:pt idx="15">
                  <c:v>0.91300000000000003</c:v>
                </c:pt>
                <c:pt idx="16">
                  <c:v>0.94</c:v>
                </c:pt>
                <c:pt idx="17">
                  <c:v>0.96699999999999997</c:v>
                </c:pt>
                <c:pt idx="18">
                  <c:v>0.99299999999999999</c:v>
                </c:pt>
                <c:pt idx="19">
                  <c:v>1.02</c:v>
                </c:pt>
                <c:pt idx="20">
                  <c:v>1.0469999999999999</c:v>
                </c:pt>
                <c:pt idx="21">
                  <c:v>1.073</c:v>
                </c:pt>
                <c:pt idx="22">
                  <c:v>1.1000000000000001</c:v>
                </c:pt>
                <c:pt idx="23">
                  <c:v>1.127</c:v>
                </c:pt>
                <c:pt idx="24">
                  <c:v>1.153</c:v>
                </c:pt>
                <c:pt idx="25">
                  <c:v>1.18</c:v>
                </c:pt>
                <c:pt idx="26">
                  <c:v>1.2070000000000001</c:v>
                </c:pt>
                <c:pt idx="27">
                  <c:v>1.2330000000000001</c:v>
                </c:pt>
                <c:pt idx="28">
                  <c:v>1.26</c:v>
                </c:pt>
                <c:pt idx="29">
                  <c:v>1.2869999999999999</c:v>
                </c:pt>
                <c:pt idx="30">
                  <c:v>1.3129999999999999</c:v>
                </c:pt>
                <c:pt idx="31">
                  <c:v>1.34</c:v>
                </c:pt>
                <c:pt idx="32">
                  <c:v>1.367</c:v>
                </c:pt>
                <c:pt idx="33">
                  <c:v>1.393</c:v>
                </c:pt>
                <c:pt idx="34">
                  <c:v>1.42</c:v>
                </c:pt>
                <c:pt idx="35">
                  <c:v>1.4470000000000001</c:v>
                </c:pt>
                <c:pt idx="36">
                  <c:v>1.4730000000000001</c:v>
                </c:pt>
                <c:pt idx="37">
                  <c:v>1.5</c:v>
                </c:pt>
                <c:pt idx="38">
                  <c:v>1.5269999999999999</c:v>
                </c:pt>
                <c:pt idx="39">
                  <c:v>1.5529999999999999</c:v>
                </c:pt>
                <c:pt idx="40">
                  <c:v>1.58</c:v>
                </c:pt>
                <c:pt idx="41">
                  <c:v>1.607</c:v>
                </c:pt>
                <c:pt idx="42">
                  <c:v>1.633</c:v>
                </c:pt>
                <c:pt idx="43">
                  <c:v>1.66</c:v>
                </c:pt>
                <c:pt idx="44">
                  <c:v>1.6870000000000001</c:v>
                </c:pt>
                <c:pt idx="45">
                  <c:v>1.7130000000000001</c:v>
                </c:pt>
                <c:pt idx="46">
                  <c:v>1.74</c:v>
                </c:pt>
                <c:pt idx="47">
                  <c:v>1.7669999999999999</c:v>
                </c:pt>
                <c:pt idx="48">
                  <c:v>1.7929999999999999</c:v>
                </c:pt>
                <c:pt idx="49">
                  <c:v>1.82</c:v>
                </c:pt>
                <c:pt idx="50">
                  <c:v>1.847</c:v>
                </c:pt>
                <c:pt idx="51">
                  <c:v>1.873</c:v>
                </c:pt>
                <c:pt idx="52">
                  <c:v>1.9</c:v>
                </c:pt>
                <c:pt idx="53">
                  <c:v>1.927</c:v>
                </c:pt>
                <c:pt idx="54">
                  <c:v>1.9530000000000001</c:v>
                </c:pt>
                <c:pt idx="55">
                  <c:v>1.98</c:v>
                </c:pt>
                <c:pt idx="56">
                  <c:v>2.0070000000000001</c:v>
                </c:pt>
                <c:pt idx="57">
                  <c:v>2.0329999999999999</c:v>
                </c:pt>
                <c:pt idx="58">
                  <c:v>2.06</c:v>
                </c:pt>
                <c:pt idx="59">
                  <c:v>2.0870000000000002</c:v>
                </c:pt>
                <c:pt idx="60">
                  <c:v>2.113</c:v>
                </c:pt>
                <c:pt idx="61">
                  <c:v>2.14</c:v>
                </c:pt>
                <c:pt idx="62">
                  <c:v>2.1669999999999998</c:v>
                </c:pt>
                <c:pt idx="63">
                  <c:v>2.1930000000000001</c:v>
                </c:pt>
                <c:pt idx="64">
                  <c:v>2.2200000000000002</c:v>
                </c:pt>
                <c:pt idx="65">
                  <c:v>2.2469999999999999</c:v>
                </c:pt>
                <c:pt idx="66">
                  <c:v>2.2730000000000001</c:v>
                </c:pt>
                <c:pt idx="67">
                  <c:v>2.2999999999999998</c:v>
                </c:pt>
                <c:pt idx="68">
                  <c:v>2.327</c:v>
                </c:pt>
                <c:pt idx="69">
                  <c:v>2.3530000000000002</c:v>
                </c:pt>
                <c:pt idx="70">
                  <c:v>2.38</c:v>
                </c:pt>
                <c:pt idx="71">
                  <c:v>2.407</c:v>
                </c:pt>
                <c:pt idx="72">
                  <c:v>2.4329999999999998</c:v>
                </c:pt>
                <c:pt idx="73">
                  <c:v>2.46</c:v>
                </c:pt>
                <c:pt idx="74">
                  <c:v>2.4870000000000001</c:v>
                </c:pt>
                <c:pt idx="75">
                  <c:v>2.5129999999999999</c:v>
                </c:pt>
                <c:pt idx="76">
                  <c:v>2.54</c:v>
                </c:pt>
                <c:pt idx="77">
                  <c:v>2.5670000000000002</c:v>
                </c:pt>
                <c:pt idx="78">
                  <c:v>2.593</c:v>
                </c:pt>
                <c:pt idx="79">
                  <c:v>2.62</c:v>
                </c:pt>
                <c:pt idx="80">
                  <c:v>2.6469999999999998</c:v>
                </c:pt>
                <c:pt idx="81">
                  <c:v>2.673</c:v>
                </c:pt>
                <c:pt idx="82">
                  <c:v>2.7</c:v>
                </c:pt>
                <c:pt idx="83">
                  <c:v>2.7269999999999999</c:v>
                </c:pt>
                <c:pt idx="84">
                  <c:v>2.7530000000000001</c:v>
                </c:pt>
                <c:pt idx="85">
                  <c:v>2.78</c:v>
                </c:pt>
                <c:pt idx="86">
                  <c:v>2.8069999999999999</c:v>
                </c:pt>
                <c:pt idx="87">
                  <c:v>2.8330000000000002</c:v>
                </c:pt>
                <c:pt idx="88">
                  <c:v>2.86</c:v>
                </c:pt>
                <c:pt idx="89">
                  <c:v>2.887</c:v>
                </c:pt>
                <c:pt idx="90">
                  <c:v>2.9129999999999998</c:v>
                </c:pt>
                <c:pt idx="91">
                  <c:v>2.94</c:v>
                </c:pt>
                <c:pt idx="92">
                  <c:v>2.9670000000000001</c:v>
                </c:pt>
                <c:pt idx="93">
                  <c:v>2.9929999999999999</c:v>
                </c:pt>
                <c:pt idx="94">
                  <c:v>3.02</c:v>
                </c:pt>
                <c:pt idx="95">
                  <c:v>3.0470000000000002</c:v>
                </c:pt>
                <c:pt idx="96">
                  <c:v>3.073</c:v>
                </c:pt>
                <c:pt idx="97">
                  <c:v>3.1</c:v>
                </c:pt>
                <c:pt idx="98">
                  <c:v>3.1269999999999998</c:v>
                </c:pt>
                <c:pt idx="99">
                  <c:v>3.153</c:v>
                </c:pt>
                <c:pt idx="100">
                  <c:v>3.18</c:v>
                </c:pt>
                <c:pt idx="101">
                  <c:v>3.2069999999999999</c:v>
                </c:pt>
                <c:pt idx="102">
                  <c:v>3.2330000000000001</c:v>
                </c:pt>
                <c:pt idx="103">
                  <c:v>3.26</c:v>
                </c:pt>
                <c:pt idx="104">
                  <c:v>3.2869999999999999</c:v>
                </c:pt>
                <c:pt idx="105">
                  <c:v>3.3130000000000002</c:v>
                </c:pt>
                <c:pt idx="106">
                  <c:v>3.34</c:v>
                </c:pt>
                <c:pt idx="107">
                  <c:v>3.367</c:v>
                </c:pt>
                <c:pt idx="108">
                  <c:v>3.3929999999999998</c:v>
                </c:pt>
                <c:pt idx="109">
                  <c:v>3.42</c:v>
                </c:pt>
                <c:pt idx="110">
                  <c:v>3.4470000000000001</c:v>
                </c:pt>
                <c:pt idx="111">
                  <c:v>3.4729999999999999</c:v>
                </c:pt>
                <c:pt idx="112">
                  <c:v>3.5</c:v>
                </c:pt>
                <c:pt idx="113">
                  <c:v>3.5270000000000001</c:v>
                </c:pt>
                <c:pt idx="114">
                  <c:v>3.5529999999999999</c:v>
                </c:pt>
                <c:pt idx="115">
                  <c:v>3.58</c:v>
                </c:pt>
                <c:pt idx="116">
                  <c:v>3.6070000000000002</c:v>
                </c:pt>
                <c:pt idx="117">
                  <c:v>3.633</c:v>
                </c:pt>
                <c:pt idx="118">
                  <c:v>3.66</c:v>
                </c:pt>
                <c:pt idx="119">
                  <c:v>3.6869999999999998</c:v>
                </c:pt>
                <c:pt idx="120">
                  <c:v>3.7130000000000001</c:v>
                </c:pt>
                <c:pt idx="121">
                  <c:v>3.74</c:v>
                </c:pt>
                <c:pt idx="122">
                  <c:v>3.7669999999999999</c:v>
                </c:pt>
                <c:pt idx="123">
                  <c:v>3.7930000000000001</c:v>
                </c:pt>
                <c:pt idx="124">
                  <c:v>3.82</c:v>
                </c:pt>
                <c:pt idx="125">
                  <c:v>3.847</c:v>
                </c:pt>
                <c:pt idx="126">
                  <c:v>3.8730000000000002</c:v>
                </c:pt>
                <c:pt idx="127">
                  <c:v>3.9</c:v>
                </c:pt>
                <c:pt idx="128">
                  <c:v>3.927</c:v>
                </c:pt>
                <c:pt idx="129">
                  <c:v>3.9529999999999998</c:v>
                </c:pt>
                <c:pt idx="130">
                  <c:v>3.98</c:v>
                </c:pt>
                <c:pt idx="131">
                  <c:v>4.0069999999999997</c:v>
                </c:pt>
                <c:pt idx="132">
                  <c:v>4.0330000000000004</c:v>
                </c:pt>
                <c:pt idx="133">
                  <c:v>4.0599999999999996</c:v>
                </c:pt>
                <c:pt idx="134">
                  <c:v>4.0869999999999997</c:v>
                </c:pt>
                <c:pt idx="135">
                  <c:v>4.1130000000000004</c:v>
                </c:pt>
                <c:pt idx="136">
                  <c:v>4.1399999999999997</c:v>
                </c:pt>
                <c:pt idx="137">
                  <c:v>4.1669999999999998</c:v>
                </c:pt>
                <c:pt idx="138">
                  <c:v>4.1929999999999996</c:v>
                </c:pt>
                <c:pt idx="139">
                  <c:v>4.22</c:v>
                </c:pt>
                <c:pt idx="140">
                  <c:v>4.2469999999999999</c:v>
                </c:pt>
                <c:pt idx="141">
                  <c:v>4.2729999999999997</c:v>
                </c:pt>
                <c:pt idx="142">
                  <c:v>4.3</c:v>
                </c:pt>
                <c:pt idx="143">
                  <c:v>4.327</c:v>
                </c:pt>
                <c:pt idx="144">
                  <c:v>4.3529999999999998</c:v>
                </c:pt>
                <c:pt idx="145">
                  <c:v>4.38</c:v>
                </c:pt>
                <c:pt idx="146">
                  <c:v>4.407</c:v>
                </c:pt>
                <c:pt idx="147">
                  <c:v>4.4329999999999998</c:v>
                </c:pt>
                <c:pt idx="148">
                  <c:v>4.46</c:v>
                </c:pt>
                <c:pt idx="149">
                  <c:v>4.4870000000000001</c:v>
                </c:pt>
                <c:pt idx="150">
                  <c:v>4.5129999999999999</c:v>
                </c:pt>
                <c:pt idx="151">
                  <c:v>4.54</c:v>
                </c:pt>
                <c:pt idx="152">
                  <c:v>4.5670000000000002</c:v>
                </c:pt>
                <c:pt idx="153">
                  <c:v>4.593</c:v>
                </c:pt>
                <c:pt idx="154">
                  <c:v>4.62</c:v>
                </c:pt>
                <c:pt idx="155">
                  <c:v>4.6470000000000002</c:v>
                </c:pt>
                <c:pt idx="156">
                  <c:v>4.673</c:v>
                </c:pt>
                <c:pt idx="157">
                  <c:v>4.7</c:v>
                </c:pt>
                <c:pt idx="158">
                  <c:v>4.7270000000000003</c:v>
                </c:pt>
                <c:pt idx="159">
                  <c:v>4.7530000000000001</c:v>
                </c:pt>
                <c:pt idx="160">
                  <c:v>4.78</c:v>
                </c:pt>
                <c:pt idx="161">
                  <c:v>4.8070000000000004</c:v>
                </c:pt>
                <c:pt idx="162">
                  <c:v>4.8330000000000002</c:v>
                </c:pt>
                <c:pt idx="163">
                  <c:v>4.8600000000000003</c:v>
                </c:pt>
                <c:pt idx="164">
                  <c:v>4.8869999999999996</c:v>
                </c:pt>
                <c:pt idx="165">
                  <c:v>4.9130000000000003</c:v>
                </c:pt>
                <c:pt idx="166">
                  <c:v>4.9400000000000004</c:v>
                </c:pt>
                <c:pt idx="167">
                  <c:v>4.9669999999999996</c:v>
                </c:pt>
                <c:pt idx="168">
                  <c:v>4.9930000000000003</c:v>
                </c:pt>
                <c:pt idx="169">
                  <c:v>5.0199999999999996</c:v>
                </c:pt>
                <c:pt idx="170">
                  <c:v>5.0469999999999997</c:v>
                </c:pt>
                <c:pt idx="171">
                  <c:v>5.0730000000000004</c:v>
                </c:pt>
                <c:pt idx="172">
                  <c:v>5.0999999999999996</c:v>
                </c:pt>
                <c:pt idx="173">
                  <c:v>5.1269999999999998</c:v>
                </c:pt>
                <c:pt idx="174">
                  <c:v>5.1529999999999996</c:v>
                </c:pt>
                <c:pt idx="175">
                  <c:v>5.18</c:v>
                </c:pt>
                <c:pt idx="176">
                  <c:v>5.2069999999999999</c:v>
                </c:pt>
                <c:pt idx="177">
                  <c:v>5.2329999999999997</c:v>
                </c:pt>
                <c:pt idx="178">
                  <c:v>5.26</c:v>
                </c:pt>
                <c:pt idx="179">
                  <c:v>5.2869999999999999</c:v>
                </c:pt>
                <c:pt idx="180">
                  <c:v>5.3129999999999997</c:v>
                </c:pt>
                <c:pt idx="181">
                  <c:v>5.34</c:v>
                </c:pt>
                <c:pt idx="182">
                  <c:v>5.367</c:v>
                </c:pt>
                <c:pt idx="183">
                  <c:v>5.3929999999999998</c:v>
                </c:pt>
                <c:pt idx="184">
                  <c:v>5.42</c:v>
                </c:pt>
                <c:pt idx="185">
                  <c:v>5.4470000000000001</c:v>
                </c:pt>
                <c:pt idx="186">
                  <c:v>5.4729999999999999</c:v>
                </c:pt>
                <c:pt idx="187">
                  <c:v>5.5</c:v>
                </c:pt>
                <c:pt idx="188">
                  <c:v>5.5270000000000001</c:v>
                </c:pt>
                <c:pt idx="189">
                  <c:v>5.5529999999999999</c:v>
                </c:pt>
                <c:pt idx="190">
                  <c:v>5.58</c:v>
                </c:pt>
                <c:pt idx="191">
                  <c:v>5.6070000000000002</c:v>
                </c:pt>
                <c:pt idx="192">
                  <c:v>5.633</c:v>
                </c:pt>
                <c:pt idx="193">
                  <c:v>5.66</c:v>
                </c:pt>
                <c:pt idx="194">
                  <c:v>5.6870000000000003</c:v>
                </c:pt>
                <c:pt idx="195">
                  <c:v>5.7130000000000001</c:v>
                </c:pt>
                <c:pt idx="196">
                  <c:v>5.74</c:v>
                </c:pt>
                <c:pt idx="197">
                  <c:v>5.7670000000000003</c:v>
                </c:pt>
                <c:pt idx="198">
                  <c:v>5.7930000000000001</c:v>
                </c:pt>
                <c:pt idx="199">
                  <c:v>5.82</c:v>
                </c:pt>
                <c:pt idx="200">
                  <c:v>5.8470000000000004</c:v>
                </c:pt>
                <c:pt idx="201">
                  <c:v>5.8730000000000002</c:v>
                </c:pt>
                <c:pt idx="202">
                  <c:v>5.9</c:v>
                </c:pt>
                <c:pt idx="203">
                  <c:v>5.9269999999999996</c:v>
                </c:pt>
                <c:pt idx="204">
                  <c:v>5.9530000000000003</c:v>
                </c:pt>
                <c:pt idx="205">
                  <c:v>5.98</c:v>
                </c:pt>
                <c:pt idx="206">
                  <c:v>6.0069999999999997</c:v>
                </c:pt>
                <c:pt idx="207">
                  <c:v>6.0330000000000004</c:v>
                </c:pt>
                <c:pt idx="208">
                  <c:v>6.06</c:v>
                </c:pt>
                <c:pt idx="209">
                  <c:v>6.0869999999999997</c:v>
                </c:pt>
                <c:pt idx="210">
                  <c:v>6.1130000000000004</c:v>
                </c:pt>
                <c:pt idx="211">
                  <c:v>6.14</c:v>
                </c:pt>
                <c:pt idx="212">
                  <c:v>6.1669999999999998</c:v>
                </c:pt>
                <c:pt idx="213">
                  <c:v>6.1929999999999996</c:v>
                </c:pt>
                <c:pt idx="214">
                  <c:v>6.22</c:v>
                </c:pt>
                <c:pt idx="215">
                  <c:v>6.2469999999999999</c:v>
                </c:pt>
                <c:pt idx="216">
                  <c:v>6.2729999999999997</c:v>
                </c:pt>
                <c:pt idx="217">
                  <c:v>6.3</c:v>
                </c:pt>
                <c:pt idx="218">
                  <c:v>6.327</c:v>
                </c:pt>
                <c:pt idx="219">
                  <c:v>6.3529999999999998</c:v>
                </c:pt>
                <c:pt idx="220">
                  <c:v>6.38</c:v>
                </c:pt>
                <c:pt idx="221">
                  <c:v>6.407</c:v>
                </c:pt>
                <c:pt idx="222">
                  <c:v>6.4329999999999998</c:v>
                </c:pt>
                <c:pt idx="223">
                  <c:v>6.46</c:v>
                </c:pt>
                <c:pt idx="224">
                  <c:v>6.4870000000000001</c:v>
                </c:pt>
                <c:pt idx="225">
                  <c:v>6.5129999999999999</c:v>
                </c:pt>
                <c:pt idx="226">
                  <c:v>6.54</c:v>
                </c:pt>
                <c:pt idx="227">
                  <c:v>6.5670000000000002</c:v>
                </c:pt>
                <c:pt idx="228">
                  <c:v>6.593</c:v>
                </c:pt>
                <c:pt idx="229">
                  <c:v>6.62</c:v>
                </c:pt>
                <c:pt idx="230">
                  <c:v>6.6470000000000002</c:v>
                </c:pt>
                <c:pt idx="231">
                  <c:v>6.673</c:v>
                </c:pt>
                <c:pt idx="232">
                  <c:v>6.7</c:v>
                </c:pt>
                <c:pt idx="233">
                  <c:v>6.7270000000000003</c:v>
                </c:pt>
                <c:pt idx="234">
                  <c:v>6.7530000000000001</c:v>
                </c:pt>
                <c:pt idx="235">
                  <c:v>6.78</c:v>
                </c:pt>
                <c:pt idx="236">
                  <c:v>6.8070000000000004</c:v>
                </c:pt>
                <c:pt idx="237">
                  <c:v>6.8330000000000002</c:v>
                </c:pt>
                <c:pt idx="238">
                  <c:v>6.86</c:v>
                </c:pt>
                <c:pt idx="239">
                  <c:v>6.8869999999999996</c:v>
                </c:pt>
                <c:pt idx="240">
                  <c:v>6.9130000000000003</c:v>
                </c:pt>
                <c:pt idx="241">
                  <c:v>6.94</c:v>
                </c:pt>
                <c:pt idx="242">
                  <c:v>6.9669999999999996</c:v>
                </c:pt>
                <c:pt idx="243">
                  <c:v>6.9930000000000003</c:v>
                </c:pt>
                <c:pt idx="244">
                  <c:v>7.02</c:v>
                </c:pt>
                <c:pt idx="245">
                  <c:v>7.0469999999999997</c:v>
                </c:pt>
                <c:pt idx="246">
                  <c:v>7.0730000000000004</c:v>
                </c:pt>
                <c:pt idx="247">
                  <c:v>7.1</c:v>
                </c:pt>
                <c:pt idx="248">
                  <c:v>7.1269999999999998</c:v>
                </c:pt>
                <c:pt idx="249">
                  <c:v>7.1529999999999996</c:v>
                </c:pt>
                <c:pt idx="250">
                  <c:v>7.18</c:v>
                </c:pt>
                <c:pt idx="251">
                  <c:v>7.2069999999999999</c:v>
                </c:pt>
                <c:pt idx="252">
                  <c:v>7.2329999999999997</c:v>
                </c:pt>
                <c:pt idx="253">
                  <c:v>7.26</c:v>
                </c:pt>
                <c:pt idx="254">
                  <c:v>7.2869999999999999</c:v>
                </c:pt>
                <c:pt idx="255">
                  <c:v>7.3129999999999997</c:v>
                </c:pt>
                <c:pt idx="256">
                  <c:v>7.34</c:v>
                </c:pt>
                <c:pt idx="257">
                  <c:v>7.367</c:v>
                </c:pt>
                <c:pt idx="258">
                  <c:v>7.3929999999999998</c:v>
                </c:pt>
                <c:pt idx="259">
                  <c:v>7.42</c:v>
                </c:pt>
                <c:pt idx="260">
                  <c:v>7.4470000000000001</c:v>
                </c:pt>
                <c:pt idx="261">
                  <c:v>7.4729999999999999</c:v>
                </c:pt>
                <c:pt idx="262">
                  <c:v>7.5</c:v>
                </c:pt>
                <c:pt idx="263">
                  <c:v>7.5270000000000001</c:v>
                </c:pt>
                <c:pt idx="264">
                  <c:v>7.5529999999999999</c:v>
                </c:pt>
                <c:pt idx="265">
                  <c:v>7.58</c:v>
                </c:pt>
                <c:pt idx="266">
                  <c:v>7.6070000000000002</c:v>
                </c:pt>
                <c:pt idx="267">
                  <c:v>7.633</c:v>
                </c:pt>
                <c:pt idx="268">
                  <c:v>7.66</c:v>
                </c:pt>
                <c:pt idx="269">
                  <c:v>7.6870000000000003</c:v>
                </c:pt>
                <c:pt idx="270">
                  <c:v>7.7130000000000001</c:v>
                </c:pt>
                <c:pt idx="271">
                  <c:v>7.74</c:v>
                </c:pt>
                <c:pt idx="272">
                  <c:v>7.7670000000000003</c:v>
                </c:pt>
                <c:pt idx="273">
                  <c:v>7.7930000000000001</c:v>
                </c:pt>
                <c:pt idx="274">
                  <c:v>7.82</c:v>
                </c:pt>
                <c:pt idx="275">
                  <c:v>7.8470000000000004</c:v>
                </c:pt>
                <c:pt idx="276">
                  <c:v>7.8730000000000002</c:v>
                </c:pt>
                <c:pt idx="277">
                  <c:v>7.9</c:v>
                </c:pt>
                <c:pt idx="278">
                  <c:v>7.9269999999999996</c:v>
                </c:pt>
                <c:pt idx="279">
                  <c:v>7.9530000000000003</c:v>
                </c:pt>
                <c:pt idx="280">
                  <c:v>7.98</c:v>
                </c:pt>
                <c:pt idx="281">
                  <c:v>8.0069999999999997</c:v>
                </c:pt>
                <c:pt idx="282">
                  <c:v>8.0329999999999995</c:v>
                </c:pt>
                <c:pt idx="283">
                  <c:v>8.06</c:v>
                </c:pt>
                <c:pt idx="284">
                  <c:v>8.0869999999999997</c:v>
                </c:pt>
                <c:pt idx="285">
                  <c:v>8.1129999999999995</c:v>
                </c:pt>
                <c:pt idx="286">
                  <c:v>8.14</c:v>
                </c:pt>
                <c:pt idx="287">
                  <c:v>8.1669999999999998</c:v>
                </c:pt>
                <c:pt idx="288">
                  <c:v>8.1929999999999996</c:v>
                </c:pt>
                <c:pt idx="289">
                  <c:v>8.2200000000000006</c:v>
                </c:pt>
                <c:pt idx="290">
                  <c:v>8.2469999999999999</c:v>
                </c:pt>
                <c:pt idx="291">
                  <c:v>8.2729999999999997</c:v>
                </c:pt>
                <c:pt idx="292">
                  <c:v>8.3000000000000007</c:v>
                </c:pt>
                <c:pt idx="293">
                  <c:v>8.327</c:v>
                </c:pt>
                <c:pt idx="294">
                  <c:v>8.3529999999999998</c:v>
                </c:pt>
                <c:pt idx="295">
                  <c:v>8.3800000000000008</c:v>
                </c:pt>
                <c:pt idx="296">
                  <c:v>8.407</c:v>
                </c:pt>
                <c:pt idx="297">
                  <c:v>8.4329999999999998</c:v>
                </c:pt>
                <c:pt idx="298">
                  <c:v>8.4600000000000009</c:v>
                </c:pt>
                <c:pt idx="299">
                  <c:v>8.4870000000000001</c:v>
                </c:pt>
                <c:pt idx="300">
                  <c:v>8.5129999999999999</c:v>
                </c:pt>
                <c:pt idx="301">
                  <c:v>8.5399999999999991</c:v>
                </c:pt>
                <c:pt idx="302">
                  <c:v>8.5670000000000002</c:v>
                </c:pt>
                <c:pt idx="303">
                  <c:v>8.593</c:v>
                </c:pt>
                <c:pt idx="304">
                  <c:v>8.6199999999999992</c:v>
                </c:pt>
                <c:pt idx="305">
                  <c:v>8.6470000000000002</c:v>
                </c:pt>
                <c:pt idx="306">
                  <c:v>8.673</c:v>
                </c:pt>
                <c:pt idx="307">
                  <c:v>8.6999999999999993</c:v>
                </c:pt>
                <c:pt idx="308">
                  <c:v>8.7270000000000003</c:v>
                </c:pt>
                <c:pt idx="309">
                  <c:v>8.7530000000000001</c:v>
                </c:pt>
                <c:pt idx="310">
                  <c:v>8.7799999999999994</c:v>
                </c:pt>
                <c:pt idx="311">
                  <c:v>8.8070000000000004</c:v>
                </c:pt>
                <c:pt idx="312">
                  <c:v>8.8330000000000002</c:v>
                </c:pt>
                <c:pt idx="313">
                  <c:v>8.86</c:v>
                </c:pt>
                <c:pt idx="314">
                  <c:v>8.8870000000000005</c:v>
                </c:pt>
                <c:pt idx="315">
                  <c:v>8.9130000000000003</c:v>
                </c:pt>
                <c:pt idx="316">
                  <c:v>8.94</c:v>
                </c:pt>
                <c:pt idx="317">
                  <c:v>8.9670000000000005</c:v>
                </c:pt>
                <c:pt idx="318">
                  <c:v>8.9930000000000003</c:v>
                </c:pt>
                <c:pt idx="319">
                  <c:v>9.02</c:v>
                </c:pt>
                <c:pt idx="320">
                  <c:v>9.0470000000000006</c:v>
                </c:pt>
                <c:pt idx="321">
                  <c:v>9.0730000000000004</c:v>
                </c:pt>
                <c:pt idx="322">
                  <c:v>9.1</c:v>
                </c:pt>
                <c:pt idx="323">
                  <c:v>9.1270000000000007</c:v>
                </c:pt>
                <c:pt idx="324">
                  <c:v>9.1530000000000005</c:v>
                </c:pt>
                <c:pt idx="325">
                  <c:v>9.18</c:v>
                </c:pt>
                <c:pt idx="326">
                  <c:v>9.2070000000000007</c:v>
                </c:pt>
                <c:pt idx="327">
                  <c:v>9.2330000000000005</c:v>
                </c:pt>
                <c:pt idx="328">
                  <c:v>9.26</c:v>
                </c:pt>
                <c:pt idx="329">
                  <c:v>9.2870000000000008</c:v>
                </c:pt>
                <c:pt idx="330">
                  <c:v>9.3130000000000006</c:v>
                </c:pt>
                <c:pt idx="331">
                  <c:v>9.34</c:v>
                </c:pt>
                <c:pt idx="332">
                  <c:v>9.3670000000000009</c:v>
                </c:pt>
                <c:pt idx="333">
                  <c:v>9.3930000000000007</c:v>
                </c:pt>
                <c:pt idx="334">
                  <c:v>9.42</c:v>
                </c:pt>
                <c:pt idx="335">
                  <c:v>9.4469999999999992</c:v>
                </c:pt>
                <c:pt idx="336">
                  <c:v>9.4730000000000008</c:v>
                </c:pt>
                <c:pt idx="337">
                  <c:v>9.5</c:v>
                </c:pt>
                <c:pt idx="338">
                  <c:v>9.5269999999999992</c:v>
                </c:pt>
                <c:pt idx="339">
                  <c:v>9.5530000000000008</c:v>
                </c:pt>
                <c:pt idx="340">
                  <c:v>9.58</c:v>
                </c:pt>
                <c:pt idx="341">
                  <c:v>9.6069999999999993</c:v>
                </c:pt>
                <c:pt idx="342">
                  <c:v>9.6329999999999991</c:v>
                </c:pt>
                <c:pt idx="343">
                  <c:v>9.66</c:v>
                </c:pt>
                <c:pt idx="344">
                  <c:v>9.6869999999999994</c:v>
                </c:pt>
                <c:pt idx="345">
                  <c:v>9.7129999999999992</c:v>
                </c:pt>
                <c:pt idx="346">
                  <c:v>9.74</c:v>
                </c:pt>
                <c:pt idx="347">
                  <c:v>9.7669999999999995</c:v>
                </c:pt>
                <c:pt idx="348">
                  <c:v>9.7929999999999993</c:v>
                </c:pt>
                <c:pt idx="349">
                  <c:v>9.82</c:v>
                </c:pt>
                <c:pt idx="350">
                  <c:v>9.8469999999999995</c:v>
                </c:pt>
                <c:pt idx="351">
                  <c:v>9.8729999999999993</c:v>
                </c:pt>
                <c:pt idx="352">
                  <c:v>9.9</c:v>
                </c:pt>
                <c:pt idx="353">
                  <c:v>9.9269999999999996</c:v>
                </c:pt>
                <c:pt idx="354">
                  <c:v>9.9529999999999994</c:v>
                </c:pt>
                <c:pt idx="355">
                  <c:v>9.98</c:v>
                </c:pt>
                <c:pt idx="356">
                  <c:v>10.007</c:v>
                </c:pt>
              </c:numCache>
            </c:numRef>
          </c:xVal>
          <c:yVal>
            <c:numRef>
              <c:f>ChromatogramData!$B$2:$B$10001</c:f>
              <c:numCache>
                <c:formatCode>General</c:formatCode>
                <c:ptCount val="10000"/>
                <c:pt idx="0">
                  <c:v>57.963095374155643</c:v>
                </c:pt>
                <c:pt idx="1">
                  <c:v>56.725137089530065</c:v>
                </c:pt>
                <c:pt idx="2">
                  <c:v>52.353701737586668</c:v>
                </c:pt>
                <c:pt idx="3">
                  <c:v>48.975316933744011</c:v>
                </c:pt>
                <c:pt idx="4">
                  <c:v>46.781212006521464</c:v>
                </c:pt>
                <c:pt idx="5">
                  <c:v>44.667624691307076</c:v>
                </c:pt>
                <c:pt idx="6">
                  <c:v>42.792235311616857</c:v>
                </c:pt>
                <c:pt idx="7">
                  <c:v>41.547567225990605</c:v>
                </c:pt>
                <c:pt idx="8">
                  <c:v>40.950394936930039</c:v>
                </c:pt>
                <c:pt idx="9">
                  <c:v>40.85645772292051</c:v>
                </c:pt>
                <c:pt idx="10">
                  <c:v>40.977234140932758</c:v>
                </c:pt>
                <c:pt idx="11">
                  <c:v>41.074526255442628</c:v>
                </c:pt>
                <c:pt idx="12">
                  <c:v>40.95710473793072</c:v>
                </c:pt>
                <c:pt idx="13">
                  <c:v>40.554516677889886</c:v>
                </c:pt>
                <c:pt idx="14">
                  <c:v>39.930505184826593</c:v>
                </c:pt>
                <c:pt idx="15">
                  <c:v>39.360172099768739</c:v>
                </c:pt>
                <c:pt idx="16">
                  <c:v>38.991133044731313</c:v>
                </c:pt>
                <c:pt idx="17">
                  <c:v>38.695901800701364</c:v>
                </c:pt>
                <c:pt idx="18">
                  <c:v>38.467768566678231</c:v>
                </c:pt>
                <c:pt idx="19">
                  <c:v>38.320152944663249</c:v>
                </c:pt>
                <c:pt idx="20">
                  <c:v>38.128923616143851</c:v>
                </c:pt>
                <c:pt idx="21">
                  <c:v>37.894080581120043</c:v>
                </c:pt>
                <c:pt idx="22">
                  <c:v>37.679366949098259</c:v>
                </c:pt>
                <c:pt idx="23">
                  <c:v>37.494847421579543</c:v>
                </c:pt>
                <c:pt idx="24">
                  <c:v>37.364006302066272</c:v>
                </c:pt>
                <c:pt idx="25">
                  <c:v>37.260004386555721</c:v>
                </c:pt>
                <c:pt idx="26">
                  <c:v>37.162712272045859</c:v>
                </c:pt>
                <c:pt idx="27">
                  <c:v>37.092259361538709</c:v>
                </c:pt>
                <c:pt idx="28">
                  <c:v>37.041935854033603</c:v>
                </c:pt>
                <c:pt idx="29">
                  <c:v>36.981547645027476</c:v>
                </c:pt>
                <c:pt idx="30">
                  <c:v>36.921159436021355</c:v>
                </c:pt>
                <c:pt idx="31">
                  <c:v>36.874190829016591</c:v>
                </c:pt>
                <c:pt idx="32">
                  <c:v>36.773543814006374</c:v>
                </c:pt>
                <c:pt idx="33">
                  <c:v>36.656122296494466</c:v>
                </c:pt>
                <c:pt idx="34">
                  <c:v>36.535345878482218</c:v>
                </c:pt>
                <c:pt idx="35">
                  <c:v>36.397794957968266</c:v>
                </c:pt>
                <c:pt idx="36">
                  <c:v>36.327342047461123</c:v>
                </c:pt>
                <c:pt idx="37">
                  <c:v>36.260244037454321</c:v>
                </c:pt>
                <c:pt idx="38">
                  <c:v>36.199855828448186</c:v>
                </c:pt>
                <c:pt idx="39">
                  <c:v>36.15624212194377</c:v>
                </c:pt>
                <c:pt idx="40">
                  <c:v>36.115983315939687</c:v>
                </c:pt>
                <c:pt idx="41">
                  <c:v>36.149532320943081</c:v>
                </c:pt>
                <c:pt idx="42">
                  <c:v>36.213275430449549</c:v>
                </c:pt>
                <c:pt idx="43">
                  <c:v>36.293793042457722</c:v>
                </c:pt>
                <c:pt idx="44">
                  <c:v>36.421279261470652</c:v>
                </c:pt>
                <c:pt idx="45">
                  <c:v>36.555475281484263</c:v>
                </c:pt>
                <c:pt idx="46">
                  <c:v>36.71315560500026</c:v>
                </c:pt>
                <c:pt idx="47">
                  <c:v>36.907739834019992</c:v>
                </c:pt>
                <c:pt idx="48">
                  <c:v>37.119098565541428</c:v>
                </c:pt>
                <c:pt idx="49">
                  <c:v>37.357296501065591</c:v>
                </c:pt>
                <c:pt idx="50">
                  <c:v>37.618978740092132</c:v>
                </c:pt>
                <c:pt idx="51">
                  <c:v>37.924274685623097</c:v>
                </c:pt>
                <c:pt idx="52">
                  <c:v>38.263119636157469</c:v>
                </c:pt>
                <c:pt idx="53">
                  <c:v>38.628803790694562</c:v>
                </c:pt>
                <c:pt idx="54">
                  <c:v>38.994487945231647</c:v>
                </c:pt>
                <c:pt idx="55">
                  <c:v>39.413850507774185</c:v>
                </c:pt>
                <c:pt idx="56">
                  <c:v>39.839922871317398</c:v>
                </c:pt>
                <c:pt idx="57">
                  <c:v>40.306254040864701</c:v>
                </c:pt>
                <c:pt idx="58">
                  <c:v>40.775940110912344</c:v>
                </c:pt>
                <c:pt idx="59">
                  <c:v>41.215432076456921</c:v>
                </c:pt>
                <c:pt idx="60">
                  <c:v>41.614665235997421</c:v>
                </c:pt>
                <c:pt idx="61">
                  <c:v>41.970284689033484</c:v>
                </c:pt>
                <c:pt idx="62">
                  <c:v>42.25209633106207</c:v>
                </c:pt>
                <c:pt idx="63">
                  <c:v>42.543972674591672</c:v>
                </c:pt>
                <c:pt idx="64">
                  <c:v>42.869398023124681</c:v>
                </c:pt>
                <c:pt idx="65">
                  <c:v>43.251856680163478</c:v>
                </c:pt>
                <c:pt idx="66">
                  <c:v>43.684638844707372</c:v>
                </c:pt>
                <c:pt idx="67">
                  <c:v>44.157679815255356</c:v>
                </c:pt>
                <c:pt idx="68">
                  <c:v>44.677689392808098</c:v>
                </c:pt>
                <c:pt idx="69">
                  <c:v>45.197698970360847</c:v>
                </c:pt>
                <c:pt idx="70">
                  <c:v>45.664030139908142</c:v>
                </c:pt>
                <c:pt idx="71">
                  <c:v>46.096812304452044</c:v>
                </c:pt>
                <c:pt idx="72">
                  <c:v>46.573208175500362</c:v>
                </c:pt>
                <c:pt idx="73">
                  <c:v>47.163670663560247</c:v>
                </c:pt>
                <c:pt idx="74">
                  <c:v>48.616342580207593</c:v>
                </c:pt>
                <c:pt idx="75">
                  <c:v>51.098968950459415</c:v>
                </c:pt>
                <c:pt idx="76">
                  <c:v>52.417444847093137</c:v>
                </c:pt>
                <c:pt idx="77">
                  <c:v>51.400909995490039</c:v>
                </c:pt>
                <c:pt idx="78">
                  <c:v>49.793912655827036</c:v>
                </c:pt>
                <c:pt idx="79">
                  <c:v>49.042414943750813</c:v>
                </c:pt>
                <c:pt idx="80">
                  <c:v>48.834411112729718</c:v>
                </c:pt>
                <c:pt idx="81">
                  <c:v>48.794152306725628</c:v>
                </c:pt>
                <c:pt idx="82">
                  <c:v>48.720344495718152</c:v>
                </c:pt>
                <c:pt idx="83">
                  <c:v>48.646536684710661</c:v>
                </c:pt>
                <c:pt idx="84">
                  <c:v>48.653246485711342</c:v>
                </c:pt>
                <c:pt idx="85">
                  <c:v>48.743828799220523</c:v>
                </c:pt>
                <c:pt idx="86">
                  <c:v>48.787442505724954</c:v>
                </c:pt>
                <c:pt idx="87">
                  <c:v>48.827701311729037</c:v>
                </c:pt>
                <c:pt idx="88">
                  <c:v>49.0994482522566</c:v>
                </c:pt>
                <c:pt idx="89">
                  <c:v>49.736879347321256</c:v>
                </c:pt>
                <c:pt idx="90">
                  <c:v>50.219985019370256</c:v>
                </c:pt>
                <c:pt idx="91">
                  <c:v>50.370955541885564</c:v>
                </c:pt>
                <c:pt idx="92">
                  <c:v>50.411214347889647</c:v>
                </c:pt>
                <c:pt idx="93">
                  <c:v>50.944643527443752</c:v>
                </c:pt>
                <c:pt idx="94">
                  <c:v>52.544931066106066</c:v>
                </c:pt>
                <c:pt idx="95">
                  <c:v>53.316558181184341</c:v>
                </c:pt>
                <c:pt idx="96">
                  <c:v>52.568415369608452</c:v>
                </c:pt>
                <c:pt idx="97">
                  <c:v>52.377186041089061</c:v>
                </c:pt>
                <c:pt idx="98">
                  <c:v>53.26958957417957</c:v>
                </c:pt>
                <c:pt idx="99">
                  <c:v>53.78624425123197</c:v>
                </c:pt>
                <c:pt idx="100">
                  <c:v>54.420320445796293</c:v>
                </c:pt>
                <c:pt idx="101">
                  <c:v>54.111669599764987</c:v>
                </c:pt>
                <c:pt idx="102">
                  <c:v>52.404025245091781</c:v>
                </c:pt>
                <c:pt idx="103">
                  <c:v>50.817157308430829</c:v>
                </c:pt>
                <c:pt idx="104">
                  <c:v>50.434698651392033</c:v>
                </c:pt>
                <c:pt idx="105">
                  <c:v>50.458182954894419</c:v>
                </c:pt>
                <c:pt idx="106">
                  <c:v>51.441168801494122</c:v>
                </c:pt>
                <c:pt idx="107">
                  <c:v>52.323507633083608</c:v>
                </c:pt>
                <c:pt idx="108">
                  <c:v>52.296668429080896</c:v>
                </c:pt>
                <c:pt idx="109">
                  <c:v>51.249939472974717</c:v>
                </c:pt>
                <c:pt idx="110">
                  <c:v>50.971482731446478</c:v>
                </c:pt>
                <c:pt idx="111">
                  <c:v>51.256649273975405</c:v>
                </c:pt>
                <c:pt idx="112">
                  <c:v>51.32039238348186</c:v>
                </c:pt>
                <c:pt idx="113">
                  <c:v>51.092259149458727</c:v>
                </c:pt>
                <c:pt idx="114">
                  <c:v>50.773543601926406</c:v>
                </c:pt>
                <c:pt idx="115">
                  <c:v>50.52192606440088</c:v>
                </c:pt>
                <c:pt idx="116">
                  <c:v>50.471602556895775</c:v>
                </c:pt>
                <c:pt idx="117">
                  <c:v>50.65276718391415</c:v>
                </c:pt>
                <c:pt idx="118">
                  <c:v>50.793673004928444</c:v>
                </c:pt>
                <c:pt idx="119">
                  <c:v>50.847351412933889</c:v>
                </c:pt>
                <c:pt idx="120">
                  <c:v>50.823867109431511</c:v>
                </c:pt>
                <c:pt idx="121">
                  <c:v>51.206325766470293</c:v>
                </c:pt>
                <c:pt idx="122">
                  <c:v>52.357056638087023</c:v>
                </c:pt>
                <c:pt idx="123">
                  <c:v>52.474478155598931</c:v>
                </c:pt>
                <c:pt idx="124">
                  <c:v>51.729690244523383</c:v>
                </c:pt>
                <c:pt idx="125">
                  <c:v>51.400909995490039</c:v>
                </c:pt>
                <c:pt idx="126">
                  <c:v>51.508266811500931</c:v>
                </c:pt>
                <c:pt idx="127">
                  <c:v>51.709560841521345</c:v>
                </c:pt>
                <c:pt idx="128">
                  <c:v>51.961178379046871</c:v>
                </c:pt>
                <c:pt idx="129">
                  <c:v>52.145697906565573</c:v>
                </c:pt>
                <c:pt idx="130">
                  <c:v>52.105439100561497</c:v>
                </c:pt>
                <c:pt idx="131">
                  <c:v>52.118858702562854</c:v>
                </c:pt>
                <c:pt idx="132">
                  <c:v>52.038341090554688</c:v>
                </c:pt>
                <c:pt idx="133">
                  <c:v>51.773303951027813</c:v>
                </c:pt>
                <c:pt idx="134">
                  <c:v>51.36400608998629</c:v>
                </c:pt>
                <c:pt idx="135">
                  <c:v>51.008386636950227</c:v>
                </c:pt>
                <c:pt idx="136">
                  <c:v>50.904384721439676</c:v>
                </c:pt>
                <c:pt idx="137">
                  <c:v>51.092259149458727</c:v>
                </c:pt>
                <c:pt idx="138">
                  <c:v>51.350586487984934</c:v>
                </c:pt>
                <c:pt idx="139">
                  <c:v>51.454588403495478</c:v>
                </c:pt>
                <c:pt idx="140">
                  <c:v>51.471362905997175</c:v>
                </c:pt>
                <c:pt idx="141">
                  <c:v>51.384135492988328</c:v>
                </c:pt>
                <c:pt idx="142">
                  <c:v>51.471362905997175</c:v>
                </c:pt>
                <c:pt idx="143">
                  <c:v>57.359213284094395</c:v>
                </c:pt>
                <c:pt idx="144">
                  <c:v>78.622572655251119</c:v>
                </c:pt>
                <c:pt idx="145">
                  <c:v>96.725615755087318</c:v>
                </c:pt>
                <c:pt idx="146">
                  <c:v>98.393001303756449</c:v>
                </c:pt>
                <c:pt idx="147">
                  <c:v>85.513538282950094</c:v>
                </c:pt>
                <c:pt idx="148">
                  <c:v>72.234842102603224</c:v>
                </c:pt>
                <c:pt idx="149">
                  <c:v>64.266953414295045</c:v>
                </c:pt>
                <c:pt idx="150">
                  <c:v>60.925472515956109</c:v>
                </c:pt>
                <c:pt idx="151">
                  <c:v>59.40570258930196</c:v>
                </c:pt>
                <c:pt idx="152">
                  <c:v>58.432781444203286</c:v>
                </c:pt>
                <c:pt idx="153">
                  <c:v>57.406181891099152</c:v>
                </c:pt>
                <c:pt idx="154">
                  <c:v>56.433260746000471</c:v>
                </c:pt>
                <c:pt idx="155">
                  <c:v>55.9031864669467</c:v>
                </c:pt>
                <c:pt idx="156">
                  <c:v>55.906541367447041</c:v>
                </c:pt>
                <c:pt idx="157">
                  <c:v>55.987058979455206</c:v>
                </c:pt>
                <c:pt idx="158">
                  <c:v>55.554276814911319</c:v>
                </c:pt>
                <c:pt idx="159">
                  <c:v>55.014137834356518</c:v>
                </c:pt>
                <c:pt idx="160">
                  <c:v>54.661873281820796</c:v>
                </c:pt>
                <c:pt idx="161">
                  <c:v>54.433740047797663</c:v>
                </c:pt>
                <c:pt idx="162">
                  <c:v>54.319673430786082</c:v>
                </c:pt>
                <c:pt idx="163">
                  <c:v>54.299544027784044</c:v>
                </c:pt>
                <c:pt idx="164">
                  <c:v>54.752455595329984</c:v>
                </c:pt>
                <c:pt idx="165">
                  <c:v>55.34962788439055</c:v>
                </c:pt>
                <c:pt idx="166">
                  <c:v>55.497243506405532</c:v>
                </c:pt>
                <c:pt idx="167">
                  <c:v>55.178527958873197</c:v>
                </c:pt>
                <c:pt idx="168">
                  <c:v>54.950394724850064</c:v>
                </c:pt>
                <c:pt idx="169">
                  <c:v>55.175173058372856</c:v>
                </c:pt>
                <c:pt idx="170">
                  <c:v>55.309369078386474</c:v>
                </c:pt>
                <c:pt idx="171">
                  <c:v>55.165108356871848</c:v>
                </c:pt>
                <c:pt idx="172">
                  <c:v>54.890006515843929</c:v>
                </c:pt>
                <c:pt idx="173">
                  <c:v>54.863167311841217</c:v>
                </c:pt>
                <c:pt idx="174">
                  <c:v>54.950394724850064</c:v>
                </c:pt>
                <c:pt idx="175">
                  <c:v>55.037622137858911</c:v>
                </c:pt>
                <c:pt idx="176">
                  <c:v>55.00407313285551</c:v>
                </c:pt>
                <c:pt idx="177">
                  <c:v>54.86652221234155</c:v>
                </c:pt>
                <c:pt idx="178">
                  <c:v>54.728971291827605</c:v>
                </c:pt>
                <c:pt idx="179">
                  <c:v>54.749100694829643</c:v>
                </c:pt>
                <c:pt idx="180">
                  <c:v>57.661154329125019</c:v>
                </c:pt>
                <c:pt idx="181">
                  <c:v>73.479510188229469</c:v>
                </c:pt>
                <c:pt idx="182">
                  <c:v>91.01893000400851</c:v>
                </c:pt>
                <c:pt idx="183">
                  <c:v>99.999998643419445</c:v>
                </c:pt>
                <c:pt idx="184">
                  <c:v>95.880180829001574</c:v>
                </c:pt>
                <c:pt idx="185">
                  <c:v>84.48693872984596</c:v>
                </c:pt>
                <c:pt idx="186">
                  <c:v>73.066857426687605</c:v>
                </c:pt>
                <c:pt idx="187">
                  <c:v>65.521686201422312</c:v>
                </c:pt>
                <c:pt idx="188">
                  <c:v>61.281091968992186</c:v>
                </c:pt>
                <c:pt idx="189">
                  <c:v>58.848789106245476</c:v>
                </c:pt>
                <c:pt idx="190">
                  <c:v>57.446440697103235</c:v>
                </c:pt>
                <c:pt idx="191">
                  <c:v>56.715072388029057</c:v>
                </c:pt>
                <c:pt idx="192">
                  <c:v>56.403066641497404</c:v>
                </c:pt>
                <c:pt idx="193">
                  <c:v>56.138029501970514</c:v>
                </c:pt>
                <c:pt idx="194">
                  <c:v>55.923315869948738</c:v>
                </c:pt>
                <c:pt idx="195">
                  <c:v>55.802539451936489</c:v>
                </c:pt>
                <c:pt idx="196">
                  <c:v>55.799184551436156</c:v>
                </c:pt>
                <c:pt idx="197">
                  <c:v>55.869637461943306</c:v>
                </c:pt>
                <c:pt idx="198">
                  <c:v>55.893121765445677</c:v>
                </c:pt>
                <c:pt idx="199">
                  <c:v>55.906541367447041</c:v>
                </c:pt>
                <c:pt idx="200">
                  <c:v>55.883057063944662</c:v>
                </c:pt>
                <c:pt idx="201">
                  <c:v>55.919960969448404</c:v>
                </c:pt>
                <c:pt idx="202">
                  <c:v>56.087705994465416</c:v>
                </c:pt>
                <c:pt idx="203">
                  <c:v>56.215192213478346</c:v>
                </c:pt>
                <c:pt idx="204">
                  <c:v>56.319194128988904</c:v>
                </c:pt>
                <c:pt idx="205">
                  <c:v>56.292354924986171</c:v>
                </c:pt>
                <c:pt idx="206">
                  <c:v>56.295709825486512</c:v>
                </c:pt>
                <c:pt idx="207">
                  <c:v>56.349388233491965</c:v>
                </c:pt>
                <c:pt idx="208">
                  <c:v>56.439970547001153</c:v>
                </c:pt>
                <c:pt idx="209">
                  <c:v>56.51713325850897</c:v>
                </c:pt>
                <c:pt idx="210">
                  <c:v>56.584231268515779</c:v>
                </c:pt>
                <c:pt idx="211">
                  <c:v>56.644619477521907</c:v>
                </c:pt>
                <c:pt idx="212">
                  <c:v>56.654684179022922</c:v>
                </c:pt>
                <c:pt idx="213">
                  <c:v>56.62784497502021</c:v>
                </c:pt>
                <c:pt idx="214">
                  <c:v>56.604360671517817</c:v>
                </c:pt>
                <c:pt idx="215">
                  <c:v>56.577521467515098</c:v>
                </c:pt>
                <c:pt idx="216">
                  <c:v>56.580876368015439</c:v>
                </c:pt>
                <c:pt idx="217">
                  <c:v>56.691588084526664</c:v>
                </c:pt>
                <c:pt idx="218">
                  <c:v>56.785525298536207</c:v>
                </c:pt>
                <c:pt idx="219">
                  <c:v>56.798944900537563</c:v>
                </c:pt>
                <c:pt idx="220">
                  <c:v>56.798944900537563</c:v>
                </c:pt>
                <c:pt idx="221">
                  <c:v>56.829139005040624</c:v>
                </c:pt>
                <c:pt idx="222">
                  <c:v>56.939850721551849</c:v>
                </c:pt>
                <c:pt idx="223">
                  <c:v>57.053917338563416</c:v>
                </c:pt>
                <c:pt idx="224">
                  <c:v>57.080756542566135</c:v>
                </c:pt>
                <c:pt idx="225">
                  <c:v>57.037142836061719</c:v>
                </c:pt>
                <c:pt idx="226">
                  <c:v>56.976754627055591</c:v>
                </c:pt>
                <c:pt idx="227">
                  <c:v>57.027078134560696</c:v>
                </c:pt>
                <c:pt idx="228">
                  <c:v>57.097531045067846</c:v>
                </c:pt>
                <c:pt idx="229">
                  <c:v>57.191468259077375</c:v>
                </c:pt>
                <c:pt idx="230">
                  <c:v>57.275340771585874</c:v>
                </c:pt>
                <c:pt idx="231">
                  <c:v>57.339083881092343</c:v>
                </c:pt>
                <c:pt idx="232">
                  <c:v>57.402826990598818</c:v>
                </c:pt>
                <c:pt idx="233">
                  <c:v>57.446440697103235</c:v>
                </c:pt>
                <c:pt idx="234">
                  <c:v>57.459860299104591</c:v>
                </c:pt>
                <c:pt idx="235">
                  <c:v>57.449795597603568</c:v>
                </c:pt>
                <c:pt idx="236">
                  <c:v>57.459860299104591</c:v>
                </c:pt>
                <c:pt idx="237">
                  <c:v>57.486699503107324</c:v>
                </c:pt>
                <c:pt idx="238">
                  <c:v>57.513538707110037</c:v>
                </c:pt>
                <c:pt idx="239">
                  <c:v>57.654444528124323</c:v>
                </c:pt>
                <c:pt idx="240">
                  <c:v>57.916126767150885</c:v>
                </c:pt>
                <c:pt idx="241">
                  <c:v>58.157679603175374</c:v>
                </c:pt>
                <c:pt idx="242">
                  <c:v>58.312005026191024</c:v>
                </c:pt>
                <c:pt idx="243">
                  <c:v>58.399232439199871</c:v>
                </c:pt>
                <c:pt idx="244">
                  <c:v>58.657559777726078</c:v>
                </c:pt>
                <c:pt idx="245">
                  <c:v>58.707883285231176</c:v>
                </c:pt>
                <c:pt idx="246">
                  <c:v>58.650849976725404</c:v>
                </c:pt>
                <c:pt idx="247">
                  <c:v>58.258326618185585</c:v>
                </c:pt>
                <c:pt idx="248">
                  <c:v>57.956385573154961</c:v>
                </c:pt>
                <c:pt idx="249">
                  <c:v>57.88257776214747</c:v>
                </c:pt>
                <c:pt idx="250">
                  <c:v>58.107356095670269</c:v>
                </c:pt>
                <c:pt idx="251">
                  <c:v>58.399232439199871</c:v>
                </c:pt>
                <c:pt idx="252">
                  <c:v>58.644140175724715</c:v>
                </c:pt>
                <c:pt idx="253">
                  <c:v>58.724657787732887</c:v>
                </c:pt>
                <c:pt idx="254">
                  <c:v>58.684398981728798</c:v>
                </c:pt>
                <c:pt idx="255">
                  <c:v>58.580397066218254</c:v>
                </c:pt>
                <c:pt idx="256">
                  <c:v>58.479750051208043</c:v>
                </c:pt>
                <c:pt idx="257">
                  <c:v>58.389167737698848</c:v>
                </c:pt>
                <c:pt idx="258">
                  <c:v>58.318714827191705</c:v>
                </c:pt>
                <c:pt idx="259">
                  <c:v>58.241552115683888</c:v>
                </c:pt>
                <c:pt idx="260">
                  <c:v>58.184518807178094</c:v>
                </c:pt>
                <c:pt idx="261">
                  <c:v>58.117420797171292</c:v>
                </c:pt>
                <c:pt idx="262">
                  <c:v>58.124130598171966</c:v>
                </c:pt>
                <c:pt idx="263">
                  <c:v>58.214712911681154</c:v>
                </c:pt>
                <c:pt idx="264">
                  <c:v>58.305295225190356</c:v>
                </c:pt>
                <c:pt idx="265">
                  <c:v>58.375748135697499</c:v>
                </c:pt>
                <c:pt idx="266">
                  <c:v>58.416006941701582</c:v>
                </c:pt>
                <c:pt idx="267">
                  <c:v>58.452910847205324</c:v>
                </c:pt>
                <c:pt idx="268">
                  <c:v>58.439491245203961</c:v>
                </c:pt>
                <c:pt idx="269">
                  <c:v>58.365683434196477</c:v>
                </c:pt>
                <c:pt idx="270">
                  <c:v>58.25161681718491</c:v>
                </c:pt>
                <c:pt idx="271">
                  <c:v>58.077161991167209</c:v>
                </c:pt>
                <c:pt idx="272">
                  <c:v>57.959740473655302</c:v>
                </c:pt>
                <c:pt idx="273">
                  <c:v>57.902707165149515</c:v>
                </c:pt>
                <c:pt idx="274">
                  <c:v>57.875867961146795</c:v>
                </c:pt>
                <c:pt idx="275">
                  <c:v>57.865803259645773</c:v>
                </c:pt>
                <c:pt idx="276">
                  <c:v>57.698058234628753</c:v>
                </c:pt>
                <c:pt idx="277">
                  <c:v>57.523603408611059</c:v>
                </c:pt>
                <c:pt idx="278">
                  <c:v>57.221662363580435</c:v>
                </c:pt>
                <c:pt idx="279">
                  <c:v>56.923076219050152</c:v>
                </c:pt>
                <c:pt idx="280">
                  <c:v>56.711717487528702</c:v>
                </c:pt>
                <c:pt idx="281">
                  <c:v>56.644619477521907</c:v>
                </c:pt>
                <c:pt idx="282">
                  <c:v>56.651329278522581</c:v>
                </c:pt>
                <c:pt idx="283">
                  <c:v>56.738556691531436</c:v>
                </c:pt>
                <c:pt idx="284">
                  <c:v>56.855978209043329</c:v>
                </c:pt>
                <c:pt idx="285">
                  <c:v>56.970044826054924</c:v>
                </c:pt>
                <c:pt idx="286">
                  <c:v>57.047207537562741</c:v>
                </c:pt>
                <c:pt idx="287">
                  <c:v>57.020368333560022</c:v>
                </c:pt>
                <c:pt idx="288">
                  <c:v>56.866042910544358</c:v>
                </c:pt>
                <c:pt idx="289">
                  <c:v>56.58758616901612</c:v>
                </c:pt>
                <c:pt idx="290">
                  <c:v>56.215192213478346</c:v>
                </c:pt>
                <c:pt idx="291">
                  <c:v>55.799184551436156</c:v>
                </c:pt>
                <c:pt idx="292">
                  <c:v>55.336208282389194</c:v>
                </c:pt>
                <c:pt idx="293">
                  <c:v>54.9369751228487</c:v>
                </c:pt>
                <c:pt idx="294">
                  <c:v>54.655163480820114</c:v>
                </c:pt>
                <c:pt idx="295">
                  <c:v>54.319673430786082</c:v>
                </c:pt>
                <c:pt idx="296">
                  <c:v>54.051281390758867</c:v>
                </c:pt>
                <c:pt idx="297">
                  <c:v>53.766114848229932</c:v>
                </c:pt>
                <c:pt idx="298">
                  <c:v>53.329977783185704</c:v>
                </c:pt>
                <c:pt idx="299">
                  <c:v>53.098489648662216</c:v>
                </c:pt>
                <c:pt idx="300">
                  <c:v>53.78624425123197</c:v>
                </c:pt>
                <c:pt idx="301">
                  <c:v>53.943924574747967</c:v>
                </c:pt>
                <c:pt idx="302">
                  <c:v>53.930504972746611</c:v>
                </c:pt>
                <c:pt idx="303">
                  <c:v>52.960938728148271</c:v>
                </c:pt>
                <c:pt idx="304">
                  <c:v>51.645817732014876</c:v>
                </c:pt>
                <c:pt idx="305">
                  <c:v>50.827222009931852</c:v>
                </c:pt>
                <c:pt idx="306">
                  <c:v>50.233404621371612</c:v>
                </c:pt>
                <c:pt idx="307">
                  <c:v>49.679846038815462</c:v>
                </c:pt>
                <c:pt idx="308">
                  <c:v>49.0994482522566</c:v>
                </c:pt>
                <c:pt idx="309">
                  <c:v>48.559309271701814</c:v>
                </c:pt>
                <c:pt idx="310">
                  <c:v>48.106397704155867</c:v>
                </c:pt>
                <c:pt idx="311">
                  <c:v>47.713874345616063</c:v>
                </c:pt>
                <c:pt idx="312">
                  <c:v>47.385094096582712</c:v>
                </c:pt>
                <c:pt idx="313">
                  <c:v>47.002635439543923</c:v>
                </c:pt>
                <c:pt idx="314">
                  <c:v>46.536304269996613</c:v>
                </c:pt>
                <c:pt idx="315">
                  <c:v>45.992810388941493</c:v>
                </c:pt>
                <c:pt idx="316">
                  <c:v>45.271506781368331</c:v>
                </c:pt>
                <c:pt idx="317">
                  <c:v>44.483105163788359</c:v>
                </c:pt>
                <c:pt idx="318">
                  <c:v>43.751736854714181</c:v>
                </c:pt>
                <c:pt idx="319">
                  <c:v>43.174693968655646</c:v>
                </c:pt>
                <c:pt idx="320">
                  <c:v>42.678168694605283</c:v>
                </c:pt>
                <c:pt idx="321">
                  <c:v>42.205127724057306</c:v>
                </c:pt>
                <c:pt idx="322">
                  <c:v>41.6381495394998</c:v>
                </c:pt>
                <c:pt idx="323">
                  <c:v>40.947040036429705</c:v>
                </c:pt>
                <c:pt idx="324">
                  <c:v>40.14521881684837</c:v>
                </c:pt>
                <c:pt idx="325">
                  <c:v>39.172297671749689</c:v>
                </c:pt>
                <c:pt idx="326">
                  <c:v>38.055115805136374</c:v>
                </c:pt>
                <c:pt idx="327">
                  <c:v>36.760124212005024</c:v>
                </c:pt>
                <c:pt idx="328">
                  <c:v>35.27725819085461</c:v>
                </c:pt>
                <c:pt idx="329">
                  <c:v>33.727294159697394</c:v>
                </c:pt>
                <c:pt idx="330">
                  <c:v>32.140426223036442</c:v>
                </c:pt>
                <c:pt idx="331">
                  <c:v>30.553558286375488</c:v>
                </c:pt>
                <c:pt idx="332">
                  <c:v>29.023723658220316</c:v>
                </c:pt>
                <c:pt idx="333">
                  <c:v>27.571051741572969</c:v>
                </c:pt>
                <c:pt idx="334">
                  <c:v>26.161993531430049</c:v>
                </c:pt>
                <c:pt idx="335">
                  <c:v>24.769709823788833</c:v>
                </c:pt>
                <c:pt idx="336">
                  <c:v>23.350586912144891</c:v>
                </c:pt>
                <c:pt idx="337">
                  <c:v>21.854301288993121</c:v>
                </c:pt>
                <c:pt idx="338">
                  <c:v>20.23052944682842</c:v>
                </c:pt>
                <c:pt idx="339">
                  <c:v>18.546369395657599</c:v>
                </c:pt>
                <c:pt idx="340">
                  <c:v>16.946081856995281</c:v>
                </c:pt>
                <c:pt idx="341">
                  <c:v>15.402827626838747</c:v>
                </c:pt>
                <c:pt idx="342">
                  <c:v>13.849508695181195</c:v>
                </c:pt>
                <c:pt idx="343">
                  <c:v>12.208962350514794</c:v>
                </c:pt>
                <c:pt idx="344">
                  <c:v>10.682482622859963</c:v>
                </c:pt>
                <c:pt idx="345">
                  <c:v>9.5485262537449458</c:v>
                </c:pt>
                <c:pt idx="346">
                  <c:v>8.5252816011411596</c:v>
                </c:pt>
                <c:pt idx="347">
                  <c:v>7.4382938390309032</c:v>
                </c:pt>
                <c:pt idx="348">
                  <c:v>6.2003355544053376</c:v>
                </c:pt>
                <c:pt idx="349">
                  <c:v>5.0697340857906603</c:v>
                </c:pt>
                <c:pt idx="350">
                  <c:v>4.0867482391909586</c:v>
                </c:pt>
                <c:pt idx="351">
                  <c:v>3.2312486116041832</c:v>
                </c:pt>
                <c:pt idx="352">
                  <c:v>2.5904626160391859</c:v>
                </c:pt>
                <c:pt idx="353">
                  <c:v>2.6609155265463347</c:v>
                </c:pt>
                <c:pt idx="354">
                  <c:v>2.6374312230439538</c:v>
                </c:pt>
                <c:pt idx="355">
                  <c:v>2.5837528150385092</c:v>
                </c:pt>
                <c:pt idx="356">
                  <c:v>2.0000001279792947</c:v>
                </c:pt>
              </c:numCache>
            </c:numRef>
          </c:yVal>
          <c:smooth val="1"/>
          <c:extLst>
            <c:ext xmlns:c16="http://schemas.microsoft.com/office/drawing/2014/chart" uri="{C3380CC4-5D6E-409C-BE32-E72D297353CC}">
              <c16:uniqueId val="{00000000-6C55-4540-A99B-AF279F0EE33F}"/>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0.51300000000000001</c:v>
                </c:pt>
                <c:pt idx="1">
                  <c:v>0.54</c:v>
                </c:pt>
                <c:pt idx="2">
                  <c:v>0.56699999999999995</c:v>
                </c:pt>
                <c:pt idx="3">
                  <c:v>0.59299999999999997</c:v>
                </c:pt>
                <c:pt idx="4">
                  <c:v>0.62</c:v>
                </c:pt>
                <c:pt idx="5">
                  <c:v>0.64700000000000002</c:v>
                </c:pt>
                <c:pt idx="6">
                  <c:v>0.67300000000000004</c:v>
                </c:pt>
                <c:pt idx="7">
                  <c:v>0.7</c:v>
                </c:pt>
                <c:pt idx="8">
                  <c:v>0.72699999999999998</c:v>
                </c:pt>
                <c:pt idx="9">
                  <c:v>0.753</c:v>
                </c:pt>
                <c:pt idx="10">
                  <c:v>0.78</c:v>
                </c:pt>
                <c:pt idx="11">
                  <c:v>0.80700000000000005</c:v>
                </c:pt>
                <c:pt idx="12">
                  <c:v>0.83299999999999996</c:v>
                </c:pt>
                <c:pt idx="13">
                  <c:v>0.86</c:v>
                </c:pt>
                <c:pt idx="14">
                  <c:v>0.88700000000000001</c:v>
                </c:pt>
                <c:pt idx="15">
                  <c:v>0.91300000000000003</c:v>
                </c:pt>
                <c:pt idx="16">
                  <c:v>0.94</c:v>
                </c:pt>
                <c:pt idx="17">
                  <c:v>0.96699999999999997</c:v>
                </c:pt>
                <c:pt idx="18">
                  <c:v>0.99299999999999999</c:v>
                </c:pt>
                <c:pt idx="19">
                  <c:v>1.02</c:v>
                </c:pt>
                <c:pt idx="20">
                  <c:v>1.0469999999999999</c:v>
                </c:pt>
                <c:pt idx="21">
                  <c:v>1.073</c:v>
                </c:pt>
                <c:pt idx="22">
                  <c:v>1.1000000000000001</c:v>
                </c:pt>
                <c:pt idx="23">
                  <c:v>1.127</c:v>
                </c:pt>
                <c:pt idx="24">
                  <c:v>1.153</c:v>
                </c:pt>
                <c:pt idx="25">
                  <c:v>1.18</c:v>
                </c:pt>
                <c:pt idx="26">
                  <c:v>1.2070000000000001</c:v>
                </c:pt>
                <c:pt idx="27">
                  <c:v>1.2330000000000001</c:v>
                </c:pt>
                <c:pt idx="28">
                  <c:v>1.26</c:v>
                </c:pt>
                <c:pt idx="29">
                  <c:v>1.2869999999999999</c:v>
                </c:pt>
                <c:pt idx="30">
                  <c:v>1.3129999999999999</c:v>
                </c:pt>
                <c:pt idx="31">
                  <c:v>1.34</c:v>
                </c:pt>
                <c:pt idx="32">
                  <c:v>1.367</c:v>
                </c:pt>
                <c:pt idx="33">
                  <c:v>1.393</c:v>
                </c:pt>
                <c:pt idx="34">
                  <c:v>1.42</c:v>
                </c:pt>
                <c:pt idx="35">
                  <c:v>1.4470000000000001</c:v>
                </c:pt>
                <c:pt idx="36">
                  <c:v>1.4730000000000001</c:v>
                </c:pt>
                <c:pt idx="37">
                  <c:v>1.5</c:v>
                </c:pt>
                <c:pt idx="38">
                  <c:v>1.5269999999999999</c:v>
                </c:pt>
                <c:pt idx="39">
                  <c:v>1.5529999999999999</c:v>
                </c:pt>
                <c:pt idx="40">
                  <c:v>1.58</c:v>
                </c:pt>
                <c:pt idx="41">
                  <c:v>1.607</c:v>
                </c:pt>
                <c:pt idx="42">
                  <c:v>1.633</c:v>
                </c:pt>
                <c:pt idx="43">
                  <c:v>1.66</c:v>
                </c:pt>
                <c:pt idx="44">
                  <c:v>1.6870000000000001</c:v>
                </c:pt>
                <c:pt idx="45">
                  <c:v>1.7130000000000001</c:v>
                </c:pt>
                <c:pt idx="46">
                  <c:v>1.74</c:v>
                </c:pt>
                <c:pt idx="47">
                  <c:v>1.7669999999999999</c:v>
                </c:pt>
                <c:pt idx="48">
                  <c:v>1.7929999999999999</c:v>
                </c:pt>
                <c:pt idx="49">
                  <c:v>1.82</c:v>
                </c:pt>
                <c:pt idx="50">
                  <c:v>1.847</c:v>
                </c:pt>
                <c:pt idx="51">
                  <c:v>1.873</c:v>
                </c:pt>
                <c:pt idx="52">
                  <c:v>1.9</c:v>
                </c:pt>
                <c:pt idx="53">
                  <c:v>1.927</c:v>
                </c:pt>
                <c:pt idx="54">
                  <c:v>1.9530000000000001</c:v>
                </c:pt>
                <c:pt idx="55">
                  <c:v>1.98</c:v>
                </c:pt>
                <c:pt idx="56">
                  <c:v>2.0070000000000001</c:v>
                </c:pt>
                <c:pt idx="57">
                  <c:v>2.0329999999999999</c:v>
                </c:pt>
                <c:pt idx="58">
                  <c:v>2.06</c:v>
                </c:pt>
                <c:pt idx="59">
                  <c:v>2.0870000000000002</c:v>
                </c:pt>
                <c:pt idx="60">
                  <c:v>2.113</c:v>
                </c:pt>
                <c:pt idx="61">
                  <c:v>2.14</c:v>
                </c:pt>
                <c:pt idx="62">
                  <c:v>2.1669999999999998</c:v>
                </c:pt>
                <c:pt idx="63">
                  <c:v>2.1930000000000001</c:v>
                </c:pt>
                <c:pt idx="64">
                  <c:v>2.2200000000000002</c:v>
                </c:pt>
                <c:pt idx="65">
                  <c:v>2.2469999999999999</c:v>
                </c:pt>
                <c:pt idx="66">
                  <c:v>2.2730000000000001</c:v>
                </c:pt>
                <c:pt idx="67">
                  <c:v>2.2999999999999998</c:v>
                </c:pt>
                <c:pt idx="68">
                  <c:v>2.327</c:v>
                </c:pt>
                <c:pt idx="69">
                  <c:v>2.3530000000000002</c:v>
                </c:pt>
                <c:pt idx="70">
                  <c:v>2.38</c:v>
                </c:pt>
                <c:pt idx="71">
                  <c:v>2.407</c:v>
                </c:pt>
                <c:pt idx="72">
                  <c:v>2.4329999999999998</c:v>
                </c:pt>
                <c:pt idx="73">
                  <c:v>2.46</c:v>
                </c:pt>
                <c:pt idx="74">
                  <c:v>2.4870000000000001</c:v>
                </c:pt>
                <c:pt idx="75">
                  <c:v>2.5129999999999999</c:v>
                </c:pt>
                <c:pt idx="76">
                  <c:v>2.54</c:v>
                </c:pt>
                <c:pt idx="77">
                  <c:v>2.5670000000000002</c:v>
                </c:pt>
                <c:pt idx="78">
                  <c:v>2.593</c:v>
                </c:pt>
                <c:pt idx="79">
                  <c:v>2.62</c:v>
                </c:pt>
                <c:pt idx="80">
                  <c:v>2.6469999999999998</c:v>
                </c:pt>
                <c:pt idx="81">
                  <c:v>2.673</c:v>
                </c:pt>
                <c:pt idx="82">
                  <c:v>2.7</c:v>
                </c:pt>
                <c:pt idx="83">
                  <c:v>2.7269999999999999</c:v>
                </c:pt>
                <c:pt idx="84">
                  <c:v>2.7530000000000001</c:v>
                </c:pt>
                <c:pt idx="85">
                  <c:v>2.78</c:v>
                </c:pt>
                <c:pt idx="86">
                  <c:v>2.8069999999999999</c:v>
                </c:pt>
                <c:pt idx="87">
                  <c:v>2.8330000000000002</c:v>
                </c:pt>
                <c:pt idx="88">
                  <c:v>2.86</c:v>
                </c:pt>
                <c:pt idx="89">
                  <c:v>2.887</c:v>
                </c:pt>
                <c:pt idx="90">
                  <c:v>2.9129999999999998</c:v>
                </c:pt>
                <c:pt idx="91">
                  <c:v>2.94</c:v>
                </c:pt>
                <c:pt idx="92">
                  <c:v>2.9670000000000001</c:v>
                </c:pt>
                <c:pt idx="93">
                  <c:v>2.9929999999999999</c:v>
                </c:pt>
                <c:pt idx="94">
                  <c:v>3.02</c:v>
                </c:pt>
                <c:pt idx="95">
                  <c:v>3.0470000000000002</c:v>
                </c:pt>
                <c:pt idx="96">
                  <c:v>3.073</c:v>
                </c:pt>
                <c:pt idx="97">
                  <c:v>3.1</c:v>
                </c:pt>
                <c:pt idx="98">
                  <c:v>3.1269999999999998</c:v>
                </c:pt>
                <c:pt idx="99">
                  <c:v>3.153</c:v>
                </c:pt>
                <c:pt idx="100">
                  <c:v>3.18</c:v>
                </c:pt>
                <c:pt idx="101">
                  <c:v>3.2069999999999999</c:v>
                </c:pt>
                <c:pt idx="102">
                  <c:v>3.2330000000000001</c:v>
                </c:pt>
                <c:pt idx="103">
                  <c:v>3.26</c:v>
                </c:pt>
                <c:pt idx="104">
                  <c:v>3.2869999999999999</c:v>
                </c:pt>
                <c:pt idx="105">
                  <c:v>3.3130000000000002</c:v>
                </c:pt>
                <c:pt idx="106">
                  <c:v>3.34</c:v>
                </c:pt>
                <c:pt idx="107">
                  <c:v>3.367</c:v>
                </c:pt>
                <c:pt idx="108">
                  <c:v>3.3929999999999998</c:v>
                </c:pt>
                <c:pt idx="109">
                  <c:v>3.42</c:v>
                </c:pt>
                <c:pt idx="110">
                  <c:v>3.4470000000000001</c:v>
                </c:pt>
                <c:pt idx="111">
                  <c:v>3.4729999999999999</c:v>
                </c:pt>
                <c:pt idx="112">
                  <c:v>3.5</c:v>
                </c:pt>
                <c:pt idx="113">
                  <c:v>3.5270000000000001</c:v>
                </c:pt>
                <c:pt idx="114">
                  <c:v>3.5529999999999999</c:v>
                </c:pt>
                <c:pt idx="115">
                  <c:v>3.58</c:v>
                </c:pt>
                <c:pt idx="116">
                  <c:v>3.6070000000000002</c:v>
                </c:pt>
                <c:pt idx="117">
                  <c:v>3.633</c:v>
                </c:pt>
                <c:pt idx="118">
                  <c:v>3.66</c:v>
                </c:pt>
                <c:pt idx="119">
                  <c:v>3.6869999999999998</c:v>
                </c:pt>
                <c:pt idx="120">
                  <c:v>3.7130000000000001</c:v>
                </c:pt>
                <c:pt idx="121">
                  <c:v>3.74</c:v>
                </c:pt>
                <c:pt idx="122">
                  <c:v>3.7669999999999999</c:v>
                </c:pt>
                <c:pt idx="123">
                  <c:v>3.7930000000000001</c:v>
                </c:pt>
                <c:pt idx="124">
                  <c:v>3.82</c:v>
                </c:pt>
                <c:pt idx="125">
                  <c:v>3.847</c:v>
                </c:pt>
                <c:pt idx="126">
                  <c:v>3.8730000000000002</c:v>
                </c:pt>
                <c:pt idx="127">
                  <c:v>3.9</c:v>
                </c:pt>
                <c:pt idx="128">
                  <c:v>3.927</c:v>
                </c:pt>
                <c:pt idx="129">
                  <c:v>3.9529999999999998</c:v>
                </c:pt>
                <c:pt idx="130">
                  <c:v>3.98</c:v>
                </c:pt>
                <c:pt idx="131">
                  <c:v>4.0069999999999997</c:v>
                </c:pt>
                <c:pt idx="132">
                  <c:v>4.0330000000000004</c:v>
                </c:pt>
                <c:pt idx="133">
                  <c:v>4.0599999999999996</c:v>
                </c:pt>
                <c:pt idx="134">
                  <c:v>4.0869999999999997</c:v>
                </c:pt>
                <c:pt idx="135">
                  <c:v>4.1130000000000004</c:v>
                </c:pt>
                <c:pt idx="136">
                  <c:v>4.1399999999999997</c:v>
                </c:pt>
                <c:pt idx="137">
                  <c:v>4.1669999999999998</c:v>
                </c:pt>
                <c:pt idx="138">
                  <c:v>4.1929999999999996</c:v>
                </c:pt>
                <c:pt idx="139">
                  <c:v>4.22</c:v>
                </c:pt>
                <c:pt idx="140">
                  <c:v>4.2469999999999999</c:v>
                </c:pt>
                <c:pt idx="141">
                  <c:v>4.2729999999999997</c:v>
                </c:pt>
                <c:pt idx="142">
                  <c:v>4.3</c:v>
                </c:pt>
                <c:pt idx="143">
                  <c:v>4.327</c:v>
                </c:pt>
                <c:pt idx="144">
                  <c:v>4.3529999999999998</c:v>
                </c:pt>
                <c:pt idx="145">
                  <c:v>4.38</c:v>
                </c:pt>
                <c:pt idx="146">
                  <c:v>4.407</c:v>
                </c:pt>
                <c:pt idx="147">
                  <c:v>4.4329999999999998</c:v>
                </c:pt>
                <c:pt idx="148">
                  <c:v>4.46</c:v>
                </c:pt>
                <c:pt idx="149">
                  <c:v>4.4870000000000001</c:v>
                </c:pt>
                <c:pt idx="150">
                  <c:v>4.5129999999999999</c:v>
                </c:pt>
                <c:pt idx="151">
                  <c:v>4.54</c:v>
                </c:pt>
                <c:pt idx="152">
                  <c:v>4.5670000000000002</c:v>
                </c:pt>
                <c:pt idx="153">
                  <c:v>4.593</c:v>
                </c:pt>
                <c:pt idx="154">
                  <c:v>4.62</c:v>
                </c:pt>
                <c:pt idx="155">
                  <c:v>4.6470000000000002</c:v>
                </c:pt>
                <c:pt idx="156">
                  <c:v>4.673</c:v>
                </c:pt>
                <c:pt idx="157">
                  <c:v>4.7</c:v>
                </c:pt>
                <c:pt idx="158">
                  <c:v>4.7270000000000003</c:v>
                </c:pt>
                <c:pt idx="159">
                  <c:v>4.7530000000000001</c:v>
                </c:pt>
                <c:pt idx="160">
                  <c:v>4.78</c:v>
                </c:pt>
                <c:pt idx="161">
                  <c:v>4.8070000000000004</c:v>
                </c:pt>
                <c:pt idx="162">
                  <c:v>4.8330000000000002</c:v>
                </c:pt>
                <c:pt idx="163">
                  <c:v>4.8600000000000003</c:v>
                </c:pt>
                <c:pt idx="164">
                  <c:v>4.8869999999999996</c:v>
                </c:pt>
                <c:pt idx="165">
                  <c:v>4.9130000000000003</c:v>
                </c:pt>
                <c:pt idx="166">
                  <c:v>4.9400000000000004</c:v>
                </c:pt>
                <c:pt idx="167">
                  <c:v>4.9669999999999996</c:v>
                </c:pt>
                <c:pt idx="168">
                  <c:v>4.9930000000000003</c:v>
                </c:pt>
                <c:pt idx="169">
                  <c:v>5.0199999999999996</c:v>
                </c:pt>
                <c:pt idx="170">
                  <c:v>5.0469999999999997</c:v>
                </c:pt>
                <c:pt idx="171">
                  <c:v>5.0730000000000004</c:v>
                </c:pt>
                <c:pt idx="172">
                  <c:v>5.0999999999999996</c:v>
                </c:pt>
                <c:pt idx="173">
                  <c:v>5.1269999999999998</c:v>
                </c:pt>
                <c:pt idx="174">
                  <c:v>5.1529999999999996</c:v>
                </c:pt>
                <c:pt idx="175">
                  <c:v>5.18</c:v>
                </c:pt>
                <c:pt idx="176">
                  <c:v>5.2069999999999999</c:v>
                </c:pt>
                <c:pt idx="177">
                  <c:v>5.2329999999999997</c:v>
                </c:pt>
                <c:pt idx="178">
                  <c:v>5.26</c:v>
                </c:pt>
                <c:pt idx="179">
                  <c:v>5.2869999999999999</c:v>
                </c:pt>
                <c:pt idx="180">
                  <c:v>5.3129999999999997</c:v>
                </c:pt>
                <c:pt idx="181">
                  <c:v>5.34</c:v>
                </c:pt>
                <c:pt idx="182">
                  <c:v>5.367</c:v>
                </c:pt>
                <c:pt idx="183">
                  <c:v>5.3929999999999998</c:v>
                </c:pt>
                <c:pt idx="184">
                  <c:v>5.42</c:v>
                </c:pt>
                <c:pt idx="185">
                  <c:v>5.4470000000000001</c:v>
                </c:pt>
                <c:pt idx="186">
                  <c:v>5.4729999999999999</c:v>
                </c:pt>
                <c:pt idx="187">
                  <c:v>5.5</c:v>
                </c:pt>
                <c:pt idx="188">
                  <c:v>5.5270000000000001</c:v>
                </c:pt>
                <c:pt idx="189">
                  <c:v>5.5529999999999999</c:v>
                </c:pt>
                <c:pt idx="190">
                  <c:v>5.58</c:v>
                </c:pt>
                <c:pt idx="191">
                  <c:v>5.6070000000000002</c:v>
                </c:pt>
                <c:pt idx="192">
                  <c:v>5.633</c:v>
                </c:pt>
                <c:pt idx="193">
                  <c:v>5.66</c:v>
                </c:pt>
                <c:pt idx="194">
                  <c:v>5.6870000000000003</c:v>
                </c:pt>
                <c:pt idx="195">
                  <c:v>5.7130000000000001</c:v>
                </c:pt>
                <c:pt idx="196">
                  <c:v>5.74</c:v>
                </c:pt>
                <c:pt idx="197">
                  <c:v>5.7670000000000003</c:v>
                </c:pt>
                <c:pt idx="198">
                  <c:v>5.7930000000000001</c:v>
                </c:pt>
                <c:pt idx="199">
                  <c:v>5.82</c:v>
                </c:pt>
                <c:pt idx="200">
                  <c:v>5.8470000000000004</c:v>
                </c:pt>
                <c:pt idx="201">
                  <c:v>5.8730000000000002</c:v>
                </c:pt>
                <c:pt idx="202">
                  <c:v>5.9</c:v>
                </c:pt>
                <c:pt idx="203">
                  <c:v>5.9269999999999996</c:v>
                </c:pt>
                <c:pt idx="204">
                  <c:v>5.9530000000000003</c:v>
                </c:pt>
                <c:pt idx="205">
                  <c:v>5.98</c:v>
                </c:pt>
                <c:pt idx="206">
                  <c:v>6.0069999999999997</c:v>
                </c:pt>
                <c:pt idx="207">
                  <c:v>6.0330000000000004</c:v>
                </c:pt>
                <c:pt idx="208">
                  <c:v>6.06</c:v>
                </c:pt>
                <c:pt idx="209">
                  <c:v>6.0869999999999997</c:v>
                </c:pt>
                <c:pt idx="210">
                  <c:v>6.1130000000000004</c:v>
                </c:pt>
                <c:pt idx="211">
                  <c:v>6.14</c:v>
                </c:pt>
                <c:pt idx="212">
                  <c:v>6.1669999999999998</c:v>
                </c:pt>
                <c:pt idx="213">
                  <c:v>6.1929999999999996</c:v>
                </c:pt>
                <c:pt idx="214">
                  <c:v>6.22</c:v>
                </c:pt>
                <c:pt idx="215">
                  <c:v>6.2469999999999999</c:v>
                </c:pt>
                <c:pt idx="216">
                  <c:v>6.2729999999999997</c:v>
                </c:pt>
                <c:pt idx="217">
                  <c:v>6.3</c:v>
                </c:pt>
                <c:pt idx="218">
                  <c:v>6.327</c:v>
                </c:pt>
                <c:pt idx="219">
                  <c:v>6.3529999999999998</c:v>
                </c:pt>
                <c:pt idx="220">
                  <c:v>6.38</c:v>
                </c:pt>
                <c:pt idx="221">
                  <c:v>6.407</c:v>
                </c:pt>
                <c:pt idx="222">
                  <c:v>6.4329999999999998</c:v>
                </c:pt>
                <c:pt idx="223">
                  <c:v>6.46</c:v>
                </c:pt>
                <c:pt idx="224">
                  <c:v>6.4870000000000001</c:v>
                </c:pt>
                <c:pt idx="225">
                  <c:v>6.5129999999999999</c:v>
                </c:pt>
                <c:pt idx="226">
                  <c:v>6.54</c:v>
                </c:pt>
                <c:pt idx="227">
                  <c:v>6.5670000000000002</c:v>
                </c:pt>
                <c:pt idx="228">
                  <c:v>6.593</c:v>
                </c:pt>
                <c:pt idx="229">
                  <c:v>6.62</c:v>
                </c:pt>
                <c:pt idx="230">
                  <c:v>6.6470000000000002</c:v>
                </c:pt>
                <c:pt idx="231">
                  <c:v>6.673</c:v>
                </c:pt>
                <c:pt idx="232">
                  <c:v>6.7</c:v>
                </c:pt>
                <c:pt idx="233">
                  <c:v>6.7270000000000003</c:v>
                </c:pt>
                <c:pt idx="234">
                  <c:v>6.7530000000000001</c:v>
                </c:pt>
                <c:pt idx="235">
                  <c:v>6.78</c:v>
                </c:pt>
                <c:pt idx="236">
                  <c:v>6.8070000000000004</c:v>
                </c:pt>
                <c:pt idx="237">
                  <c:v>6.8330000000000002</c:v>
                </c:pt>
                <c:pt idx="238">
                  <c:v>6.86</c:v>
                </c:pt>
                <c:pt idx="239">
                  <c:v>6.8869999999999996</c:v>
                </c:pt>
                <c:pt idx="240">
                  <c:v>6.9130000000000003</c:v>
                </c:pt>
                <c:pt idx="241">
                  <c:v>6.94</c:v>
                </c:pt>
                <c:pt idx="242">
                  <c:v>6.9669999999999996</c:v>
                </c:pt>
                <c:pt idx="243">
                  <c:v>6.9930000000000003</c:v>
                </c:pt>
                <c:pt idx="244">
                  <c:v>7.02</c:v>
                </c:pt>
                <c:pt idx="245">
                  <c:v>7.0469999999999997</c:v>
                </c:pt>
                <c:pt idx="246">
                  <c:v>7.0730000000000004</c:v>
                </c:pt>
                <c:pt idx="247">
                  <c:v>7.1</c:v>
                </c:pt>
                <c:pt idx="248">
                  <c:v>7.1269999999999998</c:v>
                </c:pt>
                <c:pt idx="249">
                  <c:v>7.1529999999999996</c:v>
                </c:pt>
                <c:pt idx="250">
                  <c:v>7.18</c:v>
                </c:pt>
                <c:pt idx="251">
                  <c:v>7.2069999999999999</c:v>
                </c:pt>
                <c:pt idx="252">
                  <c:v>7.2329999999999997</c:v>
                </c:pt>
                <c:pt idx="253">
                  <c:v>7.26</c:v>
                </c:pt>
                <c:pt idx="254">
                  <c:v>7.2869999999999999</c:v>
                </c:pt>
                <c:pt idx="255">
                  <c:v>7.3129999999999997</c:v>
                </c:pt>
                <c:pt idx="256">
                  <c:v>7.34</c:v>
                </c:pt>
                <c:pt idx="257">
                  <c:v>7.367</c:v>
                </c:pt>
                <c:pt idx="258">
                  <c:v>7.3929999999999998</c:v>
                </c:pt>
                <c:pt idx="259">
                  <c:v>7.42</c:v>
                </c:pt>
                <c:pt idx="260">
                  <c:v>7.4470000000000001</c:v>
                </c:pt>
                <c:pt idx="261">
                  <c:v>7.4729999999999999</c:v>
                </c:pt>
                <c:pt idx="262">
                  <c:v>7.5</c:v>
                </c:pt>
                <c:pt idx="263">
                  <c:v>7.5270000000000001</c:v>
                </c:pt>
                <c:pt idx="264">
                  <c:v>7.5529999999999999</c:v>
                </c:pt>
                <c:pt idx="265">
                  <c:v>7.58</c:v>
                </c:pt>
                <c:pt idx="266">
                  <c:v>7.6070000000000002</c:v>
                </c:pt>
                <c:pt idx="267">
                  <c:v>7.633</c:v>
                </c:pt>
                <c:pt idx="268">
                  <c:v>7.66</c:v>
                </c:pt>
                <c:pt idx="269">
                  <c:v>7.6870000000000003</c:v>
                </c:pt>
                <c:pt idx="270">
                  <c:v>7.7130000000000001</c:v>
                </c:pt>
                <c:pt idx="271">
                  <c:v>7.74</c:v>
                </c:pt>
                <c:pt idx="272">
                  <c:v>7.7670000000000003</c:v>
                </c:pt>
                <c:pt idx="273">
                  <c:v>7.7930000000000001</c:v>
                </c:pt>
                <c:pt idx="274">
                  <c:v>7.82</c:v>
                </c:pt>
                <c:pt idx="275">
                  <c:v>7.8470000000000004</c:v>
                </c:pt>
                <c:pt idx="276">
                  <c:v>7.8730000000000002</c:v>
                </c:pt>
                <c:pt idx="277">
                  <c:v>7.9</c:v>
                </c:pt>
                <c:pt idx="278">
                  <c:v>7.9269999999999996</c:v>
                </c:pt>
                <c:pt idx="279">
                  <c:v>7.9530000000000003</c:v>
                </c:pt>
                <c:pt idx="280">
                  <c:v>7.98</c:v>
                </c:pt>
                <c:pt idx="281">
                  <c:v>8.0069999999999997</c:v>
                </c:pt>
                <c:pt idx="282">
                  <c:v>8.0329999999999995</c:v>
                </c:pt>
                <c:pt idx="283">
                  <c:v>8.06</c:v>
                </c:pt>
                <c:pt idx="284">
                  <c:v>8.0869999999999997</c:v>
                </c:pt>
                <c:pt idx="285">
                  <c:v>8.1129999999999995</c:v>
                </c:pt>
                <c:pt idx="286">
                  <c:v>8.14</c:v>
                </c:pt>
                <c:pt idx="287">
                  <c:v>8.1669999999999998</c:v>
                </c:pt>
                <c:pt idx="288">
                  <c:v>8.1929999999999996</c:v>
                </c:pt>
                <c:pt idx="289">
                  <c:v>8.2200000000000006</c:v>
                </c:pt>
                <c:pt idx="290">
                  <c:v>8.2469999999999999</c:v>
                </c:pt>
                <c:pt idx="291">
                  <c:v>8.2729999999999997</c:v>
                </c:pt>
                <c:pt idx="292">
                  <c:v>8.3000000000000007</c:v>
                </c:pt>
                <c:pt idx="293">
                  <c:v>8.327</c:v>
                </c:pt>
                <c:pt idx="294">
                  <c:v>8.3529999999999998</c:v>
                </c:pt>
                <c:pt idx="295">
                  <c:v>8.3800000000000008</c:v>
                </c:pt>
                <c:pt idx="296">
                  <c:v>8.407</c:v>
                </c:pt>
                <c:pt idx="297">
                  <c:v>8.4329999999999998</c:v>
                </c:pt>
                <c:pt idx="298">
                  <c:v>8.4600000000000009</c:v>
                </c:pt>
                <c:pt idx="299">
                  <c:v>8.4870000000000001</c:v>
                </c:pt>
                <c:pt idx="300">
                  <c:v>8.5129999999999999</c:v>
                </c:pt>
                <c:pt idx="301">
                  <c:v>8.5399999999999991</c:v>
                </c:pt>
                <c:pt idx="302">
                  <c:v>8.5670000000000002</c:v>
                </c:pt>
                <c:pt idx="303">
                  <c:v>8.593</c:v>
                </c:pt>
                <c:pt idx="304">
                  <c:v>8.6199999999999992</c:v>
                </c:pt>
                <c:pt idx="305">
                  <c:v>8.6470000000000002</c:v>
                </c:pt>
                <c:pt idx="306">
                  <c:v>8.673</c:v>
                </c:pt>
                <c:pt idx="307">
                  <c:v>8.6999999999999993</c:v>
                </c:pt>
                <c:pt idx="308">
                  <c:v>8.7270000000000003</c:v>
                </c:pt>
                <c:pt idx="309">
                  <c:v>8.7530000000000001</c:v>
                </c:pt>
                <c:pt idx="310">
                  <c:v>8.7799999999999994</c:v>
                </c:pt>
                <c:pt idx="311">
                  <c:v>8.8070000000000004</c:v>
                </c:pt>
                <c:pt idx="312">
                  <c:v>8.8330000000000002</c:v>
                </c:pt>
                <c:pt idx="313">
                  <c:v>8.86</c:v>
                </c:pt>
                <c:pt idx="314">
                  <c:v>8.8870000000000005</c:v>
                </c:pt>
                <c:pt idx="315">
                  <c:v>8.9130000000000003</c:v>
                </c:pt>
                <c:pt idx="316">
                  <c:v>8.94</c:v>
                </c:pt>
                <c:pt idx="317">
                  <c:v>8.9670000000000005</c:v>
                </c:pt>
                <c:pt idx="318">
                  <c:v>8.9930000000000003</c:v>
                </c:pt>
                <c:pt idx="319">
                  <c:v>9.02</c:v>
                </c:pt>
                <c:pt idx="320">
                  <c:v>9.0470000000000006</c:v>
                </c:pt>
                <c:pt idx="321">
                  <c:v>9.0730000000000004</c:v>
                </c:pt>
                <c:pt idx="322">
                  <c:v>9.1</c:v>
                </c:pt>
                <c:pt idx="323">
                  <c:v>9.1270000000000007</c:v>
                </c:pt>
                <c:pt idx="324">
                  <c:v>9.1530000000000005</c:v>
                </c:pt>
                <c:pt idx="325">
                  <c:v>9.18</c:v>
                </c:pt>
                <c:pt idx="326">
                  <c:v>9.2070000000000007</c:v>
                </c:pt>
                <c:pt idx="327">
                  <c:v>9.2330000000000005</c:v>
                </c:pt>
                <c:pt idx="328">
                  <c:v>9.26</c:v>
                </c:pt>
                <c:pt idx="329">
                  <c:v>9.2870000000000008</c:v>
                </c:pt>
                <c:pt idx="330">
                  <c:v>9.3130000000000006</c:v>
                </c:pt>
                <c:pt idx="331">
                  <c:v>9.34</c:v>
                </c:pt>
                <c:pt idx="332">
                  <c:v>9.3670000000000009</c:v>
                </c:pt>
                <c:pt idx="333">
                  <c:v>9.3930000000000007</c:v>
                </c:pt>
                <c:pt idx="334">
                  <c:v>9.42</c:v>
                </c:pt>
                <c:pt idx="335">
                  <c:v>9.4469999999999992</c:v>
                </c:pt>
                <c:pt idx="336">
                  <c:v>9.4730000000000008</c:v>
                </c:pt>
                <c:pt idx="337">
                  <c:v>9.5</c:v>
                </c:pt>
                <c:pt idx="338">
                  <c:v>9.5269999999999992</c:v>
                </c:pt>
                <c:pt idx="339">
                  <c:v>9.5530000000000008</c:v>
                </c:pt>
                <c:pt idx="340">
                  <c:v>9.58</c:v>
                </c:pt>
                <c:pt idx="341">
                  <c:v>9.6069999999999993</c:v>
                </c:pt>
                <c:pt idx="342">
                  <c:v>9.6329999999999991</c:v>
                </c:pt>
                <c:pt idx="343">
                  <c:v>9.66</c:v>
                </c:pt>
                <c:pt idx="344">
                  <c:v>9.6869999999999994</c:v>
                </c:pt>
                <c:pt idx="345">
                  <c:v>9.7129999999999992</c:v>
                </c:pt>
                <c:pt idx="346">
                  <c:v>9.74</c:v>
                </c:pt>
                <c:pt idx="347">
                  <c:v>9.7669999999999995</c:v>
                </c:pt>
                <c:pt idx="348">
                  <c:v>9.7929999999999993</c:v>
                </c:pt>
                <c:pt idx="349">
                  <c:v>9.82</c:v>
                </c:pt>
                <c:pt idx="350">
                  <c:v>9.8469999999999995</c:v>
                </c:pt>
                <c:pt idx="351">
                  <c:v>9.8729999999999993</c:v>
                </c:pt>
                <c:pt idx="352">
                  <c:v>9.9</c:v>
                </c:pt>
                <c:pt idx="353">
                  <c:v>9.9269999999999996</c:v>
                </c:pt>
                <c:pt idx="354">
                  <c:v>9.9529999999999994</c:v>
                </c:pt>
                <c:pt idx="355">
                  <c:v>9.98</c:v>
                </c:pt>
                <c:pt idx="356">
                  <c:v>10.007</c:v>
                </c:pt>
              </c:numCache>
            </c:numRef>
          </c:xVal>
          <c:yVal>
            <c:numRef>
              <c:f>ChromatogramData!$C$2:$C$10001</c:f>
              <c:numCache>
                <c:formatCode>General</c:formatCode>
                <c:ptCount val="10000"/>
                <c:pt idx="0">
                  <c:v>10.108794512521959</c:v>
                </c:pt>
                <c:pt idx="1">
                  <c:v>7.4483584157521099</c:v>
                </c:pt>
                <c:pt idx="2">
                  <c:v>5.6232925435669934</c:v>
                </c:pt>
                <c:pt idx="3">
                  <c:v>5.2710279910312625</c:v>
                </c:pt>
                <c:pt idx="4">
                  <c:v>5.311286797035347</c:v>
                </c:pt>
                <c:pt idx="5">
                  <c:v>5.0529594585091449</c:v>
                </c:pt>
                <c:pt idx="6">
                  <c:v>4.4222381644451705</c:v>
                </c:pt>
                <c:pt idx="7">
                  <c:v>3.7915168703811961</c:v>
                </c:pt>
                <c:pt idx="8">
                  <c:v>3.415768014343084</c:v>
                </c:pt>
                <c:pt idx="9">
                  <c:v>3.3453151038359374</c:v>
                </c:pt>
                <c:pt idx="10">
                  <c:v>3.3922837108407018</c:v>
                </c:pt>
                <c:pt idx="11">
                  <c:v>3.4627366213478479</c:v>
                </c:pt>
                <c:pt idx="12">
                  <c:v>3.4761562233492089</c:v>
                </c:pt>
                <c:pt idx="13">
                  <c:v>3.385573909840021</c:v>
                </c:pt>
                <c:pt idx="14">
                  <c:v>3.237958287825049</c:v>
                </c:pt>
                <c:pt idx="15">
                  <c:v>3.1071171683117775</c:v>
                </c:pt>
                <c:pt idx="16">
                  <c:v>3.0232446558032704</c:v>
                </c:pt>
                <c:pt idx="17">
                  <c:v>2.9293074417937421</c:v>
                </c:pt>
                <c:pt idx="18">
                  <c:v>2.8521447302859153</c:v>
                </c:pt>
                <c:pt idx="19">
                  <c:v>2.7816918197787692</c:v>
                </c:pt>
                <c:pt idx="20">
                  <c:v>2.7112389092716236</c:v>
                </c:pt>
                <c:pt idx="21">
                  <c:v>2.6508507002654982</c:v>
                </c:pt>
                <c:pt idx="22">
                  <c:v>2.5904624912593732</c:v>
                </c:pt>
                <c:pt idx="23">
                  <c:v>2.5434938842546089</c:v>
                </c:pt>
                <c:pt idx="24">
                  <c:v>2.5367840832539286</c:v>
                </c:pt>
                <c:pt idx="25">
                  <c:v>2.5468487847549497</c:v>
                </c:pt>
                <c:pt idx="26">
                  <c:v>2.5300742822532478</c:v>
                </c:pt>
                <c:pt idx="27">
                  <c:v>2.5132997797515464</c:v>
                </c:pt>
                <c:pt idx="28">
                  <c:v>2.509944879251206</c:v>
                </c:pt>
                <c:pt idx="29">
                  <c:v>2.4831056752484839</c:v>
                </c:pt>
                <c:pt idx="30">
                  <c:v>2.4596213717461017</c:v>
                </c:pt>
                <c:pt idx="31">
                  <c:v>2.4193625657420186</c:v>
                </c:pt>
                <c:pt idx="32">
                  <c:v>2.3522645557352129</c:v>
                </c:pt>
                <c:pt idx="33">
                  <c:v>2.2818116452280668</c:v>
                </c:pt>
                <c:pt idx="34">
                  <c:v>2.2113587347209207</c:v>
                </c:pt>
                <c:pt idx="35">
                  <c:v>2.1308411227127535</c:v>
                </c:pt>
                <c:pt idx="36">
                  <c:v>2.0771627147073093</c:v>
                </c:pt>
                <c:pt idx="37">
                  <c:v>2.0603882122056079</c:v>
                </c:pt>
                <c:pt idx="38">
                  <c:v>2.0469686102042464</c:v>
                </c:pt>
                <c:pt idx="39">
                  <c:v>2.0100647047005031</c:v>
                </c:pt>
                <c:pt idx="40">
                  <c:v>2.0000000031994825</c:v>
                </c:pt>
                <c:pt idx="41">
                  <c:v>2.0100647047005031</c:v>
                </c:pt>
                <c:pt idx="42">
                  <c:v>2.0301941077025449</c:v>
                </c:pt>
                <c:pt idx="43">
                  <c:v>2.0503235107045867</c:v>
                </c:pt>
                <c:pt idx="44">
                  <c:v>2.0972921177093506</c:v>
                </c:pt>
                <c:pt idx="45">
                  <c:v>2.1509705257147953</c:v>
                </c:pt>
                <c:pt idx="46">
                  <c:v>2.2080038342205803</c:v>
                </c:pt>
                <c:pt idx="47">
                  <c:v>2.2683920432267053</c:v>
                </c:pt>
                <c:pt idx="48">
                  <c:v>2.31871555073181</c:v>
                </c:pt>
                <c:pt idx="49">
                  <c:v>2.3958782622396364</c:v>
                </c:pt>
                <c:pt idx="50">
                  <c:v>2.4797507747481435</c:v>
                </c:pt>
                <c:pt idx="51">
                  <c:v>2.566978187756991</c:v>
                </c:pt>
                <c:pt idx="52">
                  <c:v>2.6508507002654982</c:v>
                </c:pt>
                <c:pt idx="53">
                  <c:v>2.7414330137746861</c:v>
                </c:pt>
                <c:pt idx="54">
                  <c:v>2.8420800287848946</c:v>
                </c:pt>
                <c:pt idx="55">
                  <c:v>2.962856446797145</c:v>
                </c:pt>
                <c:pt idx="56">
                  <c:v>3.080277964309055</c:v>
                </c:pt>
                <c:pt idx="57">
                  <c:v>3.1909896808202847</c:v>
                </c:pt>
                <c:pt idx="58">
                  <c:v>3.3184758998332153</c:v>
                </c:pt>
                <c:pt idx="59">
                  <c:v>3.4459621188461464</c:v>
                </c:pt>
                <c:pt idx="60">
                  <c:v>3.5734483378590776</c:v>
                </c:pt>
                <c:pt idx="61">
                  <c:v>3.6841600543703072</c:v>
                </c:pt>
                <c:pt idx="62">
                  <c:v>3.7814521688801754</c:v>
                </c:pt>
                <c:pt idx="63">
                  <c:v>3.8586148803880018</c:v>
                </c:pt>
                <c:pt idx="64">
                  <c:v>3.942487392896509</c:v>
                </c:pt>
                <c:pt idx="65">
                  <c:v>4.0632638109087598</c:v>
                </c:pt>
                <c:pt idx="66">
                  <c:v>4.1672657264193083</c:v>
                </c:pt>
                <c:pt idx="67">
                  <c:v>4.2846872439312182</c:v>
                </c:pt>
                <c:pt idx="68">
                  <c:v>4.4222381644451705</c:v>
                </c:pt>
                <c:pt idx="69">
                  <c:v>4.5564341844587819</c:v>
                </c:pt>
                <c:pt idx="70">
                  <c:v>4.6671459009700111</c:v>
                </c:pt>
                <c:pt idx="71">
                  <c:v>4.7812125179815812</c:v>
                </c:pt>
                <c:pt idx="72">
                  <c:v>4.932183040496894</c:v>
                </c:pt>
                <c:pt idx="73">
                  <c:v>5.1267672695166304</c:v>
                </c:pt>
                <c:pt idx="74">
                  <c:v>5.5796788370625698</c:v>
                </c:pt>
                <c:pt idx="75">
                  <c:v>6.4251137631483219</c:v>
                </c:pt>
                <c:pt idx="76">
                  <c:v>6.9015096341966427</c:v>
                </c:pt>
                <c:pt idx="77">
                  <c:v>6.5291156786588704</c:v>
                </c:pt>
                <c:pt idx="78">
                  <c:v>5.9654923946017027</c:v>
                </c:pt>
                <c:pt idx="79">
                  <c:v>5.7105199565758404</c:v>
                </c:pt>
                <c:pt idx="80">
                  <c:v>5.6132278420659718</c:v>
                </c:pt>
                <c:pt idx="81">
                  <c:v>5.5796788370625698</c:v>
                </c:pt>
                <c:pt idx="82">
                  <c:v>5.5561945335601877</c:v>
                </c:pt>
                <c:pt idx="83">
                  <c:v>5.5260004290571256</c:v>
                </c:pt>
                <c:pt idx="84">
                  <c:v>5.5025161255547435</c:v>
                </c:pt>
                <c:pt idx="85">
                  <c:v>5.5125808270557641</c:v>
                </c:pt>
                <c:pt idx="86">
                  <c:v>5.5528396330598477</c:v>
                </c:pt>
                <c:pt idx="87">
                  <c:v>5.5930984390639313</c:v>
                </c:pt>
                <c:pt idx="88">
                  <c:v>5.6769709515724376</c:v>
                </c:pt>
                <c:pt idx="89">
                  <c:v>5.8749100810925148</c:v>
                </c:pt>
                <c:pt idx="90">
                  <c:v>6.0292355041081684</c:v>
                </c:pt>
                <c:pt idx="91">
                  <c:v>6.0527198076105497</c:v>
                </c:pt>
                <c:pt idx="92">
                  <c:v>6.0426551061095291</c:v>
                </c:pt>
                <c:pt idx="93">
                  <c:v>6.220464832627564</c:v>
                </c:pt>
                <c:pt idx="94">
                  <c:v>6.7807332161843927</c:v>
                </c:pt>
                <c:pt idx="95">
                  <c:v>7.0189311517085526</c:v>
                </c:pt>
                <c:pt idx="96">
                  <c:v>6.7840881166847335</c:v>
                </c:pt>
                <c:pt idx="97">
                  <c:v>6.8075724201871148</c:v>
                </c:pt>
                <c:pt idx="98">
                  <c:v>7.1564820722225058</c:v>
                </c:pt>
                <c:pt idx="99">
                  <c:v>7.3074525947378177</c:v>
                </c:pt>
                <c:pt idx="100">
                  <c:v>7.5490054307623193</c:v>
                </c:pt>
                <c:pt idx="101">
                  <c:v>7.4684878187541521</c:v>
                </c:pt>
                <c:pt idx="102">
                  <c:v>6.8780253306942605</c:v>
                </c:pt>
                <c:pt idx="103">
                  <c:v>6.2875628426343706</c:v>
                </c:pt>
                <c:pt idx="104">
                  <c:v>6.1231727181176963</c:v>
                </c:pt>
                <c:pt idx="105">
                  <c:v>6.0829139121136127</c:v>
                </c:pt>
                <c:pt idx="106">
                  <c:v>6.0795590116132727</c:v>
                </c:pt>
                <c:pt idx="107">
                  <c:v>6.1332374196187169</c:v>
                </c:pt>
                <c:pt idx="108">
                  <c:v>6.1365923201190569</c:v>
                </c:pt>
                <c:pt idx="109">
                  <c:v>6.1164629171170155</c:v>
                </c:pt>
                <c:pt idx="110">
                  <c:v>6.2372393351292663</c:v>
                </c:pt>
                <c:pt idx="111">
                  <c:v>6.421758862647982</c:v>
                </c:pt>
                <c:pt idx="112">
                  <c:v>6.4687274696527455</c:v>
                </c:pt>
                <c:pt idx="113">
                  <c:v>6.3747902556432177</c:v>
                </c:pt>
                <c:pt idx="114">
                  <c:v>6.2607236386316476</c:v>
                </c:pt>
                <c:pt idx="115">
                  <c:v>6.2070452306262034</c:v>
                </c:pt>
                <c:pt idx="116">
                  <c:v>6.2003354296255226</c:v>
                </c:pt>
                <c:pt idx="117">
                  <c:v>6.2540138376309669</c:v>
                </c:pt>
                <c:pt idx="118">
                  <c:v>6.4083392606466205</c:v>
                </c:pt>
                <c:pt idx="119">
                  <c:v>6.8746704301939205</c:v>
                </c:pt>
                <c:pt idx="120">
                  <c:v>7.1464173707214833</c:v>
                </c:pt>
                <c:pt idx="121">
                  <c:v>7.1531271717221649</c:v>
                </c:pt>
                <c:pt idx="122">
                  <c:v>7.0960938632163799</c:v>
                </c:pt>
                <c:pt idx="123">
                  <c:v>6.891444932695622</c:v>
                </c:pt>
                <c:pt idx="124">
                  <c:v>6.5895038876649963</c:v>
                </c:pt>
                <c:pt idx="125">
                  <c:v>6.4787921711537662</c:v>
                </c:pt>
                <c:pt idx="126">
                  <c:v>6.5559548826615934</c:v>
                </c:pt>
                <c:pt idx="127">
                  <c:v>6.6532469971714612</c:v>
                </c:pt>
                <c:pt idx="128">
                  <c:v>6.686796002174864</c:v>
                </c:pt>
                <c:pt idx="129">
                  <c:v>6.6532469971714612</c:v>
                </c:pt>
                <c:pt idx="130">
                  <c:v>6.6196979921680583</c:v>
                </c:pt>
                <c:pt idx="131">
                  <c:v>6.6264077931687391</c:v>
                </c:pt>
                <c:pt idx="132">
                  <c:v>6.6364724946697606</c:v>
                </c:pt>
                <c:pt idx="133">
                  <c:v>6.5794391861639756</c:v>
                </c:pt>
                <c:pt idx="134">
                  <c:v>6.4418882656500234</c:v>
                </c:pt>
                <c:pt idx="135">
                  <c:v>6.304337345136072</c:v>
                </c:pt>
                <c:pt idx="136">
                  <c:v>6.2774981411333499</c:v>
                </c:pt>
                <c:pt idx="137">
                  <c:v>6.4016294596459398</c:v>
                </c:pt>
                <c:pt idx="138">
                  <c:v>6.5257607781585305</c:v>
                </c:pt>
                <c:pt idx="139">
                  <c:v>6.5525999821612526</c:v>
                </c:pt>
                <c:pt idx="140">
                  <c:v>6.5257607781585305</c:v>
                </c:pt>
                <c:pt idx="141">
                  <c:v>6.4653725691524047</c:v>
                </c:pt>
                <c:pt idx="142">
                  <c:v>6.4754372706534262</c:v>
                </c:pt>
                <c:pt idx="143">
                  <c:v>8.6225735908712089</c:v>
                </c:pt>
                <c:pt idx="144">
                  <c:v>16.137550711633452</c:v>
                </c:pt>
                <c:pt idx="145">
                  <c:v>22.317277433260266</c:v>
                </c:pt>
                <c:pt idx="146">
                  <c:v>22.703090990799399</c:v>
                </c:pt>
                <c:pt idx="147">
                  <c:v>18.143781210836949</c:v>
                </c:pt>
                <c:pt idx="148">
                  <c:v>13.574406729373475</c:v>
                </c:pt>
                <c:pt idx="149">
                  <c:v>10.863647125098524</c:v>
                </c:pt>
                <c:pt idx="150">
                  <c:v>9.6256888404729555</c:v>
                </c:pt>
                <c:pt idx="151">
                  <c:v>9.0117420489106834</c:v>
                </c:pt>
                <c:pt idx="152">
                  <c:v>8.7366402078827807</c:v>
                </c:pt>
                <c:pt idx="153">
                  <c:v>8.5454108793633825</c:v>
                </c:pt>
                <c:pt idx="154">
                  <c:v>8.2535345358337793</c:v>
                </c:pt>
                <c:pt idx="155">
                  <c:v>8.1025640133184673</c:v>
                </c:pt>
                <c:pt idx="156">
                  <c:v>8.2367600333320787</c:v>
                </c:pt>
                <c:pt idx="157">
                  <c:v>8.3306972473416074</c:v>
                </c:pt>
                <c:pt idx="158">
                  <c:v>8.0924993118174449</c:v>
                </c:pt>
                <c:pt idx="159">
                  <c:v>7.7872033662864792</c:v>
                </c:pt>
                <c:pt idx="160">
                  <c:v>7.5724897342647006</c:v>
                </c:pt>
                <c:pt idx="161">
                  <c:v>7.4282290127500685</c:v>
                </c:pt>
                <c:pt idx="162">
                  <c:v>7.357776102242922</c:v>
                </c:pt>
                <c:pt idx="163">
                  <c:v>7.3376466992408806</c:v>
                </c:pt>
                <c:pt idx="164">
                  <c:v>7.4416486147514291</c:v>
                </c:pt>
                <c:pt idx="165">
                  <c:v>7.5121015252585748</c:v>
                </c:pt>
                <c:pt idx="166">
                  <c:v>7.5188113262592555</c:v>
                </c:pt>
                <c:pt idx="167">
                  <c:v>7.4953270227568742</c:v>
                </c:pt>
                <c:pt idx="168">
                  <c:v>7.4684878187541521</c:v>
                </c:pt>
                <c:pt idx="169">
                  <c:v>7.4684878187541521</c:v>
                </c:pt>
                <c:pt idx="170">
                  <c:v>7.4349388137507484</c:v>
                </c:pt>
                <c:pt idx="171">
                  <c:v>7.3812604057453042</c:v>
                </c:pt>
                <c:pt idx="172">
                  <c:v>7.330936898240199</c:v>
                </c:pt>
                <c:pt idx="173">
                  <c:v>7.3208721967391792</c:v>
                </c:pt>
                <c:pt idx="174">
                  <c:v>7.3342917987405398</c:v>
                </c:pt>
                <c:pt idx="175">
                  <c:v>7.32758199773986</c:v>
                </c:pt>
                <c:pt idx="176">
                  <c:v>7.3175172962388384</c:v>
                </c:pt>
                <c:pt idx="177">
                  <c:v>7.297387893236797</c:v>
                </c:pt>
                <c:pt idx="178">
                  <c:v>7.2638388882333942</c:v>
                </c:pt>
                <c:pt idx="179">
                  <c:v>7.2437094852313528</c:v>
                </c:pt>
                <c:pt idx="180">
                  <c:v>8.2434698343327568</c:v>
                </c:pt>
                <c:pt idx="181">
                  <c:v>13.725377251888787</c:v>
                </c:pt>
                <c:pt idx="182">
                  <c:v>19.727294246997566</c:v>
                </c:pt>
                <c:pt idx="183">
                  <c:v>22.780253702307224</c:v>
                </c:pt>
                <c:pt idx="184">
                  <c:v>21.327581785659881</c:v>
                </c:pt>
                <c:pt idx="185">
                  <c:v>17.429187404264468</c:v>
                </c:pt>
                <c:pt idx="186">
                  <c:v>13.460340112361905</c:v>
                </c:pt>
                <c:pt idx="187">
                  <c:v>10.786484413590696</c:v>
                </c:pt>
                <c:pt idx="188">
                  <c:v>9.3170379944416517</c:v>
                </c:pt>
                <c:pt idx="189">
                  <c:v>8.5319912773620246</c:v>
                </c:pt>
                <c:pt idx="190">
                  <c:v>8.1193385158201679</c:v>
                </c:pt>
                <c:pt idx="191">
                  <c:v>7.8442366747922634</c:v>
                </c:pt>
                <c:pt idx="192">
                  <c:v>7.67649164977525</c:v>
                </c:pt>
                <c:pt idx="193">
                  <c:v>7.5456505302619785</c:v>
                </c:pt>
                <c:pt idx="194">
                  <c:v>7.4584231172531306</c:v>
                </c:pt>
                <c:pt idx="195">
                  <c:v>7.4483584157521099</c:v>
                </c:pt>
                <c:pt idx="196">
                  <c:v>7.4684878187541521</c:v>
                </c:pt>
                <c:pt idx="197">
                  <c:v>7.5355858287609578</c:v>
                </c:pt>
                <c:pt idx="198">
                  <c:v>7.5389407292612969</c:v>
                </c:pt>
                <c:pt idx="199">
                  <c:v>7.5221662267595963</c:v>
                </c:pt>
                <c:pt idx="200">
                  <c:v>7.4517133162524498</c:v>
                </c:pt>
                <c:pt idx="201">
                  <c:v>7.414809410748707</c:v>
                </c:pt>
                <c:pt idx="202">
                  <c:v>7.5590701322633391</c:v>
                </c:pt>
                <c:pt idx="203">
                  <c:v>7.6530073462728678</c:v>
                </c:pt>
                <c:pt idx="204">
                  <c:v>7.6530073462728678</c:v>
                </c:pt>
                <c:pt idx="205">
                  <c:v>7.5188113262592555</c:v>
                </c:pt>
                <c:pt idx="206">
                  <c:v>7.4114545102483662</c:v>
                </c:pt>
                <c:pt idx="207">
                  <c:v>7.3477114007419013</c:v>
                </c:pt>
                <c:pt idx="208">
                  <c:v>7.3342917987405398</c:v>
                </c:pt>
                <c:pt idx="209">
                  <c:v>7.32758199773986</c:v>
                </c:pt>
                <c:pt idx="210">
                  <c:v>7.3108074952381576</c:v>
                </c:pt>
                <c:pt idx="211">
                  <c:v>7.2940329927364562</c:v>
                </c:pt>
                <c:pt idx="212">
                  <c:v>7.2772584902347557</c:v>
                </c:pt>
                <c:pt idx="213">
                  <c:v>7.2806133907350956</c:v>
                </c:pt>
                <c:pt idx="214">
                  <c:v>7.2739035897344149</c:v>
                </c:pt>
                <c:pt idx="215">
                  <c:v>7.2671937887337341</c:v>
                </c:pt>
                <c:pt idx="216">
                  <c:v>7.2638388882333942</c:v>
                </c:pt>
                <c:pt idx="217">
                  <c:v>7.2705486892340749</c:v>
                </c:pt>
                <c:pt idx="218">
                  <c:v>7.2873231917357764</c:v>
                </c:pt>
                <c:pt idx="219">
                  <c:v>7.3040976942374769</c:v>
                </c:pt>
                <c:pt idx="220">
                  <c:v>7.3040976942374769</c:v>
                </c:pt>
                <c:pt idx="221">
                  <c:v>7.3074525947378177</c:v>
                </c:pt>
                <c:pt idx="222">
                  <c:v>7.3175172962388384</c:v>
                </c:pt>
                <c:pt idx="223">
                  <c:v>7.3510663012422413</c:v>
                </c:pt>
                <c:pt idx="224">
                  <c:v>7.3946800077466648</c:v>
                </c:pt>
                <c:pt idx="225">
                  <c:v>7.414809410748707</c:v>
                </c:pt>
                <c:pt idx="226">
                  <c:v>7.4349388137507484</c:v>
                </c:pt>
                <c:pt idx="227">
                  <c:v>7.4282290127500685</c:v>
                </c:pt>
                <c:pt idx="228">
                  <c:v>7.4080996097480263</c:v>
                </c:pt>
                <c:pt idx="229">
                  <c:v>7.4047447092476864</c:v>
                </c:pt>
                <c:pt idx="230">
                  <c:v>7.4080996097480263</c:v>
                </c:pt>
                <c:pt idx="231">
                  <c:v>7.4114545102483662</c:v>
                </c:pt>
                <c:pt idx="232">
                  <c:v>7.4282290127500685</c:v>
                </c:pt>
                <c:pt idx="233">
                  <c:v>7.418164311249047</c:v>
                </c:pt>
                <c:pt idx="234">
                  <c:v>7.4114545102483662</c:v>
                </c:pt>
                <c:pt idx="235">
                  <c:v>7.418164311249047</c:v>
                </c:pt>
                <c:pt idx="236">
                  <c:v>7.4315839132504085</c:v>
                </c:pt>
                <c:pt idx="237">
                  <c:v>7.4282290127500685</c:v>
                </c:pt>
                <c:pt idx="238">
                  <c:v>7.4550682167527906</c:v>
                </c:pt>
                <c:pt idx="239">
                  <c:v>7.4986819232572133</c:v>
                </c:pt>
                <c:pt idx="240">
                  <c:v>7.5422956297616377</c:v>
                </c:pt>
                <c:pt idx="241">
                  <c:v>7.5993289382674227</c:v>
                </c:pt>
                <c:pt idx="242">
                  <c:v>7.6328779432708256</c:v>
                </c:pt>
                <c:pt idx="243">
                  <c:v>7.6429426447718471</c:v>
                </c:pt>
                <c:pt idx="244">
                  <c:v>7.6597171472735477</c:v>
                </c:pt>
                <c:pt idx="245">
                  <c:v>7.6630720477738885</c:v>
                </c:pt>
                <c:pt idx="246">
                  <c:v>7.6630720477738885</c:v>
                </c:pt>
                <c:pt idx="247">
                  <c:v>7.5758446347650414</c:v>
                </c:pt>
                <c:pt idx="248">
                  <c:v>7.5389407292612969</c:v>
                </c:pt>
                <c:pt idx="249">
                  <c:v>7.5422956297616377</c:v>
                </c:pt>
                <c:pt idx="250">
                  <c:v>7.5691348337643607</c:v>
                </c:pt>
                <c:pt idx="251">
                  <c:v>7.5959740377670828</c:v>
                </c:pt>
                <c:pt idx="252">
                  <c:v>7.6194583412694641</c:v>
                </c:pt>
                <c:pt idx="253">
                  <c:v>7.6194583412694641</c:v>
                </c:pt>
                <c:pt idx="254">
                  <c:v>7.6261681422701448</c:v>
                </c:pt>
                <c:pt idx="255">
                  <c:v>7.6127485402687842</c:v>
                </c:pt>
                <c:pt idx="256">
                  <c:v>7.6194583412694641</c:v>
                </c:pt>
                <c:pt idx="257">
                  <c:v>7.6395877442715063</c:v>
                </c:pt>
                <c:pt idx="258">
                  <c:v>7.6530073462728678</c:v>
                </c:pt>
                <c:pt idx="259">
                  <c:v>7.6697818487745693</c:v>
                </c:pt>
                <c:pt idx="260">
                  <c:v>7.67649164977525</c:v>
                </c:pt>
                <c:pt idx="261">
                  <c:v>7.67649164977525</c:v>
                </c:pt>
                <c:pt idx="262">
                  <c:v>7.6832014507759299</c:v>
                </c:pt>
                <c:pt idx="263">
                  <c:v>7.706685754278312</c:v>
                </c:pt>
                <c:pt idx="264">
                  <c:v>7.7435896597820548</c:v>
                </c:pt>
                <c:pt idx="265">
                  <c:v>7.7502994607827356</c:v>
                </c:pt>
                <c:pt idx="266">
                  <c:v>7.767073963284437</c:v>
                </c:pt>
                <c:pt idx="267">
                  <c:v>7.767073963284437</c:v>
                </c:pt>
                <c:pt idx="268">
                  <c:v>7.7637190627840962</c:v>
                </c:pt>
                <c:pt idx="269">
                  <c:v>7.7704288637847769</c:v>
                </c:pt>
                <c:pt idx="270">
                  <c:v>7.7737837642851177</c:v>
                </c:pt>
                <c:pt idx="271">
                  <c:v>7.7704288637847769</c:v>
                </c:pt>
                <c:pt idx="272">
                  <c:v>7.7838484657861384</c:v>
                </c:pt>
                <c:pt idx="273">
                  <c:v>7.79391316728716</c:v>
                </c:pt>
                <c:pt idx="274">
                  <c:v>7.8073327692885206</c:v>
                </c:pt>
                <c:pt idx="275">
                  <c:v>7.8475915752926042</c:v>
                </c:pt>
                <c:pt idx="276">
                  <c:v>7.8475915752926042</c:v>
                </c:pt>
                <c:pt idx="277">
                  <c:v>7.8375268737915835</c:v>
                </c:pt>
                <c:pt idx="278">
                  <c:v>7.827462172290562</c:v>
                </c:pt>
                <c:pt idx="279">
                  <c:v>7.8106876697888605</c:v>
                </c:pt>
                <c:pt idx="280">
                  <c:v>7.8207523712898821</c:v>
                </c:pt>
                <c:pt idx="281">
                  <c:v>7.8475915752926042</c:v>
                </c:pt>
                <c:pt idx="282">
                  <c:v>7.8744307792953263</c:v>
                </c:pt>
                <c:pt idx="283">
                  <c:v>7.9046248837983892</c:v>
                </c:pt>
                <c:pt idx="284">
                  <c:v>7.9549483913034935</c:v>
                </c:pt>
                <c:pt idx="285">
                  <c:v>8.001916998308257</c:v>
                </c:pt>
                <c:pt idx="286">
                  <c:v>8.0421758043123415</c:v>
                </c:pt>
                <c:pt idx="287">
                  <c:v>8.0723699088154035</c:v>
                </c:pt>
                <c:pt idx="288">
                  <c:v>8.085789510816765</c:v>
                </c:pt>
                <c:pt idx="289">
                  <c:v>8.1025640133184673</c:v>
                </c:pt>
                <c:pt idx="290">
                  <c:v>8.0924993118174449</c:v>
                </c:pt>
                <c:pt idx="291">
                  <c:v>8.0824346103164242</c:v>
                </c:pt>
                <c:pt idx="292">
                  <c:v>8.0757248093157443</c:v>
                </c:pt>
                <c:pt idx="293">
                  <c:v>8.1394679188222092</c:v>
                </c:pt>
                <c:pt idx="294">
                  <c:v>8.347471749843308</c:v>
                </c:pt>
                <c:pt idx="295">
                  <c:v>8.3977952573484131</c:v>
                </c:pt>
                <c:pt idx="296">
                  <c:v>8.5152167748603205</c:v>
                </c:pt>
                <c:pt idx="297">
                  <c:v>8.5722500833661055</c:v>
                </c:pt>
                <c:pt idx="298">
                  <c:v>8.3709560533456902</c:v>
                </c:pt>
                <c:pt idx="299">
                  <c:v>8.2703090383354798</c:v>
                </c:pt>
                <c:pt idx="300">
                  <c:v>8.2434698343327568</c:v>
                </c:pt>
                <c:pt idx="301">
                  <c:v>8.2568894363341183</c:v>
                </c:pt>
                <c:pt idx="302">
                  <c:v>8.2803737398365005</c:v>
                </c:pt>
                <c:pt idx="303">
                  <c:v>8.3239874463409258</c:v>
                </c:pt>
                <c:pt idx="304">
                  <c:v>8.4179246603504527</c:v>
                </c:pt>
                <c:pt idx="305">
                  <c:v>8.4783128693565786</c:v>
                </c:pt>
                <c:pt idx="306">
                  <c:v>8.5017971728589607</c:v>
                </c:pt>
                <c:pt idx="307">
                  <c:v>8.5789598843667871</c:v>
                </c:pt>
                <c:pt idx="308">
                  <c:v>8.5789598843667871</c:v>
                </c:pt>
                <c:pt idx="309">
                  <c:v>8.558830481364744</c:v>
                </c:pt>
                <c:pt idx="310">
                  <c:v>8.5789598843667871</c:v>
                </c:pt>
                <c:pt idx="311">
                  <c:v>8.61250888937019</c:v>
                </c:pt>
                <c:pt idx="312">
                  <c:v>8.7030912028793779</c:v>
                </c:pt>
                <c:pt idx="313">
                  <c:v>8.8406421233933283</c:v>
                </c:pt>
                <c:pt idx="314">
                  <c:v>8.8809009293974128</c:v>
                </c:pt>
                <c:pt idx="315">
                  <c:v>8.9513538399045594</c:v>
                </c:pt>
                <c:pt idx="316">
                  <c:v>8.9614185414055783</c:v>
                </c:pt>
                <c:pt idx="317">
                  <c:v>8.904385232899795</c:v>
                </c:pt>
                <c:pt idx="318">
                  <c:v>8.8943205313987725</c:v>
                </c:pt>
                <c:pt idx="319">
                  <c:v>8.9245146359018364</c:v>
                </c:pt>
                <c:pt idx="320">
                  <c:v>8.9949675464089829</c:v>
                </c:pt>
                <c:pt idx="321">
                  <c:v>9.0821949594178299</c:v>
                </c:pt>
                <c:pt idx="322">
                  <c:v>9.1325184669229351</c:v>
                </c:pt>
                <c:pt idx="323">
                  <c:v>9.1861968749283793</c:v>
                </c:pt>
                <c:pt idx="324">
                  <c:v>9.2163909794314414</c:v>
                </c:pt>
                <c:pt idx="325">
                  <c:v>9.2197458799317822</c:v>
                </c:pt>
                <c:pt idx="326">
                  <c:v>9.226455680932462</c:v>
                </c:pt>
                <c:pt idx="327">
                  <c:v>9.2465850839345052</c:v>
                </c:pt>
                <c:pt idx="328">
                  <c:v>9.2600046859358649</c:v>
                </c:pt>
                <c:pt idx="329">
                  <c:v>9.2667144869365465</c:v>
                </c:pt>
                <c:pt idx="330">
                  <c:v>9.3036183924402884</c:v>
                </c:pt>
                <c:pt idx="331">
                  <c:v>9.3640066014464143</c:v>
                </c:pt>
                <c:pt idx="332">
                  <c:v>9.4512340144552613</c:v>
                </c:pt>
                <c:pt idx="333">
                  <c:v>9.5418163279644475</c:v>
                </c:pt>
                <c:pt idx="334">
                  <c:v>9.6323986414736371</c:v>
                </c:pt>
                <c:pt idx="335">
                  <c:v>9.7364005569841865</c:v>
                </c:pt>
                <c:pt idx="336">
                  <c:v>9.8672416764974571</c:v>
                </c:pt>
                <c:pt idx="337">
                  <c:v>9.9678886915076674</c:v>
                </c:pt>
                <c:pt idx="338">
                  <c:v>10.045051403015492</c:v>
                </c:pt>
                <c:pt idx="339">
                  <c:v>10.13563371652468</c:v>
                </c:pt>
                <c:pt idx="340">
                  <c:v>10.128923915524</c:v>
                </c:pt>
                <c:pt idx="341">
                  <c:v>10.179247423029103</c:v>
                </c:pt>
                <c:pt idx="342">
                  <c:v>10.236280731534888</c:v>
                </c:pt>
                <c:pt idx="343">
                  <c:v>10.303378741541694</c:v>
                </c:pt>
                <c:pt idx="344">
                  <c:v>10.393961055050882</c:v>
                </c:pt>
                <c:pt idx="345">
                  <c:v>10.508027672062454</c:v>
                </c:pt>
                <c:pt idx="346">
                  <c:v>10.648933493076743</c:v>
                </c:pt>
                <c:pt idx="347">
                  <c:v>10.729451105084911</c:v>
                </c:pt>
                <c:pt idx="348">
                  <c:v>10.769709911088995</c:v>
                </c:pt>
                <c:pt idx="349">
                  <c:v>10.823388319094439</c:v>
                </c:pt>
                <c:pt idx="350">
                  <c:v>10.890486329101245</c:v>
                </c:pt>
                <c:pt idx="351">
                  <c:v>10.964294140108731</c:v>
                </c:pt>
                <c:pt idx="352">
                  <c:v>11.044811752116898</c:v>
                </c:pt>
                <c:pt idx="353">
                  <c:v>11.125329364125065</c:v>
                </c:pt>
                <c:pt idx="354">
                  <c:v>11.215911677634253</c:v>
                </c:pt>
                <c:pt idx="355">
                  <c:v>11.309848891643782</c:v>
                </c:pt>
                <c:pt idx="356">
                  <c:v>11.393721404152288</c:v>
                </c:pt>
              </c:numCache>
            </c:numRef>
          </c:yVal>
          <c:smooth val="1"/>
          <c:extLst>
            <c:ext xmlns:c16="http://schemas.microsoft.com/office/drawing/2014/chart" uri="{C3380CC4-5D6E-409C-BE32-E72D297353CC}">
              <c16:uniqueId val="{00000001-6C55-4540-A99B-AF279F0EE33F}"/>
            </c:ext>
          </c:extLst>
        </c:ser>
        <c:ser>
          <c:idx val="4"/>
          <c:order val="4"/>
          <c:tx>
            <c:v>Labels</c:v>
          </c:tx>
          <c:spPr>
            <a:ln w="19050" cap="rnd">
              <a:noFill/>
              <a:round/>
            </a:ln>
            <a:effectLst/>
          </c:spPr>
          <c:marker>
            <c:symbol val="none"/>
          </c:marker>
          <c:dLbls>
            <c:dLbl>
              <c:idx val="0"/>
              <c:tx>
                <c:rich>
                  <a:bodyPr/>
                  <a:lstStyle/>
                  <a:p>
                    <a:fld id="{552EFE1D-6256-4857-B718-ABE2C14136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D716-4953-A2CE-1A3CB0B5C582}"/>
                </c:ext>
              </c:extLst>
            </c:dLbl>
            <c:dLbl>
              <c:idx val="1"/>
              <c:tx>
                <c:rich>
                  <a:bodyPr/>
                  <a:lstStyle/>
                  <a:p>
                    <a:fld id="{1B183235-B9E9-4B57-93CF-24AD74C692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716-4953-A2CE-1A3CB0B5C582}"/>
                </c:ext>
              </c:extLst>
            </c:dLbl>
            <c:dLbl>
              <c:idx val="2"/>
              <c:tx>
                <c:rich>
                  <a:bodyPr/>
                  <a:lstStyle/>
                  <a:p>
                    <a:fld id="{C51C761D-65B7-472A-A209-996A66FD85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716-4953-A2CE-1A3CB0B5C582}"/>
                </c:ext>
              </c:extLst>
            </c:dLbl>
            <c:dLbl>
              <c:idx val="3"/>
              <c:tx>
                <c:rich>
                  <a:bodyPr/>
                  <a:lstStyle/>
                  <a:p>
                    <a:fld id="{6916D9BE-50EA-4091-B9C8-9314252109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716-4953-A2CE-1A3CB0B5C582}"/>
                </c:ext>
              </c:extLst>
            </c:dLbl>
            <c:dLbl>
              <c:idx val="4"/>
              <c:tx>
                <c:rich>
                  <a:bodyPr/>
                  <a:lstStyle/>
                  <a:p>
                    <a:fld id="{72A0A64A-406E-41F6-8EE3-5A47E31758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716-4953-A2CE-1A3CB0B5C582}"/>
                </c:ext>
              </c:extLst>
            </c:dLbl>
            <c:dLbl>
              <c:idx val="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D716-4953-A2CE-1A3CB0B5C582}"/>
                </c:ext>
              </c:extLst>
            </c:dLbl>
            <c:dLbl>
              <c:idx val="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D716-4953-A2CE-1A3CB0B5C582}"/>
                </c:ext>
              </c:extLst>
            </c:dLbl>
            <c:dLbl>
              <c:idx val="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D716-4953-A2CE-1A3CB0B5C582}"/>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D716-4953-A2CE-1A3CB0B5C582}"/>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D716-4953-A2CE-1A3CB0B5C582}"/>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D716-4953-A2CE-1A3CB0B5C582}"/>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D716-4953-A2CE-1A3CB0B5C582}"/>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D716-4953-A2CE-1A3CB0B5C582}"/>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D716-4953-A2CE-1A3CB0B5C582}"/>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D716-4953-A2CE-1A3CB0B5C582}"/>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D716-4953-A2CE-1A3CB0B5C582}"/>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D716-4953-A2CE-1A3CB0B5C582}"/>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D716-4953-A2CE-1A3CB0B5C582}"/>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D716-4953-A2CE-1A3CB0B5C582}"/>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D716-4953-A2CE-1A3CB0B5C582}"/>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D716-4953-A2CE-1A3CB0B5C582}"/>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D716-4953-A2CE-1A3CB0B5C582}"/>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D716-4953-A2CE-1A3CB0B5C582}"/>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D716-4953-A2CE-1A3CB0B5C582}"/>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D716-4953-A2CE-1A3CB0B5C582}"/>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D716-4953-A2CE-1A3CB0B5C582}"/>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D716-4953-A2CE-1A3CB0B5C582}"/>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D716-4953-A2CE-1A3CB0B5C582}"/>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D716-4953-A2CE-1A3CB0B5C582}"/>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D716-4953-A2CE-1A3CB0B5C582}"/>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D716-4953-A2CE-1A3CB0B5C582}"/>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D716-4953-A2CE-1A3CB0B5C582}"/>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D716-4953-A2CE-1A3CB0B5C582}"/>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D716-4953-A2CE-1A3CB0B5C582}"/>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D716-4953-A2CE-1A3CB0B5C582}"/>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D716-4953-A2CE-1A3CB0B5C582}"/>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D716-4953-A2CE-1A3CB0B5C582}"/>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D716-4953-A2CE-1A3CB0B5C582}"/>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D716-4953-A2CE-1A3CB0B5C582}"/>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D716-4953-A2CE-1A3CB0B5C582}"/>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D716-4953-A2CE-1A3CB0B5C582}"/>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D716-4953-A2CE-1A3CB0B5C582}"/>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D716-4953-A2CE-1A3CB0B5C582}"/>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D716-4953-A2CE-1A3CB0B5C582}"/>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D716-4953-A2CE-1A3CB0B5C582}"/>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D716-4953-A2CE-1A3CB0B5C582}"/>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D716-4953-A2CE-1A3CB0B5C582}"/>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D716-4953-A2CE-1A3CB0B5C582}"/>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D716-4953-A2CE-1A3CB0B5C582}"/>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D716-4953-A2CE-1A3CB0B5C582}"/>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D716-4953-A2CE-1A3CB0B5C582}"/>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D716-4953-A2CE-1A3CB0B5C582}"/>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D716-4953-A2CE-1A3CB0B5C582}"/>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D716-4953-A2CE-1A3CB0B5C582}"/>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D716-4953-A2CE-1A3CB0B5C582}"/>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D716-4953-A2CE-1A3CB0B5C582}"/>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D716-4953-A2CE-1A3CB0B5C582}"/>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D716-4953-A2CE-1A3CB0B5C582}"/>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D716-4953-A2CE-1A3CB0B5C582}"/>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D716-4953-A2CE-1A3CB0B5C582}"/>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D716-4953-A2CE-1A3CB0B5C582}"/>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D716-4953-A2CE-1A3CB0B5C582}"/>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D716-4953-A2CE-1A3CB0B5C582}"/>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D716-4953-A2CE-1A3CB0B5C582}"/>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D716-4953-A2CE-1A3CB0B5C582}"/>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D716-4953-A2CE-1A3CB0B5C582}"/>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D716-4953-A2CE-1A3CB0B5C582}"/>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D716-4953-A2CE-1A3CB0B5C582}"/>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D716-4953-A2CE-1A3CB0B5C582}"/>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D716-4953-A2CE-1A3CB0B5C582}"/>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D716-4953-A2CE-1A3CB0B5C582}"/>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D716-4953-A2CE-1A3CB0B5C582}"/>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D716-4953-A2CE-1A3CB0B5C582}"/>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D716-4953-A2CE-1A3CB0B5C582}"/>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D716-4953-A2CE-1A3CB0B5C582}"/>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D716-4953-A2CE-1A3CB0B5C582}"/>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D716-4953-A2CE-1A3CB0B5C582}"/>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D716-4953-A2CE-1A3CB0B5C582}"/>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D716-4953-A2CE-1A3CB0B5C582}"/>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D716-4953-A2CE-1A3CB0B5C582}"/>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D716-4953-A2CE-1A3CB0B5C582}"/>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D716-4953-A2CE-1A3CB0B5C582}"/>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D716-4953-A2CE-1A3CB0B5C582}"/>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D716-4953-A2CE-1A3CB0B5C582}"/>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D716-4953-A2CE-1A3CB0B5C582}"/>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D716-4953-A2CE-1A3CB0B5C582}"/>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D716-4953-A2CE-1A3CB0B5C582}"/>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D716-4953-A2CE-1A3CB0B5C582}"/>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D716-4953-A2CE-1A3CB0B5C582}"/>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D716-4953-A2CE-1A3CB0B5C582}"/>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D716-4953-A2CE-1A3CB0B5C582}"/>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D716-4953-A2CE-1A3CB0B5C582}"/>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D716-4953-A2CE-1A3CB0B5C582}"/>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D716-4953-A2CE-1A3CB0B5C582}"/>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D716-4953-A2CE-1A3CB0B5C582}"/>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D716-4953-A2CE-1A3CB0B5C582}"/>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D716-4953-A2CE-1A3CB0B5C582}"/>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D716-4953-A2CE-1A3CB0B5C582}"/>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D716-4953-A2CE-1A3CB0B5C582}"/>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D716-4953-A2CE-1A3CB0B5C582}"/>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2.5408249999999999</c:v>
                </c:pt>
                <c:pt idx="1">
                  <c:v>4.3956619999999997</c:v>
                </c:pt>
                <c:pt idx="2">
                  <c:v>5.3979059999999999</c:v>
                </c:pt>
                <c:pt idx="3">
                  <c:v>10.542809</c:v>
                </c:pt>
                <c:pt idx="4">
                  <c:v>10.948926999999999</c:v>
                </c:pt>
              </c:numCache>
            </c:numRef>
          </c:xVal>
          <c:yVal>
            <c:numRef>
              <c:f>Peaks!$R$5:$R$104</c:f>
              <c:numCache>
                <c:formatCode>0.0</c:formatCode>
                <c:ptCount val="100"/>
                <c:pt idx="0">
                  <c:v>14.692385324341682</c:v>
                </c:pt>
                <c:pt idx="1">
                  <c:v>100</c:v>
                </c:pt>
                <c:pt idx="2">
                  <c:v>94.011702451640005</c:v>
                </c:pt>
                <c:pt idx="3">
                  <c:v>9.157000983576701</c:v>
                </c:pt>
                <c:pt idx="4">
                  <c:v>19.099282999966764</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15:dlblRangeCache>
              </c15:datalabelsRange>
            </c:ext>
            <c:ext xmlns:c16="http://schemas.microsoft.com/office/drawing/2014/chart" uri="{C3380CC4-5D6E-409C-BE32-E72D297353CC}">
              <c16:uniqueId val="{00000002-6C55-4540-A99B-AF279F0EE33F}"/>
            </c:ext>
          </c:extLst>
        </c:ser>
        <c:dLbls>
          <c:showLegendKey val="0"/>
          <c:showVal val="0"/>
          <c:showCatName val="0"/>
          <c:showSerName val="0"/>
          <c:showPercent val="0"/>
          <c:showBubbleSize val="0"/>
        </c:dLbls>
        <c:axId val="1816217984"/>
        <c:axId val="1816223424"/>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6C55-4540-A99B-AF279F0EE33F}"/>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6C55-4540-A99B-AF279F0EE33F}"/>
            </c:ext>
          </c:extLst>
        </c:ser>
        <c:dLbls>
          <c:showLegendKey val="0"/>
          <c:showVal val="0"/>
          <c:showCatName val="0"/>
          <c:showSerName val="0"/>
          <c:showPercent val="0"/>
          <c:showBubbleSize val="0"/>
        </c:dLbls>
        <c:axId val="1816214176"/>
        <c:axId val="1816223968"/>
      </c:scatterChart>
      <c:valAx>
        <c:axId val="1816217984"/>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AU" sz="1000">
                    <a:solidFill>
                      <a:schemeClr val="tx1"/>
                    </a:solidFill>
                    <a:latin typeface="Arial" panose="020B0604020202020204" pitchFamily="34" charset="0"/>
                    <a:cs typeface="Arial" panose="020B0604020202020204" pitchFamily="34" charset="0"/>
                  </a:rPr>
                  <a:t>Retention</a:t>
                </a:r>
                <a:r>
                  <a:rPr lang="en-AU" sz="1000" baseline="0">
                    <a:solidFill>
                      <a:schemeClr val="tx1"/>
                    </a:solidFill>
                    <a:latin typeface="Arial" panose="020B0604020202020204" pitchFamily="34" charset="0"/>
                    <a:cs typeface="Arial" panose="020B0604020202020204" pitchFamily="34" charset="0"/>
                  </a:rPr>
                  <a:t> Time (min)</a:t>
                </a:r>
                <a:endParaRPr lang="en-AU" sz="10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3424"/>
        <c:crosses val="autoZero"/>
        <c:crossBetween val="midCat"/>
        <c:majorUnit val="0.5"/>
      </c:valAx>
      <c:valAx>
        <c:axId val="1816223424"/>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6217984"/>
        <c:crosses val="autoZero"/>
        <c:crossBetween val="midCat"/>
        <c:majorUnit val="20"/>
        <c:minorUnit val="5"/>
      </c:valAx>
      <c:valAx>
        <c:axId val="1816223968"/>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14176"/>
        <c:crosses val="max"/>
        <c:crossBetween val="midCat"/>
        <c:minorUnit val="5"/>
      </c:valAx>
      <c:valAx>
        <c:axId val="1816214176"/>
        <c:scaling>
          <c:orientation val="minMax"/>
        </c:scaling>
        <c:delete val="1"/>
        <c:axPos val="b"/>
        <c:numFmt formatCode="General" sourceLinked="1"/>
        <c:majorTickMark val="out"/>
        <c:minorTickMark val="none"/>
        <c:tickLblPos val="nextTo"/>
        <c:crossAx val="1816223968"/>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ayout>
        <c:manualLayout>
          <c:xMode val="edge"/>
          <c:yMode val="edge"/>
          <c:x val="0.93181006421194734"/>
          <c:y val="0.43600100238726441"/>
          <c:w val="6.3838325692317177E-2"/>
          <c:h val="0.51660718289610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3769042577249E-2"/>
          <c:y val="7.4673103048048639E-2"/>
          <c:w val="0.8806190105088566"/>
          <c:h val="0.72290323006106649"/>
        </c:manualLayout>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0.51300000000000001</c:v>
                </c:pt>
                <c:pt idx="1">
                  <c:v>0.54</c:v>
                </c:pt>
                <c:pt idx="2">
                  <c:v>0.56699999999999995</c:v>
                </c:pt>
                <c:pt idx="3">
                  <c:v>0.59299999999999997</c:v>
                </c:pt>
                <c:pt idx="4">
                  <c:v>0.62</c:v>
                </c:pt>
                <c:pt idx="5">
                  <c:v>0.64700000000000002</c:v>
                </c:pt>
                <c:pt idx="6">
                  <c:v>0.67300000000000004</c:v>
                </c:pt>
                <c:pt idx="7">
                  <c:v>0.7</c:v>
                </c:pt>
                <c:pt idx="8">
                  <c:v>0.72699999999999998</c:v>
                </c:pt>
                <c:pt idx="9">
                  <c:v>0.753</c:v>
                </c:pt>
                <c:pt idx="10">
                  <c:v>0.78</c:v>
                </c:pt>
                <c:pt idx="11">
                  <c:v>0.80700000000000005</c:v>
                </c:pt>
                <c:pt idx="12">
                  <c:v>0.83299999999999996</c:v>
                </c:pt>
                <c:pt idx="13">
                  <c:v>0.86</c:v>
                </c:pt>
                <c:pt idx="14">
                  <c:v>0.88700000000000001</c:v>
                </c:pt>
                <c:pt idx="15">
                  <c:v>0.91300000000000003</c:v>
                </c:pt>
                <c:pt idx="16">
                  <c:v>0.94</c:v>
                </c:pt>
                <c:pt idx="17">
                  <c:v>0.96699999999999997</c:v>
                </c:pt>
                <c:pt idx="18">
                  <c:v>0.99299999999999999</c:v>
                </c:pt>
                <c:pt idx="19">
                  <c:v>1.02</c:v>
                </c:pt>
                <c:pt idx="20">
                  <c:v>1.0469999999999999</c:v>
                </c:pt>
                <c:pt idx="21">
                  <c:v>1.073</c:v>
                </c:pt>
                <c:pt idx="22">
                  <c:v>1.1000000000000001</c:v>
                </c:pt>
                <c:pt idx="23">
                  <c:v>1.127</c:v>
                </c:pt>
                <c:pt idx="24">
                  <c:v>1.153</c:v>
                </c:pt>
                <c:pt idx="25">
                  <c:v>1.18</c:v>
                </c:pt>
                <c:pt idx="26">
                  <c:v>1.2070000000000001</c:v>
                </c:pt>
                <c:pt idx="27">
                  <c:v>1.2330000000000001</c:v>
                </c:pt>
                <c:pt idx="28">
                  <c:v>1.26</c:v>
                </c:pt>
                <c:pt idx="29">
                  <c:v>1.2869999999999999</c:v>
                </c:pt>
                <c:pt idx="30">
                  <c:v>1.3129999999999999</c:v>
                </c:pt>
                <c:pt idx="31">
                  <c:v>1.34</c:v>
                </c:pt>
                <c:pt idx="32">
                  <c:v>1.367</c:v>
                </c:pt>
                <c:pt idx="33">
                  <c:v>1.393</c:v>
                </c:pt>
                <c:pt idx="34">
                  <c:v>1.42</c:v>
                </c:pt>
                <c:pt idx="35">
                  <c:v>1.4470000000000001</c:v>
                </c:pt>
                <c:pt idx="36">
                  <c:v>1.4730000000000001</c:v>
                </c:pt>
                <c:pt idx="37">
                  <c:v>1.5</c:v>
                </c:pt>
                <c:pt idx="38">
                  <c:v>1.5269999999999999</c:v>
                </c:pt>
                <c:pt idx="39">
                  <c:v>1.5529999999999999</c:v>
                </c:pt>
                <c:pt idx="40">
                  <c:v>1.58</c:v>
                </c:pt>
                <c:pt idx="41">
                  <c:v>1.607</c:v>
                </c:pt>
                <c:pt idx="42">
                  <c:v>1.633</c:v>
                </c:pt>
                <c:pt idx="43">
                  <c:v>1.66</c:v>
                </c:pt>
                <c:pt idx="44">
                  <c:v>1.6870000000000001</c:v>
                </c:pt>
                <c:pt idx="45">
                  <c:v>1.7130000000000001</c:v>
                </c:pt>
                <c:pt idx="46">
                  <c:v>1.74</c:v>
                </c:pt>
                <c:pt idx="47">
                  <c:v>1.7669999999999999</c:v>
                </c:pt>
                <c:pt idx="48">
                  <c:v>1.7929999999999999</c:v>
                </c:pt>
                <c:pt idx="49">
                  <c:v>1.82</c:v>
                </c:pt>
                <c:pt idx="50">
                  <c:v>1.847</c:v>
                </c:pt>
                <c:pt idx="51">
                  <c:v>1.873</c:v>
                </c:pt>
                <c:pt idx="52">
                  <c:v>1.9</c:v>
                </c:pt>
                <c:pt idx="53">
                  <c:v>1.927</c:v>
                </c:pt>
                <c:pt idx="54">
                  <c:v>1.9530000000000001</c:v>
                </c:pt>
                <c:pt idx="55">
                  <c:v>1.98</c:v>
                </c:pt>
                <c:pt idx="56">
                  <c:v>2.0070000000000001</c:v>
                </c:pt>
                <c:pt idx="57">
                  <c:v>2.0329999999999999</c:v>
                </c:pt>
                <c:pt idx="58">
                  <c:v>2.06</c:v>
                </c:pt>
                <c:pt idx="59">
                  <c:v>2.0870000000000002</c:v>
                </c:pt>
                <c:pt idx="60">
                  <c:v>2.113</c:v>
                </c:pt>
                <c:pt idx="61">
                  <c:v>2.14</c:v>
                </c:pt>
                <c:pt idx="62">
                  <c:v>2.1669999999999998</c:v>
                </c:pt>
                <c:pt idx="63">
                  <c:v>2.1930000000000001</c:v>
                </c:pt>
                <c:pt idx="64">
                  <c:v>2.2200000000000002</c:v>
                </c:pt>
                <c:pt idx="65">
                  <c:v>2.2469999999999999</c:v>
                </c:pt>
                <c:pt idx="66">
                  <c:v>2.2730000000000001</c:v>
                </c:pt>
                <c:pt idx="67">
                  <c:v>2.2999999999999998</c:v>
                </c:pt>
                <c:pt idx="68">
                  <c:v>2.327</c:v>
                </c:pt>
                <c:pt idx="69">
                  <c:v>2.3530000000000002</c:v>
                </c:pt>
                <c:pt idx="70">
                  <c:v>2.38</c:v>
                </c:pt>
                <c:pt idx="71">
                  <c:v>2.407</c:v>
                </c:pt>
                <c:pt idx="72">
                  <c:v>2.4329999999999998</c:v>
                </c:pt>
                <c:pt idx="73">
                  <c:v>2.46</c:v>
                </c:pt>
                <c:pt idx="74">
                  <c:v>2.4870000000000001</c:v>
                </c:pt>
                <c:pt idx="75">
                  <c:v>2.5129999999999999</c:v>
                </c:pt>
                <c:pt idx="76">
                  <c:v>2.54</c:v>
                </c:pt>
                <c:pt idx="77">
                  <c:v>2.5670000000000002</c:v>
                </c:pt>
                <c:pt idx="78">
                  <c:v>2.593</c:v>
                </c:pt>
                <c:pt idx="79">
                  <c:v>2.62</c:v>
                </c:pt>
                <c:pt idx="80">
                  <c:v>2.6469999999999998</c:v>
                </c:pt>
                <c:pt idx="81">
                  <c:v>2.673</c:v>
                </c:pt>
                <c:pt idx="82">
                  <c:v>2.7</c:v>
                </c:pt>
                <c:pt idx="83">
                  <c:v>2.7269999999999999</c:v>
                </c:pt>
                <c:pt idx="84">
                  <c:v>2.7530000000000001</c:v>
                </c:pt>
                <c:pt idx="85">
                  <c:v>2.78</c:v>
                </c:pt>
                <c:pt idx="86">
                  <c:v>2.8069999999999999</c:v>
                </c:pt>
                <c:pt idx="87">
                  <c:v>2.8330000000000002</c:v>
                </c:pt>
                <c:pt idx="88">
                  <c:v>2.86</c:v>
                </c:pt>
                <c:pt idx="89">
                  <c:v>2.887</c:v>
                </c:pt>
                <c:pt idx="90">
                  <c:v>2.9129999999999998</c:v>
                </c:pt>
                <c:pt idx="91">
                  <c:v>2.94</c:v>
                </c:pt>
                <c:pt idx="92">
                  <c:v>2.9670000000000001</c:v>
                </c:pt>
                <c:pt idx="93">
                  <c:v>2.9929999999999999</c:v>
                </c:pt>
                <c:pt idx="94">
                  <c:v>3.02</c:v>
                </c:pt>
                <c:pt idx="95">
                  <c:v>3.0470000000000002</c:v>
                </c:pt>
                <c:pt idx="96">
                  <c:v>3.073</c:v>
                </c:pt>
                <c:pt idx="97">
                  <c:v>3.1</c:v>
                </c:pt>
                <c:pt idx="98">
                  <c:v>3.1269999999999998</c:v>
                </c:pt>
                <c:pt idx="99">
                  <c:v>3.153</c:v>
                </c:pt>
                <c:pt idx="100">
                  <c:v>3.18</c:v>
                </c:pt>
                <c:pt idx="101">
                  <c:v>3.2069999999999999</c:v>
                </c:pt>
                <c:pt idx="102">
                  <c:v>3.2330000000000001</c:v>
                </c:pt>
                <c:pt idx="103">
                  <c:v>3.26</c:v>
                </c:pt>
                <c:pt idx="104">
                  <c:v>3.2869999999999999</c:v>
                </c:pt>
                <c:pt idx="105">
                  <c:v>3.3130000000000002</c:v>
                </c:pt>
                <c:pt idx="106">
                  <c:v>3.34</c:v>
                </c:pt>
                <c:pt idx="107">
                  <c:v>3.367</c:v>
                </c:pt>
                <c:pt idx="108">
                  <c:v>3.3929999999999998</c:v>
                </c:pt>
                <c:pt idx="109">
                  <c:v>3.42</c:v>
                </c:pt>
                <c:pt idx="110">
                  <c:v>3.4470000000000001</c:v>
                </c:pt>
                <c:pt idx="111">
                  <c:v>3.4729999999999999</c:v>
                </c:pt>
                <c:pt idx="112">
                  <c:v>3.5</c:v>
                </c:pt>
                <c:pt idx="113">
                  <c:v>3.5270000000000001</c:v>
                </c:pt>
                <c:pt idx="114">
                  <c:v>3.5529999999999999</c:v>
                </c:pt>
                <c:pt idx="115">
                  <c:v>3.58</c:v>
                </c:pt>
                <c:pt idx="116">
                  <c:v>3.6070000000000002</c:v>
                </c:pt>
                <c:pt idx="117">
                  <c:v>3.633</c:v>
                </c:pt>
                <c:pt idx="118">
                  <c:v>3.66</c:v>
                </c:pt>
                <c:pt idx="119">
                  <c:v>3.6869999999999998</c:v>
                </c:pt>
                <c:pt idx="120">
                  <c:v>3.7130000000000001</c:v>
                </c:pt>
                <c:pt idx="121">
                  <c:v>3.74</c:v>
                </c:pt>
                <c:pt idx="122">
                  <c:v>3.7669999999999999</c:v>
                </c:pt>
                <c:pt idx="123">
                  <c:v>3.7930000000000001</c:v>
                </c:pt>
                <c:pt idx="124">
                  <c:v>3.82</c:v>
                </c:pt>
                <c:pt idx="125">
                  <c:v>3.847</c:v>
                </c:pt>
                <c:pt idx="126">
                  <c:v>3.8730000000000002</c:v>
                </c:pt>
                <c:pt idx="127">
                  <c:v>3.9</c:v>
                </c:pt>
                <c:pt idx="128">
                  <c:v>3.927</c:v>
                </c:pt>
                <c:pt idx="129">
                  <c:v>3.9529999999999998</c:v>
                </c:pt>
                <c:pt idx="130">
                  <c:v>3.98</c:v>
                </c:pt>
                <c:pt idx="131">
                  <c:v>4.0069999999999997</c:v>
                </c:pt>
                <c:pt idx="132">
                  <c:v>4.0330000000000004</c:v>
                </c:pt>
                <c:pt idx="133">
                  <c:v>4.0599999999999996</c:v>
                </c:pt>
                <c:pt idx="134">
                  <c:v>4.0869999999999997</c:v>
                </c:pt>
                <c:pt idx="135">
                  <c:v>4.1130000000000004</c:v>
                </c:pt>
                <c:pt idx="136">
                  <c:v>4.1399999999999997</c:v>
                </c:pt>
                <c:pt idx="137">
                  <c:v>4.1669999999999998</c:v>
                </c:pt>
                <c:pt idx="138">
                  <c:v>4.1929999999999996</c:v>
                </c:pt>
                <c:pt idx="139">
                  <c:v>4.22</c:v>
                </c:pt>
                <c:pt idx="140">
                  <c:v>4.2469999999999999</c:v>
                </c:pt>
                <c:pt idx="141">
                  <c:v>4.2729999999999997</c:v>
                </c:pt>
                <c:pt idx="142">
                  <c:v>4.3</c:v>
                </c:pt>
                <c:pt idx="143">
                  <c:v>4.327</c:v>
                </c:pt>
                <c:pt idx="144">
                  <c:v>4.3529999999999998</c:v>
                </c:pt>
                <c:pt idx="145">
                  <c:v>4.38</c:v>
                </c:pt>
                <c:pt idx="146">
                  <c:v>4.407</c:v>
                </c:pt>
                <c:pt idx="147">
                  <c:v>4.4329999999999998</c:v>
                </c:pt>
                <c:pt idx="148">
                  <c:v>4.46</c:v>
                </c:pt>
                <c:pt idx="149">
                  <c:v>4.4870000000000001</c:v>
                </c:pt>
                <c:pt idx="150">
                  <c:v>4.5129999999999999</c:v>
                </c:pt>
                <c:pt idx="151">
                  <c:v>4.54</c:v>
                </c:pt>
                <c:pt idx="152">
                  <c:v>4.5670000000000002</c:v>
                </c:pt>
                <c:pt idx="153">
                  <c:v>4.593</c:v>
                </c:pt>
                <c:pt idx="154">
                  <c:v>4.62</c:v>
                </c:pt>
                <c:pt idx="155">
                  <c:v>4.6470000000000002</c:v>
                </c:pt>
                <c:pt idx="156">
                  <c:v>4.673</c:v>
                </c:pt>
                <c:pt idx="157">
                  <c:v>4.7</c:v>
                </c:pt>
                <c:pt idx="158">
                  <c:v>4.7270000000000003</c:v>
                </c:pt>
                <c:pt idx="159">
                  <c:v>4.7530000000000001</c:v>
                </c:pt>
                <c:pt idx="160">
                  <c:v>4.78</c:v>
                </c:pt>
                <c:pt idx="161">
                  <c:v>4.8070000000000004</c:v>
                </c:pt>
                <c:pt idx="162">
                  <c:v>4.8330000000000002</c:v>
                </c:pt>
                <c:pt idx="163">
                  <c:v>4.8600000000000003</c:v>
                </c:pt>
                <c:pt idx="164">
                  <c:v>4.8869999999999996</c:v>
                </c:pt>
                <c:pt idx="165">
                  <c:v>4.9130000000000003</c:v>
                </c:pt>
                <c:pt idx="166">
                  <c:v>4.9400000000000004</c:v>
                </c:pt>
                <c:pt idx="167">
                  <c:v>4.9669999999999996</c:v>
                </c:pt>
                <c:pt idx="168">
                  <c:v>4.9930000000000003</c:v>
                </c:pt>
                <c:pt idx="169">
                  <c:v>5.0199999999999996</c:v>
                </c:pt>
                <c:pt idx="170">
                  <c:v>5.0469999999999997</c:v>
                </c:pt>
                <c:pt idx="171">
                  <c:v>5.0730000000000004</c:v>
                </c:pt>
                <c:pt idx="172">
                  <c:v>5.0999999999999996</c:v>
                </c:pt>
                <c:pt idx="173">
                  <c:v>5.1269999999999998</c:v>
                </c:pt>
                <c:pt idx="174">
                  <c:v>5.1529999999999996</c:v>
                </c:pt>
                <c:pt idx="175">
                  <c:v>5.18</c:v>
                </c:pt>
                <c:pt idx="176">
                  <c:v>5.2069999999999999</c:v>
                </c:pt>
                <c:pt idx="177">
                  <c:v>5.2329999999999997</c:v>
                </c:pt>
                <c:pt idx="178">
                  <c:v>5.26</c:v>
                </c:pt>
                <c:pt idx="179">
                  <c:v>5.2869999999999999</c:v>
                </c:pt>
                <c:pt idx="180">
                  <c:v>5.3129999999999997</c:v>
                </c:pt>
                <c:pt idx="181">
                  <c:v>5.34</c:v>
                </c:pt>
                <c:pt idx="182">
                  <c:v>5.367</c:v>
                </c:pt>
                <c:pt idx="183">
                  <c:v>5.3929999999999998</c:v>
                </c:pt>
                <c:pt idx="184">
                  <c:v>5.42</c:v>
                </c:pt>
                <c:pt idx="185">
                  <c:v>5.4470000000000001</c:v>
                </c:pt>
                <c:pt idx="186">
                  <c:v>5.4729999999999999</c:v>
                </c:pt>
                <c:pt idx="187">
                  <c:v>5.5</c:v>
                </c:pt>
                <c:pt idx="188">
                  <c:v>5.5270000000000001</c:v>
                </c:pt>
                <c:pt idx="189">
                  <c:v>5.5529999999999999</c:v>
                </c:pt>
                <c:pt idx="190">
                  <c:v>5.58</c:v>
                </c:pt>
                <c:pt idx="191">
                  <c:v>5.6070000000000002</c:v>
                </c:pt>
                <c:pt idx="192">
                  <c:v>5.633</c:v>
                </c:pt>
                <c:pt idx="193">
                  <c:v>5.66</c:v>
                </c:pt>
                <c:pt idx="194">
                  <c:v>5.6870000000000003</c:v>
                </c:pt>
                <c:pt idx="195">
                  <c:v>5.7130000000000001</c:v>
                </c:pt>
                <c:pt idx="196">
                  <c:v>5.74</c:v>
                </c:pt>
                <c:pt idx="197">
                  <c:v>5.7670000000000003</c:v>
                </c:pt>
                <c:pt idx="198">
                  <c:v>5.7930000000000001</c:v>
                </c:pt>
                <c:pt idx="199">
                  <c:v>5.82</c:v>
                </c:pt>
                <c:pt idx="200">
                  <c:v>5.8470000000000004</c:v>
                </c:pt>
                <c:pt idx="201">
                  <c:v>5.8730000000000002</c:v>
                </c:pt>
                <c:pt idx="202">
                  <c:v>5.9</c:v>
                </c:pt>
                <c:pt idx="203">
                  <c:v>5.9269999999999996</c:v>
                </c:pt>
                <c:pt idx="204">
                  <c:v>5.9530000000000003</c:v>
                </c:pt>
                <c:pt idx="205">
                  <c:v>5.98</c:v>
                </c:pt>
                <c:pt idx="206">
                  <c:v>6.0069999999999997</c:v>
                </c:pt>
                <c:pt idx="207">
                  <c:v>6.0330000000000004</c:v>
                </c:pt>
                <c:pt idx="208">
                  <c:v>6.06</c:v>
                </c:pt>
                <c:pt idx="209">
                  <c:v>6.0869999999999997</c:v>
                </c:pt>
                <c:pt idx="210">
                  <c:v>6.1130000000000004</c:v>
                </c:pt>
                <c:pt idx="211">
                  <c:v>6.14</c:v>
                </c:pt>
                <c:pt idx="212">
                  <c:v>6.1669999999999998</c:v>
                </c:pt>
                <c:pt idx="213">
                  <c:v>6.1929999999999996</c:v>
                </c:pt>
                <c:pt idx="214">
                  <c:v>6.22</c:v>
                </c:pt>
                <c:pt idx="215">
                  <c:v>6.2469999999999999</c:v>
                </c:pt>
                <c:pt idx="216">
                  <c:v>6.2729999999999997</c:v>
                </c:pt>
                <c:pt idx="217">
                  <c:v>6.3</c:v>
                </c:pt>
                <c:pt idx="218">
                  <c:v>6.327</c:v>
                </c:pt>
                <c:pt idx="219">
                  <c:v>6.3529999999999998</c:v>
                </c:pt>
                <c:pt idx="220">
                  <c:v>6.38</c:v>
                </c:pt>
                <c:pt idx="221">
                  <c:v>6.407</c:v>
                </c:pt>
                <c:pt idx="222">
                  <c:v>6.4329999999999998</c:v>
                </c:pt>
                <c:pt idx="223">
                  <c:v>6.46</c:v>
                </c:pt>
                <c:pt idx="224">
                  <c:v>6.4870000000000001</c:v>
                </c:pt>
                <c:pt idx="225">
                  <c:v>6.5129999999999999</c:v>
                </c:pt>
                <c:pt idx="226">
                  <c:v>6.54</c:v>
                </c:pt>
                <c:pt idx="227">
                  <c:v>6.5670000000000002</c:v>
                </c:pt>
                <c:pt idx="228">
                  <c:v>6.593</c:v>
                </c:pt>
                <c:pt idx="229">
                  <c:v>6.62</c:v>
                </c:pt>
                <c:pt idx="230">
                  <c:v>6.6470000000000002</c:v>
                </c:pt>
                <c:pt idx="231">
                  <c:v>6.673</c:v>
                </c:pt>
                <c:pt idx="232">
                  <c:v>6.7</c:v>
                </c:pt>
                <c:pt idx="233">
                  <c:v>6.7270000000000003</c:v>
                </c:pt>
                <c:pt idx="234">
                  <c:v>6.7530000000000001</c:v>
                </c:pt>
                <c:pt idx="235">
                  <c:v>6.78</c:v>
                </c:pt>
                <c:pt idx="236">
                  <c:v>6.8070000000000004</c:v>
                </c:pt>
                <c:pt idx="237">
                  <c:v>6.8330000000000002</c:v>
                </c:pt>
                <c:pt idx="238">
                  <c:v>6.86</c:v>
                </c:pt>
                <c:pt idx="239">
                  <c:v>6.8869999999999996</c:v>
                </c:pt>
                <c:pt idx="240">
                  <c:v>6.9130000000000003</c:v>
                </c:pt>
                <c:pt idx="241">
                  <c:v>6.94</c:v>
                </c:pt>
                <c:pt idx="242">
                  <c:v>6.9669999999999996</c:v>
                </c:pt>
                <c:pt idx="243">
                  <c:v>6.9930000000000003</c:v>
                </c:pt>
                <c:pt idx="244">
                  <c:v>7.02</c:v>
                </c:pt>
                <c:pt idx="245">
                  <c:v>7.0469999999999997</c:v>
                </c:pt>
                <c:pt idx="246">
                  <c:v>7.0730000000000004</c:v>
                </c:pt>
                <c:pt idx="247">
                  <c:v>7.1</c:v>
                </c:pt>
                <c:pt idx="248">
                  <c:v>7.1269999999999998</c:v>
                </c:pt>
                <c:pt idx="249">
                  <c:v>7.1529999999999996</c:v>
                </c:pt>
                <c:pt idx="250">
                  <c:v>7.18</c:v>
                </c:pt>
                <c:pt idx="251">
                  <c:v>7.2069999999999999</c:v>
                </c:pt>
                <c:pt idx="252">
                  <c:v>7.2329999999999997</c:v>
                </c:pt>
                <c:pt idx="253">
                  <c:v>7.26</c:v>
                </c:pt>
                <c:pt idx="254">
                  <c:v>7.2869999999999999</c:v>
                </c:pt>
                <c:pt idx="255">
                  <c:v>7.3129999999999997</c:v>
                </c:pt>
                <c:pt idx="256">
                  <c:v>7.34</c:v>
                </c:pt>
                <c:pt idx="257">
                  <c:v>7.367</c:v>
                </c:pt>
                <c:pt idx="258">
                  <c:v>7.3929999999999998</c:v>
                </c:pt>
                <c:pt idx="259">
                  <c:v>7.42</c:v>
                </c:pt>
                <c:pt idx="260">
                  <c:v>7.4470000000000001</c:v>
                </c:pt>
                <c:pt idx="261">
                  <c:v>7.4729999999999999</c:v>
                </c:pt>
                <c:pt idx="262">
                  <c:v>7.5</c:v>
                </c:pt>
                <c:pt idx="263">
                  <c:v>7.5270000000000001</c:v>
                </c:pt>
                <c:pt idx="264">
                  <c:v>7.5529999999999999</c:v>
                </c:pt>
                <c:pt idx="265">
                  <c:v>7.58</c:v>
                </c:pt>
                <c:pt idx="266">
                  <c:v>7.6070000000000002</c:v>
                </c:pt>
                <c:pt idx="267">
                  <c:v>7.633</c:v>
                </c:pt>
                <c:pt idx="268">
                  <c:v>7.66</c:v>
                </c:pt>
                <c:pt idx="269">
                  <c:v>7.6870000000000003</c:v>
                </c:pt>
                <c:pt idx="270">
                  <c:v>7.7130000000000001</c:v>
                </c:pt>
                <c:pt idx="271">
                  <c:v>7.74</c:v>
                </c:pt>
                <c:pt idx="272">
                  <c:v>7.7670000000000003</c:v>
                </c:pt>
                <c:pt idx="273">
                  <c:v>7.7930000000000001</c:v>
                </c:pt>
                <c:pt idx="274">
                  <c:v>7.82</c:v>
                </c:pt>
                <c:pt idx="275">
                  <c:v>7.8470000000000004</c:v>
                </c:pt>
                <c:pt idx="276">
                  <c:v>7.8730000000000002</c:v>
                </c:pt>
                <c:pt idx="277">
                  <c:v>7.9</c:v>
                </c:pt>
                <c:pt idx="278">
                  <c:v>7.9269999999999996</c:v>
                </c:pt>
                <c:pt idx="279">
                  <c:v>7.9530000000000003</c:v>
                </c:pt>
                <c:pt idx="280">
                  <c:v>7.98</c:v>
                </c:pt>
                <c:pt idx="281">
                  <c:v>8.0069999999999997</c:v>
                </c:pt>
                <c:pt idx="282">
                  <c:v>8.0329999999999995</c:v>
                </c:pt>
                <c:pt idx="283">
                  <c:v>8.06</c:v>
                </c:pt>
                <c:pt idx="284">
                  <c:v>8.0869999999999997</c:v>
                </c:pt>
                <c:pt idx="285">
                  <c:v>8.1129999999999995</c:v>
                </c:pt>
                <c:pt idx="286">
                  <c:v>8.14</c:v>
                </c:pt>
                <c:pt idx="287">
                  <c:v>8.1669999999999998</c:v>
                </c:pt>
                <c:pt idx="288">
                  <c:v>8.1929999999999996</c:v>
                </c:pt>
                <c:pt idx="289">
                  <c:v>8.2200000000000006</c:v>
                </c:pt>
                <c:pt idx="290">
                  <c:v>8.2469999999999999</c:v>
                </c:pt>
                <c:pt idx="291">
                  <c:v>8.2729999999999997</c:v>
                </c:pt>
                <c:pt idx="292">
                  <c:v>8.3000000000000007</c:v>
                </c:pt>
                <c:pt idx="293">
                  <c:v>8.327</c:v>
                </c:pt>
                <c:pt idx="294">
                  <c:v>8.3529999999999998</c:v>
                </c:pt>
                <c:pt idx="295">
                  <c:v>8.3800000000000008</c:v>
                </c:pt>
                <c:pt idx="296">
                  <c:v>8.407</c:v>
                </c:pt>
                <c:pt idx="297">
                  <c:v>8.4329999999999998</c:v>
                </c:pt>
                <c:pt idx="298">
                  <c:v>8.4600000000000009</c:v>
                </c:pt>
                <c:pt idx="299">
                  <c:v>8.4870000000000001</c:v>
                </c:pt>
                <c:pt idx="300">
                  <c:v>8.5129999999999999</c:v>
                </c:pt>
                <c:pt idx="301">
                  <c:v>8.5399999999999991</c:v>
                </c:pt>
                <c:pt idx="302">
                  <c:v>8.5670000000000002</c:v>
                </c:pt>
                <c:pt idx="303">
                  <c:v>8.593</c:v>
                </c:pt>
                <c:pt idx="304">
                  <c:v>8.6199999999999992</c:v>
                </c:pt>
                <c:pt idx="305">
                  <c:v>8.6470000000000002</c:v>
                </c:pt>
                <c:pt idx="306">
                  <c:v>8.673</c:v>
                </c:pt>
                <c:pt idx="307">
                  <c:v>8.6999999999999993</c:v>
                </c:pt>
                <c:pt idx="308">
                  <c:v>8.7270000000000003</c:v>
                </c:pt>
                <c:pt idx="309">
                  <c:v>8.7530000000000001</c:v>
                </c:pt>
                <c:pt idx="310">
                  <c:v>8.7799999999999994</c:v>
                </c:pt>
                <c:pt idx="311">
                  <c:v>8.8070000000000004</c:v>
                </c:pt>
                <c:pt idx="312">
                  <c:v>8.8330000000000002</c:v>
                </c:pt>
                <c:pt idx="313">
                  <c:v>8.86</c:v>
                </c:pt>
                <c:pt idx="314">
                  <c:v>8.8870000000000005</c:v>
                </c:pt>
                <c:pt idx="315">
                  <c:v>8.9130000000000003</c:v>
                </c:pt>
                <c:pt idx="316">
                  <c:v>8.94</c:v>
                </c:pt>
                <c:pt idx="317">
                  <c:v>8.9670000000000005</c:v>
                </c:pt>
                <c:pt idx="318">
                  <c:v>8.9930000000000003</c:v>
                </c:pt>
                <c:pt idx="319">
                  <c:v>9.02</c:v>
                </c:pt>
                <c:pt idx="320">
                  <c:v>9.0470000000000006</c:v>
                </c:pt>
                <c:pt idx="321">
                  <c:v>9.0730000000000004</c:v>
                </c:pt>
                <c:pt idx="322">
                  <c:v>9.1</c:v>
                </c:pt>
                <c:pt idx="323">
                  <c:v>9.1270000000000007</c:v>
                </c:pt>
                <c:pt idx="324">
                  <c:v>9.1530000000000005</c:v>
                </c:pt>
                <c:pt idx="325">
                  <c:v>9.18</c:v>
                </c:pt>
                <c:pt idx="326">
                  <c:v>9.2070000000000007</c:v>
                </c:pt>
                <c:pt idx="327">
                  <c:v>9.2330000000000005</c:v>
                </c:pt>
                <c:pt idx="328">
                  <c:v>9.26</c:v>
                </c:pt>
                <c:pt idx="329">
                  <c:v>9.2870000000000008</c:v>
                </c:pt>
                <c:pt idx="330">
                  <c:v>9.3130000000000006</c:v>
                </c:pt>
                <c:pt idx="331">
                  <c:v>9.34</c:v>
                </c:pt>
                <c:pt idx="332">
                  <c:v>9.3670000000000009</c:v>
                </c:pt>
                <c:pt idx="333">
                  <c:v>9.3930000000000007</c:v>
                </c:pt>
                <c:pt idx="334">
                  <c:v>9.42</c:v>
                </c:pt>
                <c:pt idx="335">
                  <c:v>9.4469999999999992</c:v>
                </c:pt>
                <c:pt idx="336">
                  <c:v>9.4730000000000008</c:v>
                </c:pt>
                <c:pt idx="337">
                  <c:v>9.5</c:v>
                </c:pt>
                <c:pt idx="338">
                  <c:v>9.5269999999999992</c:v>
                </c:pt>
                <c:pt idx="339">
                  <c:v>9.5530000000000008</c:v>
                </c:pt>
                <c:pt idx="340">
                  <c:v>9.58</c:v>
                </c:pt>
                <c:pt idx="341">
                  <c:v>9.6069999999999993</c:v>
                </c:pt>
                <c:pt idx="342">
                  <c:v>9.6329999999999991</c:v>
                </c:pt>
                <c:pt idx="343">
                  <c:v>9.66</c:v>
                </c:pt>
                <c:pt idx="344">
                  <c:v>9.6869999999999994</c:v>
                </c:pt>
                <c:pt idx="345">
                  <c:v>9.7129999999999992</c:v>
                </c:pt>
                <c:pt idx="346">
                  <c:v>9.74</c:v>
                </c:pt>
                <c:pt idx="347">
                  <c:v>9.7669999999999995</c:v>
                </c:pt>
                <c:pt idx="348">
                  <c:v>9.7929999999999993</c:v>
                </c:pt>
                <c:pt idx="349">
                  <c:v>9.82</c:v>
                </c:pt>
                <c:pt idx="350">
                  <c:v>9.8469999999999995</c:v>
                </c:pt>
                <c:pt idx="351">
                  <c:v>9.8729999999999993</c:v>
                </c:pt>
                <c:pt idx="352">
                  <c:v>9.9</c:v>
                </c:pt>
                <c:pt idx="353">
                  <c:v>9.9269999999999996</c:v>
                </c:pt>
                <c:pt idx="354">
                  <c:v>9.9529999999999994</c:v>
                </c:pt>
                <c:pt idx="355">
                  <c:v>9.98</c:v>
                </c:pt>
                <c:pt idx="356">
                  <c:v>10.007</c:v>
                </c:pt>
              </c:numCache>
            </c:numRef>
          </c:xVal>
          <c:yVal>
            <c:numRef>
              <c:f>ChromatogramData!$B$2:$B$10001</c:f>
              <c:numCache>
                <c:formatCode>General</c:formatCode>
                <c:ptCount val="10000"/>
                <c:pt idx="0">
                  <c:v>57.963095374155643</c:v>
                </c:pt>
                <c:pt idx="1">
                  <c:v>56.725137089530065</c:v>
                </c:pt>
                <c:pt idx="2">
                  <c:v>52.353701737586668</c:v>
                </c:pt>
                <c:pt idx="3">
                  <c:v>48.975316933744011</c:v>
                </c:pt>
                <c:pt idx="4">
                  <c:v>46.781212006521464</c:v>
                </c:pt>
                <c:pt idx="5">
                  <c:v>44.667624691307076</c:v>
                </c:pt>
                <c:pt idx="6">
                  <c:v>42.792235311616857</c:v>
                </c:pt>
                <c:pt idx="7">
                  <c:v>41.547567225990605</c:v>
                </c:pt>
                <c:pt idx="8">
                  <c:v>40.950394936930039</c:v>
                </c:pt>
                <c:pt idx="9">
                  <c:v>40.85645772292051</c:v>
                </c:pt>
                <c:pt idx="10">
                  <c:v>40.977234140932758</c:v>
                </c:pt>
                <c:pt idx="11">
                  <c:v>41.074526255442628</c:v>
                </c:pt>
                <c:pt idx="12">
                  <c:v>40.95710473793072</c:v>
                </c:pt>
                <c:pt idx="13">
                  <c:v>40.554516677889886</c:v>
                </c:pt>
                <c:pt idx="14">
                  <c:v>39.930505184826593</c:v>
                </c:pt>
                <c:pt idx="15">
                  <c:v>39.360172099768739</c:v>
                </c:pt>
                <c:pt idx="16">
                  <c:v>38.991133044731313</c:v>
                </c:pt>
                <c:pt idx="17">
                  <c:v>38.695901800701364</c:v>
                </c:pt>
                <c:pt idx="18">
                  <c:v>38.467768566678231</c:v>
                </c:pt>
                <c:pt idx="19">
                  <c:v>38.320152944663249</c:v>
                </c:pt>
                <c:pt idx="20">
                  <c:v>38.128923616143851</c:v>
                </c:pt>
                <c:pt idx="21">
                  <c:v>37.894080581120043</c:v>
                </c:pt>
                <c:pt idx="22">
                  <c:v>37.679366949098259</c:v>
                </c:pt>
                <c:pt idx="23">
                  <c:v>37.494847421579543</c:v>
                </c:pt>
                <c:pt idx="24">
                  <c:v>37.364006302066272</c:v>
                </c:pt>
                <c:pt idx="25">
                  <c:v>37.260004386555721</c:v>
                </c:pt>
                <c:pt idx="26">
                  <c:v>37.162712272045859</c:v>
                </c:pt>
                <c:pt idx="27">
                  <c:v>37.092259361538709</c:v>
                </c:pt>
                <c:pt idx="28">
                  <c:v>37.041935854033603</c:v>
                </c:pt>
                <c:pt idx="29">
                  <c:v>36.981547645027476</c:v>
                </c:pt>
                <c:pt idx="30">
                  <c:v>36.921159436021355</c:v>
                </c:pt>
                <c:pt idx="31">
                  <c:v>36.874190829016591</c:v>
                </c:pt>
                <c:pt idx="32">
                  <c:v>36.773543814006374</c:v>
                </c:pt>
                <c:pt idx="33">
                  <c:v>36.656122296494466</c:v>
                </c:pt>
                <c:pt idx="34">
                  <c:v>36.535345878482218</c:v>
                </c:pt>
                <c:pt idx="35">
                  <c:v>36.397794957968266</c:v>
                </c:pt>
                <c:pt idx="36">
                  <c:v>36.327342047461123</c:v>
                </c:pt>
                <c:pt idx="37">
                  <c:v>36.260244037454321</c:v>
                </c:pt>
                <c:pt idx="38">
                  <c:v>36.199855828448186</c:v>
                </c:pt>
                <c:pt idx="39">
                  <c:v>36.15624212194377</c:v>
                </c:pt>
                <c:pt idx="40">
                  <c:v>36.115983315939687</c:v>
                </c:pt>
                <c:pt idx="41">
                  <c:v>36.149532320943081</c:v>
                </c:pt>
                <c:pt idx="42">
                  <c:v>36.213275430449549</c:v>
                </c:pt>
                <c:pt idx="43">
                  <c:v>36.293793042457722</c:v>
                </c:pt>
                <c:pt idx="44">
                  <c:v>36.421279261470652</c:v>
                </c:pt>
                <c:pt idx="45">
                  <c:v>36.555475281484263</c:v>
                </c:pt>
                <c:pt idx="46">
                  <c:v>36.71315560500026</c:v>
                </c:pt>
                <c:pt idx="47">
                  <c:v>36.907739834019992</c:v>
                </c:pt>
                <c:pt idx="48">
                  <c:v>37.119098565541428</c:v>
                </c:pt>
                <c:pt idx="49">
                  <c:v>37.357296501065591</c:v>
                </c:pt>
                <c:pt idx="50">
                  <c:v>37.618978740092132</c:v>
                </c:pt>
                <c:pt idx="51">
                  <c:v>37.924274685623097</c:v>
                </c:pt>
                <c:pt idx="52">
                  <c:v>38.263119636157469</c:v>
                </c:pt>
                <c:pt idx="53">
                  <c:v>38.628803790694562</c:v>
                </c:pt>
                <c:pt idx="54">
                  <c:v>38.994487945231647</c:v>
                </c:pt>
                <c:pt idx="55">
                  <c:v>39.413850507774185</c:v>
                </c:pt>
                <c:pt idx="56">
                  <c:v>39.839922871317398</c:v>
                </c:pt>
                <c:pt idx="57">
                  <c:v>40.306254040864701</c:v>
                </c:pt>
                <c:pt idx="58">
                  <c:v>40.775940110912344</c:v>
                </c:pt>
                <c:pt idx="59">
                  <c:v>41.215432076456921</c:v>
                </c:pt>
                <c:pt idx="60">
                  <c:v>41.614665235997421</c:v>
                </c:pt>
                <c:pt idx="61">
                  <c:v>41.970284689033484</c:v>
                </c:pt>
                <c:pt idx="62">
                  <c:v>42.25209633106207</c:v>
                </c:pt>
                <c:pt idx="63">
                  <c:v>42.543972674591672</c:v>
                </c:pt>
                <c:pt idx="64">
                  <c:v>42.869398023124681</c:v>
                </c:pt>
                <c:pt idx="65">
                  <c:v>43.251856680163478</c:v>
                </c:pt>
                <c:pt idx="66">
                  <c:v>43.684638844707372</c:v>
                </c:pt>
                <c:pt idx="67">
                  <c:v>44.157679815255356</c:v>
                </c:pt>
                <c:pt idx="68">
                  <c:v>44.677689392808098</c:v>
                </c:pt>
                <c:pt idx="69">
                  <c:v>45.197698970360847</c:v>
                </c:pt>
                <c:pt idx="70">
                  <c:v>45.664030139908142</c:v>
                </c:pt>
                <c:pt idx="71">
                  <c:v>46.096812304452044</c:v>
                </c:pt>
                <c:pt idx="72">
                  <c:v>46.573208175500362</c:v>
                </c:pt>
                <c:pt idx="73">
                  <c:v>47.163670663560247</c:v>
                </c:pt>
                <c:pt idx="74">
                  <c:v>48.616342580207593</c:v>
                </c:pt>
                <c:pt idx="75">
                  <c:v>51.098968950459415</c:v>
                </c:pt>
                <c:pt idx="76">
                  <c:v>52.417444847093137</c:v>
                </c:pt>
                <c:pt idx="77">
                  <c:v>51.400909995490039</c:v>
                </c:pt>
                <c:pt idx="78">
                  <c:v>49.793912655827036</c:v>
                </c:pt>
                <c:pt idx="79">
                  <c:v>49.042414943750813</c:v>
                </c:pt>
                <c:pt idx="80">
                  <c:v>48.834411112729718</c:v>
                </c:pt>
                <c:pt idx="81">
                  <c:v>48.794152306725628</c:v>
                </c:pt>
                <c:pt idx="82">
                  <c:v>48.720344495718152</c:v>
                </c:pt>
                <c:pt idx="83">
                  <c:v>48.646536684710661</c:v>
                </c:pt>
                <c:pt idx="84">
                  <c:v>48.653246485711342</c:v>
                </c:pt>
                <c:pt idx="85">
                  <c:v>48.743828799220523</c:v>
                </c:pt>
                <c:pt idx="86">
                  <c:v>48.787442505724954</c:v>
                </c:pt>
                <c:pt idx="87">
                  <c:v>48.827701311729037</c:v>
                </c:pt>
                <c:pt idx="88">
                  <c:v>49.0994482522566</c:v>
                </c:pt>
                <c:pt idx="89">
                  <c:v>49.736879347321256</c:v>
                </c:pt>
                <c:pt idx="90">
                  <c:v>50.219985019370256</c:v>
                </c:pt>
                <c:pt idx="91">
                  <c:v>50.370955541885564</c:v>
                </c:pt>
                <c:pt idx="92">
                  <c:v>50.411214347889647</c:v>
                </c:pt>
                <c:pt idx="93">
                  <c:v>50.944643527443752</c:v>
                </c:pt>
                <c:pt idx="94">
                  <c:v>52.544931066106066</c:v>
                </c:pt>
                <c:pt idx="95">
                  <c:v>53.316558181184341</c:v>
                </c:pt>
                <c:pt idx="96">
                  <c:v>52.568415369608452</c:v>
                </c:pt>
                <c:pt idx="97">
                  <c:v>52.377186041089061</c:v>
                </c:pt>
                <c:pt idx="98">
                  <c:v>53.26958957417957</c:v>
                </c:pt>
                <c:pt idx="99">
                  <c:v>53.78624425123197</c:v>
                </c:pt>
                <c:pt idx="100">
                  <c:v>54.420320445796293</c:v>
                </c:pt>
                <c:pt idx="101">
                  <c:v>54.111669599764987</c:v>
                </c:pt>
                <c:pt idx="102">
                  <c:v>52.404025245091781</c:v>
                </c:pt>
                <c:pt idx="103">
                  <c:v>50.817157308430829</c:v>
                </c:pt>
                <c:pt idx="104">
                  <c:v>50.434698651392033</c:v>
                </c:pt>
                <c:pt idx="105">
                  <c:v>50.458182954894419</c:v>
                </c:pt>
                <c:pt idx="106">
                  <c:v>51.441168801494122</c:v>
                </c:pt>
                <c:pt idx="107">
                  <c:v>52.323507633083608</c:v>
                </c:pt>
                <c:pt idx="108">
                  <c:v>52.296668429080896</c:v>
                </c:pt>
                <c:pt idx="109">
                  <c:v>51.249939472974717</c:v>
                </c:pt>
                <c:pt idx="110">
                  <c:v>50.971482731446478</c:v>
                </c:pt>
                <c:pt idx="111">
                  <c:v>51.256649273975405</c:v>
                </c:pt>
                <c:pt idx="112">
                  <c:v>51.32039238348186</c:v>
                </c:pt>
                <c:pt idx="113">
                  <c:v>51.092259149458727</c:v>
                </c:pt>
                <c:pt idx="114">
                  <c:v>50.773543601926406</c:v>
                </c:pt>
                <c:pt idx="115">
                  <c:v>50.52192606440088</c:v>
                </c:pt>
                <c:pt idx="116">
                  <c:v>50.471602556895775</c:v>
                </c:pt>
                <c:pt idx="117">
                  <c:v>50.65276718391415</c:v>
                </c:pt>
                <c:pt idx="118">
                  <c:v>50.793673004928444</c:v>
                </c:pt>
                <c:pt idx="119">
                  <c:v>50.847351412933889</c:v>
                </c:pt>
                <c:pt idx="120">
                  <c:v>50.823867109431511</c:v>
                </c:pt>
                <c:pt idx="121">
                  <c:v>51.206325766470293</c:v>
                </c:pt>
                <c:pt idx="122">
                  <c:v>52.357056638087023</c:v>
                </c:pt>
                <c:pt idx="123">
                  <c:v>52.474478155598931</c:v>
                </c:pt>
                <c:pt idx="124">
                  <c:v>51.729690244523383</c:v>
                </c:pt>
                <c:pt idx="125">
                  <c:v>51.400909995490039</c:v>
                </c:pt>
                <c:pt idx="126">
                  <c:v>51.508266811500931</c:v>
                </c:pt>
                <c:pt idx="127">
                  <c:v>51.709560841521345</c:v>
                </c:pt>
                <c:pt idx="128">
                  <c:v>51.961178379046871</c:v>
                </c:pt>
                <c:pt idx="129">
                  <c:v>52.145697906565573</c:v>
                </c:pt>
                <c:pt idx="130">
                  <c:v>52.105439100561497</c:v>
                </c:pt>
                <c:pt idx="131">
                  <c:v>52.118858702562854</c:v>
                </c:pt>
                <c:pt idx="132">
                  <c:v>52.038341090554688</c:v>
                </c:pt>
                <c:pt idx="133">
                  <c:v>51.773303951027813</c:v>
                </c:pt>
                <c:pt idx="134">
                  <c:v>51.36400608998629</c:v>
                </c:pt>
                <c:pt idx="135">
                  <c:v>51.008386636950227</c:v>
                </c:pt>
                <c:pt idx="136">
                  <c:v>50.904384721439676</c:v>
                </c:pt>
                <c:pt idx="137">
                  <c:v>51.092259149458727</c:v>
                </c:pt>
                <c:pt idx="138">
                  <c:v>51.350586487984934</c:v>
                </c:pt>
                <c:pt idx="139">
                  <c:v>51.454588403495478</c:v>
                </c:pt>
                <c:pt idx="140">
                  <c:v>51.471362905997175</c:v>
                </c:pt>
                <c:pt idx="141">
                  <c:v>51.384135492988328</c:v>
                </c:pt>
                <c:pt idx="142">
                  <c:v>51.471362905997175</c:v>
                </c:pt>
                <c:pt idx="143">
                  <c:v>57.359213284094395</c:v>
                </c:pt>
                <c:pt idx="144">
                  <c:v>78.622572655251119</c:v>
                </c:pt>
                <c:pt idx="145">
                  <c:v>96.725615755087318</c:v>
                </c:pt>
                <c:pt idx="146">
                  <c:v>98.393001303756449</c:v>
                </c:pt>
                <c:pt idx="147">
                  <c:v>85.513538282950094</c:v>
                </c:pt>
                <c:pt idx="148">
                  <c:v>72.234842102603224</c:v>
                </c:pt>
                <c:pt idx="149">
                  <c:v>64.266953414295045</c:v>
                </c:pt>
                <c:pt idx="150">
                  <c:v>60.925472515956109</c:v>
                </c:pt>
                <c:pt idx="151">
                  <c:v>59.40570258930196</c:v>
                </c:pt>
                <c:pt idx="152">
                  <c:v>58.432781444203286</c:v>
                </c:pt>
                <c:pt idx="153">
                  <c:v>57.406181891099152</c:v>
                </c:pt>
                <c:pt idx="154">
                  <c:v>56.433260746000471</c:v>
                </c:pt>
                <c:pt idx="155">
                  <c:v>55.9031864669467</c:v>
                </c:pt>
                <c:pt idx="156">
                  <c:v>55.906541367447041</c:v>
                </c:pt>
                <c:pt idx="157">
                  <c:v>55.987058979455206</c:v>
                </c:pt>
                <c:pt idx="158">
                  <c:v>55.554276814911319</c:v>
                </c:pt>
                <c:pt idx="159">
                  <c:v>55.014137834356518</c:v>
                </c:pt>
                <c:pt idx="160">
                  <c:v>54.661873281820796</c:v>
                </c:pt>
                <c:pt idx="161">
                  <c:v>54.433740047797663</c:v>
                </c:pt>
                <c:pt idx="162">
                  <c:v>54.319673430786082</c:v>
                </c:pt>
                <c:pt idx="163">
                  <c:v>54.299544027784044</c:v>
                </c:pt>
                <c:pt idx="164">
                  <c:v>54.752455595329984</c:v>
                </c:pt>
                <c:pt idx="165">
                  <c:v>55.34962788439055</c:v>
                </c:pt>
                <c:pt idx="166">
                  <c:v>55.497243506405532</c:v>
                </c:pt>
                <c:pt idx="167">
                  <c:v>55.178527958873197</c:v>
                </c:pt>
                <c:pt idx="168">
                  <c:v>54.950394724850064</c:v>
                </c:pt>
                <c:pt idx="169">
                  <c:v>55.175173058372856</c:v>
                </c:pt>
                <c:pt idx="170">
                  <c:v>55.309369078386474</c:v>
                </c:pt>
                <c:pt idx="171">
                  <c:v>55.165108356871848</c:v>
                </c:pt>
                <c:pt idx="172">
                  <c:v>54.890006515843929</c:v>
                </c:pt>
                <c:pt idx="173">
                  <c:v>54.863167311841217</c:v>
                </c:pt>
                <c:pt idx="174">
                  <c:v>54.950394724850064</c:v>
                </c:pt>
                <c:pt idx="175">
                  <c:v>55.037622137858911</c:v>
                </c:pt>
                <c:pt idx="176">
                  <c:v>55.00407313285551</c:v>
                </c:pt>
                <c:pt idx="177">
                  <c:v>54.86652221234155</c:v>
                </c:pt>
                <c:pt idx="178">
                  <c:v>54.728971291827605</c:v>
                </c:pt>
                <c:pt idx="179">
                  <c:v>54.749100694829643</c:v>
                </c:pt>
                <c:pt idx="180">
                  <c:v>57.661154329125019</c:v>
                </c:pt>
                <c:pt idx="181">
                  <c:v>73.479510188229469</c:v>
                </c:pt>
                <c:pt idx="182">
                  <c:v>91.01893000400851</c:v>
                </c:pt>
                <c:pt idx="183">
                  <c:v>99.999998643419445</c:v>
                </c:pt>
                <c:pt idx="184">
                  <c:v>95.880180829001574</c:v>
                </c:pt>
                <c:pt idx="185">
                  <c:v>84.48693872984596</c:v>
                </c:pt>
                <c:pt idx="186">
                  <c:v>73.066857426687605</c:v>
                </c:pt>
                <c:pt idx="187">
                  <c:v>65.521686201422312</c:v>
                </c:pt>
                <c:pt idx="188">
                  <c:v>61.281091968992186</c:v>
                </c:pt>
                <c:pt idx="189">
                  <c:v>58.848789106245476</c:v>
                </c:pt>
                <c:pt idx="190">
                  <c:v>57.446440697103235</c:v>
                </c:pt>
                <c:pt idx="191">
                  <c:v>56.715072388029057</c:v>
                </c:pt>
                <c:pt idx="192">
                  <c:v>56.403066641497404</c:v>
                </c:pt>
                <c:pt idx="193">
                  <c:v>56.138029501970514</c:v>
                </c:pt>
                <c:pt idx="194">
                  <c:v>55.923315869948738</c:v>
                </c:pt>
                <c:pt idx="195">
                  <c:v>55.802539451936489</c:v>
                </c:pt>
                <c:pt idx="196">
                  <c:v>55.799184551436156</c:v>
                </c:pt>
                <c:pt idx="197">
                  <c:v>55.869637461943306</c:v>
                </c:pt>
                <c:pt idx="198">
                  <c:v>55.893121765445677</c:v>
                </c:pt>
                <c:pt idx="199">
                  <c:v>55.906541367447041</c:v>
                </c:pt>
                <c:pt idx="200">
                  <c:v>55.883057063944662</c:v>
                </c:pt>
                <c:pt idx="201">
                  <c:v>55.919960969448404</c:v>
                </c:pt>
                <c:pt idx="202">
                  <c:v>56.087705994465416</c:v>
                </c:pt>
                <c:pt idx="203">
                  <c:v>56.215192213478346</c:v>
                </c:pt>
                <c:pt idx="204">
                  <c:v>56.319194128988904</c:v>
                </c:pt>
                <c:pt idx="205">
                  <c:v>56.292354924986171</c:v>
                </c:pt>
                <c:pt idx="206">
                  <c:v>56.295709825486512</c:v>
                </c:pt>
                <c:pt idx="207">
                  <c:v>56.349388233491965</c:v>
                </c:pt>
                <c:pt idx="208">
                  <c:v>56.439970547001153</c:v>
                </c:pt>
                <c:pt idx="209">
                  <c:v>56.51713325850897</c:v>
                </c:pt>
                <c:pt idx="210">
                  <c:v>56.584231268515779</c:v>
                </c:pt>
                <c:pt idx="211">
                  <c:v>56.644619477521907</c:v>
                </c:pt>
                <c:pt idx="212">
                  <c:v>56.654684179022922</c:v>
                </c:pt>
                <c:pt idx="213">
                  <c:v>56.62784497502021</c:v>
                </c:pt>
                <c:pt idx="214">
                  <c:v>56.604360671517817</c:v>
                </c:pt>
                <c:pt idx="215">
                  <c:v>56.577521467515098</c:v>
                </c:pt>
                <c:pt idx="216">
                  <c:v>56.580876368015439</c:v>
                </c:pt>
                <c:pt idx="217">
                  <c:v>56.691588084526664</c:v>
                </c:pt>
                <c:pt idx="218">
                  <c:v>56.785525298536207</c:v>
                </c:pt>
                <c:pt idx="219">
                  <c:v>56.798944900537563</c:v>
                </c:pt>
                <c:pt idx="220">
                  <c:v>56.798944900537563</c:v>
                </c:pt>
                <c:pt idx="221">
                  <c:v>56.829139005040624</c:v>
                </c:pt>
                <c:pt idx="222">
                  <c:v>56.939850721551849</c:v>
                </c:pt>
                <c:pt idx="223">
                  <c:v>57.053917338563416</c:v>
                </c:pt>
                <c:pt idx="224">
                  <c:v>57.080756542566135</c:v>
                </c:pt>
                <c:pt idx="225">
                  <c:v>57.037142836061719</c:v>
                </c:pt>
                <c:pt idx="226">
                  <c:v>56.976754627055591</c:v>
                </c:pt>
                <c:pt idx="227">
                  <c:v>57.027078134560696</c:v>
                </c:pt>
                <c:pt idx="228">
                  <c:v>57.097531045067846</c:v>
                </c:pt>
                <c:pt idx="229">
                  <c:v>57.191468259077375</c:v>
                </c:pt>
                <c:pt idx="230">
                  <c:v>57.275340771585874</c:v>
                </c:pt>
                <c:pt idx="231">
                  <c:v>57.339083881092343</c:v>
                </c:pt>
                <c:pt idx="232">
                  <c:v>57.402826990598818</c:v>
                </c:pt>
                <c:pt idx="233">
                  <c:v>57.446440697103235</c:v>
                </c:pt>
                <c:pt idx="234">
                  <c:v>57.459860299104591</c:v>
                </c:pt>
                <c:pt idx="235">
                  <c:v>57.449795597603568</c:v>
                </c:pt>
                <c:pt idx="236">
                  <c:v>57.459860299104591</c:v>
                </c:pt>
                <c:pt idx="237">
                  <c:v>57.486699503107324</c:v>
                </c:pt>
                <c:pt idx="238">
                  <c:v>57.513538707110037</c:v>
                </c:pt>
                <c:pt idx="239">
                  <c:v>57.654444528124323</c:v>
                </c:pt>
                <c:pt idx="240">
                  <c:v>57.916126767150885</c:v>
                </c:pt>
                <c:pt idx="241">
                  <c:v>58.157679603175374</c:v>
                </c:pt>
                <c:pt idx="242">
                  <c:v>58.312005026191024</c:v>
                </c:pt>
                <c:pt idx="243">
                  <c:v>58.399232439199871</c:v>
                </c:pt>
                <c:pt idx="244">
                  <c:v>58.657559777726078</c:v>
                </c:pt>
                <c:pt idx="245">
                  <c:v>58.707883285231176</c:v>
                </c:pt>
                <c:pt idx="246">
                  <c:v>58.650849976725404</c:v>
                </c:pt>
                <c:pt idx="247">
                  <c:v>58.258326618185585</c:v>
                </c:pt>
                <c:pt idx="248">
                  <c:v>57.956385573154961</c:v>
                </c:pt>
                <c:pt idx="249">
                  <c:v>57.88257776214747</c:v>
                </c:pt>
                <c:pt idx="250">
                  <c:v>58.107356095670269</c:v>
                </c:pt>
                <c:pt idx="251">
                  <c:v>58.399232439199871</c:v>
                </c:pt>
                <c:pt idx="252">
                  <c:v>58.644140175724715</c:v>
                </c:pt>
                <c:pt idx="253">
                  <c:v>58.724657787732887</c:v>
                </c:pt>
                <c:pt idx="254">
                  <c:v>58.684398981728798</c:v>
                </c:pt>
                <c:pt idx="255">
                  <c:v>58.580397066218254</c:v>
                </c:pt>
                <c:pt idx="256">
                  <c:v>58.479750051208043</c:v>
                </c:pt>
                <c:pt idx="257">
                  <c:v>58.389167737698848</c:v>
                </c:pt>
                <c:pt idx="258">
                  <c:v>58.318714827191705</c:v>
                </c:pt>
                <c:pt idx="259">
                  <c:v>58.241552115683888</c:v>
                </c:pt>
                <c:pt idx="260">
                  <c:v>58.184518807178094</c:v>
                </c:pt>
                <c:pt idx="261">
                  <c:v>58.117420797171292</c:v>
                </c:pt>
                <c:pt idx="262">
                  <c:v>58.124130598171966</c:v>
                </c:pt>
                <c:pt idx="263">
                  <c:v>58.214712911681154</c:v>
                </c:pt>
                <c:pt idx="264">
                  <c:v>58.305295225190356</c:v>
                </c:pt>
                <c:pt idx="265">
                  <c:v>58.375748135697499</c:v>
                </c:pt>
                <c:pt idx="266">
                  <c:v>58.416006941701582</c:v>
                </c:pt>
                <c:pt idx="267">
                  <c:v>58.452910847205324</c:v>
                </c:pt>
                <c:pt idx="268">
                  <c:v>58.439491245203961</c:v>
                </c:pt>
                <c:pt idx="269">
                  <c:v>58.365683434196477</c:v>
                </c:pt>
                <c:pt idx="270">
                  <c:v>58.25161681718491</c:v>
                </c:pt>
                <c:pt idx="271">
                  <c:v>58.077161991167209</c:v>
                </c:pt>
                <c:pt idx="272">
                  <c:v>57.959740473655302</c:v>
                </c:pt>
                <c:pt idx="273">
                  <c:v>57.902707165149515</c:v>
                </c:pt>
                <c:pt idx="274">
                  <c:v>57.875867961146795</c:v>
                </c:pt>
                <c:pt idx="275">
                  <c:v>57.865803259645773</c:v>
                </c:pt>
                <c:pt idx="276">
                  <c:v>57.698058234628753</c:v>
                </c:pt>
                <c:pt idx="277">
                  <c:v>57.523603408611059</c:v>
                </c:pt>
                <c:pt idx="278">
                  <c:v>57.221662363580435</c:v>
                </c:pt>
                <c:pt idx="279">
                  <c:v>56.923076219050152</c:v>
                </c:pt>
                <c:pt idx="280">
                  <c:v>56.711717487528702</c:v>
                </c:pt>
                <c:pt idx="281">
                  <c:v>56.644619477521907</c:v>
                </c:pt>
                <c:pt idx="282">
                  <c:v>56.651329278522581</c:v>
                </c:pt>
                <c:pt idx="283">
                  <c:v>56.738556691531436</c:v>
                </c:pt>
                <c:pt idx="284">
                  <c:v>56.855978209043329</c:v>
                </c:pt>
                <c:pt idx="285">
                  <c:v>56.970044826054924</c:v>
                </c:pt>
                <c:pt idx="286">
                  <c:v>57.047207537562741</c:v>
                </c:pt>
                <c:pt idx="287">
                  <c:v>57.020368333560022</c:v>
                </c:pt>
                <c:pt idx="288">
                  <c:v>56.866042910544358</c:v>
                </c:pt>
                <c:pt idx="289">
                  <c:v>56.58758616901612</c:v>
                </c:pt>
                <c:pt idx="290">
                  <c:v>56.215192213478346</c:v>
                </c:pt>
                <c:pt idx="291">
                  <c:v>55.799184551436156</c:v>
                </c:pt>
                <c:pt idx="292">
                  <c:v>55.336208282389194</c:v>
                </c:pt>
                <c:pt idx="293">
                  <c:v>54.9369751228487</c:v>
                </c:pt>
                <c:pt idx="294">
                  <c:v>54.655163480820114</c:v>
                </c:pt>
                <c:pt idx="295">
                  <c:v>54.319673430786082</c:v>
                </c:pt>
                <c:pt idx="296">
                  <c:v>54.051281390758867</c:v>
                </c:pt>
                <c:pt idx="297">
                  <c:v>53.766114848229932</c:v>
                </c:pt>
                <c:pt idx="298">
                  <c:v>53.329977783185704</c:v>
                </c:pt>
                <c:pt idx="299">
                  <c:v>53.098489648662216</c:v>
                </c:pt>
                <c:pt idx="300">
                  <c:v>53.78624425123197</c:v>
                </c:pt>
                <c:pt idx="301">
                  <c:v>53.943924574747967</c:v>
                </c:pt>
                <c:pt idx="302">
                  <c:v>53.930504972746611</c:v>
                </c:pt>
                <c:pt idx="303">
                  <c:v>52.960938728148271</c:v>
                </c:pt>
                <c:pt idx="304">
                  <c:v>51.645817732014876</c:v>
                </c:pt>
                <c:pt idx="305">
                  <c:v>50.827222009931852</c:v>
                </c:pt>
                <c:pt idx="306">
                  <c:v>50.233404621371612</c:v>
                </c:pt>
                <c:pt idx="307">
                  <c:v>49.679846038815462</c:v>
                </c:pt>
                <c:pt idx="308">
                  <c:v>49.0994482522566</c:v>
                </c:pt>
                <c:pt idx="309">
                  <c:v>48.559309271701814</c:v>
                </c:pt>
                <c:pt idx="310">
                  <c:v>48.106397704155867</c:v>
                </c:pt>
                <c:pt idx="311">
                  <c:v>47.713874345616063</c:v>
                </c:pt>
                <c:pt idx="312">
                  <c:v>47.385094096582712</c:v>
                </c:pt>
                <c:pt idx="313">
                  <c:v>47.002635439543923</c:v>
                </c:pt>
                <c:pt idx="314">
                  <c:v>46.536304269996613</c:v>
                </c:pt>
                <c:pt idx="315">
                  <c:v>45.992810388941493</c:v>
                </c:pt>
                <c:pt idx="316">
                  <c:v>45.271506781368331</c:v>
                </c:pt>
                <c:pt idx="317">
                  <c:v>44.483105163788359</c:v>
                </c:pt>
                <c:pt idx="318">
                  <c:v>43.751736854714181</c:v>
                </c:pt>
                <c:pt idx="319">
                  <c:v>43.174693968655646</c:v>
                </c:pt>
                <c:pt idx="320">
                  <c:v>42.678168694605283</c:v>
                </c:pt>
                <c:pt idx="321">
                  <c:v>42.205127724057306</c:v>
                </c:pt>
                <c:pt idx="322">
                  <c:v>41.6381495394998</c:v>
                </c:pt>
                <c:pt idx="323">
                  <c:v>40.947040036429705</c:v>
                </c:pt>
                <c:pt idx="324">
                  <c:v>40.14521881684837</c:v>
                </c:pt>
                <c:pt idx="325">
                  <c:v>39.172297671749689</c:v>
                </c:pt>
                <c:pt idx="326">
                  <c:v>38.055115805136374</c:v>
                </c:pt>
                <c:pt idx="327">
                  <c:v>36.760124212005024</c:v>
                </c:pt>
                <c:pt idx="328">
                  <c:v>35.27725819085461</c:v>
                </c:pt>
                <c:pt idx="329">
                  <c:v>33.727294159697394</c:v>
                </c:pt>
                <c:pt idx="330">
                  <c:v>32.140426223036442</c:v>
                </c:pt>
                <c:pt idx="331">
                  <c:v>30.553558286375488</c:v>
                </c:pt>
                <c:pt idx="332">
                  <c:v>29.023723658220316</c:v>
                </c:pt>
                <c:pt idx="333">
                  <c:v>27.571051741572969</c:v>
                </c:pt>
                <c:pt idx="334">
                  <c:v>26.161993531430049</c:v>
                </c:pt>
                <c:pt idx="335">
                  <c:v>24.769709823788833</c:v>
                </c:pt>
                <c:pt idx="336">
                  <c:v>23.350586912144891</c:v>
                </c:pt>
                <c:pt idx="337">
                  <c:v>21.854301288993121</c:v>
                </c:pt>
                <c:pt idx="338">
                  <c:v>20.23052944682842</c:v>
                </c:pt>
                <c:pt idx="339">
                  <c:v>18.546369395657599</c:v>
                </c:pt>
                <c:pt idx="340">
                  <c:v>16.946081856995281</c:v>
                </c:pt>
                <c:pt idx="341">
                  <c:v>15.402827626838747</c:v>
                </c:pt>
                <c:pt idx="342">
                  <c:v>13.849508695181195</c:v>
                </c:pt>
                <c:pt idx="343">
                  <c:v>12.208962350514794</c:v>
                </c:pt>
                <c:pt idx="344">
                  <c:v>10.682482622859963</c:v>
                </c:pt>
                <c:pt idx="345">
                  <c:v>9.5485262537449458</c:v>
                </c:pt>
                <c:pt idx="346">
                  <c:v>8.5252816011411596</c:v>
                </c:pt>
                <c:pt idx="347">
                  <c:v>7.4382938390309032</c:v>
                </c:pt>
                <c:pt idx="348">
                  <c:v>6.2003355544053376</c:v>
                </c:pt>
                <c:pt idx="349">
                  <c:v>5.0697340857906603</c:v>
                </c:pt>
                <c:pt idx="350">
                  <c:v>4.0867482391909586</c:v>
                </c:pt>
                <c:pt idx="351">
                  <c:v>3.2312486116041832</c:v>
                </c:pt>
                <c:pt idx="352">
                  <c:v>2.5904626160391859</c:v>
                </c:pt>
                <c:pt idx="353">
                  <c:v>2.6609155265463347</c:v>
                </c:pt>
                <c:pt idx="354">
                  <c:v>2.6374312230439538</c:v>
                </c:pt>
                <c:pt idx="355">
                  <c:v>2.5837528150385092</c:v>
                </c:pt>
                <c:pt idx="356">
                  <c:v>2.0000001279792947</c:v>
                </c:pt>
              </c:numCache>
            </c:numRef>
          </c:yVal>
          <c:smooth val="1"/>
          <c:extLst>
            <c:ext xmlns:c16="http://schemas.microsoft.com/office/drawing/2014/chart" uri="{C3380CC4-5D6E-409C-BE32-E72D297353CC}">
              <c16:uniqueId val="{00000000-E192-4130-B7D2-7905CBA103B5}"/>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0.51300000000000001</c:v>
                </c:pt>
                <c:pt idx="1">
                  <c:v>0.54</c:v>
                </c:pt>
                <c:pt idx="2">
                  <c:v>0.56699999999999995</c:v>
                </c:pt>
                <c:pt idx="3">
                  <c:v>0.59299999999999997</c:v>
                </c:pt>
                <c:pt idx="4">
                  <c:v>0.62</c:v>
                </c:pt>
                <c:pt idx="5">
                  <c:v>0.64700000000000002</c:v>
                </c:pt>
                <c:pt idx="6">
                  <c:v>0.67300000000000004</c:v>
                </c:pt>
                <c:pt idx="7">
                  <c:v>0.7</c:v>
                </c:pt>
                <c:pt idx="8">
                  <c:v>0.72699999999999998</c:v>
                </c:pt>
                <c:pt idx="9">
                  <c:v>0.753</c:v>
                </c:pt>
                <c:pt idx="10">
                  <c:v>0.78</c:v>
                </c:pt>
                <c:pt idx="11">
                  <c:v>0.80700000000000005</c:v>
                </c:pt>
                <c:pt idx="12">
                  <c:v>0.83299999999999996</c:v>
                </c:pt>
                <c:pt idx="13">
                  <c:v>0.86</c:v>
                </c:pt>
                <c:pt idx="14">
                  <c:v>0.88700000000000001</c:v>
                </c:pt>
                <c:pt idx="15">
                  <c:v>0.91300000000000003</c:v>
                </c:pt>
                <c:pt idx="16">
                  <c:v>0.94</c:v>
                </c:pt>
                <c:pt idx="17">
                  <c:v>0.96699999999999997</c:v>
                </c:pt>
                <c:pt idx="18">
                  <c:v>0.99299999999999999</c:v>
                </c:pt>
                <c:pt idx="19">
                  <c:v>1.02</c:v>
                </c:pt>
                <c:pt idx="20">
                  <c:v>1.0469999999999999</c:v>
                </c:pt>
                <c:pt idx="21">
                  <c:v>1.073</c:v>
                </c:pt>
                <c:pt idx="22">
                  <c:v>1.1000000000000001</c:v>
                </c:pt>
                <c:pt idx="23">
                  <c:v>1.127</c:v>
                </c:pt>
                <c:pt idx="24">
                  <c:v>1.153</c:v>
                </c:pt>
                <c:pt idx="25">
                  <c:v>1.18</c:v>
                </c:pt>
                <c:pt idx="26">
                  <c:v>1.2070000000000001</c:v>
                </c:pt>
                <c:pt idx="27">
                  <c:v>1.2330000000000001</c:v>
                </c:pt>
                <c:pt idx="28">
                  <c:v>1.26</c:v>
                </c:pt>
                <c:pt idx="29">
                  <c:v>1.2869999999999999</c:v>
                </c:pt>
                <c:pt idx="30">
                  <c:v>1.3129999999999999</c:v>
                </c:pt>
                <c:pt idx="31">
                  <c:v>1.34</c:v>
                </c:pt>
                <c:pt idx="32">
                  <c:v>1.367</c:v>
                </c:pt>
                <c:pt idx="33">
                  <c:v>1.393</c:v>
                </c:pt>
                <c:pt idx="34">
                  <c:v>1.42</c:v>
                </c:pt>
                <c:pt idx="35">
                  <c:v>1.4470000000000001</c:v>
                </c:pt>
                <c:pt idx="36">
                  <c:v>1.4730000000000001</c:v>
                </c:pt>
                <c:pt idx="37">
                  <c:v>1.5</c:v>
                </c:pt>
                <c:pt idx="38">
                  <c:v>1.5269999999999999</c:v>
                </c:pt>
                <c:pt idx="39">
                  <c:v>1.5529999999999999</c:v>
                </c:pt>
                <c:pt idx="40">
                  <c:v>1.58</c:v>
                </c:pt>
                <c:pt idx="41">
                  <c:v>1.607</c:v>
                </c:pt>
                <c:pt idx="42">
                  <c:v>1.633</c:v>
                </c:pt>
                <c:pt idx="43">
                  <c:v>1.66</c:v>
                </c:pt>
                <c:pt idx="44">
                  <c:v>1.6870000000000001</c:v>
                </c:pt>
                <c:pt idx="45">
                  <c:v>1.7130000000000001</c:v>
                </c:pt>
                <c:pt idx="46">
                  <c:v>1.74</c:v>
                </c:pt>
                <c:pt idx="47">
                  <c:v>1.7669999999999999</c:v>
                </c:pt>
                <c:pt idx="48">
                  <c:v>1.7929999999999999</c:v>
                </c:pt>
                <c:pt idx="49">
                  <c:v>1.82</c:v>
                </c:pt>
                <c:pt idx="50">
                  <c:v>1.847</c:v>
                </c:pt>
                <c:pt idx="51">
                  <c:v>1.873</c:v>
                </c:pt>
                <c:pt idx="52">
                  <c:v>1.9</c:v>
                </c:pt>
                <c:pt idx="53">
                  <c:v>1.927</c:v>
                </c:pt>
                <c:pt idx="54">
                  <c:v>1.9530000000000001</c:v>
                </c:pt>
                <c:pt idx="55">
                  <c:v>1.98</c:v>
                </c:pt>
                <c:pt idx="56">
                  <c:v>2.0070000000000001</c:v>
                </c:pt>
                <c:pt idx="57">
                  <c:v>2.0329999999999999</c:v>
                </c:pt>
                <c:pt idx="58">
                  <c:v>2.06</c:v>
                </c:pt>
                <c:pt idx="59">
                  <c:v>2.0870000000000002</c:v>
                </c:pt>
                <c:pt idx="60">
                  <c:v>2.113</c:v>
                </c:pt>
                <c:pt idx="61">
                  <c:v>2.14</c:v>
                </c:pt>
                <c:pt idx="62">
                  <c:v>2.1669999999999998</c:v>
                </c:pt>
                <c:pt idx="63">
                  <c:v>2.1930000000000001</c:v>
                </c:pt>
                <c:pt idx="64">
                  <c:v>2.2200000000000002</c:v>
                </c:pt>
                <c:pt idx="65">
                  <c:v>2.2469999999999999</c:v>
                </c:pt>
                <c:pt idx="66">
                  <c:v>2.2730000000000001</c:v>
                </c:pt>
                <c:pt idx="67">
                  <c:v>2.2999999999999998</c:v>
                </c:pt>
                <c:pt idx="68">
                  <c:v>2.327</c:v>
                </c:pt>
                <c:pt idx="69">
                  <c:v>2.3530000000000002</c:v>
                </c:pt>
                <c:pt idx="70">
                  <c:v>2.38</c:v>
                </c:pt>
                <c:pt idx="71">
                  <c:v>2.407</c:v>
                </c:pt>
                <c:pt idx="72">
                  <c:v>2.4329999999999998</c:v>
                </c:pt>
                <c:pt idx="73">
                  <c:v>2.46</c:v>
                </c:pt>
                <c:pt idx="74">
                  <c:v>2.4870000000000001</c:v>
                </c:pt>
                <c:pt idx="75">
                  <c:v>2.5129999999999999</c:v>
                </c:pt>
                <c:pt idx="76">
                  <c:v>2.54</c:v>
                </c:pt>
                <c:pt idx="77">
                  <c:v>2.5670000000000002</c:v>
                </c:pt>
                <c:pt idx="78">
                  <c:v>2.593</c:v>
                </c:pt>
                <c:pt idx="79">
                  <c:v>2.62</c:v>
                </c:pt>
                <c:pt idx="80">
                  <c:v>2.6469999999999998</c:v>
                </c:pt>
                <c:pt idx="81">
                  <c:v>2.673</c:v>
                </c:pt>
                <c:pt idx="82">
                  <c:v>2.7</c:v>
                </c:pt>
                <c:pt idx="83">
                  <c:v>2.7269999999999999</c:v>
                </c:pt>
                <c:pt idx="84">
                  <c:v>2.7530000000000001</c:v>
                </c:pt>
                <c:pt idx="85">
                  <c:v>2.78</c:v>
                </c:pt>
                <c:pt idx="86">
                  <c:v>2.8069999999999999</c:v>
                </c:pt>
                <c:pt idx="87">
                  <c:v>2.8330000000000002</c:v>
                </c:pt>
                <c:pt idx="88">
                  <c:v>2.86</c:v>
                </c:pt>
                <c:pt idx="89">
                  <c:v>2.887</c:v>
                </c:pt>
                <c:pt idx="90">
                  <c:v>2.9129999999999998</c:v>
                </c:pt>
                <c:pt idx="91">
                  <c:v>2.94</c:v>
                </c:pt>
                <c:pt idx="92">
                  <c:v>2.9670000000000001</c:v>
                </c:pt>
                <c:pt idx="93">
                  <c:v>2.9929999999999999</c:v>
                </c:pt>
                <c:pt idx="94">
                  <c:v>3.02</c:v>
                </c:pt>
                <c:pt idx="95">
                  <c:v>3.0470000000000002</c:v>
                </c:pt>
                <c:pt idx="96">
                  <c:v>3.073</c:v>
                </c:pt>
                <c:pt idx="97">
                  <c:v>3.1</c:v>
                </c:pt>
                <c:pt idx="98">
                  <c:v>3.1269999999999998</c:v>
                </c:pt>
                <c:pt idx="99">
                  <c:v>3.153</c:v>
                </c:pt>
                <c:pt idx="100">
                  <c:v>3.18</c:v>
                </c:pt>
                <c:pt idx="101">
                  <c:v>3.2069999999999999</c:v>
                </c:pt>
                <c:pt idx="102">
                  <c:v>3.2330000000000001</c:v>
                </c:pt>
                <c:pt idx="103">
                  <c:v>3.26</c:v>
                </c:pt>
                <c:pt idx="104">
                  <c:v>3.2869999999999999</c:v>
                </c:pt>
                <c:pt idx="105">
                  <c:v>3.3130000000000002</c:v>
                </c:pt>
                <c:pt idx="106">
                  <c:v>3.34</c:v>
                </c:pt>
                <c:pt idx="107">
                  <c:v>3.367</c:v>
                </c:pt>
                <c:pt idx="108">
                  <c:v>3.3929999999999998</c:v>
                </c:pt>
                <c:pt idx="109">
                  <c:v>3.42</c:v>
                </c:pt>
                <c:pt idx="110">
                  <c:v>3.4470000000000001</c:v>
                </c:pt>
                <c:pt idx="111">
                  <c:v>3.4729999999999999</c:v>
                </c:pt>
                <c:pt idx="112">
                  <c:v>3.5</c:v>
                </c:pt>
                <c:pt idx="113">
                  <c:v>3.5270000000000001</c:v>
                </c:pt>
                <c:pt idx="114">
                  <c:v>3.5529999999999999</c:v>
                </c:pt>
                <c:pt idx="115">
                  <c:v>3.58</c:v>
                </c:pt>
                <c:pt idx="116">
                  <c:v>3.6070000000000002</c:v>
                </c:pt>
                <c:pt idx="117">
                  <c:v>3.633</c:v>
                </c:pt>
                <c:pt idx="118">
                  <c:v>3.66</c:v>
                </c:pt>
                <c:pt idx="119">
                  <c:v>3.6869999999999998</c:v>
                </c:pt>
                <c:pt idx="120">
                  <c:v>3.7130000000000001</c:v>
                </c:pt>
                <c:pt idx="121">
                  <c:v>3.74</c:v>
                </c:pt>
                <c:pt idx="122">
                  <c:v>3.7669999999999999</c:v>
                </c:pt>
                <c:pt idx="123">
                  <c:v>3.7930000000000001</c:v>
                </c:pt>
                <c:pt idx="124">
                  <c:v>3.82</c:v>
                </c:pt>
                <c:pt idx="125">
                  <c:v>3.847</c:v>
                </c:pt>
                <c:pt idx="126">
                  <c:v>3.8730000000000002</c:v>
                </c:pt>
                <c:pt idx="127">
                  <c:v>3.9</c:v>
                </c:pt>
                <c:pt idx="128">
                  <c:v>3.927</c:v>
                </c:pt>
                <c:pt idx="129">
                  <c:v>3.9529999999999998</c:v>
                </c:pt>
                <c:pt idx="130">
                  <c:v>3.98</c:v>
                </c:pt>
                <c:pt idx="131">
                  <c:v>4.0069999999999997</c:v>
                </c:pt>
                <c:pt idx="132">
                  <c:v>4.0330000000000004</c:v>
                </c:pt>
                <c:pt idx="133">
                  <c:v>4.0599999999999996</c:v>
                </c:pt>
                <c:pt idx="134">
                  <c:v>4.0869999999999997</c:v>
                </c:pt>
                <c:pt idx="135">
                  <c:v>4.1130000000000004</c:v>
                </c:pt>
                <c:pt idx="136">
                  <c:v>4.1399999999999997</c:v>
                </c:pt>
                <c:pt idx="137">
                  <c:v>4.1669999999999998</c:v>
                </c:pt>
                <c:pt idx="138">
                  <c:v>4.1929999999999996</c:v>
                </c:pt>
                <c:pt idx="139">
                  <c:v>4.22</c:v>
                </c:pt>
                <c:pt idx="140">
                  <c:v>4.2469999999999999</c:v>
                </c:pt>
                <c:pt idx="141">
                  <c:v>4.2729999999999997</c:v>
                </c:pt>
                <c:pt idx="142">
                  <c:v>4.3</c:v>
                </c:pt>
                <c:pt idx="143">
                  <c:v>4.327</c:v>
                </c:pt>
                <c:pt idx="144">
                  <c:v>4.3529999999999998</c:v>
                </c:pt>
                <c:pt idx="145">
                  <c:v>4.38</c:v>
                </c:pt>
                <c:pt idx="146">
                  <c:v>4.407</c:v>
                </c:pt>
                <c:pt idx="147">
                  <c:v>4.4329999999999998</c:v>
                </c:pt>
                <c:pt idx="148">
                  <c:v>4.46</c:v>
                </c:pt>
                <c:pt idx="149">
                  <c:v>4.4870000000000001</c:v>
                </c:pt>
                <c:pt idx="150">
                  <c:v>4.5129999999999999</c:v>
                </c:pt>
                <c:pt idx="151">
                  <c:v>4.54</c:v>
                </c:pt>
                <c:pt idx="152">
                  <c:v>4.5670000000000002</c:v>
                </c:pt>
                <c:pt idx="153">
                  <c:v>4.593</c:v>
                </c:pt>
                <c:pt idx="154">
                  <c:v>4.62</c:v>
                </c:pt>
                <c:pt idx="155">
                  <c:v>4.6470000000000002</c:v>
                </c:pt>
                <c:pt idx="156">
                  <c:v>4.673</c:v>
                </c:pt>
                <c:pt idx="157">
                  <c:v>4.7</c:v>
                </c:pt>
                <c:pt idx="158">
                  <c:v>4.7270000000000003</c:v>
                </c:pt>
                <c:pt idx="159">
                  <c:v>4.7530000000000001</c:v>
                </c:pt>
                <c:pt idx="160">
                  <c:v>4.78</c:v>
                </c:pt>
                <c:pt idx="161">
                  <c:v>4.8070000000000004</c:v>
                </c:pt>
                <c:pt idx="162">
                  <c:v>4.8330000000000002</c:v>
                </c:pt>
                <c:pt idx="163">
                  <c:v>4.8600000000000003</c:v>
                </c:pt>
                <c:pt idx="164">
                  <c:v>4.8869999999999996</c:v>
                </c:pt>
                <c:pt idx="165">
                  <c:v>4.9130000000000003</c:v>
                </c:pt>
                <c:pt idx="166">
                  <c:v>4.9400000000000004</c:v>
                </c:pt>
                <c:pt idx="167">
                  <c:v>4.9669999999999996</c:v>
                </c:pt>
                <c:pt idx="168">
                  <c:v>4.9930000000000003</c:v>
                </c:pt>
                <c:pt idx="169">
                  <c:v>5.0199999999999996</c:v>
                </c:pt>
                <c:pt idx="170">
                  <c:v>5.0469999999999997</c:v>
                </c:pt>
                <c:pt idx="171">
                  <c:v>5.0730000000000004</c:v>
                </c:pt>
                <c:pt idx="172">
                  <c:v>5.0999999999999996</c:v>
                </c:pt>
                <c:pt idx="173">
                  <c:v>5.1269999999999998</c:v>
                </c:pt>
                <c:pt idx="174">
                  <c:v>5.1529999999999996</c:v>
                </c:pt>
                <c:pt idx="175">
                  <c:v>5.18</c:v>
                </c:pt>
                <c:pt idx="176">
                  <c:v>5.2069999999999999</c:v>
                </c:pt>
                <c:pt idx="177">
                  <c:v>5.2329999999999997</c:v>
                </c:pt>
                <c:pt idx="178">
                  <c:v>5.26</c:v>
                </c:pt>
                <c:pt idx="179">
                  <c:v>5.2869999999999999</c:v>
                </c:pt>
                <c:pt idx="180">
                  <c:v>5.3129999999999997</c:v>
                </c:pt>
                <c:pt idx="181">
                  <c:v>5.34</c:v>
                </c:pt>
                <c:pt idx="182">
                  <c:v>5.367</c:v>
                </c:pt>
                <c:pt idx="183">
                  <c:v>5.3929999999999998</c:v>
                </c:pt>
                <c:pt idx="184">
                  <c:v>5.42</c:v>
                </c:pt>
                <c:pt idx="185">
                  <c:v>5.4470000000000001</c:v>
                </c:pt>
                <c:pt idx="186">
                  <c:v>5.4729999999999999</c:v>
                </c:pt>
                <c:pt idx="187">
                  <c:v>5.5</c:v>
                </c:pt>
                <c:pt idx="188">
                  <c:v>5.5270000000000001</c:v>
                </c:pt>
                <c:pt idx="189">
                  <c:v>5.5529999999999999</c:v>
                </c:pt>
                <c:pt idx="190">
                  <c:v>5.58</c:v>
                </c:pt>
                <c:pt idx="191">
                  <c:v>5.6070000000000002</c:v>
                </c:pt>
                <c:pt idx="192">
                  <c:v>5.633</c:v>
                </c:pt>
                <c:pt idx="193">
                  <c:v>5.66</c:v>
                </c:pt>
                <c:pt idx="194">
                  <c:v>5.6870000000000003</c:v>
                </c:pt>
                <c:pt idx="195">
                  <c:v>5.7130000000000001</c:v>
                </c:pt>
                <c:pt idx="196">
                  <c:v>5.74</c:v>
                </c:pt>
                <c:pt idx="197">
                  <c:v>5.7670000000000003</c:v>
                </c:pt>
                <c:pt idx="198">
                  <c:v>5.7930000000000001</c:v>
                </c:pt>
                <c:pt idx="199">
                  <c:v>5.82</c:v>
                </c:pt>
                <c:pt idx="200">
                  <c:v>5.8470000000000004</c:v>
                </c:pt>
                <c:pt idx="201">
                  <c:v>5.8730000000000002</c:v>
                </c:pt>
                <c:pt idx="202">
                  <c:v>5.9</c:v>
                </c:pt>
                <c:pt idx="203">
                  <c:v>5.9269999999999996</c:v>
                </c:pt>
                <c:pt idx="204">
                  <c:v>5.9530000000000003</c:v>
                </c:pt>
                <c:pt idx="205">
                  <c:v>5.98</c:v>
                </c:pt>
                <c:pt idx="206">
                  <c:v>6.0069999999999997</c:v>
                </c:pt>
                <c:pt idx="207">
                  <c:v>6.0330000000000004</c:v>
                </c:pt>
                <c:pt idx="208">
                  <c:v>6.06</c:v>
                </c:pt>
                <c:pt idx="209">
                  <c:v>6.0869999999999997</c:v>
                </c:pt>
                <c:pt idx="210">
                  <c:v>6.1130000000000004</c:v>
                </c:pt>
                <c:pt idx="211">
                  <c:v>6.14</c:v>
                </c:pt>
                <c:pt idx="212">
                  <c:v>6.1669999999999998</c:v>
                </c:pt>
                <c:pt idx="213">
                  <c:v>6.1929999999999996</c:v>
                </c:pt>
                <c:pt idx="214">
                  <c:v>6.22</c:v>
                </c:pt>
                <c:pt idx="215">
                  <c:v>6.2469999999999999</c:v>
                </c:pt>
                <c:pt idx="216">
                  <c:v>6.2729999999999997</c:v>
                </c:pt>
                <c:pt idx="217">
                  <c:v>6.3</c:v>
                </c:pt>
                <c:pt idx="218">
                  <c:v>6.327</c:v>
                </c:pt>
                <c:pt idx="219">
                  <c:v>6.3529999999999998</c:v>
                </c:pt>
                <c:pt idx="220">
                  <c:v>6.38</c:v>
                </c:pt>
                <c:pt idx="221">
                  <c:v>6.407</c:v>
                </c:pt>
                <c:pt idx="222">
                  <c:v>6.4329999999999998</c:v>
                </c:pt>
                <c:pt idx="223">
                  <c:v>6.46</c:v>
                </c:pt>
                <c:pt idx="224">
                  <c:v>6.4870000000000001</c:v>
                </c:pt>
                <c:pt idx="225">
                  <c:v>6.5129999999999999</c:v>
                </c:pt>
                <c:pt idx="226">
                  <c:v>6.54</c:v>
                </c:pt>
                <c:pt idx="227">
                  <c:v>6.5670000000000002</c:v>
                </c:pt>
                <c:pt idx="228">
                  <c:v>6.593</c:v>
                </c:pt>
                <c:pt idx="229">
                  <c:v>6.62</c:v>
                </c:pt>
                <c:pt idx="230">
                  <c:v>6.6470000000000002</c:v>
                </c:pt>
                <c:pt idx="231">
                  <c:v>6.673</c:v>
                </c:pt>
                <c:pt idx="232">
                  <c:v>6.7</c:v>
                </c:pt>
                <c:pt idx="233">
                  <c:v>6.7270000000000003</c:v>
                </c:pt>
                <c:pt idx="234">
                  <c:v>6.7530000000000001</c:v>
                </c:pt>
                <c:pt idx="235">
                  <c:v>6.78</c:v>
                </c:pt>
                <c:pt idx="236">
                  <c:v>6.8070000000000004</c:v>
                </c:pt>
                <c:pt idx="237">
                  <c:v>6.8330000000000002</c:v>
                </c:pt>
                <c:pt idx="238">
                  <c:v>6.86</c:v>
                </c:pt>
                <c:pt idx="239">
                  <c:v>6.8869999999999996</c:v>
                </c:pt>
                <c:pt idx="240">
                  <c:v>6.9130000000000003</c:v>
                </c:pt>
                <c:pt idx="241">
                  <c:v>6.94</c:v>
                </c:pt>
                <c:pt idx="242">
                  <c:v>6.9669999999999996</c:v>
                </c:pt>
                <c:pt idx="243">
                  <c:v>6.9930000000000003</c:v>
                </c:pt>
                <c:pt idx="244">
                  <c:v>7.02</c:v>
                </c:pt>
                <c:pt idx="245">
                  <c:v>7.0469999999999997</c:v>
                </c:pt>
                <c:pt idx="246">
                  <c:v>7.0730000000000004</c:v>
                </c:pt>
                <c:pt idx="247">
                  <c:v>7.1</c:v>
                </c:pt>
                <c:pt idx="248">
                  <c:v>7.1269999999999998</c:v>
                </c:pt>
                <c:pt idx="249">
                  <c:v>7.1529999999999996</c:v>
                </c:pt>
                <c:pt idx="250">
                  <c:v>7.18</c:v>
                </c:pt>
                <c:pt idx="251">
                  <c:v>7.2069999999999999</c:v>
                </c:pt>
                <c:pt idx="252">
                  <c:v>7.2329999999999997</c:v>
                </c:pt>
                <c:pt idx="253">
                  <c:v>7.26</c:v>
                </c:pt>
                <c:pt idx="254">
                  <c:v>7.2869999999999999</c:v>
                </c:pt>
                <c:pt idx="255">
                  <c:v>7.3129999999999997</c:v>
                </c:pt>
                <c:pt idx="256">
                  <c:v>7.34</c:v>
                </c:pt>
                <c:pt idx="257">
                  <c:v>7.367</c:v>
                </c:pt>
                <c:pt idx="258">
                  <c:v>7.3929999999999998</c:v>
                </c:pt>
                <c:pt idx="259">
                  <c:v>7.42</c:v>
                </c:pt>
                <c:pt idx="260">
                  <c:v>7.4470000000000001</c:v>
                </c:pt>
                <c:pt idx="261">
                  <c:v>7.4729999999999999</c:v>
                </c:pt>
                <c:pt idx="262">
                  <c:v>7.5</c:v>
                </c:pt>
                <c:pt idx="263">
                  <c:v>7.5270000000000001</c:v>
                </c:pt>
                <c:pt idx="264">
                  <c:v>7.5529999999999999</c:v>
                </c:pt>
                <c:pt idx="265">
                  <c:v>7.58</c:v>
                </c:pt>
                <c:pt idx="266">
                  <c:v>7.6070000000000002</c:v>
                </c:pt>
                <c:pt idx="267">
                  <c:v>7.633</c:v>
                </c:pt>
                <c:pt idx="268">
                  <c:v>7.66</c:v>
                </c:pt>
                <c:pt idx="269">
                  <c:v>7.6870000000000003</c:v>
                </c:pt>
                <c:pt idx="270">
                  <c:v>7.7130000000000001</c:v>
                </c:pt>
                <c:pt idx="271">
                  <c:v>7.74</c:v>
                </c:pt>
                <c:pt idx="272">
                  <c:v>7.7670000000000003</c:v>
                </c:pt>
                <c:pt idx="273">
                  <c:v>7.7930000000000001</c:v>
                </c:pt>
                <c:pt idx="274">
                  <c:v>7.82</c:v>
                </c:pt>
                <c:pt idx="275">
                  <c:v>7.8470000000000004</c:v>
                </c:pt>
                <c:pt idx="276">
                  <c:v>7.8730000000000002</c:v>
                </c:pt>
                <c:pt idx="277">
                  <c:v>7.9</c:v>
                </c:pt>
                <c:pt idx="278">
                  <c:v>7.9269999999999996</c:v>
                </c:pt>
                <c:pt idx="279">
                  <c:v>7.9530000000000003</c:v>
                </c:pt>
                <c:pt idx="280">
                  <c:v>7.98</c:v>
                </c:pt>
                <c:pt idx="281">
                  <c:v>8.0069999999999997</c:v>
                </c:pt>
                <c:pt idx="282">
                  <c:v>8.0329999999999995</c:v>
                </c:pt>
                <c:pt idx="283">
                  <c:v>8.06</c:v>
                </c:pt>
                <c:pt idx="284">
                  <c:v>8.0869999999999997</c:v>
                </c:pt>
                <c:pt idx="285">
                  <c:v>8.1129999999999995</c:v>
                </c:pt>
                <c:pt idx="286">
                  <c:v>8.14</c:v>
                </c:pt>
                <c:pt idx="287">
                  <c:v>8.1669999999999998</c:v>
                </c:pt>
                <c:pt idx="288">
                  <c:v>8.1929999999999996</c:v>
                </c:pt>
                <c:pt idx="289">
                  <c:v>8.2200000000000006</c:v>
                </c:pt>
                <c:pt idx="290">
                  <c:v>8.2469999999999999</c:v>
                </c:pt>
                <c:pt idx="291">
                  <c:v>8.2729999999999997</c:v>
                </c:pt>
                <c:pt idx="292">
                  <c:v>8.3000000000000007</c:v>
                </c:pt>
                <c:pt idx="293">
                  <c:v>8.327</c:v>
                </c:pt>
                <c:pt idx="294">
                  <c:v>8.3529999999999998</c:v>
                </c:pt>
                <c:pt idx="295">
                  <c:v>8.3800000000000008</c:v>
                </c:pt>
                <c:pt idx="296">
                  <c:v>8.407</c:v>
                </c:pt>
                <c:pt idx="297">
                  <c:v>8.4329999999999998</c:v>
                </c:pt>
                <c:pt idx="298">
                  <c:v>8.4600000000000009</c:v>
                </c:pt>
                <c:pt idx="299">
                  <c:v>8.4870000000000001</c:v>
                </c:pt>
                <c:pt idx="300">
                  <c:v>8.5129999999999999</c:v>
                </c:pt>
                <c:pt idx="301">
                  <c:v>8.5399999999999991</c:v>
                </c:pt>
                <c:pt idx="302">
                  <c:v>8.5670000000000002</c:v>
                </c:pt>
                <c:pt idx="303">
                  <c:v>8.593</c:v>
                </c:pt>
                <c:pt idx="304">
                  <c:v>8.6199999999999992</c:v>
                </c:pt>
                <c:pt idx="305">
                  <c:v>8.6470000000000002</c:v>
                </c:pt>
                <c:pt idx="306">
                  <c:v>8.673</c:v>
                </c:pt>
                <c:pt idx="307">
                  <c:v>8.6999999999999993</c:v>
                </c:pt>
                <c:pt idx="308">
                  <c:v>8.7270000000000003</c:v>
                </c:pt>
                <c:pt idx="309">
                  <c:v>8.7530000000000001</c:v>
                </c:pt>
                <c:pt idx="310">
                  <c:v>8.7799999999999994</c:v>
                </c:pt>
                <c:pt idx="311">
                  <c:v>8.8070000000000004</c:v>
                </c:pt>
                <c:pt idx="312">
                  <c:v>8.8330000000000002</c:v>
                </c:pt>
                <c:pt idx="313">
                  <c:v>8.86</c:v>
                </c:pt>
                <c:pt idx="314">
                  <c:v>8.8870000000000005</c:v>
                </c:pt>
                <c:pt idx="315">
                  <c:v>8.9130000000000003</c:v>
                </c:pt>
                <c:pt idx="316">
                  <c:v>8.94</c:v>
                </c:pt>
                <c:pt idx="317">
                  <c:v>8.9670000000000005</c:v>
                </c:pt>
                <c:pt idx="318">
                  <c:v>8.9930000000000003</c:v>
                </c:pt>
                <c:pt idx="319">
                  <c:v>9.02</c:v>
                </c:pt>
                <c:pt idx="320">
                  <c:v>9.0470000000000006</c:v>
                </c:pt>
                <c:pt idx="321">
                  <c:v>9.0730000000000004</c:v>
                </c:pt>
                <c:pt idx="322">
                  <c:v>9.1</c:v>
                </c:pt>
                <c:pt idx="323">
                  <c:v>9.1270000000000007</c:v>
                </c:pt>
                <c:pt idx="324">
                  <c:v>9.1530000000000005</c:v>
                </c:pt>
                <c:pt idx="325">
                  <c:v>9.18</c:v>
                </c:pt>
                <c:pt idx="326">
                  <c:v>9.2070000000000007</c:v>
                </c:pt>
                <c:pt idx="327">
                  <c:v>9.2330000000000005</c:v>
                </c:pt>
                <c:pt idx="328">
                  <c:v>9.26</c:v>
                </c:pt>
                <c:pt idx="329">
                  <c:v>9.2870000000000008</c:v>
                </c:pt>
                <c:pt idx="330">
                  <c:v>9.3130000000000006</c:v>
                </c:pt>
                <c:pt idx="331">
                  <c:v>9.34</c:v>
                </c:pt>
                <c:pt idx="332">
                  <c:v>9.3670000000000009</c:v>
                </c:pt>
                <c:pt idx="333">
                  <c:v>9.3930000000000007</c:v>
                </c:pt>
                <c:pt idx="334">
                  <c:v>9.42</c:v>
                </c:pt>
                <c:pt idx="335">
                  <c:v>9.4469999999999992</c:v>
                </c:pt>
                <c:pt idx="336">
                  <c:v>9.4730000000000008</c:v>
                </c:pt>
                <c:pt idx="337">
                  <c:v>9.5</c:v>
                </c:pt>
                <c:pt idx="338">
                  <c:v>9.5269999999999992</c:v>
                </c:pt>
                <c:pt idx="339">
                  <c:v>9.5530000000000008</c:v>
                </c:pt>
                <c:pt idx="340">
                  <c:v>9.58</c:v>
                </c:pt>
                <c:pt idx="341">
                  <c:v>9.6069999999999993</c:v>
                </c:pt>
                <c:pt idx="342">
                  <c:v>9.6329999999999991</c:v>
                </c:pt>
                <c:pt idx="343">
                  <c:v>9.66</c:v>
                </c:pt>
                <c:pt idx="344">
                  <c:v>9.6869999999999994</c:v>
                </c:pt>
                <c:pt idx="345">
                  <c:v>9.7129999999999992</c:v>
                </c:pt>
                <c:pt idx="346">
                  <c:v>9.74</c:v>
                </c:pt>
                <c:pt idx="347">
                  <c:v>9.7669999999999995</c:v>
                </c:pt>
                <c:pt idx="348">
                  <c:v>9.7929999999999993</c:v>
                </c:pt>
                <c:pt idx="349">
                  <c:v>9.82</c:v>
                </c:pt>
                <c:pt idx="350">
                  <c:v>9.8469999999999995</c:v>
                </c:pt>
                <c:pt idx="351">
                  <c:v>9.8729999999999993</c:v>
                </c:pt>
                <c:pt idx="352">
                  <c:v>9.9</c:v>
                </c:pt>
                <c:pt idx="353">
                  <c:v>9.9269999999999996</c:v>
                </c:pt>
                <c:pt idx="354">
                  <c:v>9.9529999999999994</c:v>
                </c:pt>
                <c:pt idx="355">
                  <c:v>9.98</c:v>
                </c:pt>
                <c:pt idx="356">
                  <c:v>10.007</c:v>
                </c:pt>
              </c:numCache>
            </c:numRef>
          </c:xVal>
          <c:yVal>
            <c:numRef>
              <c:f>ChromatogramData!$C$2:$C$10001</c:f>
              <c:numCache>
                <c:formatCode>General</c:formatCode>
                <c:ptCount val="10000"/>
                <c:pt idx="0">
                  <c:v>10.108794512521959</c:v>
                </c:pt>
                <c:pt idx="1">
                  <c:v>7.4483584157521099</c:v>
                </c:pt>
                <c:pt idx="2">
                  <c:v>5.6232925435669934</c:v>
                </c:pt>
                <c:pt idx="3">
                  <c:v>5.2710279910312625</c:v>
                </c:pt>
                <c:pt idx="4">
                  <c:v>5.311286797035347</c:v>
                </c:pt>
                <c:pt idx="5">
                  <c:v>5.0529594585091449</c:v>
                </c:pt>
                <c:pt idx="6">
                  <c:v>4.4222381644451705</c:v>
                </c:pt>
                <c:pt idx="7">
                  <c:v>3.7915168703811961</c:v>
                </c:pt>
                <c:pt idx="8">
                  <c:v>3.415768014343084</c:v>
                </c:pt>
                <c:pt idx="9">
                  <c:v>3.3453151038359374</c:v>
                </c:pt>
                <c:pt idx="10">
                  <c:v>3.3922837108407018</c:v>
                </c:pt>
                <c:pt idx="11">
                  <c:v>3.4627366213478479</c:v>
                </c:pt>
                <c:pt idx="12">
                  <c:v>3.4761562233492089</c:v>
                </c:pt>
                <c:pt idx="13">
                  <c:v>3.385573909840021</c:v>
                </c:pt>
                <c:pt idx="14">
                  <c:v>3.237958287825049</c:v>
                </c:pt>
                <c:pt idx="15">
                  <c:v>3.1071171683117775</c:v>
                </c:pt>
                <c:pt idx="16">
                  <c:v>3.0232446558032704</c:v>
                </c:pt>
                <c:pt idx="17">
                  <c:v>2.9293074417937421</c:v>
                </c:pt>
                <c:pt idx="18">
                  <c:v>2.8521447302859153</c:v>
                </c:pt>
                <c:pt idx="19">
                  <c:v>2.7816918197787692</c:v>
                </c:pt>
                <c:pt idx="20">
                  <c:v>2.7112389092716236</c:v>
                </c:pt>
                <c:pt idx="21">
                  <c:v>2.6508507002654982</c:v>
                </c:pt>
                <c:pt idx="22">
                  <c:v>2.5904624912593732</c:v>
                </c:pt>
                <c:pt idx="23">
                  <c:v>2.5434938842546089</c:v>
                </c:pt>
                <c:pt idx="24">
                  <c:v>2.5367840832539286</c:v>
                </c:pt>
                <c:pt idx="25">
                  <c:v>2.5468487847549497</c:v>
                </c:pt>
                <c:pt idx="26">
                  <c:v>2.5300742822532478</c:v>
                </c:pt>
                <c:pt idx="27">
                  <c:v>2.5132997797515464</c:v>
                </c:pt>
                <c:pt idx="28">
                  <c:v>2.509944879251206</c:v>
                </c:pt>
                <c:pt idx="29">
                  <c:v>2.4831056752484839</c:v>
                </c:pt>
                <c:pt idx="30">
                  <c:v>2.4596213717461017</c:v>
                </c:pt>
                <c:pt idx="31">
                  <c:v>2.4193625657420186</c:v>
                </c:pt>
                <c:pt idx="32">
                  <c:v>2.3522645557352129</c:v>
                </c:pt>
                <c:pt idx="33">
                  <c:v>2.2818116452280668</c:v>
                </c:pt>
                <c:pt idx="34">
                  <c:v>2.2113587347209207</c:v>
                </c:pt>
                <c:pt idx="35">
                  <c:v>2.1308411227127535</c:v>
                </c:pt>
                <c:pt idx="36">
                  <c:v>2.0771627147073093</c:v>
                </c:pt>
                <c:pt idx="37">
                  <c:v>2.0603882122056079</c:v>
                </c:pt>
                <c:pt idx="38">
                  <c:v>2.0469686102042464</c:v>
                </c:pt>
                <c:pt idx="39">
                  <c:v>2.0100647047005031</c:v>
                </c:pt>
                <c:pt idx="40">
                  <c:v>2.0000000031994825</c:v>
                </c:pt>
                <c:pt idx="41">
                  <c:v>2.0100647047005031</c:v>
                </c:pt>
                <c:pt idx="42">
                  <c:v>2.0301941077025449</c:v>
                </c:pt>
                <c:pt idx="43">
                  <c:v>2.0503235107045867</c:v>
                </c:pt>
                <c:pt idx="44">
                  <c:v>2.0972921177093506</c:v>
                </c:pt>
                <c:pt idx="45">
                  <c:v>2.1509705257147953</c:v>
                </c:pt>
                <c:pt idx="46">
                  <c:v>2.2080038342205803</c:v>
                </c:pt>
                <c:pt idx="47">
                  <c:v>2.2683920432267053</c:v>
                </c:pt>
                <c:pt idx="48">
                  <c:v>2.31871555073181</c:v>
                </c:pt>
                <c:pt idx="49">
                  <c:v>2.3958782622396364</c:v>
                </c:pt>
                <c:pt idx="50">
                  <c:v>2.4797507747481435</c:v>
                </c:pt>
                <c:pt idx="51">
                  <c:v>2.566978187756991</c:v>
                </c:pt>
                <c:pt idx="52">
                  <c:v>2.6508507002654982</c:v>
                </c:pt>
                <c:pt idx="53">
                  <c:v>2.7414330137746861</c:v>
                </c:pt>
                <c:pt idx="54">
                  <c:v>2.8420800287848946</c:v>
                </c:pt>
                <c:pt idx="55">
                  <c:v>2.962856446797145</c:v>
                </c:pt>
                <c:pt idx="56">
                  <c:v>3.080277964309055</c:v>
                </c:pt>
                <c:pt idx="57">
                  <c:v>3.1909896808202847</c:v>
                </c:pt>
                <c:pt idx="58">
                  <c:v>3.3184758998332153</c:v>
                </c:pt>
                <c:pt idx="59">
                  <c:v>3.4459621188461464</c:v>
                </c:pt>
                <c:pt idx="60">
                  <c:v>3.5734483378590776</c:v>
                </c:pt>
                <c:pt idx="61">
                  <c:v>3.6841600543703072</c:v>
                </c:pt>
                <c:pt idx="62">
                  <c:v>3.7814521688801754</c:v>
                </c:pt>
                <c:pt idx="63">
                  <c:v>3.8586148803880018</c:v>
                </c:pt>
                <c:pt idx="64">
                  <c:v>3.942487392896509</c:v>
                </c:pt>
                <c:pt idx="65">
                  <c:v>4.0632638109087598</c:v>
                </c:pt>
                <c:pt idx="66">
                  <c:v>4.1672657264193083</c:v>
                </c:pt>
                <c:pt idx="67">
                  <c:v>4.2846872439312182</c:v>
                </c:pt>
                <c:pt idx="68">
                  <c:v>4.4222381644451705</c:v>
                </c:pt>
                <c:pt idx="69">
                  <c:v>4.5564341844587819</c:v>
                </c:pt>
                <c:pt idx="70">
                  <c:v>4.6671459009700111</c:v>
                </c:pt>
                <c:pt idx="71">
                  <c:v>4.7812125179815812</c:v>
                </c:pt>
                <c:pt idx="72">
                  <c:v>4.932183040496894</c:v>
                </c:pt>
                <c:pt idx="73">
                  <c:v>5.1267672695166304</c:v>
                </c:pt>
                <c:pt idx="74">
                  <c:v>5.5796788370625698</c:v>
                </c:pt>
                <c:pt idx="75">
                  <c:v>6.4251137631483219</c:v>
                </c:pt>
                <c:pt idx="76">
                  <c:v>6.9015096341966427</c:v>
                </c:pt>
                <c:pt idx="77">
                  <c:v>6.5291156786588704</c:v>
                </c:pt>
                <c:pt idx="78">
                  <c:v>5.9654923946017027</c:v>
                </c:pt>
                <c:pt idx="79">
                  <c:v>5.7105199565758404</c:v>
                </c:pt>
                <c:pt idx="80">
                  <c:v>5.6132278420659718</c:v>
                </c:pt>
                <c:pt idx="81">
                  <c:v>5.5796788370625698</c:v>
                </c:pt>
                <c:pt idx="82">
                  <c:v>5.5561945335601877</c:v>
                </c:pt>
                <c:pt idx="83">
                  <c:v>5.5260004290571256</c:v>
                </c:pt>
                <c:pt idx="84">
                  <c:v>5.5025161255547435</c:v>
                </c:pt>
                <c:pt idx="85">
                  <c:v>5.5125808270557641</c:v>
                </c:pt>
                <c:pt idx="86">
                  <c:v>5.5528396330598477</c:v>
                </c:pt>
                <c:pt idx="87">
                  <c:v>5.5930984390639313</c:v>
                </c:pt>
                <c:pt idx="88">
                  <c:v>5.6769709515724376</c:v>
                </c:pt>
                <c:pt idx="89">
                  <c:v>5.8749100810925148</c:v>
                </c:pt>
                <c:pt idx="90">
                  <c:v>6.0292355041081684</c:v>
                </c:pt>
                <c:pt idx="91">
                  <c:v>6.0527198076105497</c:v>
                </c:pt>
                <c:pt idx="92">
                  <c:v>6.0426551061095291</c:v>
                </c:pt>
                <c:pt idx="93">
                  <c:v>6.220464832627564</c:v>
                </c:pt>
                <c:pt idx="94">
                  <c:v>6.7807332161843927</c:v>
                </c:pt>
                <c:pt idx="95">
                  <c:v>7.0189311517085526</c:v>
                </c:pt>
                <c:pt idx="96">
                  <c:v>6.7840881166847335</c:v>
                </c:pt>
                <c:pt idx="97">
                  <c:v>6.8075724201871148</c:v>
                </c:pt>
                <c:pt idx="98">
                  <c:v>7.1564820722225058</c:v>
                </c:pt>
                <c:pt idx="99">
                  <c:v>7.3074525947378177</c:v>
                </c:pt>
                <c:pt idx="100">
                  <c:v>7.5490054307623193</c:v>
                </c:pt>
                <c:pt idx="101">
                  <c:v>7.4684878187541521</c:v>
                </c:pt>
                <c:pt idx="102">
                  <c:v>6.8780253306942605</c:v>
                </c:pt>
                <c:pt idx="103">
                  <c:v>6.2875628426343706</c:v>
                </c:pt>
                <c:pt idx="104">
                  <c:v>6.1231727181176963</c:v>
                </c:pt>
                <c:pt idx="105">
                  <c:v>6.0829139121136127</c:v>
                </c:pt>
                <c:pt idx="106">
                  <c:v>6.0795590116132727</c:v>
                </c:pt>
                <c:pt idx="107">
                  <c:v>6.1332374196187169</c:v>
                </c:pt>
                <c:pt idx="108">
                  <c:v>6.1365923201190569</c:v>
                </c:pt>
                <c:pt idx="109">
                  <c:v>6.1164629171170155</c:v>
                </c:pt>
                <c:pt idx="110">
                  <c:v>6.2372393351292663</c:v>
                </c:pt>
                <c:pt idx="111">
                  <c:v>6.421758862647982</c:v>
                </c:pt>
                <c:pt idx="112">
                  <c:v>6.4687274696527455</c:v>
                </c:pt>
                <c:pt idx="113">
                  <c:v>6.3747902556432177</c:v>
                </c:pt>
                <c:pt idx="114">
                  <c:v>6.2607236386316476</c:v>
                </c:pt>
                <c:pt idx="115">
                  <c:v>6.2070452306262034</c:v>
                </c:pt>
                <c:pt idx="116">
                  <c:v>6.2003354296255226</c:v>
                </c:pt>
                <c:pt idx="117">
                  <c:v>6.2540138376309669</c:v>
                </c:pt>
                <c:pt idx="118">
                  <c:v>6.4083392606466205</c:v>
                </c:pt>
                <c:pt idx="119">
                  <c:v>6.8746704301939205</c:v>
                </c:pt>
                <c:pt idx="120">
                  <c:v>7.1464173707214833</c:v>
                </c:pt>
                <c:pt idx="121">
                  <c:v>7.1531271717221649</c:v>
                </c:pt>
                <c:pt idx="122">
                  <c:v>7.0960938632163799</c:v>
                </c:pt>
                <c:pt idx="123">
                  <c:v>6.891444932695622</c:v>
                </c:pt>
                <c:pt idx="124">
                  <c:v>6.5895038876649963</c:v>
                </c:pt>
                <c:pt idx="125">
                  <c:v>6.4787921711537662</c:v>
                </c:pt>
                <c:pt idx="126">
                  <c:v>6.5559548826615934</c:v>
                </c:pt>
                <c:pt idx="127">
                  <c:v>6.6532469971714612</c:v>
                </c:pt>
                <c:pt idx="128">
                  <c:v>6.686796002174864</c:v>
                </c:pt>
                <c:pt idx="129">
                  <c:v>6.6532469971714612</c:v>
                </c:pt>
                <c:pt idx="130">
                  <c:v>6.6196979921680583</c:v>
                </c:pt>
                <c:pt idx="131">
                  <c:v>6.6264077931687391</c:v>
                </c:pt>
                <c:pt idx="132">
                  <c:v>6.6364724946697606</c:v>
                </c:pt>
                <c:pt idx="133">
                  <c:v>6.5794391861639756</c:v>
                </c:pt>
                <c:pt idx="134">
                  <c:v>6.4418882656500234</c:v>
                </c:pt>
                <c:pt idx="135">
                  <c:v>6.304337345136072</c:v>
                </c:pt>
                <c:pt idx="136">
                  <c:v>6.2774981411333499</c:v>
                </c:pt>
                <c:pt idx="137">
                  <c:v>6.4016294596459398</c:v>
                </c:pt>
                <c:pt idx="138">
                  <c:v>6.5257607781585305</c:v>
                </c:pt>
                <c:pt idx="139">
                  <c:v>6.5525999821612526</c:v>
                </c:pt>
                <c:pt idx="140">
                  <c:v>6.5257607781585305</c:v>
                </c:pt>
                <c:pt idx="141">
                  <c:v>6.4653725691524047</c:v>
                </c:pt>
                <c:pt idx="142">
                  <c:v>6.4754372706534262</c:v>
                </c:pt>
                <c:pt idx="143">
                  <c:v>8.6225735908712089</c:v>
                </c:pt>
                <c:pt idx="144">
                  <c:v>16.137550711633452</c:v>
                </c:pt>
                <c:pt idx="145">
                  <c:v>22.317277433260266</c:v>
                </c:pt>
                <c:pt idx="146">
                  <c:v>22.703090990799399</c:v>
                </c:pt>
                <c:pt idx="147">
                  <c:v>18.143781210836949</c:v>
                </c:pt>
                <c:pt idx="148">
                  <c:v>13.574406729373475</c:v>
                </c:pt>
                <c:pt idx="149">
                  <c:v>10.863647125098524</c:v>
                </c:pt>
                <c:pt idx="150">
                  <c:v>9.6256888404729555</c:v>
                </c:pt>
                <c:pt idx="151">
                  <c:v>9.0117420489106834</c:v>
                </c:pt>
                <c:pt idx="152">
                  <c:v>8.7366402078827807</c:v>
                </c:pt>
                <c:pt idx="153">
                  <c:v>8.5454108793633825</c:v>
                </c:pt>
                <c:pt idx="154">
                  <c:v>8.2535345358337793</c:v>
                </c:pt>
                <c:pt idx="155">
                  <c:v>8.1025640133184673</c:v>
                </c:pt>
                <c:pt idx="156">
                  <c:v>8.2367600333320787</c:v>
                </c:pt>
                <c:pt idx="157">
                  <c:v>8.3306972473416074</c:v>
                </c:pt>
                <c:pt idx="158">
                  <c:v>8.0924993118174449</c:v>
                </c:pt>
                <c:pt idx="159">
                  <c:v>7.7872033662864792</c:v>
                </c:pt>
                <c:pt idx="160">
                  <c:v>7.5724897342647006</c:v>
                </c:pt>
                <c:pt idx="161">
                  <c:v>7.4282290127500685</c:v>
                </c:pt>
                <c:pt idx="162">
                  <c:v>7.357776102242922</c:v>
                </c:pt>
                <c:pt idx="163">
                  <c:v>7.3376466992408806</c:v>
                </c:pt>
                <c:pt idx="164">
                  <c:v>7.4416486147514291</c:v>
                </c:pt>
                <c:pt idx="165">
                  <c:v>7.5121015252585748</c:v>
                </c:pt>
                <c:pt idx="166">
                  <c:v>7.5188113262592555</c:v>
                </c:pt>
                <c:pt idx="167">
                  <c:v>7.4953270227568742</c:v>
                </c:pt>
                <c:pt idx="168">
                  <c:v>7.4684878187541521</c:v>
                </c:pt>
                <c:pt idx="169">
                  <c:v>7.4684878187541521</c:v>
                </c:pt>
                <c:pt idx="170">
                  <c:v>7.4349388137507484</c:v>
                </c:pt>
                <c:pt idx="171">
                  <c:v>7.3812604057453042</c:v>
                </c:pt>
                <c:pt idx="172">
                  <c:v>7.330936898240199</c:v>
                </c:pt>
                <c:pt idx="173">
                  <c:v>7.3208721967391792</c:v>
                </c:pt>
                <c:pt idx="174">
                  <c:v>7.3342917987405398</c:v>
                </c:pt>
                <c:pt idx="175">
                  <c:v>7.32758199773986</c:v>
                </c:pt>
                <c:pt idx="176">
                  <c:v>7.3175172962388384</c:v>
                </c:pt>
                <c:pt idx="177">
                  <c:v>7.297387893236797</c:v>
                </c:pt>
                <c:pt idx="178">
                  <c:v>7.2638388882333942</c:v>
                </c:pt>
                <c:pt idx="179">
                  <c:v>7.2437094852313528</c:v>
                </c:pt>
                <c:pt idx="180">
                  <c:v>8.2434698343327568</c:v>
                </c:pt>
                <c:pt idx="181">
                  <c:v>13.725377251888787</c:v>
                </c:pt>
                <c:pt idx="182">
                  <c:v>19.727294246997566</c:v>
                </c:pt>
                <c:pt idx="183">
                  <c:v>22.780253702307224</c:v>
                </c:pt>
                <c:pt idx="184">
                  <c:v>21.327581785659881</c:v>
                </c:pt>
                <c:pt idx="185">
                  <c:v>17.429187404264468</c:v>
                </c:pt>
                <c:pt idx="186">
                  <c:v>13.460340112361905</c:v>
                </c:pt>
                <c:pt idx="187">
                  <c:v>10.786484413590696</c:v>
                </c:pt>
                <c:pt idx="188">
                  <c:v>9.3170379944416517</c:v>
                </c:pt>
                <c:pt idx="189">
                  <c:v>8.5319912773620246</c:v>
                </c:pt>
                <c:pt idx="190">
                  <c:v>8.1193385158201679</c:v>
                </c:pt>
                <c:pt idx="191">
                  <c:v>7.8442366747922634</c:v>
                </c:pt>
                <c:pt idx="192">
                  <c:v>7.67649164977525</c:v>
                </c:pt>
                <c:pt idx="193">
                  <c:v>7.5456505302619785</c:v>
                </c:pt>
                <c:pt idx="194">
                  <c:v>7.4584231172531306</c:v>
                </c:pt>
                <c:pt idx="195">
                  <c:v>7.4483584157521099</c:v>
                </c:pt>
                <c:pt idx="196">
                  <c:v>7.4684878187541521</c:v>
                </c:pt>
                <c:pt idx="197">
                  <c:v>7.5355858287609578</c:v>
                </c:pt>
                <c:pt idx="198">
                  <c:v>7.5389407292612969</c:v>
                </c:pt>
                <c:pt idx="199">
                  <c:v>7.5221662267595963</c:v>
                </c:pt>
                <c:pt idx="200">
                  <c:v>7.4517133162524498</c:v>
                </c:pt>
                <c:pt idx="201">
                  <c:v>7.414809410748707</c:v>
                </c:pt>
                <c:pt idx="202">
                  <c:v>7.5590701322633391</c:v>
                </c:pt>
                <c:pt idx="203">
                  <c:v>7.6530073462728678</c:v>
                </c:pt>
                <c:pt idx="204">
                  <c:v>7.6530073462728678</c:v>
                </c:pt>
                <c:pt idx="205">
                  <c:v>7.5188113262592555</c:v>
                </c:pt>
                <c:pt idx="206">
                  <c:v>7.4114545102483662</c:v>
                </c:pt>
                <c:pt idx="207">
                  <c:v>7.3477114007419013</c:v>
                </c:pt>
                <c:pt idx="208">
                  <c:v>7.3342917987405398</c:v>
                </c:pt>
                <c:pt idx="209">
                  <c:v>7.32758199773986</c:v>
                </c:pt>
                <c:pt idx="210">
                  <c:v>7.3108074952381576</c:v>
                </c:pt>
                <c:pt idx="211">
                  <c:v>7.2940329927364562</c:v>
                </c:pt>
                <c:pt idx="212">
                  <c:v>7.2772584902347557</c:v>
                </c:pt>
                <c:pt idx="213">
                  <c:v>7.2806133907350956</c:v>
                </c:pt>
                <c:pt idx="214">
                  <c:v>7.2739035897344149</c:v>
                </c:pt>
                <c:pt idx="215">
                  <c:v>7.2671937887337341</c:v>
                </c:pt>
                <c:pt idx="216">
                  <c:v>7.2638388882333942</c:v>
                </c:pt>
                <c:pt idx="217">
                  <c:v>7.2705486892340749</c:v>
                </c:pt>
                <c:pt idx="218">
                  <c:v>7.2873231917357764</c:v>
                </c:pt>
                <c:pt idx="219">
                  <c:v>7.3040976942374769</c:v>
                </c:pt>
                <c:pt idx="220">
                  <c:v>7.3040976942374769</c:v>
                </c:pt>
                <c:pt idx="221">
                  <c:v>7.3074525947378177</c:v>
                </c:pt>
                <c:pt idx="222">
                  <c:v>7.3175172962388384</c:v>
                </c:pt>
                <c:pt idx="223">
                  <c:v>7.3510663012422413</c:v>
                </c:pt>
                <c:pt idx="224">
                  <c:v>7.3946800077466648</c:v>
                </c:pt>
                <c:pt idx="225">
                  <c:v>7.414809410748707</c:v>
                </c:pt>
                <c:pt idx="226">
                  <c:v>7.4349388137507484</c:v>
                </c:pt>
                <c:pt idx="227">
                  <c:v>7.4282290127500685</c:v>
                </c:pt>
                <c:pt idx="228">
                  <c:v>7.4080996097480263</c:v>
                </c:pt>
                <c:pt idx="229">
                  <c:v>7.4047447092476864</c:v>
                </c:pt>
                <c:pt idx="230">
                  <c:v>7.4080996097480263</c:v>
                </c:pt>
                <c:pt idx="231">
                  <c:v>7.4114545102483662</c:v>
                </c:pt>
                <c:pt idx="232">
                  <c:v>7.4282290127500685</c:v>
                </c:pt>
                <c:pt idx="233">
                  <c:v>7.418164311249047</c:v>
                </c:pt>
                <c:pt idx="234">
                  <c:v>7.4114545102483662</c:v>
                </c:pt>
                <c:pt idx="235">
                  <c:v>7.418164311249047</c:v>
                </c:pt>
                <c:pt idx="236">
                  <c:v>7.4315839132504085</c:v>
                </c:pt>
                <c:pt idx="237">
                  <c:v>7.4282290127500685</c:v>
                </c:pt>
                <c:pt idx="238">
                  <c:v>7.4550682167527906</c:v>
                </c:pt>
                <c:pt idx="239">
                  <c:v>7.4986819232572133</c:v>
                </c:pt>
                <c:pt idx="240">
                  <c:v>7.5422956297616377</c:v>
                </c:pt>
                <c:pt idx="241">
                  <c:v>7.5993289382674227</c:v>
                </c:pt>
                <c:pt idx="242">
                  <c:v>7.6328779432708256</c:v>
                </c:pt>
                <c:pt idx="243">
                  <c:v>7.6429426447718471</c:v>
                </c:pt>
                <c:pt idx="244">
                  <c:v>7.6597171472735477</c:v>
                </c:pt>
                <c:pt idx="245">
                  <c:v>7.6630720477738885</c:v>
                </c:pt>
                <c:pt idx="246">
                  <c:v>7.6630720477738885</c:v>
                </c:pt>
                <c:pt idx="247">
                  <c:v>7.5758446347650414</c:v>
                </c:pt>
                <c:pt idx="248">
                  <c:v>7.5389407292612969</c:v>
                </c:pt>
                <c:pt idx="249">
                  <c:v>7.5422956297616377</c:v>
                </c:pt>
                <c:pt idx="250">
                  <c:v>7.5691348337643607</c:v>
                </c:pt>
                <c:pt idx="251">
                  <c:v>7.5959740377670828</c:v>
                </c:pt>
                <c:pt idx="252">
                  <c:v>7.6194583412694641</c:v>
                </c:pt>
                <c:pt idx="253">
                  <c:v>7.6194583412694641</c:v>
                </c:pt>
                <c:pt idx="254">
                  <c:v>7.6261681422701448</c:v>
                </c:pt>
                <c:pt idx="255">
                  <c:v>7.6127485402687842</c:v>
                </c:pt>
                <c:pt idx="256">
                  <c:v>7.6194583412694641</c:v>
                </c:pt>
                <c:pt idx="257">
                  <c:v>7.6395877442715063</c:v>
                </c:pt>
                <c:pt idx="258">
                  <c:v>7.6530073462728678</c:v>
                </c:pt>
                <c:pt idx="259">
                  <c:v>7.6697818487745693</c:v>
                </c:pt>
                <c:pt idx="260">
                  <c:v>7.67649164977525</c:v>
                </c:pt>
                <c:pt idx="261">
                  <c:v>7.67649164977525</c:v>
                </c:pt>
                <c:pt idx="262">
                  <c:v>7.6832014507759299</c:v>
                </c:pt>
                <c:pt idx="263">
                  <c:v>7.706685754278312</c:v>
                </c:pt>
                <c:pt idx="264">
                  <c:v>7.7435896597820548</c:v>
                </c:pt>
                <c:pt idx="265">
                  <c:v>7.7502994607827356</c:v>
                </c:pt>
                <c:pt idx="266">
                  <c:v>7.767073963284437</c:v>
                </c:pt>
                <c:pt idx="267">
                  <c:v>7.767073963284437</c:v>
                </c:pt>
                <c:pt idx="268">
                  <c:v>7.7637190627840962</c:v>
                </c:pt>
                <c:pt idx="269">
                  <c:v>7.7704288637847769</c:v>
                </c:pt>
                <c:pt idx="270">
                  <c:v>7.7737837642851177</c:v>
                </c:pt>
                <c:pt idx="271">
                  <c:v>7.7704288637847769</c:v>
                </c:pt>
                <c:pt idx="272">
                  <c:v>7.7838484657861384</c:v>
                </c:pt>
                <c:pt idx="273">
                  <c:v>7.79391316728716</c:v>
                </c:pt>
                <c:pt idx="274">
                  <c:v>7.8073327692885206</c:v>
                </c:pt>
                <c:pt idx="275">
                  <c:v>7.8475915752926042</c:v>
                </c:pt>
                <c:pt idx="276">
                  <c:v>7.8475915752926042</c:v>
                </c:pt>
                <c:pt idx="277">
                  <c:v>7.8375268737915835</c:v>
                </c:pt>
                <c:pt idx="278">
                  <c:v>7.827462172290562</c:v>
                </c:pt>
                <c:pt idx="279">
                  <c:v>7.8106876697888605</c:v>
                </c:pt>
                <c:pt idx="280">
                  <c:v>7.8207523712898821</c:v>
                </c:pt>
                <c:pt idx="281">
                  <c:v>7.8475915752926042</c:v>
                </c:pt>
                <c:pt idx="282">
                  <c:v>7.8744307792953263</c:v>
                </c:pt>
                <c:pt idx="283">
                  <c:v>7.9046248837983892</c:v>
                </c:pt>
                <c:pt idx="284">
                  <c:v>7.9549483913034935</c:v>
                </c:pt>
                <c:pt idx="285">
                  <c:v>8.001916998308257</c:v>
                </c:pt>
                <c:pt idx="286">
                  <c:v>8.0421758043123415</c:v>
                </c:pt>
                <c:pt idx="287">
                  <c:v>8.0723699088154035</c:v>
                </c:pt>
                <c:pt idx="288">
                  <c:v>8.085789510816765</c:v>
                </c:pt>
                <c:pt idx="289">
                  <c:v>8.1025640133184673</c:v>
                </c:pt>
                <c:pt idx="290">
                  <c:v>8.0924993118174449</c:v>
                </c:pt>
                <c:pt idx="291">
                  <c:v>8.0824346103164242</c:v>
                </c:pt>
                <c:pt idx="292">
                  <c:v>8.0757248093157443</c:v>
                </c:pt>
                <c:pt idx="293">
                  <c:v>8.1394679188222092</c:v>
                </c:pt>
                <c:pt idx="294">
                  <c:v>8.347471749843308</c:v>
                </c:pt>
                <c:pt idx="295">
                  <c:v>8.3977952573484131</c:v>
                </c:pt>
                <c:pt idx="296">
                  <c:v>8.5152167748603205</c:v>
                </c:pt>
                <c:pt idx="297">
                  <c:v>8.5722500833661055</c:v>
                </c:pt>
                <c:pt idx="298">
                  <c:v>8.3709560533456902</c:v>
                </c:pt>
                <c:pt idx="299">
                  <c:v>8.2703090383354798</c:v>
                </c:pt>
                <c:pt idx="300">
                  <c:v>8.2434698343327568</c:v>
                </c:pt>
                <c:pt idx="301">
                  <c:v>8.2568894363341183</c:v>
                </c:pt>
                <c:pt idx="302">
                  <c:v>8.2803737398365005</c:v>
                </c:pt>
                <c:pt idx="303">
                  <c:v>8.3239874463409258</c:v>
                </c:pt>
                <c:pt idx="304">
                  <c:v>8.4179246603504527</c:v>
                </c:pt>
                <c:pt idx="305">
                  <c:v>8.4783128693565786</c:v>
                </c:pt>
                <c:pt idx="306">
                  <c:v>8.5017971728589607</c:v>
                </c:pt>
                <c:pt idx="307">
                  <c:v>8.5789598843667871</c:v>
                </c:pt>
                <c:pt idx="308">
                  <c:v>8.5789598843667871</c:v>
                </c:pt>
                <c:pt idx="309">
                  <c:v>8.558830481364744</c:v>
                </c:pt>
                <c:pt idx="310">
                  <c:v>8.5789598843667871</c:v>
                </c:pt>
                <c:pt idx="311">
                  <c:v>8.61250888937019</c:v>
                </c:pt>
                <c:pt idx="312">
                  <c:v>8.7030912028793779</c:v>
                </c:pt>
                <c:pt idx="313">
                  <c:v>8.8406421233933283</c:v>
                </c:pt>
                <c:pt idx="314">
                  <c:v>8.8809009293974128</c:v>
                </c:pt>
                <c:pt idx="315">
                  <c:v>8.9513538399045594</c:v>
                </c:pt>
                <c:pt idx="316">
                  <c:v>8.9614185414055783</c:v>
                </c:pt>
                <c:pt idx="317">
                  <c:v>8.904385232899795</c:v>
                </c:pt>
                <c:pt idx="318">
                  <c:v>8.8943205313987725</c:v>
                </c:pt>
                <c:pt idx="319">
                  <c:v>8.9245146359018364</c:v>
                </c:pt>
                <c:pt idx="320">
                  <c:v>8.9949675464089829</c:v>
                </c:pt>
                <c:pt idx="321">
                  <c:v>9.0821949594178299</c:v>
                </c:pt>
                <c:pt idx="322">
                  <c:v>9.1325184669229351</c:v>
                </c:pt>
                <c:pt idx="323">
                  <c:v>9.1861968749283793</c:v>
                </c:pt>
                <c:pt idx="324">
                  <c:v>9.2163909794314414</c:v>
                </c:pt>
                <c:pt idx="325">
                  <c:v>9.2197458799317822</c:v>
                </c:pt>
                <c:pt idx="326">
                  <c:v>9.226455680932462</c:v>
                </c:pt>
                <c:pt idx="327">
                  <c:v>9.2465850839345052</c:v>
                </c:pt>
                <c:pt idx="328">
                  <c:v>9.2600046859358649</c:v>
                </c:pt>
                <c:pt idx="329">
                  <c:v>9.2667144869365465</c:v>
                </c:pt>
                <c:pt idx="330">
                  <c:v>9.3036183924402884</c:v>
                </c:pt>
                <c:pt idx="331">
                  <c:v>9.3640066014464143</c:v>
                </c:pt>
                <c:pt idx="332">
                  <c:v>9.4512340144552613</c:v>
                </c:pt>
                <c:pt idx="333">
                  <c:v>9.5418163279644475</c:v>
                </c:pt>
                <c:pt idx="334">
                  <c:v>9.6323986414736371</c:v>
                </c:pt>
                <c:pt idx="335">
                  <c:v>9.7364005569841865</c:v>
                </c:pt>
                <c:pt idx="336">
                  <c:v>9.8672416764974571</c:v>
                </c:pt>
                <c:pt idx="337">
                  <c:v>9.9678886915076674</c:v>
                </c:pt>
                <c:pt idx="338">
                  <c:v>10.045051403015492</c:v>
                </c:pt>
                <c:pt idx="339">
                  <c:v>10.13563371652468</c:v>
                </c:pt>
                <c:pt idx="340">
                  <c:v>10.128923915524</c:v>
                </c:pt>
                <c:pt idx="341">
                  <c:v>10.179247423029103</c:v>
                </c:pt>
                <c:pt idx="342">
                  <c:v>10.236280731534888</c:v>
                </c:pt>
                <c:pt idx="343">
                  <c:v>10.303378741541694</c:v>
                </c:pt>
                <c:pt idx="344">
                  <c:v>10.393961055050882</c:v>
                </c:pt>
                <c:pt idx="345">
                  <c:v>10.508027672062454</c:v>
                </c:pt>
                <c:pt idx="346">
                  <c:v>10.648933493076743</c:v>
                </c:pt>
                <c:pt idx="347">
                  <c:v>10.729451105084911</c:v>
                </c:pt>
                <c:pt idx="348">
                  <c:v>10.769709911088995</c:v>
                </c:pt>
                <c:pt idx="349">
                  <c:v>10.823388319094439</c:v>
                </c:pt>
                <c:pt idx="350">
                  <c:v>10.890486329101245</c:v>
                </c:pt>
                <c:pt idx="351">
                  <c:v>10.964294140108731</c:v>
                </c:pt>
                <c:pt idx="352">
                  <c:v>11.044811752116898</c:v>
                </c:pt>
                <c:pt idx="353">
                  <c:v>11.125329364125065</c:v>
                </c:pt>
                <c:pt idx="354">
                  <c:v>11.215911677634253</c:v>
                </c:pt>
                <c:pt idx="355">
                  <c:v>11.309848891643782</c:v>
                </c:pt>
                <c:pt idx="356">
                  <c:v>11.393721404152288</c:v>
                </c:pt>
              </c:numCache>
            </c:numRef>
          </c:yVal>
          <c:smooth val="1"/>
          <c:extLst>
            <c:ext xmlns:c16="http://schemas.microsoft.com/office/drawing/2014/chart" uri="{C3380CC4-5D6E-409C-BE32-E72D297353CC}">
              <c16:uniqueId val="{00000001-E192-4130-B7D2-7905CBA103B5}"/>
            </c:ext>
          </c:extLst>
        </c:ser>
        <c:ser>
          <c:idx val="4"/>
          <c:order val="4"/>
          <c:tx>
            <c:v>Labels</c:v>
          </c:tx>
          <c:spPr>
            <a:ln w="19050" cap="rnd">
              <a:noFill/>
              <a:round/>
            </a:ln>
            <a:effectLst/>
          </c:spPr>
          <c:marker>
            <c:symbol val="none"/>
          </c:marker>
          <c:dLbls>
            <c:dLbl>
              <c:idx val="0"/>
              <c:tx>
                <c:rich>
                  <a:bodyPr/>
                  <a:lstStyle/>
                  <a:p>
                    <a:fld id="{4EBF90FB-9EA3-40A7-9062-8A00682759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DF7E-4A3A-9B52-8C4FB4805585}"/>
                </c:ext>
              </c:extLst>
            </c:dLbl>
            <c:dLbl>
              <c:idx val="1"/>
              <c:tx>
                <c:rich>
                  <a:bodyPr/>
                  <a:lstStyle/>
                  <a:p>
                    <a:fld id="{2DB50E63-9697-487F-8A4D-4BE2E9B480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F7E-4A3A-9B52-8C4FB4805585}"/>
                </c:ext>
              </c:extLst>
            </c:dLbl>
            <c:dLbl>
              <c:idx val="2"/>
              <c:tx>
                <c:rich>
                  <a:bodyPr/>
                  <a:lstStyle/>
                  <a:p>
                    <a:fld id="{F94F2984-0038-4EF8-9050-7A63DE617F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7E-4A3A-9B52-8C4FB4805585}"/>
                </c:ext>
              </c:extLst>
            </c:dLbl>
            <c:dLbl>
              <c:idx val="3"/>
              <c:tx>
                <c:rich>
                  <a:bodyPr/>
                  <a:lstStyle/>
                  <a:p>
                    <a:fld id="{BD09757D-ECEA-421F-870A-05A7BA39F9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7E-4A3A-9B52-8C4FB4805585}"/>
                </c:ext>
              </c:extLst>
            </c:dLbl>
            <c:dLbl>
              <c:idx val="4"/>
              <c:tx>
                <c:rich>
                  <a:bodyPr/>
                  <a:lstStyle/>
                  <a:p>
                    <a:fld id="{8742BE30-FB29-4833-92BB-EE5DFFAEA7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F7E-4A3A-9B52-8C4FB4805585}"/>
                </c:ext>
              </c:extLst>
            </c:dLbl>
            <c:dLbl>
              <c:idx val="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DF7E-4A3A-9B52-8C4FB4805585}"/>
                </c:ext>
              </c:extLst>
            </c:dLbl>
            <c:dLbl>
              <c:idx val="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DF7E-4A3A-9B52-8C4FB4805585}"/>
                </c:ext>
              </c:extLst>
            </c:dLbl>
            <c:dLbl>
              <c:idx val="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DF7E-4A3A-9B52-8C4FB4805585}"/>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DF7E-4A3A-9B52-8C4FB4805585}"/>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DF7E-4A3A-9B52-8C4FB4805585}"/>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DF7E-4A3A-9B52-8C4FB4805585}"/>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DF7E-4A3A-9B52-8C4FB4805585}"/>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DF7E-4A3A-9B52-8C4FB4805585}"/>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DF7E-4A3A-9B52-8C4FB4805585}"/>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DF7E-4A3A-9B52-8C4FB4805585}"/>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DF7E-4A3A-9B52-8C4FB4805585}"/>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DF7E-4A3A-9B52-8C4FB4805585}"/>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DF7E-4A3A-9B52-8C4FB4805585}"/>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DF7E-4A3A-9B52-8C4FB4805585}"/>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DF7E-4A3A-9B52-8C4FB4805585}"/>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DF7E-4A3A-9B52-8C4FB4805585}"/>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DF7E-4A3A-9B52-8C4FB4805585}"/>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DF7E-4A3A-9B52-8C4FB4805585}"/>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DF7E-4A3A-9B52-8C4FB4805585}"/>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DF7E-4A3A-9B52-8C4FB4805585}"/>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DF7E-4A3A-9B52-8C4FB4805585}"/>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DF7E-4A3A-9B52-8C4FB4805585}"/>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DF7E-4A3A-9B52-8C4FB4805585}"/>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DF7E-4A3A-9B52-8C4FB4805585}"/>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DF7E-4A3A-9B52-8C4FB4805585}"/>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DF7E-4A3A-9B52-8C4FB4805585}"/>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DF7E-4A3A-9B52-8C4FB4805585}"/>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DF7E-4A3A-9B52-8C4FB4805585}"/>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DF7E-4A3A-9B52-8C4FB4805585}"/>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DF7E-4A3A-9B52-8C4FB4805585}"/>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DF7E-4A3A-9B52-8C4FB4805585}"/>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DF7E-4A3A-9B52-8C4FB4805585}"/>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DF7E-4A3A-9B52-8C4FB4805585}"/>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DF7E-4A3A-9B52-8C4FB4805585}"/>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DF7E-4A3A-9B52-8C4FB4805585}"/>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DF7E-4A3A-9B52-8C4FB4805585}"/>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DF7E-4A3A-9B52-8C4FB4805585}"/>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DF7E-4A3A-9B52-8C4FB4805585}"/>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DF7E-4A3A-9B52-8C4FB4805585}"/>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DF7E-4A3A-9B52-8C4FB4805585}"/>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DF7E-4A3A-9B52-8C4FB4805585}"/>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DF7E-4A3A-9B52-8C4FB4805585}"/>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DF7E-4A3A-9B52-8C4FB4805585}"/>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DF7E-4A3A-9B52-8C4FB4805585}"/>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DF7E-4A3A-9B52-8C4FB4805585}"/>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DF7E-4A3A-9B52-8C4FB4805585}"/>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DF7E-4A3A-9B52-8C4FB4805585}"/>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DF7E-4A3A-9B52-8C4FB4805585}"/>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DF7E-4A3A-9B52-8C4FB4805585}"/>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DF7E-4A3A-9B52-8C4FB4805585}"/>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DF7E-4A3A-9B52-8C4FB4805585}"/>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DF7E-4A3A-9B52-8C4FB4805585}"/>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DF7E-4A3A-9B52-8C4FB4805585}"/>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DF7E-4A3A-9B52-8C4FB4805585}"/>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DF7E-4A3A-9B52-8C4FB4805585}"/>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DF7E-4A3A-9B52-8C4FB4805585}"/>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DF7E-4A3A-9B52-8C4FB4805585}"/>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DF7E-4A3A-9B52-8C4FB4805585}"/>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DF7E-4A3A-9B52-8C4FB4805585}"/>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DF7E-4A3A-9B52-8C4FB4805585}"/>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DF7E-4A3A-9B52-8C4FB4805585}"/>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DF7E-4A3A-9B52-8C4FB4805585}"/>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DF7E-4A3A-9B52-8C4FB4805585}"/>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DF7E-4A3A-9B52-8C4FB4805585}"/>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DF7E-4A3A-9B52-8C4FB4805585}"/>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DF7E-4A3A-9B52-8C4FB4805585}"/>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DF7E-4A3A-9B52-8C4FB4805585}"/>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DF7E-4A3A-9B52-8C4FB4805585}"/>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DF7E-4A3A-9B52-8C4FB4805585}"/>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DF7E-4A3A-9B52-8C4FB4805585}"/>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DF7E-4A3A-9B52-8C4FB4805585}"/>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DF7E-4A3A-9B52-8C4FB4805585}"/>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DF7E-4A3A-9B52-8C4FB4805585}"/>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DF7E-4A3A-9B52-8C4FB4805585}"/>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DF7E-4A3A-9B52-8C4FB4805585}"/>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DF7E-4A3A-9B52-8C4FB4805585}"/>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DF7E-4A3A-9B52-8C4FB4805585}"/>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DF7E-4A3A-9B52-8C4FB4805585}"/>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DF7E-4A3A-9B52-8C4FB4805585}"/>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DF7E-4A3A-9B52-8C4FB4805585}"/>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DF7E-4A3A-9B52-8C4FB4805585}"/>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DF7E-4A3A-9B52-8C4FB4805585}"/>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DF7E-4A3A-9B52-8C4FB4805585}"/>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DF7E-4A3A-9B52-8C4FB4805585}"/>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DF7E-4A3A-9B52-8C4FB4805585}"/>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DF7E-4A3A-9B52-8C4FB4805585}"/>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DF7E-4A3A-9B52-8C4FB4805585}"/>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DF7E-4A3A-9B52-8C4FB4805585}"/>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DF7E-4A3A-9B52-8C4FB4805585}"/>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DF7E-4A3A-9B52-8C4FB4805585}"/>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DF7E-4A3A-9B52-8C4FB4805585}"/>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DF7E-4A3A-9B52-8C4FB4805585}"/>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DF7E-4A3A-9B52-8C4FB4805585}"/>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DF7E-4A3A-9B52-8C4FB4805585}"/>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DF7E-4A3A-9B52-8C4FB4805585}"/>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2.5408249999999999</c:v>
                </c:pt>
                <c:pt idx="1">
                  <c:v>4.3956619999999997</c:v>
                </c:pt>
                <c:pt idx="2">
                  <c:v>5.3979059999999999</c:v>
                </c:pt>
                <c:pt idx="3">
                  <c:v>10.542809</c:v>
                </c:pt>
                <c:pt idx="4">
                  <c:v>10.948926999999999</c:v>
                </c:pt>
              </c:numCache>
            </c:numRef>
          </c:xVal>
          <c:yVal>
            <c:numRef>
              <c:f>Peaks!$R$5:$R$104</c:f>
              <c:numCache>
                <c:formatCode>0.0</c:formatCode>
                <c:ptCount val="100"/>
                <c:pt idx="0">
                  <c:v>14.692385324341682</c:v>
                </c:pt>
                <c:pt idx="1">
                  <c:v>100</c:v>
                </c:pt>
                <c:pt idx="2">
                  <c:v>94.011702451640005</c:v>
                </c:pt>
                <c:pt idx="3">
                  <c:v>9.157000983576701</c:v>
                </c:pt>
                <c:pt idx="4">
                  <c:v>19.099282999966764</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15:dlblRangeCache>
              </c15:datalabelsRange>
            </c:ext>
            <c:ext xmlns:c16="http://schemas.microsoft.com/office/drawing/2014/chart" uri="{C3380CC4-5D6E-409C-BE32-E72D297353CC}">
              <c16:uniqueId val="{00000002-E192-4130-B7D2-7905CBA103B5}"/>
            </c:ext>
          </c:extLst>
        </c:ser>
        <c:dLbls>
          <c:showLegendKey val="0"/>
          <c:showVal val="0"/>
          <c:showCatName val="0"/>
          <c:showSerName val="0"/>
          <c:showPercent val="0"/>
          <c:showBubbleSize val="0"/>
        </c:dLbls>
        <c:axId val="1816219616"/>
        <c:axId val="1816224512"/>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E192-4130-B7D2-7905CBA103B5}"/>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E192-4130-B7D2-7905CBA103B5}"/>
            </c:ext>
          </c:extLst>
        </c:ser>
        <c:dLbls>
          <c:showLegendKey val="0"/>
          <c:showVal val="0"/>
          <c:showCatName val="0"/>
          <c:showSerName val="0"/>
          <c:showPercent val="0"/>
          <c:showBubbleSize val="0"/>
        </c:dLbls>
        <c:axId val="1816225600"/>
        <c:axId val="1816217440"/>
      </c:scatterChart>
      <c:valAx>
        <c:axId val="1816219616"/>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AU" sz="1000">
                    <a:solidFill>
                      <a:schemeClr val="tx1"/>
                    </a:solidFill>
                    <a:latin typeface="Arial" panose="020B0604020202020204" pitchFamily="34" charset="0"/>
                    <a:cs typeface="Arial" panose="020B0604020202020204" pitchFamily="34" charset="0"/>
                  </a:rPr>
                  <a:t>Retention</a:t>
                </a:r>
                <a:r>
                  <a:rPr lang="en-AU" sz="1000" baseline="0">
                    <a:solidFill>
                      <a:schemeClr val="tx1"/>
                    </a:solidFill>
                    <a:latin typeface="Arial" panose="020B0604020202020204" pitchFamily="34" charset="0"/>
                    <a:cs typeface="Arial" panose="020B0604020202020204" pitchFamily="34" charset="0"/>
                  </a:rPr>
                  <a:t> Time (min)</a:t>
                </a:r>
                <a:endParaRPr lang="en-AU" sz="10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4512"/>
        <c:crosses val="autoZero"/>
        <c:crossBetween val="midCat"/>
        <c:majorUnit val="0.5"/>
      </c:valAx>
      <c:valAx>
        <c:axId val="1816224512"/>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6219616"/>
        <c:crosses val="autoZero"/>
        <c:crossBetween val="midCat"/>
        <c:majorUnit val="20"/>
        <c:minorUnit val="5"/>
      </c:valAx>
      <c:valAx>
        <c:axId val="1816217440"/>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25600"/>
        <c:crosses val="max"/>
        <c:crossBetween val="midCat"/>
        <c:minorUnit val="5"/>
      </c:valAx>
      <c:valAx>
        <c:axId val="1816225600"/>
        <c:scaling>
          <c:orientation val="minMax"/>
        </c:scaling>
        <c:delete val="1"/>
        <c:axPos val="b"/>
        <c:numFmt formatCode="General" sourceLinked="1"/>
        <c:majorTickMark val="out"/>
        <c:minorTickMark val="none"/>
        <c:tickLblPos val="nextTo"/>
        <c:crossAx val="1816217440"/>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ayout>
        <c:manualLayout>
          <c:xMode val="edge"/>
          <c:yMode val="edge"/>
          <c:x val="0.93181006421194734"/>
          <c:y val="0.43600100238726441"/>
          <c:w val="6.3838325692317177E-2"/>
          <c:h val="0.51660718289610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100</c:v>
                </c:pt>
                <c:pt idx="1">
                  <c:v>84.18011474609375</c:v>
                </c:pt>
                <c:pt idx="2">
                  <c:v>70.125495910644531</c:v>
                </c:pt>
                <c:pt idx="3">
                  <c:v>59.003433227539063</c:v>
                </c:pt>
                <c:pt idx="4">
                  <c:v>51.549526214599609</c:v>
                </c:pt>
                <c:pt idx="5">
                  <c:v>47.429611206054688</c:v>
                </c:pt>
                <c:pt idx="6">
                  <c:v>46.082263946533203</c:v>
                </c:pt>
                <c:pt idx="7">
                  <c:v>47.040214538574219</c:v>
                </c:pt>
                <c:pt idx="8">
                  <c:v>48.897247314453125</c:v>
                </c:pt>
                <c:pt idx="9">
                  <c:v>50.815036773681641</c:v>
                </c:pt>
                <c:pt idx="10">
                  <c:v>52.408370971679688</c:v>
                </c:pt>
                <c:pt idx="11">
                  <c:v>53.289295196533203</c:v>
                </c:pt>
                <c:pt idx="12">
                  <c:v>52.763526916503906</c:v>
                </c:pt>
                <c:pt idx="13">
                  <c:v>50.994796752929688</c:v>
                </c:pt>
                <c:pt idx="14">
                  <c:v>48.249614715576172</c:v>
                </c:pt>
                <c:pt idx="15">
                  <c:v>44.738803863525391</c:v>
                </c:pt>
                <c:pt idx="16">
                  <c:v>40.727088928222656</c:v>
                </c:pt>
                <c:pt idx="17">
                  <c:v>36.107898712158203</c:v>
                </c:pt>
                <c:pt idx="18">
                  <c:v>31.441665649414063</c:v>
                </c:pt>
                <c:pt idx="19">
                  <c:v>27.282987594604492</c:v>
                </c:pt>
                <c:pt idx="20">
                  <c:v>24.380807876586914</c:v>
                </c:pt>
                <c:pt idx="21">
                  <c:v>22.538333892822266</c:v>
                </c:pt>
                <c:pt idx="22">
                  <c:v>21.357892990112305</c:v>
                </c:pt>
                <c:pt idx="23">
                  <c:v>20.584510803222656</c:v>
                </c:pt>
                <c:pt idx="24">
                  <c:v>19.988075256347656</c:v>
                </c:pt>
                <c:pt idx="25">
                  <c:v>19.691131591796875</c:v>
                </c:pt>
                <c:pt idx="26">
                  <c:v>19.547588348388672</c:v>
                </c:pt>
                <c:pt idx="27">
                  <c:v>19.469350814819336</c:v>
                </c:pt>
                <c:pt idx="28">
                  <c:v>19.703300476074219</c:v>
                </c:pt>
                <c:pt idx="29">
                  <c:v>19.98841667175293</c:v>
                </c:pt>
                <c:pt idx="30">
                  <c:v>20.135692596435547</c:v>
                </c:pt>
                <c:pt idx="31">
                  <c:v>20.065261840820313</c:v>
                </c:pt>
                <c:pt idx="32">
                  <c:v>19.59925651550293</c:v>
                </c:pt>
                <c:pt idx="33">
                  <c:v>18.835597991943359</c:v>
                </c:pt>
                <c:pt idx="34">
                  <c:v>17.711711883544922</c:v>
                </c:pt>
                <c:pt idx="35">
                  <c:v>16.426517486572266</c:v>
                </c:pt>
                <c:pt idx="36">
                  <c:v>15.145421981811523</c:v>
                </c:pt>
                <c:pt idx="37">
                  <c:v>13.563967704772949</c:v>
                </c:pt>
                <c:pt idx="38">
                  <c:v>12.246026992797852</c:v>
                </c:pt>
                <c:pt idx="39">
                  <c:v>11.451462745666504</c:v>
                </c:pt>
                <c:pt idx="40">
                  <c:v>11.229602813720703</c:v>
                </c:pt>
                <c:pt idx="41">
                  <c:v>11.388941764831543</c:v>
                </c:pt>
                <c:pt idx="42">
                  <c:v>11.870951652526855</c:v>
                </c:pt>
                <c:pt idx="43">
                  <c:v>12.398769378662109</c:v>
                </c:pt>
                <c:pt idx="44">
                  <c:v>12.665936470031738</c:v>
                </c:pt>
                <c:pt idx="45">
                  <c:v>13.123716354370117</c:v>
                </c:pt>
                <c:pt idx="46">
                  <c:v>13.52044677734375</c:v>
                </c:pt>
                <c:pt idx="47">
                  <c:v>13.790058135986328</c:v>
                </c:pt>
                <c:pt idx="48">
                  <c:v>14.007555961608887</c:v>
                </c:pt>
                <c:pt idx="49">
                  <c:v>14.115174293518066</c:v>
                </c:pt>
                <c:pt idx="50">
                  <c:v>14.233962059020996</c:v>
                </c:pt>
                <c:pt idx="51">
                  <c:v>14.144949913024902</c:v>
                </c:pt>
                <c:pt idx="52">
                  <c:v>13.925113677978516</c:v>
                </c:pt>
                <c:pt idx="53">
                  <c:v>13.89478588104248</c:v>
                </c:pt>
                <c:pt idx="54">
                  <c:v>13.800413131713867</c:v>
                </c:pt>
                <c:pt idx="55">
                  <c:v>13.546648979187012</c:v>
                </c:pt>
                <c:pt idx="56">
                  <c:v>13.40252685546875</c:v>
                </c:pt>
                <c:pt idx="57">
                  <c:v>12.990133285522461</c:v>
                </c:pt>
                <c:pt idx="58">
                  <c:v>12.532431602478027</c:v>
                </c:pt>
                <c:pt idx="59">
                  <c:v>12.189682006835938</c:v>
                </c:pt>
                <c:pt idx="60">
                  <c:v>11.90593147277832</c:v>
                </c:pt>
                <c:pt idx="61">
                  <c:v>11.61529541015625</c:v>
                </c:pt>
                <c:pt idx="62">
                  <c:v>11.050370216369629</c:v>
                </c:pt>
                <c:pt idx="63">
                  <c:v>10.438692092895508</c:v>
                </c:pt>
                <c:pt idx="64">
                  <c:v>9.9723176956176758</c:v>
                </c:pt>
                <c:pt idx="65">
                  <c:v>9.5816326141357422</c:v>
                </c:pt>
                <c:pt idx="66">
                  <c:v>9.2963838577270508</c:v>
                </c:pt>
                <c:pt idx="67">
                  <c:v>8.9581279754638672</c:v>
                </c:pt>
                <c:pt idx="68">
                  <c:v>8.5663118362426758</c:v>
                </c:pt>
                <c:pt idx="69">
                  <c:v>8.3851871490478516</c:v>
                </c:pt>
                <c:pt idx="70">
                  <c:v>8.1467170715332031</c:v>
                </c:pt>
                <c:pt idx="71">
                  <c:v>7.7838363647460938</c:v>
                </c:pt>
                <c:pt idx="72">
                  <c:v>7.607231616973877</c:v>
                </c:pt>
                <c:pt idx="73">
                  <c:v>7.7186083793640137</c:v>
                </c:pt>
                <c:pt idx="74">
                  <c:v>7.8296170234680176</c:v>
                </c:pt>
                <c:pt idx="75">
                  <c:v>7.5830798149108887</c:v>
                </c:pt>
                <c:pt idx="76">
                  <c:v>7.2687125205993652</c:v>
                </c:pt>
                <c:pt idx="77">
                  <c:v>7.3096837997436523</c:v>
                </c:pt>
                <c:pt idx="78">
                  <c:v>7.1933403015136719</c:v>
                </c:pt>
                <c:pt idx="79">
                  <c:v>6.8575019836425781</c:v>
                </c:pt>
                <c:pt idx="80">
                  <c:v>6.6767973899841309</c:v>
                </c:pt>
                <c:pt idx="81">
                  <c:v>6.616877555847168</c:v>
                </c:pt>
                <c:pt idx="82">
                  <c:v>6.51690673828125</c:v>
                </c:pt>
                <c:pt idx="83">
                  <c:v>6.4993777275085449</c:v>
                </c:pt>
                <c:pt idx="84">
                  <c:v>6.4270534515380859</c:v>
                </c:pt>
                <c:pt idx="85">
                  <c:v>6.5041871070861816</c:v>
                </c:pt>
                <c:pt idx="86">
                  <c:v>6.466789722442627</c:v>
                </c:pt>
                <c:pt idx="87">
                  <c:v>6.2799615859985352</c:v>
                </c:pt>
                <c:pt idx="88">
                  <c:v>6.2287149429321289</c:v>
                </c:pt>
                <c:pt idx="89">
                  <c:v>6.3807735443115234</c:v>
                </c:pt>
                <c:pt idx="90">
                  <c:v>6.3785400390625</c:v>
                </c:pt>
                <c:pt idx="91">
                  <c:v>6.0757884979248047</c:v>
                </c:pt>
                <c:pt idx="92">
                  <c:v>6.2021188735961914</c:v>
                </c:pt>
                <c:pt idx="93">
                  <c:v>6.5810046195983887</c:v>
                </c:pt>
                <c:pt idx="94">
                  <c:v>6.9871959686279297</c:v>
                </c:pt>
                <c:pt idx="95">
                  <c:v>7.187164306640625</c:v>
                </c:pt>
                <c:pt idx="96">
                  <c:v>6.7465720176696777</c:v>
                </c:pt>
                <c:pt idx="97">
                  <c:v>6.5719904899597168</c:v>
                </c:pt>
                <c:pt idx="98">
                  <c:v>6.5709128379821777</c:v>
                </c:pt>
                <c:pt idx="99">
                  <c:v>6.5246858596801758</c:v>
                </c:pt>
                <c:pt idx="100">
                  <c:v>6.4251875877380371</c:v>
                </c:pt>
                <c:pt idx="101">
                  <c:v>6.0945529937744141</c:v>
                </c:pt>
                <c:pt idx="102">
                  <c:v>5.9875388145446777</c:v>
                </c:pt>
                <c:pt idx="103">
                  <c:v>6.582240104675293</c:v>
                </c:pt>
                <c:pt idx="104">
                  <c:v>6.686521053314209</c:v>
                </c:pt>
                <c:pt idx="105">
                  <c:v>6.5896248817443848</c:v>
                </c:pt>
                <c:pt idx="106">
                  <c:v>7.0170245170593262</c:v>
                </c:pt>
                <c:pt idx="107">
                  <c:v>7.148505687713623</c:v>
                </c:pt>
                <c:pt idx="108">
                  <c:v>7.1421718597412109</c:v>
                </c:pt>
                <c:pt idx="109">
                  <c:v>7.1906332969665527</c:v>
                </c:pt>
                <c:pt idx="110">
                  <c:v>7.225165843963623</c:v>
                </c:pt>
                <c:pt idx="111">
                  <c:v>7.2228794097900391</c:v>
                </c:pt>
                <c:pt idx="112">
                  <c:v>7.3236651420593262</c:v>
                </c:pt>
                <c:pt idx="113">
                  <c:v>7.2716035842895508</c:v>
                </c:pt>
                <c:pt idx="114">
                  <c:v>7.1438016891479492</c:v>
                </c:pt>
                <c:pt idx="115">
                  <c:v>7.294677734375</c:v>
                </c:pt>
                <c:pt idx="116">
                  <c:v>7.3227190971374512</c:v>
                </c:pt>
                <c:pt idx="117">
                  <c:v>7.252655029296875</c:v>
                </c:pt>
                <c:pt idx="118">
                  <c:v>7.0300593376159668</c:v>
                </c:pt>
                <c:pt idx="119">
                  <c:v>7.2886857986450195</c:v>
                </c:pt>
                <c:pt idx="120">
                  <c:v>7.5180883407592773</c:v>
                </c:pt>
                <c:pt idx="121">
                  <c:v>6.8993139266967773</c:v>
                </c:pt>
                <c:pt idx="122">
                  <c:v>6.8212084770202637</c:v>
                </c:pt>
                <c:pt idx="123">
                  <c:v>6.8654384613037109</c:v>
                </c:pt>
                <c:pt idx="124">
                  <c:v>6.5031356811523438</c:v>
                </c:pt>
                <c:pt idx="125">
                  <c:v>7.1367321014404297</c:v>
                </c:pt>
                <c:pt idx="126">
                  <c:v>7.721341609954834</c:v>
                </c:pt>
                <c:pt idx="127">
                  <c:v>7.3530206680297852</c:v>
                </c:pt>
                <c:pt idx="128">
                  <c:v>6.6270480155944824</c:v>
                </c:pt>
                <c:pt idx="129">
                  <c:v>6.3965945243835449</c:v>
                </c:pt>
                <c:pt idx="130">
                  <c:v>6.9895610809326172</c:v>
                </c:pt>
                <c:pt idx="131">
                  <c:v>7.2385163307189941</c:v>
                </c:pt>
                <c:pt idx="132">
                  <c:v>6.8305907249450684</c:v>
                </c:pt>
                <c:pt idx="133">
                  <c:v>6.3574891090393066</c:v>
                </c:pt>
                <c:pt idx="134">
                  <c:v>5.4524154663085938</c:v>
                </c:pt>
                <c:pt idx="135">
                  <c:v>5.2777814865112305</c:v>
                </c:pt>
                <c:pt idx="136">
                  <c:v>4.9807066917419434</c:v>
                </c:pt>
                <c:pt idx="137">
                  <c:v>5.1473512649536133</c:v>
                </c:pt>
                <c:pt idx="138">
                  <c:v>6.1421732902526855</c:v>
                </c:pt>
                <c:pt idx="139">
                  <c:v>6.2625904083251953</c:v>
                </c:pt>
                <c:pt idx="140">
                  <c:v>6.8066492080688477</c:v>
                </c:pt>
                <c:pt idx="141">
                  <c:v>7.2889747619628906</c:v>
                </c:pt>
                <c:pt idx="142">
                  <c:v>6.1582040786743164</c:v>
                </c:pt>
                <c:pt idx="143">
                  <c:v>5.6540918350219727</c:v>
                </c:pt>
                <c:pt idx="144">
                  <c:v>6.226165771484375</c:v>
                </c:pt>
                <c:pt idx="145">
                  <c:v>5.5975098609924316</c:v>
                </c:pt>
                <c:pt idx="146">
                  <c:v>2.2531862258911133</c:v>
                </c:pt>
                <c:pt idx="147">
                  <c:v>2</c:v>
                </c:pt>
                <c:pt idx="148">
                  <c:v>3.1076176166534424</c:v>
                </c:pt>
                <c:pt idx="149">
                  <c:v>3.8820247650146484</c:v>
                </c:pt>
                <c:pt idx="150">
                  <c:v>5.8230752944946289</c:v>
                </c:pt>
                <c:pt idx="151">
                  <c:v>6.1074042320251465</c:v>
                </c:pt>
                <c:pt idx="152">
                  <c:v>6.0666694641113281</c:v>
                </c:pt>
                <c:pt idx="153">
                  <c:v>5.5372753143310547</c:v>
                </c:pt>
                <c:pt idx="154">
                  <c:v>5.1534748077392578</c:v>
                </c:pt>
                <c:pt idx="155">
                  <c:v>5.1610174179077148</c:v>
                </c:pt>
                <c:pt idx="156">
                  <c:v>5.5276041030883789</c:v>
                </c:pt>
                <c:pt idx="157">
                  <c:v>5.4497346878051758</c:v>
                </c:pt>
                <c:pt idx="158">
                  <c:v>4.4923892021179199</c:v>
                </c:pt>
                <c:pt idx="159">
                  <c:v>5.000180721282959</c:v>
                </c:pt>
                <c:pt idx="160">
                  <c:v>5.7788190841674805</c:v>
                </c:pt>
                <c:pt idx="161">
                  <c:v>5.3262166976928711</c:v>
                </c:pt>
                <c:pt idx="162">
                  <c:v>5.8426542282104492</c:v>
                </c:pt>
                <c:pt idx="163">
                  <c:v>5.8981060981750488</c:v>
                </c:pt>
                <c:pt idx="164">
                  <c:v>5.0324530601501465</c:v>
                </c:pt>
                <c:pt idx="165">
                  <c:v>5.3751506805419922</c:v>
                </c:pt>
                <c:pt idx="166">
                  <c:v>4.3275318145751953</c:v>
                </c:pt>
                <c:pt idx="167">
                  <c:v>5.123988151550293</c:v>
                </c:pt>
                <c:pt idx="168">
                  <c:v>6.0679306983947754</c:v>
                </c:pt>
                <c:pt idx="169">
                  <c:v>5.445319652557373</c:v>
                </c:pt>
                <c:pt idx="170">
                  <c:v>6.6300969123840332</c:v>
                </c:pt>
                <c:pt idx="171">
                  <c:v>4.8713798522949219</c:v>
                </c:pt>
                <c:pt idx="172">
                  <c:v>4.9176335334777832</c:v>
                </c:pt>
                <c:pt idx="173">
                  <c:v>5.2307133674621582</c:v>
                </c:pt>
                <c:pt idx="174">
                  <c:v>5.4847140312194824</c:v>
                </c:pt>
                <c:pt idx="175">
                  <c:v>5.2878208160400391</c:v>
                </c:pt>
                <c:pt idx="176">
                  <c:v>5.4765410423278809</c:v>
                </c:pt>
                <c:pt idx="177">
                  <c:v>6.5676279067993164</c:v>
                </c:pt>
                <c:pt idx="178">
                  <c:v>5.9900617599487305</c:v>
                </c:pt>
                <c:pt idx="179">
                  <c:v>5.338200569152832</c:v>
                </c:pt>
                <c:pt idx="180">
                  <c:v>4.9910612106323242</c:v>
                </c:pt>
                <c:pt idx="181">
                  <c:v>5.5374326705932617</c:v>
                </c:pt>
                <c:pt idx="182">
                  <c:v>5.5608749389648438</c:v>
                </c:pt>
                <c:pt idx="183">
                  <c:v>4.2474288940429688</c:v>
                </c:pt>
                <c:pt idx="184">
                  <c:v>4.0272245407104492</c:v>
                </c:pt>
                <c:pt idx="185">
                  <c:v>5.4951739311218262</c:v>
                </c:pt>
                <c:pt idx="186">
                  <c:v>6.3324174880981445</c:v>
                </c:pt>
                <c:pt idx="187">
                  <c:v>6.3358602523803711</c:v>
                </c:pt>
                <c:pt idx="188">
                  <c:v>4.726837158203125</c:v>
                </c:pt>
                <c:pt idx="189">
                  <c:v>5.592832088470459</c:v>
                </c:pt>
                <c:pt idx="190">
                  <c:v>5.4644780158996582</c:v>
                </c:pt>
                <c:pt idx="191">
                  <c:v>3.7108335494995117</c:v>
                </c:pt>
                <c:pt idx="192">
                  <c:v>4.3872408866882324</c:v>
                </c:pt>
                <c:pt idx="193">
                  <c:v>4.179572582244873</c:v>
                </c:pt>
                <c:pt idx="194">
                  <c:v>6.1188888549804688</c:v>
                </c:pt>
                <c:pt idx="195">
                  <c:v>5.2779130935668945</c:v>
                </c:pt>
                <c:pt idx="196">
                  <c:v>7.3874478340148926</c:v>
                </c:pt>
                <c:pt idx="197">
                  <c:v>6.6446561813354492</c:v>
                </c:pt>
                <c:pt idx="198">
                  <c:v>5.5963797569274902</c:v>
                </c:pt>
                <c:pt idx="199">
                  <c:v>5.5430569648742676</c:v>
                </c:pt>
                <c:pt idx="200">
                  <c:v>6.4304437637329102</c:v>
                </c:pt>
                <c:pt idx="201">
                  <c:v>5.8880410194396973</c:v>
                </c:pt>
                <c:pt idx="202">
                  <c:v>3.3732607364654541</c:v>
                </c:pt>
                <c:pt idx="203">
                  <c:v>5.5298113822937012</c:v>
                </c:pt>
                <c:pt idx="204">
                  <c:v>4.8334312438964844</c:v>
                </c:pt>
                <c:pt idx="205">
                  <c:v>7.0912928581237793</c:v>
                </c:pt>
                <c:pt idx="206">
                  <c:v>4.6551704406738281</c:v>
                </c:pt>
                <c:pt idx="207">
                  <c:v>7.4482607841491699</c:v>
                </c:pt>
                <c:pt idx="208">
                  <c:v>4.9938998222351074</c:v>
                </c:pt>
                <c:pt idx="209">
                  <c:v>5.2579135894775391</c:v>
                </c:pt>
                <c:pt idx="210">
                  <c:v>4.8412628173828125</c:v>
                </c:pt>
                <c:pt idx="211">
                  <c:v>3.2873497009277344</c:v>
                </c:pt>
                <c:pt idx="212">
                  <c:v>6.448209285736084</c:v>
                </c:pt>
                <c:pt idx="213">
                  <c:v>4.8094897270202637</c:v>
                </c:pt>
                <c:pt idx="214">
                  <c:v>6.7420516014099121</c:v>
                </c:pt>
                <c:pt idx="215">
                  <c:v>3.6670241355895996</c:v>
                </c:pt>
                <c:pt idx="216">
                  <c:v>5.2522892951965332</c:v>
                </c:pt>
                <c:pt idx="217">
                  <c:v>5.4456348419189453</c:v>
                </c:pt>
                <c:pt idx="218">
                  <c:v>4.2843003273010254</c:v>
                </c:pt>
                <c:pt idx="219">
                  <c:v>7.5196914672851563</c:v>
                </c:pt>
                <c:pt idx="220">
                  <c:v>3.2866401672363281</c:v>
                </c:pt>
                <c:pt idx="221">
                  <c:v>7.0273261070251465</c:v>
                </c:pt>
                <c:pt idx="222">
                  <c:v>4.775719165802002</c:v>
                </c:pt>
                <c:pt idx="223">
                  <c:v>3.1284580230712891</c:v>
                </c:pt>
                <c:pt idx="224">
                  <c:v>7.8455958366394043</c:v>
                </c:pt>
                <c:pt idx="225">
                  <c:v>2.7694401741027832</c:v>
                </c:pt>
              </c:numCache>
            </c:numRef>
          </c:yVal>
          <c:smooth val="1"/>
          <c:extLst>
            <c:ext xmlns:c16="http://schemas.microsoft.com/office/drawing/2014/chart" uri="{C3380CC4-5D6E-409C-BE32-E72D297353CC}">
              <c16:uniqueId val="{00000000-69D2-4E8F-89E0-EC448D877EBD}"/>
            </c:ext>
          </c:extLst>
        </c:ser>
        <c:dLbls>
          <c:showLegendKey val="0"/>
          <c:showVal val="0"/>
          <c:showCatName val="0"/>
          <c:showSerName val="0"/>
          <c:showPercent val="0"/>
          <c:showBubbleSize val="0"/>
        </c:dLbls>
        <c:axId val="1816227232"/>
        <c:axId val="1816218528"/>
      </c:scatterChart>
      <c:valAx>
        <c:axId val="1816227232"/>
        <c:scaling>
          <c:orientation val="minMax"/>
          <c:max val="600"/>
          <c:min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AU" sz="1400">
                    <a:solidFill>
                      <a:schemeClr val="tx1"/>
                    </a:solidFill>
                  </a:rPr>
                  <a:t>Wavelength (nm)</a:t>
                </a:r>
              </a:p>
            </c:rich>
          </c:tx>
          <c:layout>
            <c:manualLayout>
              <c:xMode val="edge"/>
              <c:yMode val="edge"/>
              <c:x val="0.40139134506920809"/>
              <c:y val="0.955066043015989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8528"/>
        <c:crosses val="autoZero"/>
        <c:crossBetween val="midCat"/>
        <c:majorUnit val="50"/>
      </c:valAx>
      <c:valAx>
        <c:axId val="1816218528"/>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7232"/>
        <c:crosses val="autoZero"/>
        <c:crossBetween val="midCat"/>
        <c:majorUnit val="25"/>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ayout>
        <c:manualLayout>
          <c:xMode val="edge"/>
          <c:yMode val="edge"/>
          <c:x val="0.82240397165544188"/>
          <c:y val="1.5864471655588207E-2"/>
          <c:w val="0.1725423562561009"/>
          <c:h val="0.968271056688823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CheckBox" checked="Checked" lockText="1" noThreeD="1"/>
</file>

<file path=xl/ctrlProps/ctrlProp117.xml><?xml version="1.0" encoding="utf-8"?>
<formControlPr xmlns="http://schemas.microsoft.com/office/spreadsheetml/2009/9/main" objectType="CheckBox" checked="Checked"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Radio" checked="Checked" firstButton="1" lockText="1" noThreeD="1"/>
</file>

<file path=xl/ctrlProps/ctrlProp151.xml><?xml version="1.0" encoding="utf-8"?>
<formControlPr xmlns="http://schemas.microsoft.com/office/spreadsheetml/2009/9/main" objectType="Radio"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CheckBox" checked="Checked" lockText="1" noThreeD="1"/>
</file>

<file path=xl/ctrlProps/ctrlProp168.xml><?xml version="1.0" encoding="utf-8"?>
<formControlPr xmlns="http://schemas.microsoft.com/office/spreadsheetml/2009/9/main" objectType="CheckBox" checked="Checked"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CheckBox" checked="Checked" lockText="1"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checked="Checked"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checked="Checked" lockText="1" noThreeD="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checked="Checked" lockText="1" noThreeD="1"/>
</file>

<file path=xl/ctrlProps/ctrlProp217.xml><?xml version="1.0" encoding="utf-8"?>
<formControlPr xmlns="http://schemas.microsoft.com/office/spreadsheetml/2009/9/main" objectType="Radio" checked="Checked" firstButton="1"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Radio" lockText="1" noThreeD="1"/>
</file>

<file path=xl/ctrlProps/ctrlProp220.xml><?xml version="1.0" encoding="utf-8"?>
<formControlPr xmlns="http://schemas.microsoft.com/office/spreadsheetml/2009/9/main" objectType="Radio"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Radio" checked="Checked" firstButton="1" lockText="1" noThreeD="1"/>
</file>

<file path=xl/ctrlProps/ctrlProp229.xml><?xml version="1.0" encoding="utf-8"?>
<formControlPr xmlns="http://schemas.microsoft.com/office/spreadsheetml/2009/9/main" objectType="Radio" lockText="1" noThreeD="1"/>
</file>

<file path=xl/ctrlProps/ctrlProp230.xml><?xml version="1.0" encoding="utf-8"?>
<formControlPr xmlns="http://schemas.microsoft.com/office/spreadsheetml/2009/9/main" objectType="CheckBox" checked="Checked"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13</xdr:col>
      <xdr:colOff>0</xdr:colOff>
      <xdr:row>4</xdr:row>
      <xdr:rowOff>0</xdr:rowOff>
    </xdr:from>
    <xdr:to>
      <xdr:col>14</xdr:col>
      <xdr:colOff>0</xdr:colOff>
      <xdr:row>4</xdr:row>
      <xdr:rowOff>1543050</xdr:rowOff>
    </xdr:to>
    <xdr:graphicFrame macro="">
      <xdr:nvGraphicFramePr>
        <xdr:cNvPr id="1726" name="Chart 1">
          <a:extLst>
            <a:ext uri="{FF2B5EF4-FFF2-40B4-BE49-F238E27FC236}">
              <a16:creationId xmlns:a16="http://schemas.microsoft.com/office/drawing/2014/main" id="{00000000-0008-0000-0000-0000B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xdr:row>
      <xdr:rowOff>0</xdr:rowOff>
    </xdr:from>
    <xdr:to>
      <xdr:col>14</xdr:col>
      <xdr:colOff>0</xdr:colOff>
      <xdr:row>5</xdr:row>
      <xdr:rowOff>1543050</xdr:rowOff>
    </xdr:to>
    <xdr:graphicFrame macro="">
      <xdr:nvGraphicFramePr>
        <xdr:cNvPr id="1727" name="Chart 2">
          <a:extLst>
            <a:ext uri="{FF2B5EF4-FFF2-40B4-BE49-F238E27FC236}">
              <a16:creationId xmlns:a16="http://schemas.microsoft.com/office/drawing/2014/main" id="{00000000-0008-0000-0000-0000B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6</xdr:row>
      <xdr:rowOff>0</xdr:rowOff>
    </xdr:from>
    <xdr:to>
      <xdr:col>14</xdr:col>
      <xdr:colOff>0</xdr:colOff>
      <xdr:row>6</xdr:row>
      <xdr:rowOff>1543050</xdr:rowOff>
    </xdr:to>
    <xdr:graphicFrame macro="">
      <xdr:nvGraphicFramePr>
        <xdr:cNvPr id="1728" name="Chart 3">
          <a:extLst>
            <a:ext uri="{FF2B5EF4-FFF2-40B4-BE49-F238E27FC236}">
              <a16:creationId xmlns:a16="http://schemas.microsoft.com/office/drawing/2014/main" id="{00000000-0008-0000-0000-0000C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7</xdr:row>
      <xdr:rowOff>0</xdr:rowOff>
    </xdr:from>
    <xdr:to>
      <xdr:col>14</xdr:col>
      <xdr:colOff>0</xdr:colOff>
      <xdr:row>7</xdr:row>
      <xdr:rowOff>1543050</xdr:rowOff>
    </xdr:to>
    <xdr:graphicFrame macro="">
      <xdr:nvGraphicFramePr>
        <xdr:cNvPr id="1729" name="Chart 4">
          <a:extLst>
            <a:ext uri="{FF2B5EF4-FFF2-40B4-BE49-F238E27FC236}">
              <a16:creationId xmlns:a16="http://schemas.microsoft.com/office/drawing/2014/main" id="{00000000-0008-0000-0000-0000C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8</xdr:row>
      <xdr:rowOff>0</xdr:rowOff>
    </xdr:from>
    <xdr:to>
      <xdr:col>14</xdr:col>
      <xdr:colOff>0</xdr:colOff>
      <xdr:row>8</xdr:row>
      <xdr:rowOff>1543050</xdr:rowOff>
    </xdr:to>
    <xdr:graphicFrame macro="">
      <xdr:nvGraphicFramePr>
        <xdr:cNvPr id="1730" name="Chart 5">
          <a:extLst>
            <a:ext uri="{FF2B5EF4-FFF2-40B4-BE49-F238E27FC236}">
              <a16:creationId xmlns:a16="http://schemas.microsoft.com/office/drawing/2014/main" id="{00000000-0008-0000-0000-0000C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9</xdr:col>
          <xdr:colOff>9525</xdr:colOff>
          <xdr:row>1</xdr:row>
          <xdr:rowOff>0</xdr:rowOff>
        </xdr:from>
        <xdr:to>
          <xdr:col>10</xdr:col>
          <xdr:colOff>0</xdr:colOff>
          <xdr:row>2</xdr:row>
          <xdr:rowOff>9525</xdr:rowOff>
        </xdr:to>
        <xdr:sp macro="" textlink="">
          <xdr:nvSpPr>
            <xdr:cNvPr id="1026" name="Button 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Load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666750</xdr:rowOff>
        </xdr:from>
        <xdr:to>
          <xdr:col>12</xdr:col>
          <xdr:colOff>247650</xdr:colOff>
          <xdr:row>4</xdr:row>
          <xdr:rowOff>885825</xdr:rowOff>
        </xdr:to>
        <xdr:sp macro="" textlink="">
          <xdr:nvSpPr>
            <xdr:cNvPr id="1033" name="CheckBox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5</xdr:row>
          <xdr:rowOff>666750</xdr:rowOff>
        </xdr:from>
        <xdr:to>
          <xdr:col>12</xdr:col>
          <xdr:colOff>247650</xdr:colOff>
          <xdr:row>5</xdr:row>
          <xdr:rowOff>885825</xdr:rowOff>
        </xdr:to>
        <xdr:sp macro="" textlink="">
          <xdr:nvSpPr>
            <xdr:cNvPr id="1034" name="CheckBox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xdr:row>
          <xdr:rowOff>666750</xdr:rowOff>
        </xdr:from>
        <xdr:to>
          <xdr:col>12</xdr:col>
          <xdr:colOff>247650</xdr:colOff>
          <xdr:row>6</xdr:row>
          <xdr:rowOff>885825</xdr:rowOff>
        </xdr:to>
        <xdr:sp macro="" textlink="">
          <xdr:nvSpPr>
            <xdr:cNvPr id="1035" name="CheckBox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7</xdr:row>
          <xdr:rowOff>666750</xdr:rowOff>
        </xdr:from>
        <xdr:to>
          <xdr:col>12</xdr:col>
          <xdr:colOff>247650</xdr:colOff>
          <xdr:row>7</xdr:row>
          <xdr:rowOff>885825</xdr:rowOff>
        </xdr:to>
        <xdr:sp macro="" textlink="">
          <xdr:nvSpPr>
            <xdr:cNvPr id="1036" name="CheckBox4"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8</xdr:row>
          <xdr:rowOff>666750</xdr:rowOff>
        </xdr:from>
        <xdr:to>
          <xdr:col>12</xdr:col>
          <xdr:colOff>247650</xdr:colOff>
          <xdr:row>8</xdr:row>
          <xdr:rowOff>885825</xdr:rowOff>
        </xdr:to>
        <xdr:sp macro="" textlink="">
          <xdr:nvSpPr>
            <xdr:cNvPr id="1037" name="CheckBox5"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xdr:row>
          <xdr:rowOff>9525</xdr:rowOff>
        </xdr:from>
        <xdr:to>
          <xdr:col>13</xdr:col>
          <xdr:colOff>647700</xdr:colOff>
          <xdr:row>3</xdr:row>
          <xdr:rowOff>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Deselect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1</xdr:row>
          <xdr:rowOff>9525</xdr:rowOff>
        </xdr:from>
        <xdr:to>
          <xdr:col>13</xdr:col>
          <xdr:colOff>647700</xdr:colOff>
          <xdr:row>2</xdr:row>
          <xdr:rowOff>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666750</xdr:colOff>
          <xdr:row>1</xdr:row>
          <xdr:rowOff>0</xdr:rowOff>
        </xdr:from>
        <xdr:to>
          <xdr:col>13</xdr:col>
          <xdr:colOff>1714500</xdr:colOff>
          <xdr:row>2</xdr:row>
          <xdr:rowOff>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Checked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1724025</xdr:colOff>
          <xdr:row>1</xdr:row>
          <xdr:rowOff>9525</xdr:rowOff>
        </xdr:from>
        <xdr:to>
          <xdr:col>14</xdr:col>
          <xdr:colOff>57150</xdr:colOff>
          <xdr:row>3</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0</xdr:rowOff>
        </xdr:from>
        <xdr:to>
          <xdr:col>5</xdr:col>
          <xdr:colOff>952500</xdr:colOff>
          <xdr:row>2</xdr:row>
          <xdr:rowOff>219075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Recalc. Cutoffs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942975</xdr:colOff>
          <xdr:row>2</xdr:row>
          <xdr:rowOff>219075</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Calc. CumArea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1</xdr:row>
          <xdr:rowOff>9525</xdr:rowOff>
        </xdr:from>
        <xdr:to>
          <xdr:col>14</xdr:col>
          <xdr:colOff>962025</xdr:colOff>
          <xdr:row>2</xdr:row>
          <xdr:rowOff>9525</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2</xdr:row>
          <xdr:rowOff>9525</xdr:rowOff>
        </xdr:from>
        <xdr:to>
          <xdr:col>14</xdr:col>
          <xdr:colOff>962025</xdr:colOff>
          <xdr:row>3</xdr:row>
          <xdr:rowOff>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UV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xdr:row>
          <xdr:rowOff>0</xdr:rowOff>
        </xdr:from>
        <xdr:to>
          <xdr:col>9</xdr:col>
          <xdr:colOff>1114425</xdr:colOff>
          <xdr:row>2</xdr:row>
          <xdr:rowOff>9525</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Lock NovaC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981075</xdr:colOff>
          <xdr:row>2</xdr:row>
          <xdr:rowOff>9525</xdr:rowOff>
        </xdr:from>
        <xdr:to>
          <xdr:col>12</xdr:col>
          <xdr:colOff>0</xdr:colOff>
          <xdr:row>3</xdr:row>
          <xdr:rowOff>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UV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9525</xdr:rowOff>
        </xdr:from>
        <xdr:to>
          <xdr:col>8</xdr:col>
          <xdr:colOff>533400</xdr:colOff>
          <xdr:row>2</xdr:row>
          <xdr:rowOff>0</xdr:rowOff>
        </xdr:to>
        <xdr:sp macro="" textlink="">
          <xdr:nvSpPr>
            <xdr:cNvPr id="1149" name="Option 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619125</xdr:colOff>
          <xdr:row>1</xdr:row>
          <xdr:rowOff>9525</xdr:rowOff>
        </xdr:from>
        <xdr:to>
          <xdr:col>8</xdr:col>
          <xdr:colOff>1057275</xdr:colOff>
          <xdr:row>2</xdr:row>
          <xdr:rowOff>0</xdr:rowOff>
        </xdr:to>
        <xdr:sp macro="" textlink="">
          <xdr:nvSpPr>
            <xdr:cNvPr id="1150" name="Option Butto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Top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9525</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657225</xdr:colOff>
          <xdr:row>2</xdr:row>
          <xdr:rowOff>9525</xdr:rowOff>
        </xdr:from>
        <xdr:to>
          <xdr:col>13</xdr:col>
          <xdr:colOff>1714500</xdr:colOff>
          <xdr:row>3</xdr:row>
          <xdr:rowOff>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Unchecked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981075</xdr:colOff>
          <xdr:row>1</xdr:row>
          <xdr:rowOff>9525</xdr:rowOff>
        </xdr:from>
        <xdr:to>
          <xdr:col>12</xdr:col>
          <xdr:colOff>0</xdr:colOff>
          <xdr:row>2</xdr:row>
          <xdr:rowOff>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Mass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xdr:row>
          <xdr:rowOff>0</xdr:rowOff>
        </xdr:from>
        <xdr:to>
          <xdr:col>10</xdr:col>
          <xdr:colOff>1114425</xdr:colOff>
          <xdr:row>2</xdr:row>
          <xdr:rowOff>9525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Copy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2</xdr:row>
          <xdr:rowOff>9525</xdr:rowOff>
        </xdr:from>
        <xdr:to>
          <xdr:col>11</xdr:col>
          <xdr:colOff>971550</xdr:colOff>
          <xdr:row>3</xdr:row>
          <xdr:rowOff>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 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9525</xdr:rowOff>
        </xdr:from>
        <xdr:to>
          <xdr:col>11</xdr:col>
          <xdr:colOff>971550</xdr:colOff>
          <xdr:row>2</xdr:row>
          <xdr:rowOff>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Auto UV Class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32</xdr:row>
          <xdr:rowOff>9525</xdr:rowOff>
        </xdr:from>
        <xdr:to>
          <xdr:col>2</xdr:col>
          <xdr:colOff>2133600</xdr:colOff>
          <xdr:row>34</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29</xdr:row>
          <xdr:rowOff>76200</xdr:rowOff>
        </xdr:from>
        <xdr:to>
          <xdr:col>8</xdr:col>
          <xdr:colOff>266700</xdr:colOff>
          <xdr:row>30</xdr:row>
          <xdr:rowOff>123825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31</xdr:row>
          <xdr:rowOff>28575</xdr:rowOff>
        </xdr:from>
        <xdr:to>
          <xdr:col>8</xdr:col>
          <xdr:colOff>266700</xdr:colOff>
          <xdr:row>32</xdr:row>
          <xdr:rowOff>76200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36</xdr:row>
          <xdr:rowOff>76200</xdr:rowOff>
        </xdr:from>
        <xdr:to>
          <xdr:col>8</xdr:col>
          <xdr:colOff>266700</xdr:colOff>
          <xdr:row>37</xdr:row>
          <xdr:rowOff>123825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34</xdr:row>
          <xdr:rowOff>190500</xdr:rowOff>
        </xdr:from>
        <xdr:to>
          <xdr:col>2</xdr:col>
          <xdr:colOff>2181225</xdr:colOff>
          <xdr:row>36</xdr:row>
          <xdr:rowOff>9525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Exclude Hidden Peaks from 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32</xdr:row>
          <xdr:rowOff>171450</xdr:rowOff>
        </xdr:from>
        <xdr:to>
          <xdr:col>8</xdr:col>
          <xdr:colOff>266700</xdr:colOff>
          <xdr:row>34</xdr:row>
          <xdr:rowOff>9525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Only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0</xdr:row>
          <xdr:rowOff>19050</xdr:rowOff>
        </xdr:from>
        <xdr:to>
          <xdr:col>1</xdr:col>
          <xdr:colOff>504825</xdr:colOff>
          <xdr:row>2</xdr:row>
          <xdr:rowOff>85725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a:t>
              </a:r>
            </a:p>
            <a:p>
              <a:pPr algn="ctr" rtl="0">
                <a:defRPr sz="1000"/>
              </a:pPr>
              <a:r>
                <a:rPr lang="en-AU" sz="1100" b="0" i="0" u="none" strike="noStrike" baseline="0">
                  <a:solidFill>
                    <a:srgbClr val="000000"/>
                  </a:solidFill>
                  <a:latin typeface="Calibri"/>
                  <a:cs typeface="Calibri"/>
                </a:rPr>
                <a:t>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32</xdr:row>
          <xdr:rowOff>161925</xdr:rowOff>
        </xdr:from>
        <xdr:to>
          <xdr:col>7</xdr:col>
          <xdr:colOff>0</xdr:colOff>
          <xdr:row>34</xdr:row>
          <xdr:rowOff>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AU" sz="1100" b="0" i="0" u="none" strike="noStrike" baseline="0">
                  <a:solidFill>
                    <a:srgbClr val="000000"/>
                  </a:solidFill>
                  <a:latin typeface="Calibri"/>
                  <a:cs typeface="Calibri"/>
                </a:rPr>
                <a:t>&lt;- Show only top 'n' peaks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34</xdr:row>
          <xdr:rowOff>123825</xdr:rowOff>
        </xdr:from>
        <xdr:to>
          <xdr:col>8</xdr:col>
          <xdr:colOff>266700</xdr:colOff>
          <xdr:row>35</xdr:row>
          <xdr:rowOff>171450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Unlabelled</a:t>
              </a:r>
            </a:p>
          </xdr:txBody>
        </xdr:sp>
        <xdr:clientData fPrintsWithSheet="0"/>
      </xdr:twoCellAnchor>
    </mc:Choice>
    <mc:Fallback/>
  </mc:AlternateContent>
  <xdr:twoCellAnchor>
    <xdr:from>
      <xdr:col>1</xdr:col>
      <xdr:colOff>295275</xdr:colOff>
      <xdr:row>2</xdr:row>
      <xdr:rowOff>114300</xdr:rowOff>
    </xdr:from>
    <xdr:to>
      <xdr:col>1</xdr:col>
      <xdr:colOff>295275</xdr:colOff>
      <xdr:row>7</xdr:row>
      <xdr:rowOff>104775</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a:off x="904875" y="504825"/>
          <a:ext cx="0" cy="94297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7</xdr:row>
      <xdr:rowOff>104775</xdr:rowOff>
    </xdr:from>
    <xdr:to>
      <xdr:col>1</xdr:col>
      <xdr:colOff>295275</xdr:colOff>
      <xdr:row>7</xdr:row>
      <xdr:rowOff>104775</xdr:rowOff>
    </xdr:to>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flipH="1">
          <a:off x="676275" y="1447800"/>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5</xdr:row>
      <xdr:rowOff>95250</xdr:rowOff>
    </xdr:from>
    <xdr:to>
      <xdr:col>1</xdr:col>
      <xdr:colOff>285750</xdr:colOff>
      <xdr:row>5</xdr:row>
      <xdr:rowOff>95250</xdr:rowOff>
    </xdr:to>
    <xdr:cxnSp macro="">
      <xdr:nvCxnSpPr>
        <xdr:cNvPr id="16" name="Straight Arrow Connector 15">
          <a:extLst>
            <a:ext uri="{FF2B5EF4-FFF2-40B4-BE49-F238E27FC236}">
              <a16:creationId xmlns:a16="http://schemas.microsoft.com/office/drawing/2014/main" id="{00000000-0008-0000-0100-000010000000}"/>
            </a:ext>
          </a:extLst>
        </xdr:cNvPr>
        <xdr:cNvCxnSpPr/>
      </xdr:nvCxnSpPr>
      <xdr:spPr>
        <a:xfrm flipH="1">
          <a:off x="666750" y="1057275"/>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3</xdr:row>
      <xdr:rowOff>95250</xdr:rowOff>
    </xdr:from>
    <xdr:to>
      <xdr:col>1</xdr:col>
      <xdr:colOff>285750</xdr:colOff>
      <xdr:row>3</xdr:row>
      <xdr:rowOff>95250</xdr:rowOff>
    </xdr:to>
    <xdr:cxnSp macro="">
      <xdr:nvCxnSpPr>
        <xdr:cNvPr id="17" name="Straight Arrow Connector 16">
          <a:extLst>
            <a:ext uri="{FF2B5EF4-FFF2-40B4-BE49-F238E27FC236}">
              <a16:creationId xmlns:a16="http://schemas.microsoft.com/office/drawing/2014/main" id="{00000000-0008-0000-0100-000011000000}"/>
            </a:ext>
          </a:extLst>
        </xdr:cNvPr>
        <xdr:cNvCxnSpPr/>
      </xdr:nvCxnSpPr>
      <xdr:spPr>
        <a:xfrm flipH="1">
          <a:off x="666750" y="676275"/>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4761</xdr:rowOff>
    </xdr:from>
    <xdr:to>
      <xdr:col>23</xdr:col>
      <xdr:colOff>590550</xdr:colOff>
      <xdr:row>35</xdr:row>
      <xdr:rowOff>180974</xdr:rowOff>
    </xdr:to>
    <xdr:graphicFrame macro="">
      <xdr:nvGraphicFramePr>
        <xdr:cNvPr id="2" name="Chart Chromatogram">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15</xdr:row>
          <xdr:rowOff>47625</xdr:rowOff>
        </xdr:from>
        <xdr:to>
          <xdr:col>27</xdr:col>
          <xdr:colOff>0</xdr:colOff>
          <xdr:row>16</xdr:row>
          <xdr:rowOff>104775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200-00001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200-00001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200-00001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xdr:twoCellAnchor>
    <xdr:from>
      <xdr:col>25</xdr:col>
      <xdr:colOff>1</xdr:colOff>
      <xdr:row>23</xdr:row>
      <xdr:rowOff>9525</xdr:rowOff>
    </xdr:from>
    <xdr:to>
      <xdr:col>29</xdr:col>
      <xdr:colOff>1</xdr:colOff>
      <xdr:row>36</xdr:row>
      <xdr:rowOff>0</xdr:rowOff>
    </xdr:to>
    <xdr:graphicFrame macro="">
      <xdr:nvGraphicFramePr>
        <xdr:cNvPr id="27" name="Chart 26">
          <a:extLst>
            <a:ext uri="{FF2B5EF4-FFF2-40B4-BE49-F238E27FC236}">
              <a16:creationId xmlns:a16="http://schemas.microsoft.com/office/drawing/2014/main" id="{00000000-0008-0000-02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27</xdr:col>
          <xdr:colOff>19050</xdr:colOff>
          <xdr:row>19</xdr:row>
          <xdr:rowOff>104775</xdr:rowOff>
        </xdr:from>
        <xdr:to>
          <xdr:col>27</xdr:col>
          <xdr:colOff>381000</xdr:colOff>
          <xdr:row>21</xdr:row>
          <xdr:rowOff>95250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200-00001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104775</xdr:rowOff>
        </xdr:from>
        <xdr:to>
          <xdr:col>25</xdr:col>
          <xdr:colOff>600075</xdr:colOff>
          <xdr:row>21</xdr:row>
          <xdr:rowOff>85725</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200-00001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xdr:colOff>
          <xdr:row>13</xdr:row>
          <xdr:rowOff>142875</xdr:rowOff>
        </xdr:from>
        <xdr:to>
          <xdr:col>29</xdr:col>
          <xdr:colOff>9525</xdr:colOff>
          <xdr:row>15</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200-00001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0</xdr:row>
          <xdr:rowOff>57150</xdr:rowOff>
        </xdr:from>
        <xdr:to>
          <xdr:col>28</xdr:col>
          <xdr:colOff>457200</xdr:colOff>
          <xdr:row>2</xdr:row>
          <xdr:rowOff>66675</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200-00001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3</xdr:row>
          <xdr:rowOff>0</xdr:rowOff>
        </xdr:from>
        <xdr:to>
          <xdr:col>28</xdr:col>
          <xdr:colOff>457200</xdr:colOff>
          <xdr:row>4</xdr:row>
          <xdr:rowOff>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2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5</xdr:row>
          <xdr:rowOff>0</xdr:rowOff>
        </xdr:from>
        <xdr:to>
          <xdr:col>28</xdr:col>
          <xdr:colOff>457200</xdr:colOff>
          <xdr:row>6</xdr:row>
          <xdr:rowOff>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2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11</xdr:row>
          <xdr:rowOff>0</xdr:rowOff>
        </xdr:from>
        <xdr:to>
          <xdr:col>28</xdr:col>
          <xdr:colOff>457200</xdr:colOff>
          <xdr:row>12</xdr:row>
          <xdr:rowOff>0</xdr:rowOff>
        </xdr:to>
        <xdr:sp macro="" textlink="">
          <xdr:nvSpPr>
            <xdr:cNvPr id="9249" name="Button 33"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18</xdr:row>
          <xdr:rowOff>76200</xdr:rowOff>
        </xdr:from>
        <xdr:to>
          <xdr:col>27</xdr:col>
          <xdr:colOff>9525</xdr:colOff>
          <xdr:row>19</xdr:row>
          <xdr:rowOff>95250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200-00002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18</xdr:row>
          <xdr:rowOff>76200</xdr:rowOff>
        </xdr:from>
        <xdr:to>
          <xdr:col>25</xdr:col>
          <xdr:colOff>609600</xdr:colOff>
          <xdr:row>19</xdr:row>
          <xdr:rowOff>95250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18</xdr:row>
          <xdr:rowOff>76200</xdr:rowOff>
        </xdr:from>
        <xdr:to>
          <xdr:col>29</xdr:col>
          <xdr:colOff>0</xdr:colOff>
          <xdr:row>19</xdr:row>
          <xdr:rowOff>95250</xdr:rowOff>
        </xdr:to>
        <xdr:sp macro="" textlink="">
          <xdr:nvSpPr>
            <xdr:cNvPr id="9253" name="Button 37"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21</xdr:row>
          <xdr:rowOff>114300</xdr:rowOff>
        </xdr:from>
        <xdr:to>
          <xdr:col>25</xdr:col>
          <xdr:colOff>600075</xdr:colOff>
          <xdr:row>22</xdr:row>
          <xdr:rowOff>114300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200-00002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9255" name="Check Box 39"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21</xdr:row>
          <xdr:rowOff>104775</xdr:rowOff>
        </xdr:from>
        <xdr:to>
          <xdr:col>28</xdr:col>
          <xdr:colOff>600075</xdr:colOff>
          <xdr:row>22</xdr:row>
          <xdr:rowOff>114300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200-00002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85725</xdr:rowOff>
        </xdr:to>
        <xdr:sp macro="" textlink="">
          <xdr:nvSpPr>
            <xdr:cNvPr id="9257" name="Check Box 41" hidden="1">
              <a:extLst>
                <a:ext uri="{63B3BB69-23CF-44E3-9099-C40C66FF867C}">
                  <a14:compatExt spid="_x0000_s9257"/>
                </a:ext>
                <a:ext uri="{FF2B5EF4-FFF2-40B4-BE49-F238E27FC236}">
                  <a16:creationId xmlns:a16="http://schemas.microsoft.com/office/drawing/2014/main" id="{00000000-0008-0000-0200-00002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85725</xdr:rowOff>
        </xdr:to>
        <xdr:sp macro="" textlink="">
          <xdr:nvSpPr>
            <xdr:cNvPr id="9258" name="Check Box 42" hidden="1">
              <a:extLst>
                <a:ext uri="{63B3BB69-23CF-44E3-9099-C40C66FF867C}">
                  <a14:compatExt spid="_x0000_s9258"/>
                </a:ext>
                <a:ext uri="{FF2B5EF4-FFF2-40B4-BE49-F238E27FC236}">
                  <a16:creationId xmlns:a16="http://schemas.microsoft.com/office/drawing/2014/main" id="{00000000-0008-0000-0200-00002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85725</xdr:rowOff>
        </xdr:to>
        <xdr:sp macro="" textlink="">
          <xdr:nvSpPr>
            <xdr:cNvPr id="9259" name="Check Box 43" hidden="1">
              <a:extLst>
                <a:ext uri="{63B3BB69-23CF-44E3-9099-C40C66FF867C}">
                  <a14:compatExt spid="_x0000_s9259"/>
                </a:ext>
                <a:ext uri="{FF2B5EF4-FFF2-40B4-BE49-F238E27FC236}">
                  <a16:creationId xmlns:a16="http://schemas.microsoft.com/office/drawing/2014/main" id="{00000000-0008-0000-0200-00002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13</xdr:row>
          <xdr:rowOff>142875</xdr:rowOff>
        </xdr:from>
        <xdr:to>
          <xdr:col>28</xdr:col>
          <xdr:colOff>0</xdr:colOff>
          <xdr:row>15</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200-00002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104775</xdr:rowOff>
        </xdr:from>
        <xdr:to>
          <xdr:col>27</xdr:col>
          <xdr:colOff>0</xdr:colOff>
          <xdr:row>22</xdr:row>
          <xdr:rowOff>114300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200-00002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314325</xdr:colOff>
          <xdr:row>17</xdr:row>
          <xdr:rowOff>0</xdr:rowOff>
        </xdr:from>
        <xdr:to>
          <xdr:col>28</xdr:col>
          <xdr:colOff>609600</xdr:colOff>
          <xdr:row>17</xdr:row>
          <xdr:rowOff>200025</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2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15</xdr:row>
          <xdr:rowOff>57150</xdr:rowOff>
        </xdr:from>
        <xdr:to>
          <xdr:col>29</xdr:col>
          <xdr:colOff>0</xdr:colOff>
          <xdr:row>16</xdr:row>
          <xdr:rowOff>104775</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2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ALL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xdr:colOff>
          <xdr:row>12</xdr:row>
          <xdr:rowOff>76200</xdr:rowOff>
        </xdr:from>
        <xdr:to>
          <xdr:col>29</xdr:col>
          <xdr:colOff>9525</xdr:colOff>
          <xdr:row>13</xdr:row>
          <xdr:rowOff>95250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200-00003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0</xdr:row>
          <xdr:rowOff>57150</xdr:rowOff>
        </xdr:from>
        <xdr:to>
          <xdr:col>29</xdr:col>
          <xdr:colOff>295275</xdr:colOff>
          <xdr:row>2</xdr:row>
          <xdr:rowOff>66675</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200-00003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3</xdr:row>
          <xdr:rowOff>0</xdr:rowOff>
        </xdr:from>
        <xdr:to>
          <xdr:col>29</xdr:col>
          <xdr:colOff>285750</xdr:colOff>
          <xdr:row>4</xdr:row>
          <xdr:rowOff>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200-00003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5</xdr:row>
          <xdr:rowOff>0</xdr:rowOff>
        </xdr:from>
        <xdr:to>
          <xdr:col>29</xdr:col>
          <xdr:colOff>285750</xdr:colOff>
          <xdr:row>6</xdr:row>
          <xdr:rowOff>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2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11</xdr:row>
          <xdr:rowOff>0</xdr:rowOff>
        </xdr:from>
        <xdr:to>
          <xdr:col>29</xdr:col>
          <xdr:colOff>285750</xdr:colOff>
          <xdr:row>12</xdr:row>
          <xdr:rowOff>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200-00003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104775</xdr:rowOff>
        </xdr:from>
        <xdr:to>
          <xdr:col>25</xdr:col>
          <xdr:colOff>228600</xdr:colOff>
          <xdr:row>21</xdr:row>
          <xdr:rowOff>85725</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200-00003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104775</xdr:rowOff>
        </xdr:from>
        <xdr:to>
          <xdr:col>28</xdr:col>
          <xdr:colOff>0</xdr:colOff>
          <xdr:row>21</xdr:row>
          <xdr:rowOff>95250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200-00003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0.01632</cdr:x>
      <cdr:y>0.0198</cdr:y>
    </cdr:from>
    <cdr:to>
      <cdr:x>0.01632</cdr:x>
      <cdr:y>0.91263</cdr:y>
    </cdr:to>
    <cdr:cxnSp macro="">
      <cdr:nvCxnSpPr>
        <cdr:cNvPr id="3" name="Straight Connector 2">
          <a:extLst xmlns:a="http://schemas.openxmlformats.org/drawingml/2006/main">
            <a:ext uri="{FF2B5EF4-FFF2-40B4-BE49-F238E27FC236}">
              <a16:creationId xmlns:a16="http://schemas.microsoft.com/office/drawing/2014/main" id="{4A8914BD-7B63-480D-9B73-FCAEA74DEAD6}"/>
            </a:ext>
          </a:extLst>
        </cdr:cNvPr>
        <cdr:cNvCxnSpPr/>
      </cdr:nvCxnSpPr>
      <cdr:spPr>
        <a:xfrm xmlns:a="http://schemas.openxmlformats.org/drawingml/2006/main" flipV="1">
          <a:off x="238125" y="138114"/>
          <a:ext cx="0" cy="622935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0.12559</cdr:y>
    </cdr:to>
    <cdr:sp macro="" textlink="">
      <cdr:nvSpPr>
        <cdr:cNvPr id="2" name="TextBox 1"/>
        <cdr:cNvSpPr txBox="1"/>
      </cdr:nvSpPr>
      <cdr:spPr>
        <a:xfrm xmlns:a="http://schemas.openxmlformats.org/drawingml/2006/main">
          <a:off x="13363575" y="147639"/>
          <a:ext cx="1152525" cy="733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19
254: 6</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0.71318</cdr:x>
      <cdr:y>0.33591</cdr:y>
    </cdr:from>
    <cdr:to>
      <cdr:x>0.90458</cdr:x>
      <cdr:y>0.81853</cdr:y>
    </cdr:to>
    <cdr:sp macro="" textlink="">
      <cdr:nvSpPr>
        <cdr:cNvPr id="2" name="TextBox 1"/>
        <cdr:cNvSpPr txBox="1"/>
      </cdr:nvSpPr>
      <cdr:spPr>
        <a:xfrm xmlns:a="http://schemas.openxmlformats.org/drawingml/2006/main">
          <a:off x="1744733" y="828675"/>
          <a:ext cx="468245" cy="1190618"/>
        </a:xfrm>
        <a:prstGeom xmlns:a="http://schemas.openxmlformats.org/drawingml/2006/main" prst="rect">
          <a:avLst/>
        </a:prstGeom>
      </cdr:spPr>
      <cdr:txBody>
        <a:bodyPr xmlns:a="http://schemas.openxmlformats.org/drawingml/2006/main" vertOverflow="clip" wrap="square" lIns="46800" rIns="46800" rtlCol="0"/>
        <a:lstStyle xmlns:a="http://schemas.openxmlformats.org/drawingml/2006/main"/>
        <a:p xmlns:a="http://schemas.openxmlformats.org/drawingml/2006/main">
          <a:pPr algn="r"/>
          <a:r>
            <a:rPr lang="en-AU" sz="1100">
              <a:latin typeface="Arial" panose="020B0604020202020204" pitchFamily="34" charset="0"/>
              <a:cs typeface="Arial" panose="020B0604020202020204" pitchFamily="34" charset="0"/>
            </a:rPr>
            <a:t>MW</a:t>
          </a:r>
        </a:p>
      </cdr:txBody>
    </cdr:sp>
  </cdr:relSizeAnchor>
  <cdr:relSizeAnchor xmlns:cdr="http://schemas.openxmlformats.org/drawingml/2006/chartDrawing">
    <cdr:from>
      <cdr:x>0.69141</cdr:x>
      <cdr:y>0.01544</cdr:y>
    </cdr:from>
    <cdr:to>
      <cdr:x>0.89844</cdr:x>
      <cdr:y>0.07336</cdr:y>
    </cdr:to>
    <cdr:sp macro="" textlink="">
      <cdr:nvSpPr>
        <cdr:cNvPr id="3" name="TextBox 2"/>
        <cdr:cNvSpPr txBox="1"/>
      </cdr:nvSpPr>
      <cdr:spPr>
        <a:xfrm xmlns:a="http://schemas.openxmlformats.org/drawingml/2006/main">
          <a:off x="1685924" y="38100"/>
          <a:ext cx="504825" cy="142875"/>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Max</a:t>
          </a: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9525</xdr:colOff>
      <xdr:row>6</xdr:row>
      <xdr:rowOff>104775</xdr:rowOff>
    </xdr:from>
    <xdr:to>
      <xdr:col>22</xdr:col>
      <xdr:colOff>600075</xdr:colOff>
      <xdr:row>36</xdr:row>
      <xdr:rowOff>152399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457200</xdr:colOff>
          <xdr:row>0</xdr:row>
          <xdr:rowOff>38100</xdr:rowOff>
        </xdr:from>
        <xdr:to>
          <xdr:col>26</xdr:col>
          <xdr:colOff>161925</xdr:colOff>
          <xdr:row>1</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Checked Peaks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30</xdr:row>
          <xdr:rowOff>171450</xdr:rowOff>
        </xdr:from>
        <xdr:to>
          <xdr:col>26</xdr:col>
          <xdr:colOff>171450</xdr:colOff>
          <xdr:row>32</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34</xdr:row>
          <xdr:rowOff>0</xdr:rowOff>
        </xdr:from>
        <xdr:to>
          <xdr:col>26</xdr:col>
          <xdr:colOff>171450</xdr:colOff>
          <xdr:row>35</xdr:row>
          <xdr:rowOff>180975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28</xdr:row>
          <xdr:rowOff>104775</xdr:rowOff>
        </xdr:from>
        <xdr:to>
          <xdr:col>26</xdr:col>
          <xdr:colOff>171450</xdr:colOff>
          <xdr:row>29</xdr:row>
          <xdr:rowOff>180975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26</xdr:row>
          <xdr:rowOff>114300</xdr:rowOff>
        </xdr:from>
        <xdr:to>
          <xdr:col>26</xdr:col>
          <xdr:colOff>171450</xdr:colOff>
          <xdr:row>28</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12</xdr:row>
          <xdr:rowOff>152400</xdr:rowOff>
        </xdr:from>
        <xdr:to>
          <xdr:col>28</xdr:col>
          <xdr:colOff>600075</xdr:colOff>
          <xdr:row>14</xdr:row>
          <xdr:rowOff>19050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14</xdr:row>
          <xdr:rowOff>180975</xdr:rowOff>
        </xdr:from>
        <xdr:to>
          <xdr:col>28</xdr:col>
          <xdr:colOff>600075</xdr:colOff>
          <xdr:row>17</xdr:row>
          <xdr:rowOff>9525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18</xdr:row>
          <xdr:rowOff>152400</xdr:rowOff>
        </xdr:from>
        <xdr:to>
          <xdr:col>28</xdr:col>
          <xdr:colOff>600075</xdr:colOff>
          <xdr:row>20</xdr:row>
          <xdr:rowOff>28575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20</xdr:row>
          <xdr:rowOff>180975</xdr:rowOff>
        </xdr:from>
        <xdr:to>
          <xdr:col>28</xdr:col>
          <xdr:colOff>600075</xdr:colOff>
          <xdr:row>23</xdr:row>
          <xdr:rowOff>9525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161925</xdr:rowOff>
        </xdr:from>
        <xdr:to>
          <xdr:col>28</xdr:col>
          <xdr:colOff>600075</xdr:colOff>
          <xdr:row>2</xdr:row>
          <xdr:rowOff>28575</xdr:rowOff>
        </xdr:to>
        <xdr:sp macro="" textlink="">
          <xdr:nvSpPr>
            <xdr:cNvPr id="4110" name="Button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xdr:row>
          <xdr:rowOff>0</xdr:rowOff>
        </xdr:from>
        <xdr:to>
          <xdr:col>28</xdr:col>
          <xdr:colOff>600075</xdr:colOff>
          <xdr:row>5</xdr:row>
          <xdr:rowOff>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6</xdr:row>
          <xdr:rowOff>152400</xdr:rowOff>
        </xdr:from>
        <xdr:to>
          <xdr:col>28</xdr:col>
          <xdr:colOff>600075</xdr:colOff>
          <xdr:row>8</xdr:row>
          <xdr:rowOff>28575</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8</xdr:row>
          <xdr:rowOff>180975</xdr:rowOff>
        </xdr:from>
        <xdr:to>
          <xdr:col>28</xdr:col>
          <xdr:colOff>600075</xdr:colOff>
          <xdr:row>11</xdr:row>
          <xdr:rowOff>9525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24</xdr:row>
          <xdr:rowOff>114300</xdr:rowOff>
        </xdr:from>
        <xdr:to>
          <xdr:col>26</xdr:col>
          <xdr:colOff>171450</xdr:colOff>
          <xdr:row>26</xdr:row>
          <xdr:rowOff>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25</xdr:row>
          <xdr:rowOff>0</xdr:rowOff>
        </xdr:from>
        <xdr:to>
          <xdr:col>28</xdr:col>
          <xdr:colOff>600075</xdr:colOff>
          <xdr:row>26</xdr:row>
          <xdr:rowOff>9525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Polar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28</xdr:row>
          <xdr:rowOff>0</xdr:rowOff>
        </xdr:from>
        <xdr:to>
          <xdr:col>29</xdr:col>
          <xdr:colOff>0</xdr:colOff>
          <xdr:row>29</xdr:row>
          <xdr:rowOff>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NonPol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26</xdr:row>
          <xdr:rowOff>95250</xdr:rowOff>
        </xdr:from>
        <xdr:to>
          <xdr:col>28</xdr:col>
          <xdr:colOff>600075</xdr:colOff>
          <xdr:row>27</xdr:row>
          <xdr:rowOff>95250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Intermed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30</xdr:row>
          <xdr:rowOff>180975</xdr:rowOff>
        </xdr:from>
        <xdr:to>
          <xdr:col>28</xdr:col>
          <xdr:colOff>600075</xdr:colOff>
          <xdr:row>32</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Acidic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34</xdr:row>
          <xdr:rowOff>0</xdr:rowOff>
        </xdr:from>
        <xdr:to>
          <xdr:col>28</xdr:col>
          <xdr:colOff>600075</xdr:colOff>
          <xdr:row>35</xdr:row>
          <xdr:rowOff>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32</xdr:row>
          <xdr:rowOff>85725</xdr:rowOff>
        </xdr:from>
        <xdr:to>
          <xdr:col>28</xdr:col>
          <xdr:colOff>600075</xdr:colOff>
          <xdr:row>33</xdr:row>
          <xdr:rowOff>104775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Neutral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9525</xdr:rowOff>
        </xdr:from>
        <xdr:to>
          <xdr:col>26</xdr:col>
          <xdr:colOff>9525</xdr:colOff>
          <xdr:row>9</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300-00001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13</xdr:row>
          <xdr:rowOff>0</xdr:rowOff>
        </xdr:from>
        <xdr:to>
          <xdr:col>26</xdr:col>
          <xdr:colOff>0</xdr:colOff>
          <xdr:row>15</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Next</a:t>
              </a:r>
            </a:p>
          </xdr:txBody>
        </xdr:sp>
        <xdr:clientData fPrintsWithSheet="0"/>
      </xdr:twoCellAnchor>
    </mc:Choice>
    <mc:Fallback/>
  </mc:AlternateContent>
  <xdr:twoCellAnchor>
    <xdr:from>
      <xdr:col>23</xdr:col>
      <xdr:colOff>457200</xdr:colOff>
      <xdr:row>3</xdr:row>
      <xdr:rowOff>114301</xdr:rowOff>
    </xdr:from>
    <xdr:to>
      <xdr:col>26</xdr:col>
      <xdr:colOff>152400</xdr:colOff>
      <xdr:row>23</xdr:row>
      <xdr:rowOff>19051</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4478000" y="685801"/>
          <a:ext cx="1495425" cy="3752850"/>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xdr:from>
          <xdr:col>24</xdr:col>
          <xdr:colOff>0</xdr:colOff>
          <xdr:row>15</xdr:row>
          <xdr:rowOff>180975</xdr:rowOff>
        </xdr:from>
        <xdr:to>
          <xdr:col>26</xdr:col>
          <xdr:colOff>0</xdr:colOff>
          <xdr:row>17</xdr:row>
          <xdr:rowOff>190500</xdr:rowOff>
        </xdr:to>
        <xdr:sp macro="" textlink="">
          <xdr:nvSpPr>
            <xdr:cNvPr id="4127" name="Button 31" hidden="1">
              <a:extLst>
                <a:ext uri="{63B3BB69-23CF-44E3-9099-C40C66FF867C}">
                  <a14:compatExt spid="_x0000_s4127"/>
                </a:ext>
                <a:ext uri="{FF2B5EF4-FFF2-40B4-BE49-F238E27FC236}">
                  <a16:creationId xmlns:a16="http://schemas.microsoft.com/office/drawing/2014/main" id="{00000000-0008-0000-0300-00001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Keep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5</xdr:row>
          <xdr:rowOff>66675</xdr:rowOff>
        </xdr:from>
        <xdr:to>
          <xdr:col>25</xdr:col>
          <xdr:colOff>1104900</xdr:colOff>
          <xdr:row>6</xdr:row>
          <xdr:rowOff>114300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Increment Class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590550</xdr:colOff>
          <xdr:row>19</xdr:row>
          <xdr:rowOff>95250</xdr:rowOff>
        </xdr:from>
        <xdr:to>
          <xdr:col>26</xdr:col>
          <xdr:colOff>0</xdr:colOff>
          <xdr:row>22</xdr:row>
          <xdr:rowOff>104775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and Copy</a:t>
              </a:r>
            </a:p>
          </xdr:txBody>
        </xdr:sp>
        <xdr:clientData fPrintsWithSheet="0"/>
      </xdr:twoCellAnchor>
    </mc:Choice>
    <mc:Fallback/>
  </mc:AlternateContent>
  <xdr:twoCellAnchor>
    <xdr:from>
      <xdr:col>0</xdr:col>
      <xdr:colOff>19049</xdr:colOff>
      <xdr:row>0</xdr:row>
      <xdr:rowOff>0</xdr:rowOff>
    </xdr:from>
    <xdr:to>
      <xdr:col>20</xdr:col>
      <xdr:colOff>0</xdr:colOff>
      <xdr:row>6</xdr:row>
      <xdr:rowOff>104775</xdr:rowOff>
    </xdr:to>
    <xdr:graphicFrame macro="">
      <xdr:nvGraphicFramePr>
        <xdr:cNvPr id="29" name="Chart 28">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9525</xdr:colOff>
          <xdr:row>1</xdr:row>
          <xdr:rowOff>9525</xdr:rowOff>
        </xdr:from>
        <xdr:to>
          <xdr:col>21</xdr:col>
          <xdr:colOff>600075</xdr:colOff>
          <xdr:row>1</xdr:row>
          <xdr:rowOff>190500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xdr:row>
          <xdr:rowOff>0</xdr:rowOff>
        </xdr:from>
        <xdr:to>
          <xdr:col>22</xdr:col>
          <xdr:colOff>600075</xdr:colOff>
          <xdr:row>2</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3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3</xdr:row>
          <xdr:rowOff>0</xdr:rowOff>
        </xdr:from>
        <xdr:to>
          <xdr:col>21</xdr:col>
          <xdr:colOff>295275</xdr:colOff>
          <xdr:row>4</xdr:row>
          <xdr:rowOff>0</xdr:rowOff>
        </xdr:to>
        <xdr:sp macro="" textlink="">
          <xdr:nvSpPr>
            <xdr:cNvPr id="4134" name="Button 38" hidden="1">
              <a:extLst>
                <a:ext uri="{63B3BB69-23CF-44E3-9099-C40C66FF867C}">
                  <a14:compatExt spid="_x0000_s4134"/>
                </a:ext>
                <a:ext uri="{FF2B5EF4-FFF2-40B4-BE49-F238E27FC236}">
                  <a16:creationId xmlns:a16="http://schemas.microsoft.com/office/drawing/2014/main" id="{00000000-0008-0000-0300-00002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2</xdr:row>
          <xdr:rowOff>180975</xdr:rowOff>
        </xdr:from>
        <xdr:to>
          <xdr:col>21</xdr:col>
          <xdr:colOff>600075</xdr:colOff>
          <xdr:row>3</xdr:row>
          <xdr:rowOff>190500</xdr:rowOff>
        </xdr:to>
        <xdr:sp macro="" textlink="">
          <xdr:nvSpPr>
            <xdr:cNvPr id="4135" name="Button 39" hidden="1">
              <a:extLst>
                <a:ext uri="{63B3BB69-23CF-44E3-9099-C40C66FF867C}">
                  <a14:compatExt spid="_x0000_s4135"/>
                </a:ext>
                <a:ext uri="{FF2B5EF4-FFF2-40B4-BE49-F238E27FC236}">
                  <a16:creationId xmlns:a16="http://schemas.microsoft.com/office/drawing/2014/main" id="{00000000-0008-0000-0300-00002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xdr:row>
          <xdr:rowOff>0</xdr:rowOff>
        </xdr:from>
        <xdr:to>
          <xdr:col>22</xdr:col>
          <xdr:colOff>295275</xdr:colOff>
          <xdr:row>4</xdr:row>
          <xdr:rowOff>0</xdr:rowOff>
        </xdr:to>
        <xdr:sp macro="" textlink="">
          <xdr:nvSpPr>
            <xdr:cNvPr id="4136" name="Button 40" hidden="1">
              <a:extLst>
                <a:ext uri="{63B3BB69-23CF-44E3-9099-C40C66FF867C}">
                  <a14:compatExt spid="_x0000_s4136"/>
                </a:ext>
                <a:ext uri="{FF2B5EF4-FFF2-40B4-BE49-F238E27FC236}">
                  <a16:creationId xmlns:a16="http://schemas.microsoft.com/office/drawing/2014/main" id="{00000000-0008-0000-0300-00002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314325</xdr:colOff>
          <xdr:row>2</xdr:row>
          <xdr:rowOff>180975</xdr:rowOff>
        </xdr:from>
        <xdr:to>
          <xdr:col>22</xdr:col>
          <xdr:colOff>600075</xdr:colOff>
          <xdr:row>3</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xdr:row>
          <xdr:rowOff>0</xdr:rowOff>
        </xdr:from>
        <xdr:to>
          <xdr:col>21</xdr:col>
          <xdr:colOff>295275</xdr:colOff>
          <xdr:row>4</xdr:row>
          <xdr:rowOff>209550</xdr:rowOff>
        </xdr:to>
        <xdr:sp macro="" textlink="">
          <xdr:nvSpPr>
            <xdr:cNvPr id="4138" name="Button 42" hidden="1">
              <a:extLst>
                <a:ext uri="{63B3BB69-23CF-44E3-9099-C40C66FF867C}">
                  <a14:compatExt spid="_x0000_s4138"/>
                </a:ext>
                <a:ext uri="{FF2B5EF4-FFF2-40B4-BE49-F238E27FC236}">
                  <a16:creationId xmlns:a16="http://schemas.microsoft.com/office/drawing/2014/main" id="{00000000-0008-0000-0300-00002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4</xdr:row>
          <xdr:rowOff>0</xdr:rowOff>
        </xdr:from>
        <xdr:to>
          <xdr:col>21</xdr:col>
          <xdr:colOff>600075</xdr:colOff>
          <xdr:row>4</xdr:row>
          <xdr:rowOff>209550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300-00002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0</xdr:rowOff>
        </xdr:from>
        <xdr:to>
          <xdr:col>22</xdr:col>
          <xdr:colOff>295275</xdr:colOff>
          <xdr:row>4</xdr:row>
          <xdr:rowOff>200025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314325</xdr:colOff>
          <xdr:row>4</xdr:row>
          <xdr:rowOff>0</xdr:rowOff>
        </xdr:from>
        <xdr:to>
          <xdr:col>22</xdr:col>
          <xdr:colOff>600075</xdr:colOff>
          <xdr:row>4</xdr:row>
          <xdr:rowOff>200025</xdr:rowOff>
        </xdr:to>
        <xdr:sp macro="" textlink="">
          <xdr:nvSpPr>
            <xdr:cNvPr id="4141" name="Button 45"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5</xdr:row>
          <xdr:rowOff>0</xdr:rowOff>
        </xdr:from>
        <xdr:to>
          <xdr:col>21</xdr:col>
          <xdr:colOff>600075</xdr:colOff>
          <xdr:row>6</xdr:row>
          <xdr:rowOff>9525</xdr:rowOff>
        </xdr:to>
        <xdr:sp macro="" textlink="">
          <xdr:nvSpPr>
            <xdr:cNvPr id="4142" name="Button 46"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5</xdr:row>
          <xdr:rowOff>0</xdr:rowOff>
        </xdr:from>
        <xdr:to>
          <xdr:col>22</xdr:col>
          <xdr:colOff>609600</xdr:colOff>
          <xdr:row>6</xdr:row>
          <xdr:rowOff>9525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2</xdr:row>
          <xdr:rowOff>9525</xdr:rowOff>
        </xdr:from>
        <xdr:to>
          <xdr:col>22</xdr:col>
          <xdr:colOff>600075</xdr:colOff>
          <xdr:row>3</xdr:row>
          <xdr:rowOff>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1</xdr:row>
          <xdr:rowOff>171450</xdr:rowOff>
        </xdr:from>
        <xdr:to>
          <xdr:col>26</xdr:col>
          <xdr:colOff>161925</xdr:colOff>
          <xdr:row>3</xdr:row>
          <xdr:rowOff>57150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Selected Class</a:t>
              </a:r>
            </a:p>
          </xdr:txBody>
        </xdr:sp>
        <xdr:clientData fPrintsWithSheet="0"/>
      </xdr:twoCellAnchor>
    </mc:Choice>
    <mc:Fallback/>
  </mc:AlternateContent>
</xdr:wsDr>
</file>

<file path=xl/drawings/drawing7.xml><?xml version="1.0" encoding="utf-8"?>
<c:userShapes xmlns:c="http://schemas.openxmlformats.org/drawingml/2006/chart">
  <cdr:relSizeAnchor xmlns:cdr="http://schemas.openxmlformats.org/drawingml/2006/chartDrawing">
    <cdr:from>
      <cdr:x>0.01632</cdr:x>
      <cdr:y>0.0198</cdr:y>
    </cdr:from>
    <cdr:to>
      <cdr:x>0.01632</cdr:x>
      <cdr:y>0.91263</cdr:y>
    </cdr:to>
    <cdr:cxnSp macro="">
      <cdr:nvCxnSpPr>
        <cdr:cNvPr id="3" name="Straight Connector 2">
          <a:extLst xmlns:a="http://schemas.openxmlformats.org/drawingml/2006/main">
            <a:ext uri="{FF2B5EF4-FFF2-40B4-BE49-F238E27FC236}">
              <a16:creationId xmlns:a16="http://schemas.microsoft.com/office/drawing/2014/main" id="{A79977C6-062B-4D1D-912E-B763E35B3B38}"/>
            </a:ext>
          </a:extLst>
        </cdr:cNvPr>
        <cdr:cNvCxnSpPr/>
      </cdr:nvCxnSpPr>
      <cdr:spPr>
        <a:xfrm xmlns:a="http://schemas.openxmlformats.org/drawingml/2006/main" flipV="1">
          <a:off x="238125" y="138114"/>
          <a:ext cx="0" cy="622935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0.01751</cdr:x>
      <cdr:y>0</cdr:y>
    </cdr:from>
    <cdr:to>
      <cdr:x>0.01751</cdr:x>
      <cdr:y>1</cdr:y>
    </cdr:to>
    <cdr:cxnSp macro="">
      <cdr:nvCxnSpPr>
        <cdr:cNvPr id="4" name="Straight Connector 3">
          <a:extLst xmlns:a="http://schemas.openxmlformats.org/drawingml/2006/main">
            <a:ext uri="{FF2B5EF4-FFF2-40B4-BE49-F238E27FC236}">
              <a16:creationId xmlns:a16="http://schemas.microsoft.com/office/drawing/2014/main" id="{06469AFB-7441-4B4D-81A5-BF772F62E22A}"/>
            </a:ext>
          </a:extLst>
        </cdr:cNvPr>
        <cdr:cNvCxnSpPr/>
      </cdr:nvCxnSpPr>
      <cdr:spPr>
        <a:xfrm xmlns:a="http://schemas.openxmlformats.org/drawingml/2006/main" flipV="1">
          <a:off x="213150" y="0"/>
          <a:ext cx="0" cy="129540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571500</xdr:colOff>
      <xdr:row>9</xdr:row>
      <xdr:rowOff>180975</xdr:rowOff>
    </xdr:to>
    <xdr:graphicFrame macro="">
      <xdr:nvGraphicFramePr>
        <xdr:cNvPr id="2" name="Chart Chromatogram">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15</xdr:row>
          <xdr:rowOff>19050</xdr:rowOff>
        </xdr:from>
        <xdr:to>
          <xdr:col>27</xdr:col>
          <xdr:colOff>0</xdr:colOff>
          <xdr:row>16</xdr:row>
          <xdr:rowOff>104775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4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400-00000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0400-00001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12305" name="Button 17" hidden="1">
              <a:extLst>
                <a:ext uri="{63B3BB69-23CF-44E3-9099-C40C66FF867C}">
                  <a14:compatExt spid="_x0000_s12305"/>
                </a:ext>
                <a:ext uri="{FF2B5EF4-FFF2-40B4-BE49-F238E27FC236}">
                  <a16:creationId xmlns:a16="http://schemas.microsoft.com/office/drawing/2014/main" id="{00000000-0008-0000-0400-00001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4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4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4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600075</xdr:colOff>
          <xdr:row>22</xdr:row>
          <xdr:rowOff>180975</xdr:rowOff>
        </xdr:from>
        <xdr:to>
          <xdr:col>26</xdr:col>
          <xdr:colOff>600075</xdr:colOff>
          <xdr:row>25</xdr:row>
          <xdr:rowOff>0</xdr:rowOff>
        </xdr:to>
        <xdr:sp macro="" textlink="">
          <xdr:nvSpPr>
            <xdr:cNvPr id="12315" name="Button 27" hidden="1">
              <a:extLst>
                <a:ext uri="{63B3BB69-23CF-44E3-9099-C40C66FF867C}">
                  <a14:compatExt spid="_x0000_s12315"/>
                </a:ext>
                <a:ext uri="{FF2B5EF4-FFF2-40B4-BE49-F238E27FC236}">
                  <a16:creationId xmlns:a16="http://schemas.microsoft.com/office/drawing/2014/main" id="{00000000-0008-0000-0400-00001B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57150</xdr:rowOff>
        </xdr:from>
        <xdr:to>
          <xdr:col>28</xdr:col>
          <xdr:colOff>447675</xdr:colOff>
          <xdr:row>2</xdr:row>
          <xdr:rowOff>66675</xdr:rowOff>
        </xdr:to>
        <xdr:sp macro="" textlink="">
          <xdr:nvSpPr>
            <xdr:cNvPr id="12316" name="Button 28" hidden="1">
              <a:extLst>
                <a:ext uri="{63B3BB69-23CF-44E3-9099-C40C66FF867C}">
                  <a14:compatExt spid="_x0000_s12316"/>
                </a:ext>
                <a:ext uri="{FF2B5EF4-FFF2-40B4-BE49-F238E27FC236}">
                  <a16:creationId xmlns:a16="http://schemas.microsoft.com/office/drawing/2014/main" id="{00000000-0008-0000-0400-00001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xdr:row>
          <xdr:rowOff>190500</xdr:rowOff>
        </xdr:from>
        <xdr:to>
          <xdr:col>28</xdr:col>
          <xdr:colOff>447675</xdr:colOff>
          <xdr:row>3</xdr:row>
          <xdr:rowOff>190500</xdr:rowOff>
        </xdr:to>
        <xdr:sp macro="" textlink="">
          <xdr:nvSpPr>
            <xdr:cNvPr id="12317" name="Button 29" hidden="1">
              <a:extLst>
                <a:ext uri="{63B3BB69-23CF-44E3-9099-C40C66FF867C}">
                  <a14:compatExt spid="_x0000_s12317"/>
                </a:ext>
                <a:ext uri="{FF2B5EF4-FFF2-40B4-BE49-F238E27FC236}">
                  <a16:creationId xmlns:a16="http://schemas.microsoft.com/office/drawing/2014/main" id="{00000000-0008-0000-0400-00001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4</xdr:row>
          <xdr:rowOff>200025</xdr:rowOff>
        </xdr:from>
        <xdr:to>
          <xdr:col>28</xdr:col>
          <xdr:colOff>447675</xdr:colOff>
          <xdr:row>6</xdr:row>
          <xdr:rowOff>0</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400-00001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11</xdr:row>
          <xdr:rowOff>0</xdr:rowOff>
        </xdr:from>
        <xdr:to>
          <xdr:col>28</xdr:col>
          <xdr:colOff>447675</xdr:colOff>
          <xdr:row>12</xdr:row>
          <xdr:rowOff>0</xdr:rowOff>
        </xdr:to>
        <xdr:sp macro="" textlink="">
          <xdr:nvSpPr>
            <xdr:cNvPr id="12321" name="Button 33" hidden="1">
              <a:extLst>
                <a:ext uri="{63B3BB69-23CF-44E3-9099-C40C66FF867C}">
                  <a14:compatExt spid="_x0000_s12321"/>
                </a:ext>
                <a:ext uri="{FF2B5EF4-FFF2-40B4-BE49-F238E27FC236}">
                  <a16:creationId xmlns:a16="http://schemas.microsoft.com/office/drawing/2014/main" id="{00000000-0008-0000-0400-00002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18</xdr:row>
          <xdr:rowOff>76200</xdr:rowOff>
        </xdr:from>
        <xdr:to>
          <xdr:col>27</xdr:col>
          <xdr:colOff>9525</xdr:colOff>
          <xdr:row>19</xdr:row>
          <xdr:rowOff>95250</xdr:rowOff>
        </xdr:to>
        <xdr:sp macro="" textlink="">
          <xdr:nvSpPr>
            <xdr:cNvPr id="12322" name="Button 34" hidden="1">
              <a:extLst>
                <a:ext uri="{63B3BB69-23CF-44E3-9099-C40C66FF867C}">
                  <a14:compatExt spid="_x0000_s12322"/>
                </a:ext>
                <a:ext uri="{FF2B5EF4-FFF2-40B4-BE49-F238E27FC236}">
                  <a16:creationId xmlns:a16="http://schemas.microsoft.com/office/drawing/2014/main" id="{00000000-0008-0000-0400-00002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18</xdr:row>
          <xdr:rowOff>76200</xdr:rowOff>
        </xdr:from>
        <xdr:to>
          <xdr:col>25</xdr:col>
          <xdr:colOff>609600</xdr:colOff>
          <xdr:row>19</xdr:row>
          <xdr:rowOff>95250</xdr:rowOff>
        </xdr:to>
        <xdr:sp macro="" textlink="">
          <xdr:nvSpPr>
            <xdr:cNvPr id="12323" name="Button 35" hidden="1">
              <a:extLst>
                <a:ext uri="{63B3BB69-23CF-44E3-9099-C40C66FF867C}">
                  <a14:compatExt spid="_x0000_s12323"/>
                </a:ext>
                <a:ext uri="{FF2B5EF4-FFF2-40B4-BE49-F238E27FC236}">
                  <a16:creationId xmlns:a16="http://schemas.microsoft.com/office/drawing/2014/main" id="{00000000-0008-0000-0400-00002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18</xdr:row>
          <xdr:rowOff>76200</xdr:rowOff>
        </xdr:from>
        <xdr:to>
          <xdr:col>29</xdr:col>
          <xdr:colOff>0</xdr:colOff>
          <xdr:row>19</xdr:row>
          <xdr:rowOff>95250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400-00002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21</xdr:row>
          <xdr:rowOff>104775</xdr:rowOff>
        </xdr:from>
        <xdr:to>
          <xdr:col>25</xdr:col>
          <xdr:colOff>600075</xdr:colOff>
          <xdr:row>22</xdr:row>
          <xdr:rowOff>123825</xdr:rowOff>
        </xdr:to>
        <xdr:sp macro="" textlink="">
          <xdr:nvSpPr>
            <xdr:cNvPr id="12325" name="Button 37" hidden="1">
              <a:extLst>
                <a:ext uri="{63B3BB69-23CF-44E3-9099-C40C66FF867C}">
                  <a14:compatExt spid="_x0000_s12325"/>
                </a:ext>
                <a:ext uri="{FF2B5EF4-FFF2-40B4-BE49-F238E27FC236}">
                  <a16:creationId xmlns:a16="http://schemas.microsoft.com/office/drawing/2014/main" id="{00000000-0008-0000-0400-00002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12326" name="Check Box 39" hidden="1">
              <a:extLst>
                <a:ext uri="{63B3BB69-23CF-44E3-9099-C40C66FF867C}">
                  <a14:compatExt spid="_x0000_s12326"/>
                </a:ext>
                <a:ext uri="{FF2B5EF4-FFF2-40B4-BE49-F238E27FC236}">
                  <a16:creationId xmlns:a16="http://schemas.microsoft.com/office/drawing/2014/main" id="{00000000-0008-0000-0400-000026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21</xdr:row>
          <xdr:rowOff>104775</xdr:rowOff>
        </xdr:from>
        <xdr:to>
          <xdr:col>29</xdr:col>
          <xdr:colOff>0</xdr:colOff>
          <xdr:row>22</xdr:row>
          <xdr:rowOff>123825</xdr:rowOff>
        </xdr:to>
        <xdr:sp macro="" textlink="">
          <xdr:nvSpPr>
            <xdr:cNvPr id="12327" name="Button 39" hidden="1">
              <a:extLst>
                <a:ext uri="{63B3BB69-23CF-44E3-9099-C40C66FF867C}">
                  <a14:compatExt spid="_x0000_s12327"/>
                </a:ext>
                <a:ext uri="{FF2B5EF4-FFF2-40B4-BE49-F238E27FC236}">
                  <a16:creationId xmlns:a16="http://schemas.microsoft.com/office/drawing/2014/main" id="{00000000-0008-0000-0400-00002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104775</xdr:rowOff>
        </xdr:from>
        <xdr:to>
          <xdr:col>27</xdr:col>
          <xdr:colOff>19050</xdr:colOff>
          <xdr:row>22</xdr:row>
          <xdr:rowOff>123825</xdr:rowOff>
        </xdr:to>
        <xdr:sp macro="" textlink="">
          <xdr:nvSpPr>
            <xdr:cNvPr id="12332" name="Button 44" hidden="1">
              <a:extLst>
                <a:ext uri="{63B3BB69-23CF-44E3-9099-C40C66FF867C}">
                  <a14:compatExt spid="_x0000_s12332"/>
                </a:ext>
                <a:ext uri="{FF2B5EF4-FFF2-40B4-BE49-F238E27FC236}">
                  <a16:creationId xmlns:a16="http://schemas.microsoft.com/office/drawing/2014/main" id="{00000000-0008-0000-0400-00002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13</xdr:row>
          <xdr:rowOff>152400</xdr:rowOff>
        </xdr:from>
        <xdr:to>
          <xdr:col>29</xdr:col>
          <xdr:colOff>9525</xdr:colOff>
          <xdr:row>15</xdr:row>
          <xdr:rowOff>28575</xdr:rowOff>
        </xdr:to>
        <xdr:sp macro="" textlink="">
          <xdr:nvSpPr>
            <xdr:cNvPr id="12333" name="Button 45" hidden="1">
              <a:extLst>
                <a:ext uri="{63B3BB69-23CF-44E3-9099-C40C66FF867C}">
                  <a14:compatExt spid="_x0000_s12333"/>
                </a:ext>
                <a:ext uri="{FF2B5EF4-FFF2-40B4-BE49-F238E27FC236}">
                  <a16:creationId xmlns:a16="http://schemas.microsoft.com/office/drawing/2014/main" id="{00000000-0008-0000-0400-00002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15</xdr:row>
          <xdr:rowOff>38100</xdr:rowOff>
        </xdr:from>
        <xdr:to>
          <xdr:col>29</xdr:col>
          <xdr:colOff>0</xdr:colOff>
          <xdr:row>16</xdr:row>
          <xdr:rowOff>104775</xdr:rowOff>
        </xdr:to>
        <xdr:sp macro="" textlink="">
          <xdr:nvSpPr>
            <xdr:cNvPr id="12334" name="Button 46" hidden="1">
              <a:extLst>
                <a:ext uri="{63B3BB69-23CF-44E3-9099-C40C66FF867C}">
                  <a14:compatExt spid="_x0000_s12334"/>
                </a:ext>
                <a:ext uri="{FF2B5EF4-FFF2-40B4-BE49-F238E27FC236}">
                  <a16:creationId xmlns:a16="http://schemas.microsoft.com/office/drawing/2014/main" id="{00000000-0008-0000-0400-00002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ALL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34</xdr:row>
          <xdr:rowOff>142875</xdr:rowOff>
        </xdr:from>
        <xdr:to>
          <xdr:col>29</xdr:col>
          <xdr:colOff>0</xdr:colOff>
          <xdr:row>36</xdr:row>
          <xdr:rowOff>0</xdr:rowOff>
        </xdr:to>
        <xdr:sp macro="" textlink="">
          <xdr:nvSpPr>
            <xdr:cNvPr id="12335" name="Button 1" hidden="1">
              <a:extLst>
                <a:ext uri="{63B3BB69-23CF-44E3-9099-C40C66FF867C}">
                  <a14:compatExt spid="_x0000_s12335"/>
                </a:ext>
                <a:ext uri="{FF2B5EF4-FFF2-40B4-BE49-F238E27FC236}">
                  <a16:creationId xmlns:a16="http://schemas.microsoft.com/office/drawing/2014/main" id="{00000000-0008-0000-0400-00002F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Generate UV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85725</xdr:rowOff>
        </xdr:to>
        <xdr:sp macro="" textlink="">
          <xdr:nvSpPr>
            <xdr:cNvPr id="12336" name="Check Box 41" hidden="1">
              <a:extLst>
                <a:ext uri="{63B3BB69-23CF-44E3-9099-C40C66FF867C}">
                  <a14:compatExt spid="_x0000_s12336"/>
                </a:ext>
                <a:ext uri="{FF2B5EF4-FFF2-40B4-BE49-F238E27FC236}">
                  <a16:creationId xmlns:a16="http://schemas.microsoft.com/office/drawing/2014/main" id="{00000000-0008-0000-0400-00003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85725</xdr:rowOff>
        </xdr:to>
        <xdr:sp macro="" textlink="">
          <xdr:nvSpPr>
            <xdr:cNvPr id="12337" name="Check Box 42" hidden="1">
              <a:extLst>
                <a:ext uri="{63B3BB69-23CF-44E3-9099-C40C66FF867C}">
                  <a14:compatExt spid="_x0000_s12337"/>
                </a:ext>
                <a:ext uri="{FF2B5EF4-FFF2-40B4-BE49-F238E27FC236}">
                  <a16:creationId xmlns:a16="http://schemas.microsoft.com/office/drawing/2014/main" id="{00000000-0008-0000-0400-00003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85725</xdr:rowOff>
        </xdr:to>
        <xdr:sp macro="" textlink="">
          <xdr:nvSpPr>
            <xdr:cNvPr id="12338" name="Check Box 43" hidden="1">
              <a:extLst>
                <a:ext uri="{63B3BB69-23CF-44E3-9099-C40C66FF867C}">
                  <a14:compatExt spid="_x0000_s12338"/>
                </a:ext>
                <a:ext uri="{FF2B5EF4-FFF2-40B4-BE49-F238E27FC236}">
                  <a16:creationId xmlns:a16="http://schemas.microsoft.com/office/drawing/2014/main" id="{00000000-0008-0000-0400-00003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27</xdr:row>
          <xdr:rowOff>0</xdr:rowOff>
        </xdr:from>
        <xdr:to>
          <xdr:col>26</xdr:col>
          <xdr:colOff>600075</xdr:colOff>
          <xdr:row>28</xdr:row>
          <xdr:rowOff>9525</xdr:rowOff>
        </xdr:to>
        <xdr:sp macro="" textlink="">
          <xdr:nvSpPr>
            <xdr:cNvPr id="12341" name="Option Button 53" hidden="1">
              <a:extLst>
                <a:ext uri="{63B3BB69-23CF-44E3-9099-C40C66FF867C}">
                  <a14:compatExt spid="_x0000_s12341"/>
                </a:ext>
                <a:ext uri="{FF2B5EF4-FFF2-40B4-BE49-F238E27FC236}">
                  <a16:creationId xmlns:a16="http://schemas.microsoft.com/office/drawing/2014/main" id="{00000000-0008-0000-0400-00003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Display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28</xdr:row>
          <xdr:rowOff>0</xdr:rowOff>
        </xdr:from>
        <xdr:to>
          <xdr:col>26</xdr:col>
          <xdr:colOff>600075</xdr:colOff>
          <xdr:row>29</xdr:row>
          <xdr:rowOff>9525</xdr:rowOff>
        </xdr:to>
        <xdr:sp macro="" textlink="">
          <xdr:nvSpPr>
            <xdr:cNvPr id="12342" name="Option Button 54" hidden="1">
              <a:extLst>
                <a:ext uri="{63B3BB69-23CF-44E3-9099-C40C66FF867C}">
                  <a14:compatExt spid="_x0000_s12342"/>
                </a:ext>
                <a:ext uri="{FF2B5EF4-FFF2-40B4-BE49-F238E27FC236}">
                  <a16:creationId xmlns:a16="http://schemas.microsoft.com/office/drawing/2014/main" id="{00000000-0008-0000-0400-00003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29</xdr:row>
          <xdr:rowOff>9525</xdr:rowOff>
        </xdr:from>
        <xdr:to>
          <xdr:col>26</xdr:col>
          <xdr:colOff>600075</xdr:colOff>
          <xdr:row>30</xdr:row>
          <xdr:rowOff>9525</xdr:rowOff>
        </xdr:to>
        <xdr:sp macro="" textlink="">
          <xdr:nvSpPr>
            <xdr:cNvPr id="12343" name="Option Button 55" hidden="1">
              <a:extLst>
                <a:ext uri="{63B3BB69-23CF-44E3-9099-C40C66FF867C}">
                  <a14:compatExt spid="_x0000_s12343"/>
                </a:ext>
                <a:ext uri="{FF2B5EF4-FFF2-40B4-BE49-F238E27FC236}">
                  <a16:creationId xmlns:a16="http://schemas.microsoft.com/office/drawing/2014/main" id="{00000000-0008-0000-0400-00003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30</xdr:row>
          <xdr:rowOff>19050</xdr:rowOff>
        </xdr:from>
        <xdr:to>
          <xdr:col>26</xdr:col>
          <xdr:colOff>600075</xdr:colOff>
          <xdr:row>31</xdr:row>
          <xdr:rowOff>19050</xdr:rowOff>
        </xdr:to>
        <xdr:sp macro="" textlink="">
          <xdr:nvSpPr>
            <xdr:cNvPr id="12344" name="Option Button 56" hidden="1">
              <a:extLst>
                <a:ext uri="{63B3BB69-23CF-44E3-9099-C40C66FF867C}">
                  <a14:compatExt spid="_x0000_s12344"/>
                </a:ext>
                <a:ext uri="{FF2B5EF4-FFF2-40B4-BE49-F238E27FC236}">
                  <a16:creationId xmlns:a16="http://schemas.microsoft.com/office/drawing/2014/main" id="{00000000-0008-0000-0400-00003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 and Hide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304800</xdr:colOff>
          <xdr:row>17</xdr:row>
          <xdr:rowOff>9525</xdr:rowOff>
        </xdr:from>
        <xdr:to>
          <xdr:col>28</xdr:col>
          <xdr:colOff>600075</xdr:colOff>
          <xdr:row>18</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400-00003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Next Class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26</xdr:row>
          <xdr:rowOff>171450</xdr:rowOff>
        </xdr:from>
        <xdr:to>
          <xdr:col>29</xdr:col>
          <xdr:colOff>9525</xdr:colOff>
          <xdr:row>28</xdr:row>
          <xdr:rowOff>19050</xdr:rowOff>
        </xdr:to>
        <xdr:sp macro="" textlink="">
          <xdr:nvSpPr>
            <xdr:cNvPr id="12347" name="Check Box 59" hidden="1">
              <a:extLst>
                <a:ext uri="{63B3BB69-23CF-44E3-9099-C40C66FF867C}">
                  <a14:compatExt spid="_x0000_s12347"/>
                </a:ext>
                <a:ext uri="{FF2B5EF4-FFF2-40B4-BE49-F238E27FC236}">
                  <a16:creationId xmlns:a16="http://schemas.microsoft.com/office/drawing/2014/main" id="{00000000-0008-0000-0400-00003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Hidden Peaks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19050</xdr:colOff>
          <xdr:row>31</xdr:row>
          <xdr:rowOff>171450</xdr:rowOff>
        </xdr:from>
        <xdr:to>
          <xdr:col>29</xdr:col>
          <xdr:colOff>0</xdr:colOff>
          <xdr:row>34</xdr:row>
          <xdr:rowOff>57150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Update UV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0</xdr:row>
          <xdr:rowOff>57150</xdr:rowOff>
        </xdr:from>
        <xdr:to>
          <xdr:col>29</xdr:col>
          <xdr:colOff>266700</xdr:colOff>
          <xdr:row>2</xdr:row>
          <xdr:rowOff>66675</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2</xdr:row>
          <xdr:rowOff>190500</xdr:rowOff>
        </xdr:from>
        <xdr:to>
          <xdr:col>29</xdr:col>
          <xdr:colOff>266700</xdr:colOff>
          <xdr:row>3</xdr:row>
          <xdr:rowOff>190500</xdr:rowOff>
        </xdr:to>
        <xdr:sp macro="" textlink="">
          <xdr:nvSpPr>
            <xdr:cNvPr id="12352" name="Button 64" hidden="1">
              <a:extLst>
                <a:ext uri="{63B3BB69-23CF-44E3-9099-C40C66FF867C}">
                  <a14:compatExt spid="_x0000_s12352"/>
                </a:ext>
                <a:ext uri="{FF2B5EF4-FFF2-40B4-BE49-F238E27FC236}">
                  <a16:creationId xmlns:a16="http://schemas.microsoft.com/office/drawing/2014/main" id="{00000000-0008-0000-0400-00004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4</xdr:row>
          <xdr:rowOff>200025</xdr:rowOff>
        </xdr:from>
        <xdr:to>
          <xdr:col>29</xdr:col>
          <xdr:colOff>266700</xdr:colOff>
          <xdr:row>6</xdr:row>
          <xdr:rowOff>0</xdr:rowOff>
        </xdr:to>
        <xdr:sp macro="" textlink="">
          <xdr:nvSpPr>
            <xdr:cNvPr id="12353" name="Button 65" hidden="1">
              <a:extLst>
                <a:ext uri="{63B3BB69-23CF-44E3-9099-C40C66FF867C}">
                  <a14:compatExt spid="_x0000_s12353"/>
                </a:ext>
                <a:ext uri="{FF2B5EF4-FFF2-40B4-BE49-F238E27FC236}">
                  <a16:creationId xmlns:a16="http://schemas.microsoft.com/office/drawing/2014/main" id="{00000000-0008-0000-0400-00004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466725</xdr:colOff>
          <xdr:row>11</xdr:row>
          <xdr:rowOff>0</xdr:rowOff>
        </xdr:from>
        <xdr:to>
          <xdr:col>29</xdr:col>
          <xdr:colOff>276225</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400-00004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27</xdr:row>
          <xdr:rowOff>180975</xdr:rowOff>
        </xdr:from>
        <xdr:to>
          <xdr:col>29</xdr:col>
          <xdr:colOff>0</xdr:colOff>
          <xdr:row>29</xdr:row>
          <xdr:rowOff>9525</xdr:rowOff>
        </xdr:to>
        <xdr:sp macro="" textlink="">
          <xdr:nvSpPr>
            <xdr:cNvPr id="12357" name="Check Box 69" hidden="1">
              <a:extLst>
                <a:ext uri="{63B3BB69-23CF-44E3-9099-C40C66FF867C}">
                  <a14:compatExt spid="_x0000_s12357"/>
                </a:ext>
                <a:ext uri="{FF2B5EF4-FFF2-40B4-BE49-F238E27FC236}">
                  <a16:creationId xmlns:a16="http://schemas.microsoft.com/office/drawing/2014/main" id="{00000000-0008-0000-0400-00004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Watermark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29</xdr:row>
          <xdr:rowOff>0</xdr:rowOff>
        </xdr:from>
        <xdr:to>
          <xdr:col>29</xdr:col>
          <xdr:colOff>0</xdr:colOff>
          <xdr:row>30</xdr:row>
          <xdr:rowOff>19050</xdr:rowOff>
        </xdr:to>
        <xdr:sp macro="" textlink="">
          <xdr:nvSpPr>
            <xdr:cNvPr id="12358" name="Check Box 70" hidden="1">
              <a:extLst>
                <a:ext uri="{63B3BB69-23CF-44E3-9099-C40C66FF867C}">
                  <a14:compatExt spid="_x0000_s12358"/>
                </a:ext>
                <a:ext uri="{FF2B5EF4-FFF2-40B4-BE49-F238E27FC236}">
                  <a16:creationId xmlns:a16="http://schemas.microsoft.com/office/drawing/2014/main" id="{00000000-0008-0000-0400-00004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Darken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19</xdr:row>
          <xdr:rowOff>114300</xdr:rowOff>
        </xdr:from>
        <xdr:to>
          <xdr:col>27</xdr:col>
          <xdr:colOff>381000</xdr:colOff>
          <xdr:row>21</xdr:row>
          <xdr:rowOff>104775</xdr:rowOff>
        </xdr:to>
        <xdr:sp macro="" textlink="">
          <xdr:nvSpPr>
            <xdr:cNvPr id="12359" name="Button 71" hidden="1">
              <a:extLst>
                <a:ext uri="{63B3BB69-23CF-44E3-9099-C40C66FF867C}">
                  <a14:compatExt spid="_x0000_s12359"/>
                </a:ext>
                <a:ext uri="{FF2B5EF4-FFF2-40B4-BE49-F238E27FC236}">
                  <a16:creationId xmlns:a16="http://schemas.microsoft.com/office/drawing/2014/main" id="{00000000-0008-0000-0400-000047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114300</xdr:rowOff>
        </xdr:from>
        <xdr:to>
          <xdr:col>25</xdr:col>
          <xdr:colOff>600075</xdr:colOff>
          <xdr:row>21</xdr:row>
          <xdr:rowOff>95250</xdr:rowOff>
        </xdr:to>
        <xdr:sp macro="" textlink="">
          <xdr:nvSpPr>
            <xdr:cNvPr id="12360" name="Button 72" hidden="1">
              <a:extLst>
                <a:ext uri="{63B3BB69-23CF-44E3-9099-C40C66FF867C}">
                  <a14:compatExt spid="_x0000_s12360"/>
                </a:ext>
                <a:ext uri="{FF2B5EF4-FFF2-40B4-BE49-F238E27FC236}">
                  <a16:creationId xmlns:a16="http://schemas.microsoft.com/office/drawing/2014/main" id="{00000000-0008-0000-0400-000048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114300</xdr:rowOff>
        </xdr:from>
        <xdr:to>
          <xdr:col>25</xdr:col>
          <xdr:colOff>228600</xdr:colOff>
          <xdr:row>21</xdr:row>
          <xdr:rowOff>95250</xdr:rowOff>
        </xdr:to>
        <xdr:sp macro="" textlink="">
          <xdr:nvSpPr>
            <xdr:cNvPr id="12361" name="Button 73" hidden="1">
              <a:extLst>
                <a:ext uri="{63B3BB69-23CF-44E3-9099-C40C66FF867C}">
                  <a14:compatExt spid="_x0000_s12361"/>
                </a:ext>
                <a:ext uri="{FF2B5EF4-FFF2-40B4-BE49-F238E27FC236}">
                  <a16:creationId xmlns:a16="http://schemas.microsoft.com/office/drawing/2014/main" id="{00000000-0008-0000-0400-000049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114300</xdr:rowOff>
        </xdr:from>
        <xdr:to>
          <xdr:col>28</xdr:col>
          <xdr:colOff>0</xdr:colOff>
          <xdr:row>21</xdr:row>
          <xdr:rowOff>104775</xdr:rowOff>
        </xdr:to>
        <xdr:sp macro="" textlink="">
          <xdr:nvSpPr>
            <xdr:cNvPr id="12362" name="Button 74" hidden="1">
              <a:extLst>
                <a:ext uri="{63B3BB69-23CF-44E3-9099-C40C66FF867C}">
                  <a14:compatExt spid="_x0000_s12362"/>
                </a:ext>
                <a:ext uri="{FF2B5EF4-FFF2-40B4-BE49-F238E27FC236}">
                  <a16:creationId xmlns:a16="http://schemas.microsoft.com/office/drawing/2014/main" id="{00000000-0008-0000-0400-00004A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wsDr>
</file>

<file path=xl/drawings/drawing9.xml><?xml version="1.0" encoding="utf-8"?>
<c:userShapes xmlns:c="http://schemas.openxmlformats.org/drawingml/2006/chart">
  <cdr:relSizeAnchor xmlns:cdr="http://schemas.openxmlformats.org/drawingml/2006/chartDrawing">
    <cdr:from>
      <cdr:x>0.02959</cdr:x>
      <cdr:y>0.0198</cdr:y>
    </cdr:from>
    <cdr:to>
      <cdr:x>0.03024</cdr:x>
      <cdr:y>0.79327</cdr:y>
    </cdr:to>
    <cdr:cxnSp macro="">
      <cdr:nvCxnSpPr>
        <cdr:cNvPr id="3" name="Straight Connector 2">
          <a:extLst xmlns:a="http://schemas.openxmlformats.org/drawingml/2006/main">
            <a:ext uri="{FF2B5EF4-FFF2-40B4-BE49-F238E27FC236}">
              <a16:creationId xmlns:a16="http://schemas.microsoft.com/office/drawing/2014/main" id="{0509B1DB-04CC-4C9A-8D57-8E191726CC8C}"/>
            </a:ext>
          </a:extLst>
        </cdr:cNvPr>
        <cdr:cNvCxnSpPr/>
      </cdr:nvCxnSpPr>
      <cdr:spPr>
        <a:xfrm xmlns:a="http://schemas.openxmlformats.org/drawingml/2006/main" flipV="1">
          <a:off x="431800" y="39228"/>
          <a:ext cx="9485" cy="1532399"/>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0.44221</cdr:y>
    </cdr:to>
    <cdr:sp macro="" textlink="">
      <cdr:nvSpPr>
        <cdr:cNvPr id="2" name="TextBox 1"/>
        <cdr:cNvSpPr txBox="1"/>
      </cdr:nvSpPr>
      <cdr:spPr>
        <a:xfrm xmlns:a="http://schemas.openxmlformats.org/drawingml/2006/main">
          <a:off x="13363628" y="39900"/>
          <a:ext cx="1152500" cy="79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19
254: 6</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571500</xdr:colOff>
      <xdr:row>9</xdr:row>
      <xdr:rowOff>180975</xdr:rowOff>
    </xdr:to>
    <xdr:graphicFrame macro="">
      <xdr:nvGraphicFramePr>
        <xdr:cNvPr id="2" name="Chart Chromatogram">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5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0</xdr:colOff>
          <xdr:row>14</xdr:row>
          <xdr:rowOff>9525</xdr:rowOff>
        </xdr:from>
        <xdr:to>
          <xdr:col>29</xdr:col>
          <xdr:colOff>133350</xdr:colOff>
          <xdr:row>16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500-00000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5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500-00000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500-00000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5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500-00001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5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500-00001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16408" name="Button 24" hidden="1">
              <a:extLst>
                <a:ext uri="{63B3BB69-23CF-44E3-9099-C40C66FF867C}">
                  <a14:compatExt spid="_x0000_s16408"/>
                </a:ext>
                <a:ext uri="{FF2B5EF4-FFF2-40B4-BE49-F238E27FC236}">
                  <a16:creationId xmlns:a16="http://schemas.microsoft.com/office/drawing/2014/main" id="{00000000-0008-0000-0500-00001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57150</xdr:rowOff>
        </xdr:from>
        <xdr:to>
          <xdr:col>28</xdr:col>
          <xdr:colOff>447675</xdr:colOff>
          <xdr:row>2</xdr:row>
          <xdr:rowOff>66675</xdr:rowOff>
        </xdr:to>
        <xdr:sp macro="" textlink="">
          <xdr:nvSpPr>
            <xdr:cNvPr id="16410" name="Button 28" hidden="1">
              <a:extLst>
                <a:ext uri="{63B3BB69-23CF-44E3-9099-C40C66FF867C}">
                  <a14:compatExt spid="_x0000_s16410"/>
                </a:ext>
                <a:ext uri="{FF2B5EF4-FFF2-40B4-BE49-F238E27FC236}">
                  <a16:creationId xmlns:a16="http://schemas.microsoft.com/office/drawing/2014/main" id="{00000000-0008-0000-0500-00001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xdr:row>
          <xdr:rowOff>190500</xdr:rowOff>
        </xdr:from>
        <xdr:to>
          <xdr:col>28</xdr:col>
          <xdr:colOff>447675</xdr:colOff>
          <xdr:row>3</xdr:row>
          <xdr:rowOff>190500</xdr:rowOff>
        </xdr:to>
        <xdr:sp macro="" textlink="">
          <xdr:nvSpPr>
            <xdr:cNvPr id="16411" name="Button 29" hidden="1">
              <a:extLst>
                <a:ext uri="{63B3BB69-23CF-44E3-9099-C40C66FF867C}">
                  <a14:compatExt spid="_x0000_s16411"/>
                </a:ext>
                <a:ext uri="{FF2B5EF4-FFF2-40B4-BE49-F238E27FC236}">
                  <a16:creationId xmlns:a16="http://schemas.microsoft.com/office/drawing/2014/main" id="{00000000-0008-0000-0500-00001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4</xdr:row>
          <xdr:rowOff>200025</xdr:rowOff>
        </xdr:from>
        <xdr:to>
          <xdr:col>28</xdr:col>
          <xdr:colOff>447675</xdr:colOff>
          <xdr:row>6</xdr:row>
          <xdr:rowOff>0</xdr:rowOff>
        </xdr:to>
        <xdr:sp macro="" textlink="">
          <xdr:nvSpPr>
            <xdr:cNvPr id="16412" name="Button 30" hidden="1">
              <a:extLst>
                <a:ext uri="{63B3BB69-23CF-44E3-9099-C40C66FF867C}">
                  <a14:compatExt spid="_x0000_s16412"/>
                </a:ext>
                <a:ext uri="{FF2B5EF4-FFF2-40B4-BE49-F238E27FC236}">
                  <a16:creationId xmlns:a16="http://schemas.microsoft.com/office/drawing/2014/main" id="{00000000-0008-0000-0500-00001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11</xdr:row>
          <xdr:rowOff>0</xdr:rowOff>
        </xdr:from>
        <xdr:to>
          <xdr:col>28</xdr:col>
          <xdr:colOff>447675</xdr:colOff>
          <xdr:row>12</xdr:row>
          <xdr:rowOff>0</xdr:rowOff>
        </xdr:to>
        <xdr:sp macro="" textlink="">
          <xdr:nvSpPr>
            <xdr:cNvPr id="16415" name="Button 33" hidden="1">
              <a:extLst>
                <a:ext uri="{63B3BB69-23CF-44E3-9099-C40C66FF867C}">
                  <a14:compatExt spid="_x0000_s16415"/>
                </a:ext>
                <a:ext uri="{FF2B5EF4-FFF2-40B4-BE49-F238E27FC236}">
                  <a16:creationId xmlns:a16="http://schemas.microsoft.com/office/drawing/2014/main" id="{00000000-0008-0000-0500-00001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16420" name="Check Box 39" hidden="1">
              <a:extLst>
                <a:ext uri="{63B3BB69-23CF-44E3-9099-C40C66FF867C}">
                  <a14:compatExt spid="_x0000_s16420"/>
                </a:ext>
                <a:ext uri="{FF2B5EF4-FFF2-40B4-BE49-F238E27FC236}">
                  <a16:creationId xmlns:a16="http://schemas.microsoft.com/office/drawing/2014/main" id="{00000000-0008-0000-0500-0000244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76200</xdr:rowOff>
        </xdr:to>
        <xdr:sp macro="" textlink="">
          <xdr:nvSpPr>
            <xdr:cNvPr id="16426" name="Check Box 41" hidden="1">
              <a:extLst>
                <a:ext uri="{63B3BB69-23CF-44E3-9099-C40C66FF867C}">
                  <a14:compatExt spid="_x0000_s16426"/>
                </a:ext>
                <a:ext uri="{FF2B5EF4-FFF2-40B4-BE49-F238E27FC236}">
                  <a16:creationId xmlns:a16="http://schemas.microsoft.com/office/drawing/2014/main" id="{00000000-0008-0000-0500-00002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76200</xdr:rowOff>
        </xdr:to>
        <xdr:sp macro="" textlink="">
          <xdr:nvSpPr>
            <xdr:cNvPr id="16427" name="Check Box 42" hidden="1">
              <a:extLst>
                <a:ext uri="{63B3BB69-23CF-44E3-9099-C40C66FF867C}">
                  <a14:compatExt spid="_x0000_s16427"/>
                </a:ext>
                <a:ext uri="{FF2B5EF4-FFF2-40B4-BE49-F238E27FC236}">
                  <a16:creationId xmlns:a16="http://schemas.microsoft.com/office/drawing/2014/main" id="{00000000-0008-0000-05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76200</xdr:rowOff>
        </xdr:to>
        <xdr:sp macro="" textlink="">
          <xdr:nvSpPr>
            <xdr:cNvPr id="16428" name="Check Box 43" hidden="1">
              <a:extLst>
                <a:ext uri="{63B3BB69-23CF-44E3-9099-C40C66FF867C}">
                  <a14:compatExt spid="_x0000_s16428"/>
                </a:ext>
                <a:ext uri="{FF2B5EF4-FFF2-40B4-BE49-F238E27FC236}">
                  <a16:creationId xmlns:a16="http://schemas.microsoft.com/office/drawing/2014/main" id="{00000000-0008-0000-05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0</xdr:row>
          <xdr:rowOff>57150</xdr:rowOff>
        </xdr:from>
        <xdr:to>
          <xdr:col>29</xdr:col>
          <xdr:colOff>266700</xdr:colOff>
          <xdr:row>2</xdr:row>
          <xdr:rowOff>66675</xdr:rowOff>
        </xdr:to>
        <xdr:sp macro="" textlink="">
          <xdr:nvSpPr>
            <xdr:cNvPr id="16436" name="Button 50" hidden="1">
              <a:extLst>
                <a:ext uri="{63B3BB69-23CF-44E3-9099-C40C66FF867C}">
                  <a14:compatExt spid="_x0000_s16436"/>
                </a:ext>
                <a:ext uri="{FF2B5EF4-FFF2-40B4-BE49-F238E27FC236}">
                  <a16:creationId xmlns:a16="http://schemas.microsoft.com/office/drawing/2014/main" id="{00000000-0008-0000-0500-00003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2</xdr:row>
          <xdr:rowOff>190500</xdr:rowOff>
        </xdr:from>
        <xdr:to>
          <xdr:col>29</xdr:col>
          <xdr:colOff>266700</xdr:colOff>
          <xdr:row>3</xdr:row>
          <xdr:rowOff>190500</xdr:rowOff>
        </xdr:to>
        <xdr:sp macro="" textlink="">
          <xdr:nvSpPr>
            <xdr:cNvPr id="16437" name="Button 51" hidden="1">
              <a:extLst>
                <a:ext uri="{63B3BB69-23CF-44E3-9099-C40C66FF867C}">
                  <a14:compatExt spid="_x0000_s16437"/>
                </a:ext>
                <a:ext uri="{FF2B5EF4-FFF2-40B4-BE49-F238E27FC236}">
                  <a16:creationId xmlns:a16="http://schemas.microsoft.com/office/drawing/2014/main" id="{00000000-0008-0000-0500-00003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4</xdr:row>
          <xdr:rowOff>200025</xdr:rowOff>
        </xdr:from>
        <xdr:to>
          <xdr:col>29</xdr:col>
          <xdr:colOff>266700</xdr:colOff>
          <xdr:row>6</xdr:row>
          <xdr:rowOff>0</xdr:rowOff>
        </xdr:to>
        <xdr:sp macro="" textlink="">
          <xdr:nvSpPr>
            <xdr:cNvPr id="16438" name="Button 52" hidden="1">
              <a:extLst>
                <a:ext uri="{63B3BB69-23CF-44E3-9099-C40C66FF867C}">
                  <a14:compatExt spid="_x0000_s16438"/>
                </a:ext>
                <a:ext uri="{FF2B5EF4-FFF2-40B4-BE49-F238E27FC236}">
                  <a16:creationId xmlns:a16="http://schemas.microsoft.com/office/drawing/2014/main" id="{00000000-0008-0000-0500-00003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466725</xdr:colOff>
          <xdr:row>11</xdr:row>
          <xdr:rowOff>0</xdr:rowOff>
        </xdr:from>
        <xdr:to>
          <xdr:col>29</xdr:col>
          <xdr:colOff>276225</xdr:colOff>
          <xdr:row>12</xdr:row>
          <xdr:rowOff>0</xdr:rowOff>
        </xdr:to>
        <xdr:sp macro="" textlink="">
          <xdr:nvSpPr>
            <xdr:cNvPr id="16441" name="Button 55" hidden="1">
              <a:extLst>
                <a:ext uri="{63B3BB69-23CF-44E3-9099-C40C66FF867C}">
                  <a14:compatExt spid="_x0000_s16441"/>
                </a:ext>
                <a:ext uri="{FF2B5EF4-FFF2-40B4-BE49-F238E27FC236}">
                  <a16:creationId xmlns:a16="http://schemas.microsoft.com/office/drawing/2014/main" id="{00000000-0008-0000-05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19</xdr:row>
          <xdr:rowOff>114300</xdr:rowOff>
        </xdr:from>
        <xdr:to>
          <xdr:col>27</xdr:col>
          <xdr:colOff>381000</xdr:colOff>
          <xdr:row>21</xdr:row>
          <xdr:rowOff>104775</xdr:rowOff>
        </xdr:to>
        <xdr:sp macro="" textlink="">
          <xdr:nvSpPr>
            <xdr:cNvPr id="16444" name="Button 60" hidden="1">
              <a:extLst>
                <a:ext uri="{63B3BB69-23CF-44E3-9099-C40C66FF867C}">
                  <a14:compatExt spid="_x0000_s16444"/>
                </a:ext>
                <a:ext uri="{FF2B5EF4-FFF2-40B4-BE49-F238E27FC236}">
                  <a16:creationId xmlns:a16="http://schemas.microsoft.com/office/drawing/2014/main" id="{00000000-0008-0000-0500-00003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114300</xdr:rowOff>
        </xdr:from>
        <xdr:to>
          <xdr:col>25</xdr:col>
          <xdr:colOff>600075</xdr:colOff>
          <xdr:row>21</xdr:row>
          <xdr:rowOff>95250</xdr:rowOff>
        </xdr:to>
        <xdr:sp macro="" textlink="">
          <xdr:nvSpPr>
            <xdr:cNvPr id="16445" name="Button 61" hidden="1">
              <a:extLst>
                <a:ext uri="{63B3BB69-23CF-44E3-9099-C40C66FF867C}">
                  <a14:compatExt spid="_x0000_s16445"/>
                </a:ext>
                <a:ext uri="{FF2B5EF4-FFF2-40B4-BE49-F238E27FC236}">
                  <a16:creationId xmlns:a16="http://schemas.microsoft.com/office/drawing/2014/main" id="{00000000-0008-0000-0500-00003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114300</xdr:rowOff>
        </xdr:from>
        <xdr:to>
          <xdr:col>25</xdr:col>
          <xdr:colOff>228600</xdr:colOff>
          <xdr:row>21</xdr:row>
          <xdr:rowOff>95250</xdr:rowOff>
        </xdr:to>
        <xdr:sp macro="" textlink="">
          <xdr:nvSpPr>
            <xdr:cNvPr id="16446" name="Button 62" hidden="1">
              <a:extLst>
                <a:ext uri="{63B3BB69-23CF-44E3-9099-C40C66FF867C}">
                  <a14:compatExt spid="_x0000_s16446"/>
                </a:ext>
                <a:ext uri="{FF2B5EF4-FFF2-40B4-BE49-F238E27FC236}">
                  <a16:creationId xmlns:a16="http://schemas.microsoft.com/office/drawing/2014/main" id="{00000000-0008-0000-0500-00003E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114300</xdr:rowOff>
        </xdr:from>
        <xdr:to>
          <xdr:col>28</xdr:col>
          <xdr:colOff>0</xdr:colOff>
          <xdr:row>21</xdr:row>
          <xdr:rowOff>104775</xdr:rowOff>
        </xdr:to>
        <xdr:sp macro="" textlink="">
          <xdr:nvSpPr>
            <xdr:cNvPr id="16447" name="Button 63" hidden="1">
              <a:extLst>
                <a:ext uri="{63B3BB69-23CF-44E3-9099-C40C66FF867C}">
                  <a14:compatExt spid="_x0000_s16447"/>
                </a:ext>
                <a:ext uri="{FF2B5EF4-FFF2-40B4-BE49-F238E27FC236}">
                  <a16:creationId xmlns:a16="http://schemas.microsoft.com/office/drawing/2014/main" id="{00000000-0008-0000-0500-00003F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twoCellAnchor>
    <xdr:from>
      <xdr:col>0</xdr:col>
      <xdr:colOff>28575</xdr:colOff>
      <xdr:row>10</xdr:row>
      <xdr:rowOff>0</xdr:rowOff>
    </xdr:from>
    <xdr:to>
      <xdr:col>18</xdr:col>
      <xdr:colOff>200025</xdr:colOff>
      <xdr:row>35</xdr:row>
      <xdr:rowOff>180975</xdr:rowOff>
    </xdr:to>
    <xdr:graphicFrame macro="">
      <xdr:nvGraphicFramePr>
        <xdr:cNvPr id="66" name="Chart 65">
          <a:extLst>
            <a:ext uri="{FF2B5EF4-FFF2-40B4-BE49-F238E27FC236}">
              <a16:creationId xmlns:a16="http://schemas.microsoft.com/office/drawing/2014/main" id="{00000000-0008-0000-05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552450</xdr:colOff>
          <xdr:row>23</xdr:row>
          <xdr:rowOff>9525</xdr:rowOff>
        </xdr:from>
        <xdr:to>
          <xdr:col>28</xdr:col>
          <xdr:colOff>542925</xdr:colOff>
          <xdr:row>35</xdr:row>
          <xdr:rowOff>180975</xdr:rowOff>
        </xdr:to>
        <xdr:sp macro="" textlink="">
          <xdr:nvSpPr>
            <xdr:cNvPr id="16448" name="ListBox1" hidden="1">
              <a:extLst>
                <a:ext uri="{63B3BB69-23CF-44E3-9099-C40C66FF867C}">
                  <a14:compatExt spid="_x0000_s16448"/>
                </a:ext>
                <a:ext uri="{FF2B5EF4-FFF2-40B4-BE49-F238E27FC236}">
                  <a16:creationId xmlns:a16="http://schemas.microsoft.com/office/drawing/2014/main" id="{00000000-0008-0000-0500-00004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609600</xdr:colOff>
          <xdr:row>17</xdr:row>
          <xdr:rowOff>0</xdr:rowOff>
        </xdr:from>
        <xdr:to>
          <xdr:col>26</xdr:col>
          <xdr:colOff>609600</xdr:colOff>
          <xdr:row>19</xdr:row>
          <xdr:rowOff>9525</xdr:rowOff>
        </xdr:to>
        <xdr:sp macro="" textlink="">
          <xdr:nvSpPr>
            <xdr:cNvPr id="16450" name="Button 66" hidden="1">
              <a:extLst>
                <a:ext uri="{63B3BB69-23CF-44E3-9099-C40C66FF867C}">
                  <a14:compatExt spid="_x0000_s16450"/>
                </a:ext>
                <a:ext uri="{FF2B5EF4-FFF2-40B4-BE49-F238E27FC236}">
                  <a16:creationId xmlns:a16="http://schemas.microsoft.com/office/drawing/2014/main" id="{00000000-0008-0000-0500-00004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17</xdr:row>
          <xdr:rowOff>0</xdr:rowOff>
        </xdr:from>
        <xdr:to>
          <xdr:col>28</xdr:col>
          <xdr:colOff>0</xdr:colOff>
          <xdr:row>19</xdr:row>
          <xdr:rowOff>9525</xdr:rowOff>
        </xdr:to>
        <xdr:sp macro="" textlink="">
          <xdr:nvSpPr>
            <xdr:cNvPr id="16451" name="Button 67" hidden="1">
              <a:extLst>
                <a:ext uri="{63B3BB69-23CF-44E3-9099-C40C66FF867C}">
                  <a14:compatExt spid="_x0000_s16451"/>
                </a:ext>
                <a:ext uri="{FF2B5EF4-FFF2-40B4-BE49-F238E27FC236}">
                  <a16:creationId xmlns:a16="http://schemas.microsoft.com/office/drawing/2014/main" id="{00000000-0008-0000-0500-00004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17</xdr:row>
          <xdr:rowOff>0</xdr:rowOff>
        </xdr:from>
        <xdr:to>
          <xdr:col>25</xdr:col>
          <xdr:colOff>590550</xdr:colOff>
          <xdr:row>19</xdr:row>
          <xdr:rowOff>9525</xdr:rowOff>
        </xdr:to>
        <xdr:sp macro="" textlink="">
          <xdr:nvSpPr>
            <xdr:cNvPr id="16452" name="Button 68" hidden="1">
              <a:extLst>
                <a:ext uri="{63B3BB69-23CF-44E3-9099-C40C66FF867C}">
                  <a14:compatExt spid="_x0000_s16452"/>
                </a:ext>
                <a:ext uri="{FF2B5EF4-FFF2-40B4-BE49-F238E27FC236}">
                  <a16:creationId xmlns:a16="http://schemas.microsoft.com/office/drawing/2014/main" id="{00000000-0008-0000-0500-00004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Keep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466725</xdr:colOff>
          <xdr:row>17</xdr:row>
          <xdr:rowOff>0</xdr:rowOff>
        </xdr:to>
        <xdr:sp macro="" textlink="">
          <xdr:nvSpPr>
            <xdr:cNvPr id="16457" name="Check Box 73" hidden="1">
              <a:extLst>
                <a:ext uri="{63B3BB69-23CF-44E3-9099-C40C66FF867C}">
                  <a14:compatExt spid="_x0000_s16457"/>
                </a:ext>
                <a:ext uri="{FF2B5EF4-FFF2-40B4-BE49-F238E27FC236}">
                  <a16:creationId xmlns:a16="http://schemas.microsoft.com/office/drawing/2014/main" id="{00000000-0008-0000-0500-00004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Wavelength Shift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18</xdr:row>
          <xdr:rowOff>0</xdr:rowOff>
        </xdr:from>
        <xdr:to>
          <xdr:col>20</xdr:col>
          <xdr:colOff>476250</xdr:colOff>
          <xdr:row>19</xdr:row>
          <xdr:rowOff>9525</xdr:rowOff>
        </xdr:to>
        <xdr:sp macro="" textlink="">
          <xdr:nvSpPr>
            <xdr:cNvPr id="16458" name="Check Box 74" hidden="1">
              <a:extLst>
                <a:ext uri="{63B3BB69-23CF-44E3-9099-C40C66FF867C}">
                  <a14:compatExt spid="_x0000_s16458"/>
                </a:ext>
                <a:ext uri="{FF2B5EF4-FFF2-40B4-BE49-F238E27FC236}">
                  <a16:creationId xmlns:a16="http://schemas.microsoft.com/office/drawing/2014/main" id="{00000000-0008-0000-0500-00004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Absorbance Shift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20</xdr:row>
          <xdr:rowOff>0</xdr:rowOff>
        </xdr:from>
        <xdr:to>
          <xdr:col>20</xdr:col>
          <xdr:colOff>476250</xdr:colOff>
          <xdr:row>21</xdr:row>
          <xdr:rowOff>0</xdr:rowOff>
        </xdr:to>
        <xdr:sp macro="" textlink="">
          <xdr:nvSpPr>
            <xdr:cNvPr id="16459" name="Check Box 75" hidden="1">
              <a:extLst>
                <a:ext uri="{63B3BB69-23CF-44E3-9099-C40C66FF867C}">
                  <a14:compatExt spid="_x0000_s16459"/>
                </a:ext>
                <a:ext uri="{FF2B5EF4-FFF2-40B4-BE49-F238E27FC236}">
                  <a16:creationId xmlns:a16="http://schemas.microsoft.com/office/drawing/2014/main" id="{00000000-0008-0000-0500-00004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Absorbance 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17</xdr:row>
          <xdr:rowOff>0</xdr:rowOff>
        </xdr:from>
        <xdr:to>
          <xdr:col>29</xdr:col>
          <xdr:colOff>266700</xdr:colOff>
          <xdr:row>18</xdr:row>
          <xdr:rowOff>9525</xdr:rowOff>
        </xdr:to>
        <xdr:sp macro="" textlink="">
          <xdr:nvSpPr>
            <xdr:cNvPr id="16460" name="Check Box 76" hidden="1">
              <a:extLst>
                <a:ext uri="{63B3BB69-23CF-44E3-9099-C40C66FF867C}">
                  <a14:compatExt spid="_x0000_s16460"/>
                </a:ext>
                <a:ext uri="{FF2B5EF4-FFF2-40B4-BE49-F238E27FC236}">
                  <a16:creationId xmlns:a16="http://schemas.microsoft.com/office/drawing/2014/main" id="{00000000-0008-0000-0500-00004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18</xdr:row>
          <xdr:rowOff>0</xdr:rowOff>
        </xdr:from>
        <xdr:to>
          <xdr:col>29</xdr:col>
          <xdr:colOff>266700</xdr:colOff>
          <xdr:row>19</xdr:row>
          <xdr:rowOff>9525</xdr:rowOff>
        </xdr:to>
        <xdr:sp macro="" textlink="">
          <xdr:nvSpPr>
            <xdr:cNvPr id="16461" name="Check Box 77" hidden="1">
              <a:extLst>
                <a:ext uri="{63B3BB69-23CF-44E3-9099-C40C66FF867C}">
                  <a14:compatExt spid="_x0000_s16461"/>
                </a:ext>
                <a:ext uri="{FF2B5EF4-FFF2-40B4-BE49-F238E27FC236}">
                  <a16:creationId xmlns:a16="http://schemas.microsoft.com/office/drawing/2014/main" id="{00000000-0008-0000-0500-00004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AutoClear</a:t>
              </a:r>
            </a:p>
          </xdr:txBody>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0.02959</cdr:x>
      <cdr:y>0.0198</cdr:y>
    </cdr:from>
    <cdr:to>
      <cdr:x>0.03024</cdr:x>
      <cdr:y>0.79327</cdr:y>
    </cdr:to>
    <cdr:cxnSp macro="">
      <cdr:nvCxnSpPr>
        <cdr:cNvPr id="3" name="Straight Connector 2">
          <a:extLst xmlns:a="http://schemas.openxmlformats.org/drawingml/2006/main">
            <a:ext uri="{FF2B5EF4-FFF2-40B4-BE49-F238E27FC236}">
              <a16:creationId xmlns:a16="http://schemas.microsoft.com/office/drawing/2014/main" id="{EEBA3E86-F20D-4BFC-A491-25099EDC7B0E}"/>
            </a:ext>
          </a:extLst>
        </cdr:cNvPr>
        <cdr:cNvCxnSpPr/>
      </cdr:nvCxnSpPr>
      <cdr:spPr>
        <a:xfrm xmlns:a="http://schemas.openxmlformats.org/drawingml/2006/main" flipV="1">
          <a:off x="431800" y="39228"/>
          <a:ext cx="9485" cy="1532399"/>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0.44221</cdr:y>
    </cdr:to>
    <cdr:sp macro="" textlink="">
      <cdr:nvSpPr>
        <cdr:cNvPr id="2" name="TextBox 1"/>
        <cdr:cNvSpPr txBox="1"/>
      </cdr:nvSpPr>
      <cdr:spPr>
        <a:xfrm xmlns:a="http://schemas.openxmlformats.org/drawingml/2006/main">
          <a:off x="13363628" y="39900"/>
          <a:ext cx="1152500" cy="79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19
254: 6</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1390650</xdr:colOff>
          <xdr:row>4</xdr:row>
          <xdr:rowOff>180975</xdr:rowOff>
        </xdr:from>
        <xdr:to>
          <xdr:col>0</xdr:col>
          <xdr:colOff>2371725</xdr:colOff>
          <xdr:row>7</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8</xdr:row>
          <xdr:rowOff>0</xdr:rowOff>
        </xdr:from>
        <xdr:to>
          <xdr:col>0</xdr:col>
          <xdr:colOff>2371725</xdr:colOff>
          <xdr:row>10</xdr:row>
          <xdr:rowOff>9525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Append...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11</xdr:row>
          <xdr:rowOff>0</xdr:rowOff>
        </xdr:from>
        <xdr:to>
          <xdr:col>0</xdr:col>
          <xdr:colOff>2371725</xdr:colOff>
          <xdr:row>13</xdr:row>
          <xdr:rowOff>9525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14</xdr:row>
          <xdr:rowOff>9525</xdr:rowOff>
        </xdr:from>
        <xdr:to>
          <xdr:col>0</xdr:col>
          <xdr:colOff>2371725</xdr:colOff>
          <xdr:row>16</xdr:row>
          <xdr:rowOff>19050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6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xdr:row>
          <xdr:rowOff>171450</xdr:rowOff>
        </xdr:from>
        <xdr:to>
          <xdr:col>0</xdr:col>
          <xdr:colOff>2371725</xdr:colOff>
          <xdr:row>3</xdr:row>
          <xdr:rowOff>180975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6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 Peaks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34</xdr:row>
          <xdr:rowOff>28575</xdr:rowOff>
        </xdr:from>
        <xdr:to>
          <xdr:col>1</xdr:col>
          <xdr:colOff>600075</xdr:colOff>
          <xdr:row>35</xdr:row>
          <xdr:rowOff>161925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20</xdr:row>
          <xdr:rowOff>0</xdr:rowOff>
        </xdr:from>
        <xdr:to>
          <xdr:col>13</xdr:col>
          <xdr:colOff>581025</xdr:colOff>
          <xdr:row>21</xdr:row>
          <xdr:rowOff>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Automatically hide bogus spectra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23</xdr:row>
          <xdr:rowOff>9525</xdr:rowOff>
        </xdr:from>
        <xdr:to>
          <xdr:col>13</xdr:col>
          <xdr:colOff>600075</xdr:colOff>
          <xdr:row>24</xdr:row>
          <xdr:rowOff>9525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7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Relax * for single 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24</xdr:row>
          <xdr:rowOff>9525</xdr:rowOff>
        </xdr:from>
        <xdr:to>
          <xdr:col>13</xdr:col>
          <xdr:colOff>600075</xdr:colOff>
          <xdr:row>25</xdr:row>
          <xdr:rowOff>9525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700-00000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Relax min/max for single 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xdr:row>
          <xdr:rowOff>180975</xdr:rowOff>
        </xdr:from>
        <xdr:to>
          <xdr:col>17</xdr:col>
          <xdr:colOff>600075</xdr:colOff>
          <xdr:row>3</xdr:row>
          <xdr:rowOff>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700-000007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Only copy visible rows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14</xdr:row>
          <xdr:rowOff>0</xdr:rowOff>
        </xdr:from>
        <xdr:to>
          <xdr:col>8</xdr:col>
          <xdr:colOff>466725</xdr:colOff>
          <xdr:row>15</xdr:row>
          <xdr:rowOff>0</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7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15</xdr:row>
          <xdr:rowOff>0</xdr:rowOff>
        </xdr:from>
        <xdr:to>
          <xdr:col>8</xdr:col>
          <xdr:colOff>466725</xdr:colOff>
          <xdr:row>16</xdr:row>
          <xdr:rowOff>0</xdr:rowOff>
        </xdr:to>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7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15</xdr:row>
          <xdr:rowOff>190500</xdr:rowOff>
        </xdr:from>
        <xdr:to>
          <xdr:col>8</xdr:col>
          <xdr:colOff>466725</xdr:colOff>
          <xdr:row>16</xdr:row>
          <xdr:rowOff>190500</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7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16</xdr:row>
          <xdr:rowOff>180975</xdr:rowOff>
        </xdr:from>
        <xdr:to>
          <xdr:col>8</xdr:col>
          <xdr:colOff>466725</xdr:colOff>
          <xdr:row>17</xdr:row>
          <xdr:rowOff>180975</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7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17</xdr:row>
          <xdr:rowOff>190500</xdr:rowOff>
        </xdr:from>
        <xdr:to>
          <xdr:col>8</xdr:col>
          <xdr:colOff>466725</xdr:colOff>
          <xdr:row>18</xdr:row>
          <xdr:rowOff>190500</xdr:rowOff>
        </xdr:to>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7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25</xdr:row>
          <xdr:rowOff>9525</xdr:rowOff>
        </xdr:from>
        <xdr:to>
          <xdr:col>14</xdr:col>
          <xdr:colOff>276225</xdr:colOff>
          <xdr:row>26</xdr:row>
          <xdr:rowOff>19050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700-00000D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UV-Vis during mass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26</xdr:row>
          <xdr:rowOff>190500</xdr:rowOff>
        </xdr:from>
        <xdr:to>
          <xdr:col>14</xdr:col>
          <xdr:colOff>38100</xdr:colOff>
          <xdr:row>28</xdr:row>
          <xdr:rowOff>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700-00000F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RT during mass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27</xdr:row>
          <xdr:rowOff>190500</xdr:rowOff>
        </xdr:from>
        <xdr:to>
          <xdr:col>14</xdr:col>
          <xdr:colOff>38100</xdr:colOff>
          <xdr:row>29</xdr:row>
          <xdr:rowOff>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700-000010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RT during UV-vis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16</xdr:row>
          <xdr:rowOff>104775</xdr:rowOff>
        </xdr:from>
        <xdr:to>
          <xdr:col>14</xdr:col>
          <xdr:colOff>285750</xdr:colOff>
          <xdr:row>17</xdr:row>
          <xdr:rowOff>114300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700-000011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similarity value after Dbase 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15</xdr:row>
          <xdr:rowOff>85725</xdr:rowOff>
        </xdr:from>
        <xdr:to>
          <xdr:col>14</xdr:col>
          <xdr:colOff>285750</xdr:colOff>
          <xdr:row>16</xdr:row>
          <xdr:rowOff>95250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700-000012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similarity value after AutoClass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24</xdr:row>
          <xdr:rowOff>180975</xdr:rowOff>
        </xdr:from>
        <xdr:to>
          <xdr:col>17</xdr:col>
          <xdr:colOff>581025</xdr:colOff>
          <xdr:row>25</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700-000013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Restrict peaks to the following...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35</xdr:row>
          <xdr:rowOff>19050</xdr:rowOff>
        </xdr:from>
        <xdr:to>
          <xdr:col>20</xdr:col>
          <xdr:colOff>581025</xdr:colOff>
          <xdr:row>35</xdr:row>
          <xdr:rowOff>180975</xdr:rowOff>
        </xdr:to>
        <xdr:sp macro="" textlink="">
          <xdr:nvSpPr>
            <xdr:cNvPr id="2068" name="Option 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Name from Filename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36</xdr:row>
          <xdr:rowOff>19050</xdr:rowOff>
        </xdr:from>
        <xdr:to>
          <xdr:col>20</xdr:col>
          <xdr:colOff>600075</xdr:colOff>
          <xdr:row>36</xdr:row>
          <xdr:rowOff>171450</xdr:rowOff>
        </xdr:to>
        <xdr:sp macro="" textlink="">
          <xdr:nvSpPr>
            <xdr:cNvPr id="2069" name="Option 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Name from Sequence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35</xdr:row>
          <xdr:rowOff>9525</xdr:rowOff>
        </xdr:from>
        <xdr:to>
          <xdr:col>16</xdr:col>
          <xdr:colOff>371475</xdr:colOff>
          <xdr:row>35</xdr:row>
          <xdr:rowOff>180975</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700-00001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 Number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36</xdr:row>
          <xdr:rowOff>9525</xdr:rowOff>
        </xdr:from>
        <xdr:to>
          <xdr:col>16</xdr:col>
          <xdr:colOff>371475</xdr:colOff>
          <xdr:row>36</xdr:row>
          <xdr:rowOff>180975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700-000017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 Rank</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35</xdr:row>
          <xdr:rowOff>9525</xdr:rowOff>
        </xdr:from>
        <xdr:to>
          <xdr:col>17</xdr:col>
          <xdr:colOff>590550</xdr:colOff>
          <xdr:row>35</xdr:row>
          <xdr:rowOff>180975</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700-000018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 Area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36</xdr:row>
          <xdr:rowOff>9525</xdr:rowOff>
        </xdr:from>
        <xdr:to>
          <xdr:col>17</xdr:col>
          <xdr:colOff>590550</xdr:colOff>
          <xdr:row>36</xdr:row>
          <xdr:rowOff>171450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700-000019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Pos/Neg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35</xdr:row>
          <xdr:rowOff>0</xdr:rowOff>
        </xdr:from>
        <xdr:to>
          <xdr:col>20</xdr:col>
          <xdr:colOff>600075</xdr:colOff>
          <xdr:row>36</xdr:row>
          <xdr:rowOff>190500</xdr:rowOff>
        </xdr:to>
        <xdr:sp macro="" textlink="">
          <xdr:nvSpPr>
            <xdr:cNvPr id="2074" name="Group Box 26" hidden="1">
              <a:extLst>
                <a:ext uri="{63B3BB69-23CF-44E3-9099-C40C66FF867C}">
                  <a14:compatExt spid="_x0000_s2074"/>
                </a:ext>
                <a:ext uri="{FF2B5EF4-FFF2-40B4-BE49-F238E27FC236}">
                  <a16:creationId xmlns:a16="http://schemas.microsoft.com/office/drawing/2014/main" id="{00000000-0008-0000-0700-00001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2.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trlProp" Target="../ctrlProps/ctrlProp43.xml"/><Relationship Id="rId18" Type="http://schemas.openxmlformats.org/officeDocument/2006/relationships/ctrlProp" Target="../ctrlProps/ctrlProp48.xml"/><Relationship Id="rId26" Type="http://schemas.openxmlformats.org/officeDocument/2006/relationships/ctrlProp" Target="../ctrlProps/ctrlProp56.xml"/><Relationship Id="rId39" Type="http://schemas.openxmlformats.org/officeDocument/2006/relationships/ctrlProp" Target="../ctrlProps/ctrlProp69.xml"/><Relationship Id="rId3" Type="http://schemas.openxmlformats.org/officeDocument/2006/relationships/vmlDrawing" Target="../drawings/vmlDrawing3.vml"/><Relationship Id="rId21" Type="http://schemas.openxmlformats.org/officeDocument/2006/relationships/ctrlProp" Target="../ctrlProps/ctrlProp51.xml"/><Relationship Id="rId34" Type="http://schemas.openxmlformats.org/officeDocument/2006/relationships/ctrlProp" Target="../ctrlProps/ctrlProp64.xml"/><Relationship Id="rId42" Type="http://schemas.openxmlformats.org/officeDocument/2006/relationships/ctrlProp" Target="../ctrlProps/ctrlProp72.xml"/><Relationship Id="rId7" Type="http://schemas.openxmlformats.org/officeDocument/2006/relationships/ctrlProp" Target="../ctrlProps/ctrlProp37.xml"/><Relationship Id="rId12" Type="http://schemas.openxmlformats.org/officeDocument/2006/relationships/ctrlProp" Target="../ctrlProps/ctrlProp42.xml"/><Relationship Id="rId17" Type="http://schemas.openxmlformats.org/officeDocument/2006/relationships/ctrlProp" Target="../ctrlProps/ctrlProp47.xml"/><Relationship Id="rId25" Type="http://schemas.openxmlformats.org/officeDocument/2006/relationships/ctrlProp" Target="../ctrlProps/ctrlProp55.xml"/><Relationship Id="rId33" Type="http://schemas.openxmlformats.org/officeDocument/2006/relationships/ctrlProp" Target="../ctrlProps/ctrlProp63.xml"/><Relationship Id="rId38" Type="http://schemas.openxmlformats.org/officeDocument/2006/relationships/ctrlProp" Target="../ctrlProps/ctrlProp68.xml"/><Relationship Id="rId46" Type="http://schemas.openxmlformats.org/officeDocument/2006/relationships/ctrlProp" Target="../ctrlProps/ctrlProp76.xml"/><Relationship Id="rId2" Type="http://schemas.openxmlformats.org/officeDocument/2006/relationships/drawing" Target="../drawings/drawing3.xml"/><Relationship Id="rId16" Type="http://schemas.openxmlformats.org/officeDocument/2006/relationships/ctrlProp" Target="../ctrlProps/ctrlProp46.xml"/><Relationship Id="rId20" Type="http://schemas.openxmlformats.org/officeDocument/2006/relationships/ctrlProp" Target="../ctrlProps/ctrlProp50.xml"/><Relationship Id="rId29" Type="http://schemas.openxmlformats.org/officeDocument/2006/relationships/ctrlProp" Target="../ctrlProps/ctrlProp59.xml"/><Relationship Id="rId41" Type="http://schemas.openxmlformats.org/officeDocument/2006/relationships/ctrlProp" Target="../ctrlProps/ctrlProp71.xml"/><Relationship Id="rId1" Type="http://schemas.openxmlformats.org/officeDocument/2006/relationships/printerSettings" Target="../printerSettings/printerSettings3.bin"/><Relationship Id="rId6" Type="http://schemas.openxmlformats.org/officeDocument/2006/relationships/ctrlProp" Target="../ctrlProps/ctrlProp36.xml"/><Relationship Id="rId11" Type="http://schemas.openxmlformats.org/officeDocument/2006/relationships/ctrlProp" Target="../ctrlProps/ctrlProp41.xml"/><Relationship Id="rId24" Type="http://schemas.openxmlformats.org/officeDocument/2006/relationships/ctrlProp" Target="../ctrlProps/ctrlProp54.xml"/><Relationship Id="rId32" Type="http://schemas.openxmlformats.org/officeDocument/2006/relationships/ctrlProp" Target="../ctrlProps/ctrlProp62.xml"/><Relationship Id="rId37" Type="http://schemas.openxmlformats.org/officeDocument/2006/relationships/ctrlProp" Target="../ctrlProps/ctrlProp67.xml"/><Relationship Id="rId40" Type="http://schemas.openxmlformats.org/officeDocument/2006/relationships/ctrlProp" Target="../ctrlProps/ctrlProp70.xml"/><Relationship Id="rId45" Type="http://schemas.openxmlformats.org/officeDocument/2006/relationships/ctrlProp" Target="../ctrlProps/ctrlProp75.xml"/><Relationship Id="rId5" Type="http://schemas.openxmlformats.org/officeDocument/2006/relationships/ctrlProp" Target="../ctrlProps/ctrlProp35.xml"/><Relationship Id="rId15" Type="http://schemas.openxmlformats.org/officeDocument/2006/relationships/ctrlProp" Target="../ctrlProps/ctrlProp45.xml"/><Relationship Id="rId23" Type="http://schemas.openxmlformats.org/officeDocument/2006/relationships/ctrlProp" Target="../ctrlProps/ctrlProp53.xml"/><Relationship Id="rId28" Type="http://schemas.openxmlformats.org/officeDocument/2006/relationships/ctrlProp" Target="../ctrlProps/ctrlProp58.xml"/><Relationship Id="rId36" Type="http://schemas.openxmlformats.org/officeDocument/2006/relationships/ctrlProp" Target="../ctrlProps/ctrlProp66.xml"/><Relationship Id="rId10" Type="http://schemas.openxmlformats.org/officeDocument/2006/relationships/ctrlProp" Target="../ctrlProps/ctrlProp40.xml"/><Relationship Id="rId19" Type="http://schemas.openxmlformats.org/officeDocument/2006/relationships/ctrlProp" Target="../ctrlProps/ctrlProp49.xml"/><Relationship Id="rId31" Type="http://schemas.openxmlformats.org/officeDocument/2006/relationships/ctrlProp" Target="../ctrlProps/ctrlProp61.xml"/><Relationship Id="rId44" Type="http://schemas.openxmlformats.org/officeDocument/2006/relationships/ctrlProp" Target="../ctrlProps/ctrlProp74.xml"/><Relationship Id="rId4" Type="http://schemas.openxmlformats.org/officeDocument/2006/relationships/ctrlProp" Target="../ctrlProps/ctrlProp34.xml"/><Relationship Id="rId9" Type="http://schemas.openxmlformats.org/officeDocument/2006/relationships/ctrlProp" Target="../ctrlProps/ctrlProp39.xml"/><Relationship Id="rId14" Type="http://schemas.openxmlformats.org/officeDocument/2006/relationships/ctrlProp" Target="../ctrlProps/ctrlProp44.xml"/><Relationship Id="rId22" Type="http://schemas.openxmlformats.org/officeDocument/2006/relationships/ctrlProp" Target="../ctrlProps/ctrlProp52.xml"/><Relationship Id="rId27" Type="http://schemas.openxmlformats.org/officeDocument/2006/relationships/ctrlProp" Target="../ctrlProps/ctrlProp57.xml"/><Relationship Id="rId30" Type="http://schemas.openxmlformats.org/officeDocument/2006/relationships/ctrlProp" Target="../ctrlProps/ctrlProp60.xml"/><Relationship Id="rId35" Type="http://schemas.openxmlformats.org/officeDocument/2006/relationships/ctrlProp" Target="../ctrlProps/ctrlProp65.xml"/><Relationship Id="rId43" Type="http://schemas.openxmlformats.org/officeDocument/2006/relationships/ctrlProp" Target="../ctrlProps/ctrlProp7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18" Type="http://schemas.openxmlformats.org/officeDocument/2006/relationships/ctrlProp" Target="../ctrlProps/ctrlProp91.xml"/><Relationship Id="rId26" Type="http://schemas.openxmlformats.org/officeDocument/2006/relationships/ctrlProp" Target="../ctrlProps/ctrlProp99.xml"/><Relationship Id="rId39" Type="http://schemas.openxmlformats.org/officeDocument/2006/relationships/ctrlProp" Target="../ctrlProps/ctrlProp112.xml"/><Relationship Id="rId3" Type="http://schemas.openxmlformats.org/officeDocument/2006/relationships/vmlDrawing" Target="../drawings/vmlDrawing4.vml"/><Relationship Id="rId21" Type="http://schemas.openxmlformats.org/officeDocument/2006/relationships/ctrlProp" Target="../ctrlProps/ctrlProp94.xml"/><Relationship Id="rId34" Type="http://schemas.openxmlformats.org/officeDocument/2006/relationships/ctrlProp" Target="../ctrlProps/ctrlProp107.xml"/><Relationship Id="rId42" Type="http://schemas.openxmlformats.org/officeDocument/2006/relationships/ctrlProp" Target="../ctrlProps/ctrlProp115.xml"/><Relationship Id="rId7" Type="http://schemas.openxmlformats.org/officeDocument/2006/relationships/ctrlProp" Target="../ctrlProps/ctrlProp80.xml"/><Relationship Id="rId12" Type="http://schemas.openxmlformats.org/officeDocument/2006/relationships/ctrlProp" Target="../ctrlProps/ctrlProp85.xml"/><Relationship Id="rId17" Type="http://schemas.openxmlformats.org/officeDocument/2006/relationships/ctrlProp" Target="../ctrlProps/ctrlProp90.xml"/><Relationship Id="rId25" Type="http://schemas.openxmlformats.org/officeDocument/2006/relationships/ctrlProp" Target="../ctrlProps/ctrlProp98.xml"/><Relationship Id="rId33" Type="http://schemas.openxmlformats.org/officeDocument/2006/relationships/ctrlProp" Target="../ctrlProps/ctrlProp106.xml"/><Relationship Id="rId38" Type="http://schemas.openxmlformats.org/officeDocument/2006/relationships/ctrlProp" Target="../ctrlProps/ctrlProp111.xml"/><Relationship Id="rId2" Type="http://schemas.openxmlformats.org/officeDocument/2006/relationships/drawing" Target="../drawings/drawing6.xml"/><Relationship Id="rId16" Type="http://schemas.openxmlformats.org/officeDocument/2006/relationships/ctrlProp" Target="../ctrlProps/ctrlProp89.xml"/><Relationship Id="rId20" Type="http://schemas.openxmlformats.org/officeDocument/2006/relationships/ctrlProp" Target="../ctrlProps/ctrlProp93.xml"/><Relationship Id="rId29" Type="http://schemas.openxmlformats.org/officeDocument/2006/relationships/ctrlProp" Target="../ctrlProps/ctrlProp102.xml"/><Relationship Id="rId41" Type="http://schemas.openxmlformats.org/officeDocument/2006/relationships/ctrlProp" Target="../ctrlProps/ctrlProp114.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24" Type="http://schemas.openxmlformats.org/officeDocument/2006/relationships/ctrlProp" Target="../ctrlProps/ctrlProp97.xml"/><Relationship Id="rId32" Type="http://schemas.openxmlformats.org/officeDocument/2006/relationships/ctrlProp" Target="../ctrlProps/ctrlProp105.xml"/><Relationship Id="rId37" Type="http://schemas.openxmlformats.org/officeDocument/2006/relationships/ctrlProp" Target="../ctrlProps/ctrlProp110.xml"/><Relationship Id="rId40" Type="http://schemas.openxmlformats.org/officeDocument/2006/relationships/ctrlProp" Target="../ctrlProps/ctrlProp113.xml"/><Relationship Id="rId5" Type="http://schemas.openxmlformats.org/officeDocument/2006/relationships/ctrlProp" Target="../ctrlProps/ctrlProp78.xml"/><Relationship Id="rId15" Type="http://schemas.openxmlformats.org/officeDocument/2006/relationships/ctrlProp" Target="../ctrlProps/ctrlProp88.xml"/><Relationship Id="rId23" Type="http://schemas.openxmlformats.org/officeDocument/2006/relationships/ctrlProp" Target="../ctrlProps/ctrlProp96.xml"/><Relationship Id="rId28" Type="http://schemas.openxmlformats.org/officeDocument/2006/relationships/ctrlProp" Target="../ctrlProps/ctrlProp101.xml"/><Relationship Id="rId36" Type="http://schemas.openxmlformats.org/officeDocument/2006/relationships/ctrlProp" Target="../ctrlProps/ctrlProp109.xml"/><Relationship Id="rId10" Type="http://schemas.openxmlformats.org/officeDocument/2006/relationships/ctrlProp" Target="../ctrlProps/ctrlProp83.xml"/><Relationship Id="rId19" Type="http://schemas.openxmlformats.org/officeDocument/2006/relationships/ctrlProp" Target="../ctrlProps/ctrlProp92.xml"/><Relationship Id="rId31" Type="http://schemas.openxmlformats.org/officeDocument/2006/relationships/ctrlProp" Target="../ctrlProps/ctrlProp104.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 Id="rId22" Type="http://schemas.openxmlformats.org/officeDocument/2006/relationships/ctrlProp" Target="../ctrlProps/ctrlProp95.xml"/><Relationship Id="rId27" Type="http://schemas.openxmlformats.org/officeDocument/2006/relationships/ctrlProp" Target="../ctrlProps/ctrlProp100.xml"/><Relationship Id="rId30" Type="http://schemas.openxmlformats.org/officeDocument/2006/relationships/ctrlProp" Target="../ctrlProps/ctrlProp103.xml"/><Relationship Id="rId35" Type="http://schemas.openxmlformats.org/officeDocument/2006/relationships/ctrlProp" Target="../ctrlProps/ctrlProp108.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26.xml"/><Relationship Id="rId18" Type="http://schemas.openxmlformats.org/officeDocument/2006/relationships/ctrlProp" Target="../ctrlProps/ctrlProp131.xml"/><Relationship Id="rId26" Type="http://schemas.openxmlformats.org/officeDocument/2006/relationships/ctrlProp" Target="../ctrlProps/ctrlProp139.xml"/><Relationship Id="rId39" Type="http://schemas.openxmlformats.org/officeDocument/2006/relationships/ctrlProp" Target="../ctrlProps/ctrlProp152.xml"/><Relationship Id="rId3" Type="http://schemas.openxmlformats.org/officeDocument/2006/relationships/ctrlProp" Target="../ctrlProps/ctrlProp116.xml"/><Relationship Id="rId21" Type="http://schemas.openxmlformats.org/officeDocument/2006/relationships/ctrlProp" Target="../ctrlProps/ctrlProp134.xml"/><Relationship Id="rId34" Type="http://schemas.openxmlformats.org/officeDocument/2006/relationships/ctrlProp" Target="../ctrlProps/ctrlProp147.xml"/><Relationship Id="rId42" Type="http://schemas.openxmlformats.org/officeDocument/2006/relationships/ctrlProp" Target="../ctrlProps/ctrlProp155.xml"/><Relationship Id="rId47" Type="http://schemas.openxmlformats.org/officeDocument/2006/relationships/ctrlProp" Target="../ctrlProps/ctrlProp160.xml"/><Relationship Id="rId50" Type="http://schemas.openxmlformats.org/officeDocument/2006/relationships/ctrlProp" Target="../ctrlProps/ctrlProp163.xml"/><Relationship Id="rId7" Type="http://schemas.openxmlformats.org/officeDocument/2006/relationships/ctrlProp" Target="../ctrlProps/ctrlProp120.xml"/><Relationship Id="rId12" Type="http://schemas.openxmlformats.org/officeDocument/2006/relationships/ctrlProp" Target="../ctrlProps/ctrlProp125.xml"/><Relationship Id="rId17" Type="http://schemas.openxmlformats.org/officeDocument/2006/relationships/ctrlProp" Target="../ctrlProps/ctrlProp130.xml"/><Relationship Id="rId25" Type="http://schemas.openxmlformats.org/officeDocument/2006/relationships/ctrlProp" Target="../ctrlProps/ctrlProp138.xml"/><Relationship Id="rId33" Type="http://schemas.openxmlformats.org/officeDocument/2006/relationships/ctrlProp" Target="../ctrlProps/ctrlProp146.xml"/><Relationship Id="rId38" Type="http://schemas.openxmlformats.org/officeDocument/2006/relationships/ctrlProp" Target="../ctrlProps/ctrlProp151.xml"/><Relationship Id="rId46" Type="http://schemas.openxmlformats.org/officeDocument/2006/relationships/ctrlProp" Target="../ctrlProps/ctrlProp159.xml"/><Relationship Id="rId2" Type="http://schemas.openxmlformats.org/officeDocument/2006/relationships/vmlDrawing" Target="../drawings/vmlDrawing5.vml"/><Relationship Id="rId16" Type="http://schemas.openxmlformats.org/officeDocument/2006/relationships/ctrlProp" Target="../ctrlProps/ctrlProp129.xml"/><Relationship Id="rId20" Type="http://schemas.openxmlformats.org/officeDocument/2006/relationships/ctrlProp" Target="../ctrlProps/ctrlProp133.xml"/><Relationship Id="rId29" Type="http://schemas.openxmlformats.org/officeDocument/2006/relationships/ctrlProp" Target="../ctrlProps/ctrlProp142.xml"/><Relationship Id="rId41" Type="http://schemas.openxmlformats.org/officeDocument/2006/relationships/ctrlProp" Target="../ctrlProps/ctrlProp154.xml"/><Relationship Id="rId1" Type="http://schemas.openxmlformats.org/officeDocument/2006/relationships/drawing" Target="../drawings/drawing8.xml"/><Relationship Id="rId6" Type="http://schemas.openxmlformats.org/officeDocument/2006/relationships/ctrlProp" Target="../ctrlProps/ctrlProp119.xml"/><Relationship Id="rId11" Type="http://schemas.openxmlformats.org/officeDocument/2006/relationships/ctrlProp" Target="../ctrlProps/ctrlProp124.xml"/><Relationship Id="rId24" Type="http://schemas.openxmlformats.org/officeDocument/2006/relationships/ctrlProp" Target="../ctrlProps/ctrlProp137.xml"/><Relationship Id="rId32" Type="http://schemas.openxmlformats.org/officeDocument/2006/relationships/ctrlProp" Target="../ctrlProps/ctrlProp145.xml"/><Relationship Id="rId37" Type="http://schemas.openxmlformats.org/officeDocument/2006/relationships/ctrlProp" Target="../ctrlProps/ctrlProp150.xml"/><Relationship Id="rId40" Type="http://schemas.openxmlformats.org/officeDocument/2006/relationships/ctrlProp" Target="../ctrlProps/ctrlProp153.xml"/><Relationship Id="rId45" Type="http://schemas.openxmlformats.org/officeDocument/2006/relationships/ctrlProp" Target="../ctrlProps/ctrlProp158.xml"/><Relationship Id="rId53" Type="http://schemas.openxmlformats.org/officeDocument/2006/relationships/ctrlProp" Target="../ctrlProps/ctrlProp166.xml"/><Relationship Id="rId5" Type="http://schemas.openxmlformats.org/officeDocument/2006/relationships/ctrlProp" Target="../ctrlProps/ctrlProp118.xml"/><Relationship Id="rId15" Type="http://schemas.openxmlformats.org/officeDocument/2006/relationships/ctrlProp" Target="../ctrlProps/ctrlProp128.xml"/><Relationship Id="rId23" Type="http://schemas.openxmlformats.org/officeDocument/2006/relationships/ctrlProp" Target="../ctrlProps/ctrlProp136.xml"/><Relationship Id="rId28" Type="http://schemas.openxmlformats.org/officeDocument/2006/relationships/ctrlProp" Target="../ctrlProps/ctrlProp141.xml"/><Relationship Id="rId36" Type="http://schemas.openxmlformats.org/officeDocument/2006/relationships/ctrlProp" Target="../ctrlProps/ctrlProp149.xml"/><Relationship Id="rId49" Type="http://schemas.openxmlformats.org/officeDocument/2006/relationships/ctrlProp" Target="../ctrlProps/ctrlProp162.xml"/><Relationship Id="rId10" Type="http://schemas.openxmlformats.org/officeDocument/2006/relationships/ctrlProp" Target="../ctrlProps/ctrlProp123.xml"/><Relationship Id="rId19" Type="http://schemas.openxmlformats.org/officeDocument/2006/relationships/ctrlProp" Target="../ctrlProps/ctrlProp132.xml"/><Relationship Id="rId31" Type="http://schemas.openxmlformats.org/officeDocument/2006/relationships/ctrlProp" Target="../ctrlProps/ctrlProp144.xml"/><Relationship Id="rId44" Type="http://schemas.openxmlformats.org/officeDocument/2006/relationships/ctrlProp" Target="../ctrlProps/ctrlProp157.xml"/><Relationship Id="rId52" Type="http://schemas.openxmlformats.org/officeDocument/2006/relationships/ctrlProp" Target="../ctrlProps/ctrlProp165.xml"/><Relationship Id="rId4" Type="http://schemas.openxmlformats.org/officeDocument/2006/relationships/ctrlProp" Target="../ctrlProps/ctrlProp117.xml"/><Relationship Id="rId9" Type="http://schemas.openxmlformats.org/officeDocument/2006/relationships/ctrlProp" Target="../ctrlProps/ctrlProp122.xml"/><Relationship Id="rId14" Type="http://schemas.openxmlformats.org/officeDocument/2006/relationships/ctrlProp" Target="../ctrlProps/ctrlProp127.xml"/><Relationship Id="rId22" Type="http://schemas.openxmlformats.org/officeDocument/2006/relationships/ctrlProp" Target="../ctrlProps/ctrlProp135.xml"/><Relationship Id="rId27" Type="http://schemas.openxmlformats.org/officeDocument/2006/relationships/ctrlProp" Target="../ctrlProps/ctrlProp140.xml"/><Relationship Id="rId30" Type="http://schemas.openxmlformats.org/officeDocument/2006/relationships/ctrlProp" Target="../ctrlProps/ctrlProp143.xml"/><Relationship Id="rId35" Type="http://schemas.openxmlformats.org/officeDocument/2006/relationships/ctrlProp" Target="../ctrlProps/ctrlProp148.xml"/><Relationship Id="rId43" Type="http://schemas.openxmlformats.org/officeDocument/2006/relationships/ctrlProp" Target="../ctrlProps/ctrlProp156.xml"/><Relationship Id="rId48" Type="http://schemas.openxmlformats.org/officeDocument/2006/relationships/ctrlProp" Target="../ctrlProps/ctrlProp161.xml"/><Relationship Id="rId8" Type="http://schemas.openxmlformats.org/officeDocument/2006/relationships/ctrlProp" Target="../ctrlProps/ctrlProp121.xml"/><Relationship Id="rId51" Type="http://schemas.openxmlformats.org/officeDocument/2006/relationships/ctrlProp" Target="../ctrlProps/ctrlProp16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70.xml"/><Relationship Id="rId13" Type="http://schemas.openxmlformats.org/officeDocument/2006/relationships/ctrlProp" Target="../ctrlProps/ctrlProp175.xml"/><Relationship Id="rId18" Type="http://schemas.openxmlformats.org/officeDocument/2006/relationships/ctrlProp" Target="../ctrlProps/ctrlProp180.xml"/><Relationship Id="rId26" Type="http://schemas.openxmlformats.org/officeDocument/2006/relationships/ctrlProp" Target="../ctrlProps/ctrlProp188.xml"/><Relationship Id="rId39" Type="http://schemas.openxmlformats.org/officeDocument/2006/relationships/ctrlProp" Target="../ctrlProps/ctrlProp201.xml"/><Relationship Id="rId3" Type="http://schemas.openxmlformats.org/officeDocument/2006/relationships/control" Target="../activeX/activeX1.xml"/><Relationship Id="rId21" Type="http://schemas.openxmlformats.org/officeDocument/2006/relationships/ctrlProp" Target="../ctrlProps/ctrlProp183.xml"/><Relationship Id="rId34" Type="http://schemas.openxmlformats.org/officeDocument/2006/relationships/ctrlProp" Target="../ctrlProps/ctrlProp196.xml"/><Relationship Id="rId42" Type="http://schemas.openxmlformats.org/officeDocument/2006/relationships/ctrlProp" Target="../ctrlProps/ctrlProp204.xml"/><Relationship Id="rId7" Type="http://schemas.openxmlformats.org/officeDocument/2006/relationships/ctrlProp" Target="../ctrlProps/ctrlProp169.xml"/><Relationship Id="rId12" Type="http://schemas.openxmlformats.org/officeDocument/2006/relationships/ctrlProp" Target="../ctrlProps/ctrlProp174.xml"/><Relationship Id="rId17" Type="http://schemas.openxmlformats.org/officeDocument/2006/relationships/ctrlProp" Target="../ctrlProps/ctrlProp179.xml"/><Relationship Id="rId25" Type="http://schemas.openxmlformats.org/officeDocument/2006/relationships/ctrlProp" Target="../ctrlProps/ctrlProp187.xml"/><Relationship Id="rId33" Type="http://schemas.openxmlformats.org/officeDocument/2006/relationships/ctrlProp" Target="../ctrlProps/ctrlProp195.xml"/><Relationship Id="rId38" Type="http://schemas.openxmlformats.org/officeDocument/2006/relationships/ctrlProp" Target="../ctrlProps/ctrlProp200.xml"/><Relationship Id="rId2" Type="http://schemas.openxmlformats.org/officeDocument/2006/relationships/vmlDrawing" Target="../drawings/vmlDrawing6.vml"/><Relationship Id="rId16" Type="http://schemas.openxmlformats.org/officeDocument/2006/relationships/ctrlProp" Target="../ctrlProps/ctrlProp178.xml"/><Relationship Id="rId20" Type="http://schemas.openxmlformats.org/officeDocument/2006/relationships/ctrlProp" Target="../ctrlProps/ctrlProp182.xml"/><Relationship Id="rId29" Type="http://schemas.openxmlformats.org/officeDocument/2006/relationships/ctrlProp" Target="../ctrlProps/ctrlProp191.xml"/><Relationship Id="rId41" Type="http://schemas.openxmlformats.org/officeDocument/2006/relationships/ctrlProp" Target="../ctrlProps/ctrlProp203.xml"/><Relationship Id="rId1" Type="http://schemas.openxmlformats.org/officeDocument/2006/relationships/drawing" Target="../drawings/drawing10.xml"/><Relationship Id="rId6" Type="http://schemas.openxmlformats.org/officeDocument/2006/relationships/ctrlProp" Target="../ctrlProps/ctrlProp168.xml"/><Relationship Id="rId11" Type="http://schemas.openxmlformats.org/officeDocument/2006/relationships/ctrlProp" Target="../ctrlProps/ctrlProp173.xml"/><Relationship Id="rId24" Type="http://schemas.openxmlformats.org/officeDocument/2006/relationships/ctrlProp" Target="../ctrlProps/ctrlProp186.xml"/><Relationship Id="rId32" Type="http://schemas.openxmlformats.org/officeDocument/2006/relationships/ctrlProp" Target="../ctrlProps/ctrlProp194.xml"/><Relationship Id="rId37" Type="http://schemas.openxmlformats.org/officeDocument/2006/relationships/ctrlProp" Target="../ctrlProps/ctrlProp199.xml"/><Relationship Id="rId40" Type="http://schemas.openxmlformats.org/officeDocument/2006/relationships/ctrlProp" Target="../ctrlProps/ctrlProp202.xml"/><Relationship Id="rId5" Type="http://schemas.openxmlformats.org/officeDocument/2006/relationships/ctrlProp" Target="../ctrlProps/ctrlProp167.xml"/><Relationship Id="rId15" Type="http://schemas.openxmlformats.org/officeDocument/2006/relationships/ctrlProp" Target="../ctrlProps/ctrlProp177.xml"/><Relationship Id="rId23" Type="http://schemas.openxmlformats.org/officeDocument/2006/relationships/ctrlProp" Target="../ctrlProps/ctrlProp185.xml"/><Relationship Id="rId28" Type="http://schemas.openxmlformats.org/officeDocument/2006/relationships/ctrlProp" Target="../ctrlProps/ctrlProp190.xml"/><Relationship Id="rId36" Type="http://schemas.openxmlformats.org/officeDocument/2006/relationships/ctrlProp" Target="../ctrlProps/ctrlProp198.xml"/><Relationship Id="rId10" Type="http://schemas.openxmlformats.org/officeDocument/2006/relationships/ctrlProp" Target="../ctrlProps/ctrlProp172.xml"/><Relationship Id="rId19" Type="http://schemas.openxmlformats.org/officeDocument/2006/relationships/ctrlProp" Target="../ctrlProps/ctrlProp181.xml"/><Relationship Id="rId31" Type="http://schemas.openxmlformats.org/officeDocument/2006/relationships/ctrlProp" Target="../ctrlProps/ctrlProp193.xml"/><Relationship Id="rId44" Type="http://schemas.openxmlformats.org/officeDocument/2006/relationships/ctrlProp" Target="../ctrlProps/ctrlProp206.xml"/><Relationship Id="rId4" Type="http://schemas.openxmlformats.org/officeDocument/2006/relationships/image" Target="../media/image1.emf"/><Relationship Id="rId9" Type="http://schemas.openxmlformats.org/officeDocument/2006/relationships/ctrlProp" Target="../ctrlProps/ctrlProp171.xml"/><Relationship Id="rId14" Type="http://schemas.openxmlformats.org/officeDocument/2006/relationships/ctrlProp" Target="../ctrlProps/ctrlProp176.xml"/><Relationship Id="rId22" Type="http://schemas.openxmlformats.org/officeDocument/2006/relationships/ctrlProp" Target="../ctrlProps/ctrlProp184.xml"/><Relationship Id="rId27" Type="http://schemas.openxmlformats.org/officeDocument/2006/relationships/ctrlProp" Target="../ctrlProps/ctrlProp189.xml"/><Relationship Id="rId30" Type="http://schemas.openxmlformats.org/officeDocument/2006/relationships/ctrlProp" Target="../ctrlProps/ctrlProp192.xml"/><Relationship Id="rId35" Type="http://schemas.openxmlformats.org/officeDocument/2006/relationships/ctrlProp" Target="../ctrlProps/ctrlProp197.xml"/><Relationship Id="rId43" Type="http://schemas.openxmlformats.org/officeDocument/2006/relationships/ctrlProp" Target="../ctrlProps/ctrlProp20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7.xml"/><Relationship Id="rId7" Type="http://schemas.openxmlformats.org/officeDocument/2006/relationships/ctrlProp" Target="../ctrlProps/ctrlProp211.xml"/><Relationship Id="rId2" Type="http://schemas.openxmlformats.org/officeDocument/2006/relationships/vmlDrawing" Target="../drawings/vmlDrawing7.vml"/><Relationship Id="rId1" Type="http://schemas.openxmlformats.org/officeDocument/2006/relationships/drawing" Target="../drawings/drawing12.xml"/><Relationship Id="rId6" Type="http://schemas.openxmlformats.org/officeDocument/2006/relationships/ctrlProp" Target="../ctrlProps/ctrlProp210.xml"/><Relationship Id="rId5" Type="http://schemas.openxmlformats.org/officeDocument/2006/relationships/ctrlProp" Target="../ctrlProps/ctrlProp209.xml"/><Relationship Id="rId4" Type="http://schemas.openxmlformats.org/officeDocument/2006/relationships/ctrlProp" Target="../ctrlProps/ctrlProp20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16.xml"/><Relationship Id="rId13" Type="http://schemas.openxmlformats.org/officeDocument/2006/relationships/ctrlProp" Target="../ctrlProps/ctrlProp221.xml"/><Relationship Id="rId18" Type="http://schemas.openxmlformats.org/officeDocument/2006/relationships/ctrlProp" Target="../ctrlProps/ctrlProp226.xml"/><Relationship Id="rId26" Type="http://schemas.openxmlformats.org/officeDocument/2006/relationships/ctrlProp" Target="../ctrlProps/ctrlProp234.xml"/><Relationship Id="rId3" Type="http://schemas.openxmlformats.org/officeDocument/2006/relationships/vmlDrawing" Target="../drawings/vmlDrawing8.vml"/><Relationship Id="rId21" Type="http://schemas.openxmlformats.org/officeDocument/2006/relationships/ctrlProp" Target="../ctrlProps/ctrlProp229.xml"/><Relationship Id="rId7" Type="http://schemas.openxmlformats.org/officeDocument/2006/relationships/ctrlProp" Target="../ctrlProps/ctrlProp215.xml"/><Relationship Id="rId12" Type="http://schemas.openxmlformats.org/officeDocument/2006/relationships/ctrlProp" Target="../ctrlProps/ctrlProp220.xml"/><Relationship Id="rId17" Type="http://schemas.openxmlformats.org/officeDocument/2006/relationships/ctrlProp" Target="../ctrlProps/ctrlProp225.xml"/><Relationship Id="rId25" Type="http://schemas.openxmlformats.org/officeDocument/2006/relationships/ctrlProp" Target="../ctrlProps/ctrlProp233.xml"/><Relationship Id="rId2" Type="http://schemas.openxmlformats.org/officeDocument/2006/relationships/drawing" Target="../drawings/drawing13.xml"/><Relationship Id="rId16" Type="http://schemas.openxmlformats.org/officeDocument/2006/relationships/ctrlProp" Target="../ctrlProps/ctrlProp224.xml"/><Relationship Id="rId20" Type="http://schemas.openxmlformats.org/officeDocument/2006/relationships/ctrlProp" Target="../ctrlProps/ctrlProp228.xml"/><Relationship Id="rId1" Type="http://schemas.openxmlformats.org/officeDocument/2006/relationships/printerSettings" Target="../printerSettings/printerSettings5.bin"/><Relationship Id="rId6" Type="http://schemas.openxmlformats.org/officeDocument/2006/relationships/ctrlProp" Target="../ctrlProps/ctrlProp214.xml"/><Relationship Id="rId11" Type="http://schemas.openxmlformats.org/officeDocument/2006/relationships/ctrlProp" Target="../ctrlProps/ctrlProp219.xml"/><Relationship Id="rId24" Type="http://schemas.openxmlformats.org/officeDocument/2006/relationships/ctrlProp" Target="../ctrlProps/ctrlProp232.xml"/><Relationship Id="rId5" Type="http://schemas.openxmlformats.org/officeDocument/2006/relationships/ctrlProp" Target="../ctrlProps/ctrlProp213.xml"/><Relationship Id="rId15" Type="http://schemas.openxmlformats.org/officeDocument/2006/relationships/ctrlProp" Target="../ctrlProps/ctrlProp223.xml"/><Relationship Id="rId23" Type="http://schemas.openxmlformats.org/officeDocument/2006/relationships/ctrlProp" Target="../ctrlProps/ctrlProp231.xml"/><Relationship Id="rId10" Type="http://schemas.openxmlformats.org/officeDocument/2006/relationships/ctrlProp" Target="../ctrlProps/ctrlProp218.xml"/><Relationship Id="rId19" Type="http://schemas.openxmlformats.org/officeDocument/2006/relationships/ctrlProp" Target="../ctrlProps/ctrlProp227.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 Id="rId22" Type="http://schemas.openxmlformats.org/officeDocument/2006/relationships/ctrlProp" Target="../ctrlProps/ctrlProp2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300"/>
  <sheetViews>
    <sheetView tabSelected="1" zoomScaleNormal="100" workbookViewId="0"/>
  </sheetViews>
  <sheetFormatPr defaultColWidth="9.140625" defaultRowHeight="123" customHeight="1" x14ac:dyDescent="0.25"/>
  <cols>
    <col min="1" max="1" width="8.7109375" style="21" customWidth="1"/>
    <col min="2" max="6" width="14.28515625" style="21" customWidth="1"/>
    <col min="7" max="8" width="16.85546875" style="21" hidden="1" customWidth="1"/>
    <col min="9" max="11" width="16.85546875" style="21" customWidth="1"/>
    <col min="12" max="12" width="29.140625" style="21" customWidth="1"/>
    <col min="13" max="13" width="4.5703125" style="21" customWidth="1"/>
    <col min="14" max="14" width="40.85546875" style="21" customWidth="1"/>
    <col min="15" max="16" width="40.85546875" style="21" hidden="1" customWidth="1"/>
    <col min="17" max="18" width="14.28515625" style="24" customWidth="1"/>
    <col min="19" max="19" width="41.5703125" style="24" customWidth="1"/>
    <col min="20" max="20" width="43.85546875" style="24" customWidth="1"/>
    <col min="21" max="16384" width="9.140625" style="24"/>
  </cols>
  <sheetData>
    <row r="1" spans="1:26" ht="18" customHeight="1" x14ac:dyDescent="0.25">
      <c r="A1" s="20" t="s">
        <v>7</v>
      </c>
      <c r="B1" s="20" t="s">
        <v>135</v>
      </c>
      <c r="Q1" s="22"/>
      <c r="R1" s="23"/>
      <c r="T1" s="51"/>
      <c r="U1" s="52"/>
      <c r="V1" s="52"/>
      <c r="W1" s="51"/>
      <c r="X1" s="51"/>
      <c r="Y1" s="51"/>
      <c r="Z1" s="52"/>
    </row>
    <row r="2" spans="1:26" ht="18" customHeight="1" x14ac:dyDescent="0.25">
      <c r="A2" s="20" t="s">
        <v>8</v>
      </c>
      <c r="B2" s="20" t="s">
        <v>136</v>
      </c>
      <c r="G2" s="26"/>
      <c r="H2" s="26"/>
      <c r="J2" s="27"/>
      <c r="K2" s="27"/>
      <c r="Q2" s="26"/>
      <c r="R2" s="26"/>
      <c r="T2" s="51"/>
      <c r="U2" s="52"/>
      <c r="V2" s="52"/>
      <c r="W2" s="51"/>
      <c r="X2" s="51"/>
      <c r="Y2" s="51"/>
      <c r="Z2" s="52"/>
    </row>
    <row r="3" spans="1:26" ht="18" customHeight="1" x14ac:dyDescent="0.25">
      <c r="A3" s="28" t="s">
        <v>47</v>
      </c>
      <c r="B3" s="29"/>
      <c r="C3" s="29"/>
      <c r="D3" s="83">
        <v>1</v>
      </c>
      <c r="E3" s="30"/>
      <c r="I3" s="83">
        <v>100</v>
      </c>
      <c r="J3" s="31" t="s">
        <v>133</v>
      </c>
      <c r="K3" s="31" t="s">
        <v>134</v>
      </c>
      <c r="T3" s="51"/>
      <c r="U3" s="52"/>
      <c r="V3" s="52"/>
      <c r="W3" s="51"/>
      <c r="X3" s="51"/>
      <c r="Y3" s="51"/>
      <c r="Z3" s="51"/>
    </row>
    <row r="4" spans="1:26" ht="18" customHeight="1" x14ac:dyDescent="0.3">
      <c r="A4" s="32" t="s">
        <v>32</v>
      </c>
      <c r="B4" s="33" t="s">
        <v>0</v>
      </c>
      <c r="C4" s="33" t="s">
        <v>1</v>
      </c>
      <c r="D4" s="33" t="s">
        <v>2</v>
      </c>
      <c r="E4" s="32" t="s">
        <v>3</v>
      </c>
      <c r="F4" s="33" t="s">
        <v>14</v>
      </c>
      <c r="G4" s="33"/>
      <c r="H4" s="33"/>
      <c r="I4" s="33" t="s">
        <v>9</v>
      </c>
      <c r="J4" s="33" t="s">
        <v>13</v>
      </c>
      <c r="K4" s="33" t="s">
        <v>12</v>
      </c>
      <c r="L4" s="33" t="s">
        <v>6</v>
      </c>
      <c r="M4" s="32" t="s">
        <v>15</v>
      </c>
      <c r="N4" s="33" t="s">
        <v>4</v>
      </c>
      <c r="O4" s="33" t="s">
        <v>10</v>
      </c>
      <c r="P4" s="33" t="s">
        <v>11</v>
      </c>
      <c r="Q4" s="33" t="s">
        <v>31</v>
      </c>
      <c r="R4" s="33" t="s">
        <v>41</v>
      </c>
      <c r="S4" s="33" t="s">
        <v>48</v>
      </c>
      <c r="T4" s="51"/>
      <c r="U4" s="52"/>
      <c r="V4" s="52"/>
      <c r="W4" s="51"/>
      <c r="X4" s="51"/>
      <c r="Y4" s="51"/>
      <c r="Z4" s="52"/>
    </row>
    <row r="5" spans="1:26" ht="123" customHeight="1" x14ac:dyDescent="0.25">
      <c r="A5" s="34">
        <v>1</v>
      </c>
      <c r="B5" s="35">
        <v>2.5408249999999999</v>
      </c>
      <c r="C5" s="36">
        <v>21.342853999999999</v>
      </c>
      <c r="D5" s="130">
        <f>C5/_xlfn.AGGREGATE(9,$D$3+4,$C$5:$C$104)*100</f>
        <v>8.5973107043059116</v>
      </c>
      <c r="E5" s="35">
        <v>8.5973110198974609</v>
      </c>
      <c r="F5" s="37">
        <f>RANK(C5,$C$5:$C$104)</f>
        <v>3</v>
      </c>
      <c r="G5" s="38"/>
      <c r="H5" s="38"/>
      <c r="I5" s="38" t="str">
        <f>molweight(MSData!A2:A7,MSData!C2:C7)</f>
        <v>?</v>
      </c>
      <c r="J5" s="39"/>
      <c r="K5" s="38" t="str">
        <f>UVPeakList(PeakLabels!B3:B300,A5)</f>
        <v>212 (53)
250 (20)
290 (14)
316s (10)
338 (7)
360 (6)
380 (7)
414 (7)
430 (7)
442 (7)
472 (7)
492 (6)
530 (6)
544 (6)
564 (6)
582 (7)
604 (7)
628 (7)</v>
      </c>
      <c r="L5" s="38"/>
      <c r="M5" s="38"/>
      <c r="Q5" s="36">
        <v>1.8588800000000001</v>
      </c>
      <c r="R5" s="36">
        <v>14.692385324341682</v>
      </c>
      <c r="S5" s="48" t="s">
        <v>142</v>
      </c>
    </row>
    <row r="6" spans="1:26" ht="123" customHeight="1" x14ac:dyDescent="0.25">
      <c r="A6" s="34">
        <v>2</v>
      </c>
      <c r="B6" s="35">
        <v>4.3956619999999997</v>
      </c>
      <c r="C6" s="36">
        <v>109.662674</v>
      </c>
      <c r="D6" s="129">
        <f>C6/_xlfn.AGGREGATE(9,$D$3+4,$C$5:$C$104)*100</f>
        <v>44.174227169572056</v>
      </c>
      <c r="E6" s="35">
        <v>52.771537780761719</v>
      </c>
      <c r="F6" s="37">
        <f>RANK(C6,$C$5:$C$104)</f>
        <v>1</v>
      </c>
      <c r="G6" s="38"/>
      <c r="H6" s="38"/>
      <c r="I6" s="38" t="str">
        <f>molweight(MSData!E2:E7,MSData!G2:G7)</f>
        <v>?</v>
      </c>
      <c r="J6" s="39"/>
      <c r="K6" s="38" t="str">
        <f>UVPeakList(PeakLabels!C3:C300,A6)</f>
        <v>214 (99)
250 (35)
308 (15)
334s (7)</v>
      </c>
      <c r="L6" s="38"/>
      <c r="M6" s="38"/>
      <c r="Q6" s="36">
        <v>14.352719</v>
      </c>
      <c r="R6" s="36">
        <v>100</v>
      </c>
      <c r="S6" s="48" t="s">
        <v>143</v>
      </c>
    </row>
    <row r="7" spans="1:26" ht="123" customHeight="1" x14ac:dyDescent="0.25">
      <c r="A7" s="34">
        <v>3</v>
      </c>
      <c r="B7" s="35">
        <v>5.3979059999999999</v>
      </c>
      <c r="C7" s="36">
        <v>102.701256</v>
      </c>
      <c r="D7" s="129">
        <f>C7/_xlfn.AGGREGATE(9,$D$3+4,$C$5:$C$104)*100</f>
        <v>41.370034558380141</v>
      </c>
      <c r="E7" s="35">
        <v>94.141571044921875</v>
      </c>
      <c r="F7" s="37">
        <f>RANK(C7,$C$5:$C$104)</f>
        <v>2</v>
      </c>
      <c r="G7" s="38"/>
      <c r="H7" s="38"/>
      <c r="I7" s="38" t="str">
        <f>molweight(MSData!I2:I7,MSData!K2:K7)</f>
        <v>?</v>
      </c>
      <c r="J7" s="39"/>
      <c r="K7" s="38" t="str">
        <f>UVPeakList(PeakLabels!D3:D300,A7)</f>
        <v>214 (100)
250 (35)
298s (11)
310 (14)</v>
      </c>
      <c r="L7" s="38"/>
      <c r="M7" s="38"/>
      <c r="Q7" s="36">
        <v>13.475695</v>
      </c>
      <c r="R7" s="36">
        <v>94.011702451640005</v>
      </c>
      <c r="S7" s="48" t="s">
        <v>144</v>
      </c>
    </row>
    <row r="8" spans="1:26" ht="123" customHeight="1" x14ac:dyDescent="0.25">
      <c r="A8" s="34">
        <v>4</v>
      </c>
      <c r="B8" s="35">
        <v>10.542809</v>
      </c>
      <c r="C8" s="36">
        <v>6.8505500000000001</v>
      </c>
      <c r="D8" s="35">
        <f>C8/_xlfn.AGGREGATE(9,$D$3+4,$C$5:$C$104)*100</f>
        <v>2.7595328556051064</v>
      </c>
      <c r="E8" s="35">
        <v>96.901100158691406</v>
      </c>
      <c r="F8" s="37">
        <f>RANK(C8,$C$5:$C$104)</f>
        <v>5</v>
      </c>
      <c r="G8" s="38"/>
      <c r="H8" s="38"/>
      <c r="I8" s="38" t="str">
        <f>molweight(MSData!M2:M7,MSData!O2:O7)</f>
        <v>?</v>
      </c>
      <c r="J8" s="39"/>
      <c r="K8" s="38" t="str">
        <f>UVPeakList(PeakLabels!E3:E300,A8)</f>
        <v>196 (100)
264s (6)
286 (8)
464 (6)</v>
      </c>
      <c r="L8" s="38"/>
      <c r="M8" s="38"/>
      <c r="Q8" s="36">
        <v>1.0481879999999999</v>
      </c>
      <c r="R8" s="36">
        <v>9.157000983576701</v>
      </c>
      <c r="S8" s="48" t="s">
        <v>145</v>
      </c>
    </row>
    <row r="9" spans="1:26" ht="123" customHeight="1" x14ac:dyDescent="0.25">
      <c r="A9" s="34">
        <v>5</v>
      </c>
      <c r="B9" s="35">
        <v>10.948926999999999</v>
      </c>
      <c r="C9" s="36">
        <v>7.6930170000000002</v>
      </c>
      <c r="D9" s="131">
        <f>C9/_xlfn.AGGREGATE(9,$D$3+4,$C$5:$C$104)*100</f>
        <v>3.0988947121367816</v>
      </c>
      <c r="E9" s="35">
        <v>99.999992370605469</v>
      </c>
      <c r="F9" s="37">
        <f>RANK(C9,$C$5:$C$104)</f>
        <v>4</v>
      </c>
      <c r="G9" s="38"/>
      <c r="H9" s="38"/>
      <c r="I9" s="38" t="str">
        <f>molweight(MSData!Q2:Q7,MSData!S2:S7)</f>
        <v>?</v>
      </c>
      <c r="J9" s="39"/>
      <c r="K9" s="38" t="str">
        <f>UVPeakList(PeakLabels!F3:F300,A9)</f>
        <v>282 (75)</v>
      </c>
      <c r="L9" s="38"/>
      <c r="M9" s="38"/>
      <c r="Q9" s="36">
        <v>2.5042979999999999</v>
      </c>
      <c r="R9" s="36">
        <v>19.099282999966764</v>
      </c>
      <c r="S9" s="48" t="s">
        <v>146</v>
      </c>
    </row>
    <row r="10" spans="1:26" ht="123" customHeight="1" x14ac:dyDescent="0.25">
      <c r="A10" s="34"/>
      <c r="B10" s="35"/>
      <c r="C10" s="36"/>
      <c r="D10" s="35"/>
      <c r="E10" s="35"/>
      <c r="F10" s="37"/>
      <c r="G10" s="38"/>
      <c r="H10" s="38"/>
      <c r="I10" s="38"/>
      <c r="J10" s="39"/>
      <c r="K10" s="38"/>
      <c r="L10" s="38"/>
      <c r="M10" s="38"/>
      <c r="Q10" s="36"/>
      <c r="R10" s="36"/>
      <c r="S10" s="48"/>
    </row>
    <row r="11" spans="1:26" ht="123" customHeight="1" x14ac:dyDescent="0.25">
      <c r="A11" s="34"/>
      <c r="B11" s="35"/>
      <c r="C11" s="36"/>
      <c r="D11" s="35"/>
      <c r="E11" s="35"/>
      <c r="F11" s="37"/>
      <c r="G11" s="38"/>
      <c r="H11" s="38"/>
      <c r="I11" s="38"/>
      <c r="J11" s="39"/>
      <c r="K11" s="38"/>
      <c r="L11" s="38"/>
      <c r="M11" s="38"/>
      <c r="Q11" s="36"/>
      <c r="R11" s="36"/>
      <c r="S11" s="48"/>
    </row>
    <row r="12" spans="1:26" ht="123" customHeight="1" x14ac:dyDescent="0.25">
      <c r="A12" s="34"/>
      <c r="B12" s="35"/>
      <c r="C12" s="36"/>
      <c r="D12" s="35"/>
      <c r="E12" s="35"/>
      <c r="F12" s="37"/>
      <c r="G12" s="38"/>
      <c r="H12" s="38"/>
      <c r="I12" s="38"/>
      <c r="J12" s="39"/>
      <c r="K12" s="38"/>
      <c r="L12" s="38"/>
      <c r="M12" s="38"/>
      <c r="Q12" s="36"/>
      <c r="R12" s="36"/>
      <c r="S12" s="48"/>
    </row>
    <row r="13" spans="1:26" ht="123" customHeight="1" x14ac:dyDescent="0.25">
      <c r="A13" s="34"/>
      <c r="B13" s="35"/>
      <c r="C13" s="36"/>
      <c r="D13" s="35"/>
      <c r="E13" s="35"/>
      <c r="F13" s="37"/>
      <c r="G13" s="38"/>
      <c r="H13" s="38"/>
      <c r="I13" s="38"/>
      <c r="J13" s="39"/>
      <c r="K13" s="38"/>
      <c r="L13" s="38"/>
      <c r="M13" s="38"/>
      <c r="Q13" s="36"/>
      <c r="R13" s="36"/>
      <c r="S13" s="48"/>
    </row>
    <row r="14" spans="1:26" ht="123" customHeight="1" x14ac:dyDescent="0.25">
      <c r="A14" s="34"/>
      <c r="B14" s="35"/>
      <c r="C14" s="36"/>
      <c r="D14" s="35"/>
      <c r="E14" s="35"/>
      <c r="F14" s="37"/>
      <c r="G14" s="38"/>
      <c r="H14" s="38"/>
      <c r="I14" s="38"/>
      <c r="J14" s="39"/>
      <c r="K14" s="38"/>
      <c r="L14" s="38"/>
      <c r="M14" s="38"/>
      <c r="Q14" s="36"/>
      <c r="R14" s="36"/>
      <c r="S14" s="48"/>
    </row>
    <row r="15" spans="1:26" ht="123" customHeight="1" x14ac:dyDescent="0.25">
      <c r="A15" s="34"/>
      <c r="B15" s="35"/>
      <c r="C15" s="36"/>
      <c r="D15" s="35"/>
      <c r="E15" s="35"/>
      <c r="F15" s="37"/>
      <c r="G15" s="38"/>
      <c r="H15" s="38"/>
      <c r="I15" s="38"/>
      <c r="J15" s="39"/>
      <c r="K15" s="38"/>
      <c r="L15" s="38"/>
      <c r="M15" s="38"/>
      <c r="Q15" s="36"/>
      <c r="R15" s="36"/>
      <c r="S15" s="48"/>
    </row>
    <row r="16" spans="1:26" ht="123" customHeight="1" x14ac:dyDescent="0.25">
      <c r="A16" s="34"/>
      <c r="B16" s="35"/>
      <c r="C16" s="36"/>
      <c r="D16" s="35"/>
      <c r="E16" s="35"/>
      <c r="F16" s="37"/>
      <c r="G16" s="38"/>
      <c r="H16" s="38"/>
      <c r="I16" s="38"/>
      <c r="J16" s="39"/>
      <c r="K16" s="38"/>
      <c r="L16" s="38"/>
      <c r="M16" s="38"/>
      <c r="Q16" s="36"/>
      <c r="R16" s="36"/>
      <c r="S16" s="48"/>
    </row>
    <row r="17" spans="1:19" ht="123" customHeight="1" x14ac:dyDescent="0.25">
      <c r="A17" s="34"/>
      <c r="B17" s="35"/>
      <c r="C17" s="36"/>
      <c r="D17" s="35"/>
      <c r="E17" s="35"/>
      <c r="F17" s="37"/>
      <c r="G17" s="38"/>
      <c r="H17" s="38"/>
      <c r="I17" s="38"/>
      <c r="J17" s="39"/>
      <c r="K17" s="38"/>
      <c r="L17" s="38"/>
      <c r="M17" s="38"/>
      <c r="Q17" s="36"/>
      <c r="R17" s="36"/>
      <c r="S17" s="48"/>
    </row>
    <row r="18" spans="1:19" ht="123" customHeight="1" x14ac:dyDescent="0.25">
      <c r="A18" s="34"/>
      <c r="B18" s="35"/>
      <c r="C18" s="36"/>
      <c r="D18" s="35"/>
      <c r="E18" s="35"/>
      <c r="F18" s="37"/>
      <c r="G18" s="38"/>
      <c r="H18" s="38"/>
      <c r="I18" s="38"/>
      <c r="J18" s="39"/>
      <c r="K18" s="38"/>
      <c r="L18" s="38"/>
      <c r="M18" s="38"/>
      <c r="Q18" s="36"/>
      <c r="R18" s="36"/>
      <c r="S18" s="48"/>
    </row>
    <row r="19" spans="1:19" ht="123" customHeight="1" x14ac:dyDescent="0.25">
      <c r="A19" s="34"/>
      <c r="B19" s="35"/>
      <c r="C19" s="36"/>
      <c r="D19" s="35"/>
      <c r="E19" s="35"/>
      <c r="F19" s="37"/>
      <c r="G19" s="38"/>
      <c r="H19" s="38"/>
      <c r="I19" s="38"/>
      <c r="J19" s="39"/>
      <c r="K19" s="38"/>
      <c r="L19" s="38"/>
      <c r="M19" s="38"/>
      <c r="Q19" s="36"/>
      <c r="R19" s="36"/>
      <c r="S19" s="48"/>
    </row>
    <row r="20" spans="1:19" ht="123" customHeight="1" x14ac:dyDescent="0.25">
      <c r="A20" s="34"/>
      <c r="B20" s="35"/>
      <c r="C20" s="36"/>
      <c r="D20" s="35"/>
      <c r="E20" s="35"/>
      <c r="F20" s="37"/>
      <c r="G20" s="38"/>
      <c r="H20" s="38"/>
      <c r="I20" s="38"/>
      <c r="J20" s="39"/>
      <c r="K20" s="38"/>
      <c r="L20" s="38"/>
      <c r="M20" s="38"/>
      <c r="Q20" s="36"/>
      <c r="R20" s="36"/>
      <c r="S20" s="48"/>
    </row>
    <row r="21" spans="1:19" ht="123" customHeight="1" x14ac:dyDescent="0.25">
      <c r="A21" s="34"/>
      <c r="B21" s="35"/>
      <c r="C21" s="36"/>
      <c r="D21" s="35"/>
      <c r="E21" s="35"/>
      <c r="F21" s="37"/>
      <c r="G21" s="38"/>
      <c r="H21" s="38"/>
      <c r="I21" s="38"/>
      <c r="J21" s="39"/>
      <c r="K21" s="38"/>
      <c r="L21" s="38"/>
      <c r="M21" s="38"/>
      <c r="Q21" s="36"/>
      <c r="R21" s="36"/>
      <c r="S21" s="48"/>
    </row>
    <row r="22" spans="1:19" ht="123" customHeight="1" x14ac:dyDescent="0.25">
      <c r="A22" s="34"/>
      <c r="B22" s="35"/>
      <c r="C22" s="36"/>
      <c r="D22" s="35"/>
      <c r="E22" s="35"/>
      <c r="F22" s="37"/>
      <c r="G22" s="38"/>
      <c r="H22" s="38"/>
      <c r="I22" s="38"/>
      <c r="J22" s="39"/>
      <c r="K22" s="38"/>
      <c r="L22" s="38"/>
      <c r="M22" s="38"/>
      <c r="Q22" s="36"/>
      <c r="R22" s="36"/>
      <c r="S22" s="48"/>
    </row>
    <row r="23" spans="1:19" ht="123" customHeight="1" x14ac:dyDescent="0.25">
      <c r="A23" s="34"/>
      <c r="B23" s="35"/>
      <c r="C23" s="36"/>
      <c r="D23" s="35"/>
      <c r="E23" s="35"/>
      <c r="F23" s="37"/>
      <c r="G23" s="38"/>
      <c r="H23" s="38"/>
      <c r="I23" s="38"/>
      <c r="J23" s="39"/>
      <c r="K23" s="38"/>
      <c r="L23" s="38"/>
      <c r="M23" s="38"/>
      <c r="Q23" s="36"/>
      <c r="R23" s="36"/>
      <c r="S23" s="48"/>
    </row>
    <row r="24" spans="1:19" ht="123" customHeight="1" x14ac:dyDescent="0.25">
      <c r="A24" s="34"/>
      <c r="B24" s="35"/>
      <c r="C24" s="36"/>
      <c r="D24" s="35"/>
      <c r="E24" s="35"/>
      <c r="F24" s="37"/>
      <c r="G24" s="38"/>
      <c r="H24" s="38"/>
      <c r="I24" s="38"/>
      <c r="J24" s="39"/>
      <c r="K24" s="38"/>
      <c r="L24" s="38"/>
      <c r="M24" s="38"/>
      <c r="Q24" s="36"/>
      <c r="R24" s="36"/>
      <c r="S24" s="48"/>
    </row>
    <row r="25" spans="1:19" ht="123" customHeight="1" x14ac:dyDescent="0.25">
      <c r="A25" s="34"/>
      <c r="B25" s="35"/>
      <c r="C25" s="36"/>
      <c r="D25" s="35"/>
      <c r="E25" s="35"/>
      <c r="F25" s="37"/>
      <c r="G25" s="38"/>
      <c r="H25" s="38"/>
      <c r="I25" s="38"/>
      <c r="J25" s="39"/>
      <c r="K25" s="38"/>
      <c r="L25" s="38"/>
      <c r="M25" s="38"/>
      <c r="Q25" s="36"/>
      <c r="R25" s="36"/>
      <c r="S25" s="48"/>
    </row>
    <row r="26" spans="1:19" ht="123" customHeight="1" x14ac:dyDescent="0.25">
      <c r="A26" s="34"/>
      <c r="B26" s="35"/>
      <c r="C26" s="36"/>
      <c r="D26" s="35"/>
      <c r="E26" s="35"/>
      <c r="F26" s="37"/>
      <c r="G26" s="38"/>
      <c r="H26" s="38"/>
      <c r="I26" s="38"/>
      <c r="J26" s="39"/>
      <c r="K26" s="38"/>
      <c r="L26" s="38"/>
      <c r="M26" s="38"/>
      <c r="Q26" s="36"/>
      <c r="R26" s="36"/>
      <c r="S26" s="48"/>
    </row>
    <row r="27" spans="1:19" ht="123" customHeight="1" x14ac:dyDescent="0.25">
      <c r="A27" s="34"/>
      <c r="B27" s="35"/>
      <c r="C27" s="36"/>
      <c r="D27" s="35"/>
      <c r="E27" s="35"/>
      <c r="F27" s="37"/>
      <c r="G27" s="38"/>
      <c r="H27" s="38"/>
      <c r="I27" s="38"/>
      <c r="J27" s="39"/>
      <c r="K27" s="38"/>
      <c r="L27" s="38"/>
      <c r="M27" s="38"/>
      <c r="Q27" s="36"/>
      <c r="R27" s="36"/>
      <c r="S27" s="48"/>
    </row>
    <row r="28" spans="1:19" ht="123" customHeight="1" x14ac:dyDescent="0.25">
      <c r="A28" s="34"/>
      <c r="B28" s="35"/>
      <c r="C28" s="36"/>
      <c r="D28" s="35"/>
      <c r="E28" s="35"/>
      <c r="F28" s="37"/>
      <c r="G28" s="38"/>
      <c r="H28" s="38"/>
      <c r="I28" s="38"/>
      <c r="J28" s="39"/>
      <c r="K28" s="38"/>
      <c r="L28" s="38"/>
      <c r="M28" s="38"/>
      <c r="Q28" s="36"/>
      <c r="R28" s="36"/>
      <c r="S28" s="48"/>
    </row>
    <row r="29" spans="1:19" ht="123" customHeight="1" x14ac:dyDescent="0.25">
      <c r="A29" s="34"/>
      <c r="B29" s="35"/>
      <c r="C29" s="36"/>
      <c r="D29" s="35"/>
      <c r="E29" s="35"/>
      <c r="F29" s="37"/>
      <c r="G29" s="38"/>
      <c r="H29" s="38"/>
      <c r="I29" s="38"/>
      <c r="J29" s="39"/>
      <c r="K29" s="38"/>
      <c r="L29" s="38"/>
      <c r="M29" s="38"/>
      <c r="Q29" s="36"/>
      <c r="R29" s="36"/>
      <c r="S29" s="48"/>
    </row>
    <row r="30" spans="1:19" ht="123" customHeight="1" x14ac:dyDescent="0.25">
      <c r="A30" s="34"/>
      <c r="B30" s="35"/>
      <c r="C30" s="36"/>
      <c r="D30" s="35"/>
      <c r="E30" s="35"/>
      <c r="F30" s="37"/>
      <c r="G30" s="38"/>
      <c r="H30" s="38"/>
      <c r="I30" s="38"/>
      <c r="J30" s="39"/>
      <c r="K30" s="38"/>
      <c r="L30" s="38"/>
      <c r="M30" s="38"/>
      <c r="Q30" s="36"/>
      <c r="R30" s="36"/>
      <c r="S30" s="48"/>
    </row>
    <row r="31" spans="1:19" ht="123" customHeight="1" x14ac:dyDescent="0.25">
      <c r="A31" s="34"/>
      <c r="B31" s="35"/>
      <c r="C31" s="36"/>
      <c r="D31" s="35"/>
      <c r="E31" s="35"/>
      <c r="F31" s="37"/>
      <c r="G31" s="38"/>
      <c r="H31" s="38"/>
      <c r="I31" s="38"/>
      <c r="J31" s="39"/>
      <c r="K31" s="38"/>
      <c r="L31" s="38"/>
      <c r="M31" s="38"/>
      <c r="Q31" s="36"/>
      <c r="R31" s="36"/>
      <c r="S31" s="48"/>
    </row>
    <row r="32" spans="1:19" ht="123" customHeight="1" x14ac:dyDescent="0.25">
      <c r="A32" s="34"/>
      <c r="B32" s="35"/>
      <c r="C32" s="36"/>
      <c r="D32" s="35"/>
      <c r="E32" s="35"/>
      <c r="F32" s="37"/>
      <c r="G32" s="38"/>
      <c r="H32" s="38"/>
      <c r="I32" s="38"/>
      <c r="J32" s="39"/>
      <c r="K32" s="38"/>
      <c r="L32" s="38"/>
      <c r="M32" s="38"/>
      <c r="Q32" s="36"/>
      <c r="R32" s="36"/>
      <c r="S32" s="48"/>
    </row>
    <row r="33" spans="1:19" ht="123" customHeight="1" x14ac:dyDescent="0.25">
      <c r="A33" s="34"/>
      <c r="B33" s="35"/>
      <c r="C33" s="36"/>
      <c r="D33" s="35"/>
      <c r="E33" s="35"/>
      <c r="F33" s="37"/>
      <c r="G33" s="38"/>
      <c r="H33" s="38"/>
      <c r="I33" s="38"/>
      <c r="J33" s="39"/>
      <c r="K33" s="38"/>
      <c r="L33" s="38"/>
      <c r="M33" s="38"/>
      <c r="Q33" s="36"/>
      <c r="R33" s="36"/>
      <c r="S33" s="48"/>
    </row>
    <row r="34" spans="1:19" ht="123" customHeight="1" x14ac:dyDescent="0.25">
      <c r="A34" s="34"/>
      <c r="B34" s="35"/>
      <c r="C34" s="36"/>
      <c r="D34" s="35"/>
      <c r="E34" s="35"/>
      <c r="F34" s="37"/>
      <c r="G34" s="38"/>
      <c r="H34" s="38"/>
      <c r="I34" s="38"/>
      <c r="J34" s="39"/>
      <c r="K34" s="38"/>
      <c r="L34" s="38"/>
      <c r="M34" s="38"/>
      <c r="Q34" s="36"/>
      <c r="R34" s="36"/>
      <c r="S34" s="48"/>
    </row>
    <row r="35" spans="1:19" ht="123" customHeight="1" x14ac:dyDescent="0.25">
      <c r="A35" s="34"/>
      <c r="B35" s="35"/>
      <c r="C35" s="36"/>
      <c r="D35" s="35"/>
      <c r="E35" s="35"/>
      <c r="F35" s="37"/>
      <c r="G35" s="38"/>
      <c r="H35" s="38"/>
      <c r="I35" s="38"/>
      <c r="J35" s="39"/>
      <c r="K35" s="38"/>
      <c r="L35" s="38"/>
      <c r="M35" s="38"/>
      <c r="Q35" s="36"/>
      <c r="R35" s="36"/>
      <c r="S35" s="48"/>
    </row>
    <row r="36" spans="1:19" ht="123" customHeight="1" x14ac:dyDescent="0.25">
      <c r="A36" s="34"/>
      <c r="B36" s="35"/>
      <c r="C36" s="36"/>
      <c r="D36" s="35"/>
      <c r="E36" s="35"/>
      <c r="F36" s="37"/>
      <c r="G36" s="38"/>
      <c r="H36" s="38"/>
      <c r="I36" s="38"/>
      <c r="J36" s="39"/>
      <c r="K36" s="38"/>
      <c r="L36" s="38"/>
      <c r="M36" s="38"/>
      <c r="Q36" s="36"/>
      <c r="R36" s="36"/>
      <c r="S36" s="48"/>
    </row>
    <row r="37" spans="1:19" ht="123" customHeight="1" x14ac:dyDescent="0.25">
      <c r="A37" s="34"/>
      <c r="B37" s="35"/>
      <c r="C37" s="36"/>
      <c r="D37" s="35"/>
      <c r="E37" s="35"/>
      <c r="F37" s="37"/>
      <c r="G37" s="38"/>
      <c r="H37" s="38"/>
      <c r="I37" s="38"/>
      <c r="J37" s="39"/>
      <c r="K37" s="38"/>
      <c r="L37" s="38"/>
      <c r="M37" s="38"/>
      <c r="Q37" s="36"/>
      <c r="R37" s="36"/>
      <c r="S37" s="48"/>
    </row>
    <row r="38" spans="1:19" ht="123" customHeight="1" x14ac:dyDescent="0.25">
      <c r="A38" s="34"/>
      <c r="B38" s="35"/>
      <c r="C38" s="36"/>
      <c r="D38" s="35"/>
      <c r="E38" s="35"/>
      <c r="F38" s="37"/>
      <c r="G38" s="38"/>
      <c r="H38" s="38"/>
      <c r="I38" s="38"/>
      <c r="J38" s="39"/>
      <c r="K38" s="38"/>
      <c r="L38" s="38"/>
      <c r="M38" s="38"/>
      <c r="Q38" s="36"/>
      <c r="R38" s="36"/>
      <c r="S38" s="48"/>
    </row>
    <row r="39" spans="1:19" ht="123" customHeight="1" x14ac:dyDescent="0.25">
      <c r="A39" s="34"/>
      <c r="B39" s="35"/>
      <c r="C39" s="36"/>
      <c r="D39" s="35"/>
      <c r="E39" s="35"/>
      <c r="F39" s="37"/>
      <c r="G39" s="38"/>
      <c r="H39" s="38"/>
      <c r="I39" s="38"/>
      <c r="J39" s="39"/>
      <c r="K39" s="38"/>
      <c r="L39" s="38"/>
      <c r="M39" s="38"/>
      <c r="Q39" s="36"/>
      <c r="R39" s="36"/>
      <c r="S39" s="48"/>
    </row>
    <row r="40" spans="1:19" ht="123" customHeight="1" x14ac:dyDescent="0.25">
      <c r="A40" s="34"/>
      <c r="B40" s="35"/>
      <c r="C40" s="36"/>
      <c r="D40" s="35"/>
      <c r="E40" s="35"/>
      <c r="F40" s="37"/>
      <c r="G40" s="38"/>
      <c r="H40" s="38"/>
      <c r="I40" s="38"/>
      <c r="J40" s="39"/>
      <c r="K40" s="38"/>
      <c r="L40" s="38"/>
      <c r="M40" s="38"/>
      <c r="Q40" s="36"/>
      <c r="R40" s="36"/>
      <c r="S40" s="48"/>
    </row>
    <row r="41" spans="1:19" ht="123" customHeight="1" x14ac:dyDescent="0.25">
      <c r="A41" s="34"/>
      <c r="B41" s="35"/>
      <c r="C41" s="36"/>
      <c r="D41" s="35"/>
      <c r="E41" s="35"/>
      <c r="F41" s="37"/>
      <c r="G41" s="38"/>
      <c r="H41" s="38"/>
      <c r="I41" s="38"/>
      <c r="J41" s="39"/>
      <c r="K41" s="38"/>
      <c r="L41" s="38"/>
      <c r="M41" s="38"/>
      <c r="Q41" s="36"/>
      <c r="R41" s="36"/>
      <c r="S41" s="48"/>
    </row>
    <row r="42" spans="1:19" ht="123" customHeight="1" x14ac:dyDescent="0.25">
      <c r="A42" s="34"/>
      <c r="B42" s="35"/>
      <c r="C42" s="36"/>
      <c r="D42" s="35"/>
      <c r="E42" s="35"/>
      <c r="F42" s="37"/>
      <c r="G42" s="38"/>
      <c r="H42" s="38"/>
      <c r="I42" s="38"/>
      <c r="J42" s="39"/>
      <c r="K42" s="38"/>
      <c r="L42" s="38"/>
      <c r="M42" s="38"/>
      <c r="Q42" s="36"/>
      <c r="R42" s="36"/>
      <c r="S42" s="48"/>
    </row>
    <row r="43" spans="1:19" ht="123" customHeight="1" x14ac:dyDescent="0.25">
      <c r="A43" s="34"/>
      <c r="B43" s="35"/>
      <c r="C43" s="36"/>
      <c r="D43" s="35"/>
      <c r="E43" s="35"/>
      <c r="F43" s="37"/>
      <c r="G43" s="38"/>
      <c r="H43" s="38"/>
      <c r="I43" s="38"/>
      <c r="J43" s="39"/>
      <c r="K43" s="38"/>
      <c r="L43" s="38"/>
      <c r="M43" s="38"/>
      <c r="Q43" s="36"/>
      <c r="R43" s="36"/>
      <c r="S43" s="48"/>
    </row>
    <row r="44" spans="1:19" ht="123" customHeight="1" x14ac:dyDescent="0.25">
      <c r="A44" s="34"/>
      <c r="B44" s="35"/>
      <c r="C44" s="36"/>
      <c r="D44" s="35"/>
      <c r="E44" s="35"/>
      <c r="F44" s="37"/>
      <c r="G44" s="38"/>
      <c r="H44" s="38"/>
      <c r="I44" s="38"/>
      <c r="J44" s="39"/>
      <c r="K44" s="38"/>
      <c r="L44" s="38"/>
      <c r="M44" s="38"/>
      <c r="Q44" s="36"/>
      <c r="R44" s="36"/>
      <c r="S44" s="48"/>
    </row>
    <row r="45" spans="1:19" ht="123" customHeight="1" x14ac:dyDescent="0.25">
      <c r="A45" s="34"/>
      <c r="B45" s="35"/>
      <c r="C45" s="36"/>
      <c r="D45" s="35"/>
      <c r="E45" s="35"/>
      <c r="F45" s="37"/>
      <c r="G45" s="38"/>
      <c r="H45" s="38"/>
      <c r="I45" s="38"/>
      <c r="J45" s="39"/>
      <c r="K45" s="38"/>
      <c r="L45" s="38"/>
      <c r="M45" s="38"/>
      <c r="Q45" s="36"/>
      <c r="R45" s="36"/>
      <c r="S45" s="48"/>
    </row>
    <row r="46" spans="1:19" ht="123" customHeight="1" x14ac:dyDescent="0.25">
      <c r="A46" s="34"/>
      <c r="B46" s="35"/>
      <c r="C46" s="36"/>
      <c r="D46" s="35"/>
      <c r="E46" s="35"/>
      <c r="F46" s="37"/>
      <c r="G46" s="38"/>
      <c r="H46" s="38"/>
      <c r="I46" s="38"/>
      <c r="J46" s="39"/>
      <c r="K46" s="38"/>
      <c r="L46" s="38"/>
      <c r="M46" s="38"/>
      <c r="Q46" s="36"/>
      <c r="R46" s="36"/>
      <c r="S46" s="48"/>
    </row>
    <row r="47" spans="1:19" ht="123" customHeight="1" x14ac:dyDescent="0.25">
      <c r="A47" s="34"/>
      <c r="B47" s="35"/>
      <c r="C47" s="36"/>
      <c r="D47" s="35"/>
      <c r="E47" s="35"/>
      <c r="F47" s="37"/>
      <c r="G47" s="38"/>
      <c r="H47" s="38"/>
      <c r="I47" s="38"/>
      <c r="J47" s="39"/>
      <c r="K47" s="38"/>
      <c r="L47" s="38"/>
      <c r="M47" s="38"/>
      <c r="Q47" s="36"/>
      <c r="R47" s="36"/>
      <c r="S47" s="48"/>
    </row>
    <row r="48" spans="1:19" ht="123" customHeight="1" x14ac:dyDescent="0.25">
      <c r="A48" s="34"/>
      <c r="B48" s="35"/>
      <c r="C48" s="36"/>
      <c r="D48" s="35"/>
      <c r="E48" s="35"/>
      <c r="F48" s="37"/>
      <c r="G48" s="38"/>
      <c r="H48" s="38"/>
      <c r="I48" s="38"/>
      <c r="J48" s="39"/>
      <c r="K48" s="38"/>
      <c r="L48" s="38"/>
      <c r="M48" s="38"/>
      <c r="Q48" s="36"/>
      <c r="R48" s="36"/>
      <c r="S48" s="48"/>
    </row>
    <row r="49" spans="1:19" ht="123" customHeight="1" x14ac:dyDescent="0.25">
      <c r="A49" s="34"/>
      <c r="B49" s="35"/>
      <c r="C49" s="36"/>
      <c r="D49" s="35"/>
      <c r="E49" s="35"/>
      <c r="F49" s="37"/>
      <c r="G49" s="38"/>
      <c r="H49" s="38"/>
      <c r="I49" s="38"/>
      <c r="J49" s="39"/>
      <c r="K49" s="38"/>
      <c r="L49" s="38"/>
      <c r="M49" s="38"/>
      <c r="Q49" s="36"/>
      <c r="R49" s="36"/>
      <c r="S49" s="48"/>
    </row>
    <row r="50" spans="1:19" ht="123" customHeight="1" x14ac:dyDescent="0.25">
      <c r="A50" s="34"/>
      <c r="B50" s="35"/>
      <c r="C50" s="36"/>
      <c r="D50" s="35"/>
      <c r="E50" s="35"/>
      <c r="F50" s="37"/>
      <c r="G50" s="38"/>
      <c r="H50" s="38"/>
      <c r="I50" s="38"/>
      <c r="J50" s="39"/>
      <c r="K50" s="38"/>
      <c r="L50" s="38"/>
      <c r="M50" s="38"/>
      <c r="Q50" s="36"/>
      <c r="R50" s="36"/>
      <c r="S50" s="48"/>
    </row>
    <row r="51" spans="1:19" ht="123" customHeight="1" x14ac:dyDescent="0.25">
      <c r="A51" s="34"/>
      <c r="B51" s="35"/>
      <c r="C51" s="36"/>
      <c r="D51" s="35"/>
      <c r="E51" s="35"/>
      <c r="F51" s="37"/>
      <c r="G51" s="38"/>
      <c r="H51" s="38"/>
      <c r="I51" s="38"/>
      <c r="J51" s="39"/>
      <c r="K51" s="38"/>
      <c r="L51" s="38"/>
      <c r="M51" s="38"/>
      <c r="Q51" s="36"/>
      <c r="R51" s="36"/>
      <c r="S51" s="48"/>
    </row>
    <row r="52" spans="1:19" ht="123" customHeight="1" x14ac:dyDescent="0.25">
      <c r="A52" s="34"/>
      <c r="B52" s="35"/>
      <c r="C52" s="36"/>
      <c r="D52" s="35"/>
      <c r="E52" s="35"/>
      <c r="F52" s="37"/>
      <c r="G52" s="38"/>
      <c r="H52" s="38"/>
      <c r="I52" s="38"/>
      <c r="J52" s="39"/>
      <c r="K52" s="38"/>
      <c r="L52" s="38"/>
      <c r="M52" s="38"/>
      <c r="Q52" s="36"/>
      <c r="R52" s="36"/>
      <c r="S52" s="48"/>
    </row>
    <row r="53" spans="1:19" ht="123" customHeight="1" x14ac:dyDescent="0.25">
      <c r="A53" s="34"/>
      <c r="B53" s="35"/>
      <c r="C53" s="36"/>
      <c r="D53" s="35"/>
      <c r="E53" s="35"/>
      <c r="F53" s="37"/>
      <c r="G53" s="38"/>
      <c r="H53" s="38"/>
      <c r="I53" s="38"/>
      <c r="J53" s="39"/>
      <c r="K53" s="38"/>
      <c r="L53" s="38"/>
      <c r="M53" s="38"/>
      <c r="Q53" s="36"/>
      <c r="R53" s="36"/>
      <c r="S53" s="48"/>
    </row>
    <row r="54" spans="1:19" ht="123" customHeight="1" x14ac:dyDescent="0.25">
      <c r="A54" s="34"/>
      <c r="B54" s="35"/>
      <c r="C54" s="36"/>
      <c r="D54" s="35"/>
      <c r="E54" s="35"/>
      <c r="F54" s="37"/>
      <c r="G54" s="38"/>
      <c r="H54" s="38"/>
      <c r="I54" s="38"/>
      <c r="J54" s="39"/>
      <c r="K54" s="38"/>
      <c r="L54" s="38"/>
      <c r="M54" s="38"/>
      <c r="Q54" s="36"/>
      <c r="R54" s="36"/>
      <c r="S54" s="48"/>
    </row>
    <row r="55" spans="1:19" ht="123" customHeight="1" x14ac:dyDescent="0.25">
      <c r="A55" s="34"/>
      <c r="B55" s="35"/>
      <c r="C55" s="36"/>
      <c r="D55" s="35"/>
      <c r="E55" s="35"/>
      <c r="F55" s="37"/>
      <c r="G55" s="38"/>
      <c r="H55" s="38"/>
      <c r="I55" s="38"/>
      <c r="J55" s="39"/>
      <c r="K55" s="38"/>
      <c r="L55" s="38"/>
      <c r="M55" s="38"/>
      <c r="Q55" s="36"/>
      <c r="R55" s="36"/>
      <c r="S55" s="48"/>
    </row>
    <row r="56" spans="1:19" ht="123" customHeight="1" x14ac:dyDescent="0.25">
      <c r="A56" s="34"/>
      <c r="B56" s="35"/>
      <c r="C56" s="36"/>
      <c r="D56" s="35"/>
      <c r="E56" s="35"/>
      <c r="F56" s="37"/>
      <c r="G56" s="38"/>
      <c r="H56" s="38"/>
      <c r="I56" s="38"/>
      <c r="J56" s="39"/>
      <c r="K56" s="38"/>
      <c r="L56" s="38"/>
      <c r="M56" s="38"/>
      <c r="Q56" s="36"/>
      <c r="R56" s="36"/>
      <c r="S56" s="48"/>
    </row>
    <row r="57" spans="1:19" ht="123" customHeight="1" x14ac:dyDescent="0.25">
      <c r="A57" s="34"/>
      <c r="B57" s="35"/>
      <c r="C57" s="36"/>
      <c r="D57" s="35"/>
      <c r="E57" s="35"/>
      <c r="F57" s="37"/>
      <c r="G57" s="38"/>
      <c r="H57" s="38"/>
      <c r="I57" s="38"/>
      <c r="J57" s="39"/>
      <c r="K57" s="38"/>
      <c r="L57" s="38"/>
      <c r="M57" s="38"/>
      <c r="Q57" s="36"/>
      <c r="R57" s="36"/>
      <c r="S57" s="48"/>
    </row>
    <row r="58" spans="1:19" ht="123" customHeight="1" x14ac:dyDescent="0.25">
      <c r="A58" s="34"/>
      <c r="B58" s="35"/>
      <c r="C58" s="36"/>
      <c r="D58" s="35"/>
      <c r="E58" s="35"/>
      <c r="F58" s="37"/>
      <c r="G58" s="38"/>
      <c r="H58" s="38"/>
      <c r="I58" s="38"/>
      <c r="J58" s="39"/>
      <c r="K58" s="38"/>
      <c r="L58" s="38"/>
      <c r="M58" s="38"/>
      <c r="Q58" s="36"/>
      <c r="R58" s="36"/>
      <c r="S58" s="48"/>
    </row>
    <row r="59" spans="1:19" ht="123" customHeight="1" x14ac:dyDescent="0.25">
      <c r="A59" s="34"/>
      <c r="B59" s="35"/>
      <c r="C59" s="36"/>
      <c r="D59" s="35"/>
      <c r="E59" s="35"/>
      <c r="F59" s="37"/>
      <c r="G59" s="38"/>
      <c r="H59" s="38"/>
      <c r="I59" s="38"/>
      <c r="J59" s="39"/>
      <c r="K59" s="38"/>
      <c r="L59" s="38"/>
      <c r="M59" s="38"/>
      <c r="Q59" s="36"/>
      <c r="R59" s="36"/>
      <c r="S59" s="48"/>
    </row>
    <row r="60" spans="1:19" ht="123" customHeight="1" x14ac:dyDescent="0.25">
      <c r="A60" s="34"/>
      <c r="B60" s="35"/>
      <c r="C60" s="36"/>
      <c r="D60" s="35"/>
      <c r="E60" s="35"/>
      <c r="F60" s="37"/>
      <c r="G60" s="38"/>
      <c r="H60" s="38"/>
      <c r="I60" s="38"/>
      <c r="J60" s="39"/>
      <c r="K60" s="38"/>
      <c r="L60" s="38"/>
      <c r="M60" s="38"/>
      <c r="Q60" s="36"/>
      <c r="R60" s="36"/>
      <c r="S60" s="48"/>
    </row>
    <row r="61" spans="1:19" ht="123" customHeight="1" x14ac:dyDescent="0.25">
      <c r="A61" s="34"/>
      <c r="B61" s="35"/>
      <c r="C61" s="36"/>
      <c r="D61" s="35"/>
      <c r="E61" s="35"/>
      <c r="F61" s="37"/>
      <c r="G61" s="38"/>
      <c r="H61" s="38"/>
      <c r="I61" s="38"/>
      <c r="J61" s="39"/>
      <c r="K61" s="38"/>
      <c r="L61" s="38"/>
      <c r="M61" s="38"/>
      <c r="Q61" s="36"/>
      <c r="R61" s="36"/>
      <c r="S61" s="48"/>
    </row>
    <row r="62" spans="1:19" ht="123" customHeight="1" x14ac:dyDescent="0.25">
      <c r="A62" s="34"/>
      <c r="B62" s="35"/>
      <c r="C62" s="36"/>
      <c r="D62" s="35"/>
      <c r="E62" s="35"/>
      <c r="F62" s="37"/>
      <c r="G62" s="38"/>
      <c r="H62" s="38"/>
      <c r="I62" s="38"/>
      <c r="J62" s="39"/>
      <c r="K62" s="38"/>
      <c r="L62" s="38"/>
      <c r="M62" s="38"/>
      <c r="Q62" s="36"/>
      <c r="R62" s="36"/>
      <c r="S62" s="48"/>
    </row>
    <row r="63" spans="1:19" ht="123" customHeight="1" x14ac:dyDescent="0.25">
      <c r="A63" s="34"/>
      <c r="B63" s="35"/>
      <c r="C63" s="36"/>
      <c r="D63" s="35"/>
      <c r="E63" s="35"/>
      <c r="F63" s="37"/>
      <c r="G63" s="38"/>
      <c r="H63" s="38"/>
      <c r="I63" s="38"/>
      <c r="J63" s="39"/>
      <c r="K63" s="38"/>
      <c r="L63" s="38"/>
      <c r="M63" s="38"/>
      <c r="Q63" s="36"/>
      <c r="R63" s="36"/>
      <c r="S63" s="48"/>
    </row>
    <row r="64" spans="1:19" ht="123" customHeight="1" x14ac:dyDescent="0.25">
      <c r="A64" s="34"/>
      <c r="B64" s="35"/>
      <c r="C64" s="36"/>
      <c r="D64" s="35"/>
      <c r="E64" s="35"/>
      <c r="F64" s="37"/>
      <c r="G64" s="38"/>
      <c r="H64" s="38"/>
      <c r="I64" s="38"/>
      <c r="J64" s="39"/>
      <c r="K64" s="38"/>
      <c r="L64" s="38"/>
      <c r="M64" s="38"/>
      <c r="Q64" s="36"/>
      <c r="R64" s="36"/>
      <c r="S64" s="48"/>
    </row>
    <row r="65" spans="1:19" ht="123" customHeight="1" x14ac:dyDescent="0.25">
      <c r="A65" s="34"/>
      <c r="B65" s="35"/>
      <c r="C65" s="36"/>
      <c r="D65" s="35"/>
      <c r="E65" s="35"/>
      <c r="F65" s="37"/>
      <c r="G65" s="38"/>
      <c r="H65" s="38"/>
      <c r="I65" s="38"/>
      <c r="J65" s="39"/>
      <c r="K65" s="38"/>
      <c r="L65" s="38"/>
      <c r="M65" s="38"/>
      <c r="Q65" s="36"/>
      <c r="R65" s="36"/>
      <c r="S65" s="48"/>
    </row>
    <row r="66" spans="1:19" ht="123" customHeight="1" x14ac:dyDescent="0.25">
      <c r="A66" s="34"/>
      <c r="B66" s="35"/>
      <c r="C66" s="36"/>
      <c r="D66" s="35"/>
      <c r="E66" s="35"/>
      <c r="F66" s="37"/>
      <c r="G66" s="38"/>
      <c r="H66" s="38"/>
      <c r="I66" s="38"/>
      <c r="J66" s="39"/>
      <c r="K66" s="38"/>
      <c r="L66" s="38"/>
      <c r="M66" s="38"/>
      <c r="Q66" s="36"/>
      <c r="R66" s="36"/>
      <c r="S66" s="48"/>
    </row>
    <row r="67" spans="1:19" ht="123" customHeight="1" x14ac:dyDescent="0.25">
      <c r="A67" s="34"/>
      <c r="B67" s="35"/>
      <c r="C67" s="36"/>
      <c r="D67" s="35"/>
      <c r="E67" s="35"/>
      <c r="F67" s="37"/>
      <c r="G67" s="38"/>
      <c r="H67" s="38"/>
      <c r="I67" s="38"/>
      <c r="J67" s="39"/>
      <c r="K67" s="38"/>
      <c r="L67" s="38"/>
      <c r="M67" s="38"/>
      <c r="Q67" s="36"/>
      <c r="R67" s="36"/>
      <c r="S67" s="48"/>
    </row>
    <row r="68" spans="1:19" ht="123" customHeight="1" x14ac:dyDescent="0.25">
      <c r="A68" s="34"/>
      <c r="B68" s="35"/>
      <c r="C68" s="36"/>
      <c r="D68" s="35"/>
      <c r="E68" s="35"/>
      <c r="F68" s="37"/>
      <c r="G68" s="38"/>
      <c r="H68" s="38"/>
      <c r="I68" s="38"/>
      <c r="J68" s="39"/>
      <c r="K68" s="38"/>
      <c r="L68" s="38"/>
      <c r="M68" s="38"/>
      <c r="Q68" s="36"/>
      <c r="R68" s="36"/>
      <c r="S68" s="48"/>
    </row>
    <row r="69" spans="1:19" ht="123" customHeight="1" x14ac:dyDescent="0.25">
      <c r="A69" s="34"/>
      <c r="B69" s="35"/>
      <c r="C69" s="36"/>
      <c r="D69" s="35"/>
      <c r="E69" s="35"/>
      <c r="F69" s="37"/>
      <c r="G69" s="38"/>
      <c r="H69" s="38"/>
      <c r="I69" s="38"/>
      <c r="J69" s="39"/>
      <c r="K69" s="38"/>
      <c r="L69" s="38"/>
      <c r="M69" s="38"/>
      <c r="Q69" s="36"/>
      <c r="R69" s="36"/>
      <c r="S69" s="48"/>
    </row>
    <row r="70" spans="1:19" ht="123" customHeight="1" x14ac:dyDescent="0.25">
      <c r="A70" s="34"/>
      <c r="B70" s="35"/>
      <c r="C70" s="36"/>
      <c r="D70" s="35"/>
      <c r="E70" s="35"/>
      <c r="F70" s="37"/>
      <c r="G70" s="38"/>
      <c r="H70" s="38"/>
      <c r="I70" s="38"/>
      <c r="J70" s="39"/>
      <c r="K70" s="38"/>
      <c r="L70" s="38"/>
      <c r="M70" s="38"/>
      <c r="Q70" s="36"/>
      <c r="R70" s="36"/>
      <c r="S70" s="48"/>
    </row>
    <row r="71" spans="1:19" ht="123" customHeight="1" x14ac:dyDescent="0.25">
      <c r="A71" s="34"/>
      <c r="B71" s="35"/>
      <c r="C71" s="36"/>
      <c r="D71" s="35"/>
      <c r="E71" s="35"/>
      <c r="F71" s="37"/>
      <c r="G71" s="38"/>
      <c r="H71" s="38"/>
      <c r="I71" s="38"/>
      <c r="J71" s="39"/>
      <c r="K71" s="38"/>
      <c r="L71" s="38"/>
      <c r="M71" s="38"/>
      <c r="Q71" s="36"/>
      <c r="R71" s="36"/>
      <c r="S71" s="48"/>
    </row>
    <row r="72" spans="1:19" ht="123" customHeight="1" x14ac:dyDescent="0.25">
      <c r="A72" s="34"/>
      <c r="B72" s="35"/>
      <c r="C72" s="36"/>
      <c r="D72" s="35"/>
      <c r="E72" s="35"/>
      <c r="F72" s="37"/>
      <c r="G72" s="38"/>
      <c r="H72" s="38"/>
      <c r="I72" s="38"/>
      <c r="J72" s="39"/>
      <c r="K72" s="38"/>
      <c r="L72" s="38"/>
      <c r="M72" s="38"/>
      <c r="Q72" s="36"/>
      <c r="R72" s="36"/>
      <c r="S72" s="48"/>
    </row>
    <row r="73" spans="1:19" ht="123" customHeight="1" x14ac:dyDescent="0.25">
      <c r="A73" s="34"/>
      <c r="B73" s="35"/>
      <c r="C73" s="36"/>
      <c r="D73" s="35"/>
      <c r="E73" s="35"/>
      <c r="F73" s="37"/>
      <c r="G73" s="38"/>
      <c r="H73" s="38"/>
      <c r="I73" s="38"/>
      <c r="J73" s="39"/>
      <c r="K73" s="38"/>
      <c r="L73" s="38"/>
      <c r="M73" s="38"/>
      <c r="Q73" s="36"/>
      <c r="R73" s="36"/>
      <c r="S73" s="48"/>
    </row>
    <row r="74" spans="1:19" ht="123" customHeight="1" x14ac:dyDescent="0.25">
      <c r="A74" s="34"/>
      <c r="B74" s="35"/>
      <c r="C74" s="36"/>
      <c r="D74" s="35"/>
      <c r="E74" s="35"/>
      <c r="F74" s="37"/>
      <c r="G74" s="38"/>
      <c r="H74" s="38"/>
      <c r="I74" s="38"/>
      <c r="J74" s="39"/>
      <c r="K74" s="38"/>
      <c r="L74" s="38"/>
      <c r="M74" s="38"/>
      <c r="Q74" s="36"/>
      <c r="R74" s="36"/>
      <c r="S74" s="48"/>
    </row>
    <row r="75" spans="1:19" ht="123" customHeight="1" x14ac:dyDescent="0.25">
      <c r="A75" s="34"/>
      <c r="B75" s="35"/>
      <c r="C75" s="36"/>
      <c r="D75" s="35"/>
      <c r="E75" s="35"/>
      <c r="F75" s="37"/>
      <c r="G75" s="38"/>
      <c r="H75" s="38"/>
      <c r="I75" s="38"/>
      <c r="J75" s="39"/>
      <c r="K75" s="38"/>
      <c r="L75" s="38"/>
      <c r="M75" s="38"/>
      <c r="Q75" s="36"/>
      <c r="R75" s="36"/>
      <c r="S75" s="48"/>
    </row>
    <row r="76" spans="1:19" ht="123" customHeight="1" x14ac:dyDescent="0.25">
      <c r="A76" s="34"/>
      <c r="B76" s="35"/>
      <c r="C76" s="36"/>
      <c r="D76" s="35"/>
      <c r="E76" s="35"/>
      <c r="F76" s="37"/>
      <c r="G76" s="38"/>
      <c r="H76" s="38"/>
      <c r="I76" s="38"/>
      <c r="J76" s="39"/>
      <c r="K76" s="38"/>
      <c r="L76" s="38"/>
      <c r="M76" s="38"/>
      <c r="Q76" s="36"/>
      <c r="R76" s="36"/>
      <c r="S76" s="48"/>
    </row>
    <row r="77" spans="1:19" ht="123" customHeight="1" x14ac:dyDescent="0.25">
      <c r="A77" s="34"/>
      <c r="B77" s="35"/>
      <c r="C77" s="36"/>
      <c r="D77" s="35"/>
      <c r="E77" s="35"/>
      <c r="F77" s="37"/>
      <c r="G77" s="38"/>
      <c r="H77" s="38"/>
      <c r="I77" s="38"/>
      <c r="J77" s="39"/>
      <c r="K77" s="38"/>
      <c r="L77" s="38"/>
      <c r="M77" s="38"/>
      <c r="Q77" s="36"/>
      <c r="R77" s="36"/>
      <c r="S77" s="48"/>
    </row>
    <row r="78" spans="1:19" ht="123" customHeight="1" x14ac:dyDescent="0.25">
      <c r="A78" s="34"/>
      <c r="B78" s="35"/>
      <c r="C78" s="36"/>
      <c r="D78" s="35"/>
      <c r="E78" s="35"/>
      <c r="F78" s="37"/>
      <c r="G78" s="38"/>
      <c r="H78" s="38"/>
      <c r="I78" s="38"/>
      <c r="J78" s="39"/>
      <c r="K78" s="38"/>
      <c r="L78" s="38"/>
      <c r="M78" s="38"/>
      <c r="Q78" s="36"/>
      <c r="R78" s="36"/>
      <c r="S78" s="48"/>
    </row>
    <row r="79" spans="1:19" ht="123" customHeight="1" x14ac:dyDescent="0.25">
      <c r="A79" s="34"/>
      <c r="B79" s="35"/>
      <c r="C79" s="36"/>
      <c r="D79" s="35"/>
      <c r="E79" s="35"/>
      <c r="F79" s="37"/>
      <c r="G79" s="38"/>
      <c r="H79" s="38"/>
      <c r="I79" s="38"/>
      <c r="J79" s="39"/>
      <c r="K79" s="38"/>
      <c r="L79" s="38"/>
      <c r="M79" s="38"/>
      <c r="Q79" s="36"/>
      <c r="R79" s="36"/>
      <c r="S79" s="48"/>
    </row>
    <row r="80" spans="1:19" ht="123" customHeight="1" x14ac:dyDescent="0.25">
      <c r="A80" s="34"/>
      <c r="B80" s="35"/>
      <c r="C80" s="36"/>
      <c r="D80" s="35"/>
      <c r="E80" s="35"/>
      <c r="F80" s="37"/>
      <c r="G80" s="38"/>
      <c r="H80" s="38"/>
      <c r="I80" s="38"/>
      <c r="J80" s="39"/>
      <c r="K80" s="38"/>
      <c r="L80" s="38"/>
      <c r="M80" s="38"/>
      <c r="Q80" s="36"/>
      <c r="R80" s="36"/>
      <c r="S80" s="48"/>
    </row>
    <row r="81" spans="1:19" ht="123" customHeight="1" x14ac:dyDescent="0.25">
      <c r="A81" s="34"/>
      <c r="B81" s="35"/>
      <c r="C81" s="36"/>
      <c r="D81" s="35"/>
      <c r="E81" s="35"/>
      <c r="F81" s="37"/>
      <c r="G81" s="38"/>
      <c r="H81" s="38"/>
      <c r="I81" s="38"/>
      <c r="J81" s="39"/>
      <c r="K81" s="38"/>
      <c r="L81" s="38"/>
      <c r="M81" s="38"/>
      <c r="Q81" s="36"/>
      <c r="R81" s="36"/>
      <c r="S81" s="48"/>
    </row>
    <row r="82" spans="1:19" ht="123" customHeight="1" x14ac:dyDescent="0.25">
      <c r="A82" s="34"/>
      <c r="B82" s="35"/>
      <c r="C82" s="36"/>
      <c r="D82" s="35"/>
      <c r="E82" s="35"/>
      <c r="F82" s="37"/>
      <c r="G82" s="38"/>
      <c r="H82" s="38"/>
      <c r="I82" s="38"/>
      <c r="J82" s="39"/>
      <c r="K82" s="38"/>
      <c r="L82" s="38"/>
      <c r="M82" s="38"/>
      <c r="Q82" s="36"/>
      <c r="R82" s="36"/>
      <c r="S82" s="48"/>
    </row>
    <row r="83" spans="1:19" ht="123" customHeight="1" x14ac:dyDescent="0.25">
      <c r="A83" s="34"/>
      <c r="B83" s="35"/>
      <c r="C83" s="36"/>
      <c r="D83" s="35"/>
      <c r="E83" s="35"/>
      <c r="F83" s="37"/>
      <c r="G83" s="38"/>
      <c r="H83" s="38"/>
      <c r="I83" s="38"/>
      <c r="J83" s="39"/>
      <c r="K83" s="38"/>
      <c r="L83" s="38"/>
      <c r="M83" s="38"/>
      <c r="Q83" s="36"/>
      <c r="R83" s="36"/>
      <c r="S83" s="48"/>
    </row>
    <row r="84" spans="1:19" ht="123" customHeight="1" x14ac:dyDescent="0.25">
      <c r="A84" s="34"/>
      <c r="B84" s="35"/>
      <c r="C84" s="36"/>
      <c r="D84" s="35"/>
      <c r="E84" s="35"/>
      <c r="F84" s="37"/>
      <c r="G84" s="38"/>
      <c r="H84" s="38"/>
      <c r="I84" s="38"/>
      <c r="J84" s="39"/>
      <c r="K84" s="38"/>
      <c r="L84" s="38"/>
      <c r="M84" s="38"/>
      <c r="Q84" s="36"/>
      <c r="R84" s="36"/>
      <c r="S84" s="48"/>
    </row>
    <row r="85" spans="1:19" ht="123" customHeight="1" x14ac:dyDescent="0.25">
      <c r="A85" s="34"/>
      <c r="B85" s="35"/>
      <c r="C85" s="36"/>
      <c r="D85" s="35"/>
      <c r="E85" s="35"/>
      <c r="F85" s="37"/>
      <c r="G85" s="38"/>
      <c r="H85" s="38"/>
      <c r="I85" s="38"/>
      <c r="J85" s="39"/>
      <c r="K85" s="38"/>
      <c r="L85" s="38"/>
      <c r="M85" s="38"/>
      <c r="Q85" s="36"/>
      <c r="R85" s="36"/>
      <c r="S85" s="48"/>
    </row>
    <row r="86" spans="1:19" ht="123" customHeight="1" x14ac:dyDescent="0.25">
      <c r="A86" s="34"/>
      <c r="B86" s="35"/>
      <c r="C86" s="36"/>
      <c r="D86" s="35"/>
      <c r="E86" s="35"/>
      <c r="F86" s="37"/>
      <c r="G86" s="38"/>
      <c r="H86" s="38"/>
      <c r="I86" s="38"/>
      <c r="J86" s="39"/>
      <c r="K86" s="38"/>
      <c r="L86" s="38"/>
      <c r="M86" s="38"/>
      <c r="Q86" s="36"/>
      <c r="R86" s="36"/>
      <c r="S86" s="48"/>
    </row>
    <row r="87" spans="1:19" ht="123" customHeight="1" x14ac:dyDescent="0.25">
      <c r="A87" s="34"/>
      <c r="B87" s="35"/>
      <c r="C87" s="36"/>
      <c r="D87" s="35"/>
      <c r="E87" s="35"/>
      <c r="F87" s="37"/>
      <c r="G87" s="38"/>
      <c r="H87" s="38"/>
      <c r="I87" s="38"/>
      <c r="J87" s="39"/>
      <c r="K87" s="38"/>
      <c r="L87" s="38"/>
      <c r="M87" s="38"/>
      <c r="Q87" s="36"/>
      <c r="R87" s="36"/>
      <c r="S87" s="48"/>
    </row>
    <row r="88" spans="1:19" ht="123" customHeight="1" x14ac:dyDescent="0.25">
      <c r="A88" s="34"/>
      <c r="B88" s="35"/>
      <c r="C88" s="36"/>
      <c r="D88" s="35"/>
      <c r="E88" s="35"/>
      <c r="F88" s="37"/>
      <c r="G88" s="38"/>
      <c r="H88" s="38"/>
      <c r="I88" s="38"/>
      <c r="J88" s="39"/>
      <c r="K88" s="38"/>
      <c r="L88" s="38"/>
      <c r="M88" s="38"/>
      <c r="Q88" s="36"/>
      <c r="R88" s="36"/>
      <c r="S88" s="48"/>
    </row>
    <row r="89" spans="1:19" ht="123" customHeight="1" x14ac:dyDescent="0.25">
      <c r="A89" s="34"/>
      <c r="B89" s="35"/>
      <c r="C89" s="36"/>
      <c r="D89" s="35"/>
      <c r="E89" s="35"/>
      <c r="F89" s="37"/>
      <c r="G89" s="38"/>
      <c r="H89" s="38"/>
      <c r="I89" s="38"/>
      <c r="J89" s="39"/>
      <c r="K89" s="38"/>
      <c r="L89" s="38"/>
      <c r="M89" s="38"/>
      <c r="Q89" s="36"/>
      <c r="R89" s="36"/>
      <c r="S89" s="48"/>
    </row>
    <row r="90" spans="1:19" ht="123" customHeight="1" x14ac:dyDescent="0.25">
      <c r="A90" s="34"/>
      <c r="B90" s="35"/>
      <c r="C90" s="36"/>
      <c r="D90" s="35"/>
      <c r="E90" s="35"/>
      <c r="F90" s="37"/>
      <c r="G90" s="38"/>
      <c r="H90" s="38"/>
      <c r="I90" s="38"/>
      <c r="J90" s="39"/>
      <c r="K90" s="38"/>
      <c r="L90" s="38"/>
      <c r="M90" s="38"/>
      <c r="Q90" s="36"/>
      <c r="R90" s="36"/>
      <c r="S90" s="48"/>
    </row>
    <row r="91" spans="1:19" ht="123" customHeight="1" x14ac:dyDescent="0.25">
      <c r="A91" s="34"/>
      <c r="B91" s="35"/>
      <c r="C91" s="36"/>
      <c r="D91" s="35"/>
      <c r="E91" s="35"/>
      <c r="F91" s="37"/>
      <c r="G91" s="38"/>
      <c r="H91" s="38"/>
      <c r="I91" s="38"/>
      <c r="J91" s="39"/>
      <c r="K91" s="38"/>
      <c r="L91" s="38"/>
      <c r="M91" s="38"/>
      <c r="Q91" s="36"/>
      <c r="R91" s="36"/>
      <c r="S91" s="48"/>
    </row>
    <row r="92" spans="1:19" ht="123" customHeight="1" x14ac:dyDescent="0.25">
      <c r="A92" s="34"/>
      <c r="B92" s="35"/>
      <c r="C92" s="36"/>
      <c r="D92" s="35"/>
      <c r="E92" s="35"/>
      <c r="F92" s="37"/>
      <c r="G92" s="38"/>
      <c r="H92" s="38"/>
      <c r="I92" s="38"/>
      <c r="J92" s="39"/>
      <c r="K92" s="38"/>
      <c r="L92" s="38"/>
      <c r="M92" s="38"/>
      <c r="Q92" s="36"/>
      <c r="R92" s="36"/>
      <c r="S92" s="48"/>
    </row>
    <row r="93" spans="1:19" ht="123" customHeight="1" x14ac:dyDescent="0.25">
      <c r="A93" s="34"/>
      <c r="B93" s="35"/>
      <c r="C93" s="36"/>
      <c r="D93" s="35"/>
      <c r="E93" s="35"/>
      <c r="F93" s="37"/>
      <c r="G93" s="38"/>
      <c r="H93" s="38"/>
      <c r="I93" s="38"/>
      <c r="J93" s="39"/>
      <c r="K93" s="38"/>
      <c r="L93" s="38"/>
      <c r="M93" s="38"/>
      <c r="Q93" s="36"/>
      <c r="R93" s="36"/>
      <c r="S93" s="48"/>
    </row>
    <row r="94" spans="1:19" ht="123" customHeight="1" x14ac:dyDescent="0.25">
      <c r="A94" s="34"/>
      <c r="B94" s="35"/>
      <c r="C94" s="36"/>
      <c r="D94" s="35"/>
      <c r="E94" s="35"/>
      <c r="F94" s="37"/>
      <c r="G94" s="38"/>
      <c r="H94" s="38"/>
      <c r="I94" s="38"/>
      <c r="J94" s="39"/>
      <c r="K94" s="38"/>
      <c r="L94" s="38"/>
      <c r="M94" s="38"/>
      <c r="Q94" s="36"/>
      <c r="R94" s="36"/>
      <c r="S94" s="48"/>
    </row>
    <row r="95" spans="1:19" ht="123" customHeight="1" x14ac:dyDescent="0.25">
      <c r="A95" s="34"/>
      <c r="B95" s="35"/>
      <c r="C95" s="36"/>
      <c r="D95" s="35"/>
      <c r="E95" s="35"/>
      <c r="F95" s="37"/>
      <c r="G95" s="38"/>
      <c r="H95" s="38"/>
      <c r="I95" s="38"/>
      <c r="J95" s="39"/>
      <c r="K95" s="38"/>
      <c r="L95" s="38"/>
      <c r="M95" s="38"/>
      <c r="Q95" s="36"/>
      <c r="R95" s="36"/>
      <c r="S95" s="48"/>
    </row>
    <row r="96" spans="1:19" ht="123" customHeight="1" x14ac:dyDescent="0.25">
      <c r="A96" s="34"/>
      <c r="B96" s="35"/>
      <c r="C96" s="36"/>
      <c r="D96" s="35"/>
      <c r="E96" s="35"/>
      <c r="F96" s="37"/>
      <c r="G96" s="38"/>
      <c r="H96" s="38"/>
      <c r="I96" s="38"/>
      <c r="J96" s="39"/>
      <c r="K96" s="38"/>
      <c r="L96" s="38"/>
      <c r="M96" s="38"/>
      <c r="Q96" s="36"/>
      <c r="R96" s="36"/>
      <c r="S96" s="48"/>
    </row>
    <row r="97" spans="1:19" ht="123" customHeight="1" x14ac:dyDescent="0.25">
      <c r="A97" s="34"/>
      <c r="B97" s="35"/>
      <c r="C97" s="36"/>
      <c r="D97" s="35"/>
      <c r="E97" s="35"/>
      <c r="F97" s="37"/>
      <c r="G97" s="38"/>
      <c r="H97" s="38"/>
      <c r="I97" s="38"/>
      <c r="J97" s="39"/>
      <c r="K97" s="38"/>
      <c r="L97" s="38"/>
      <c r="M97" s="38"/>
      <c r="Q97" s="36"/>
      <c r="R97" s="36"/>
      <c r="S97" s="48"/>
    </row>
    <row r="98" spans="1:19" ht="123" customHeight="1" x14ac:dyDescent="0.25">
      <c r="A98" s="34"/>
      <c r="B98" s="35"/>
      <c r="C98" s="36"/>
      <c r="D98" s="35"/>
      <c r="E98" s="35"/>
      <c r="F98" s="37"/>
      <c r="G98" s="38"/>
      <c r="H98" s="38"/>
      <c r="I98" s="38"/>
      <c r="J98" s="39"/>
      <c r="K98" s="38"/>
      <c r="L98" s="38"/>
      <c r="M98" s="38"/>
      <c r="Q98" s="36"/>
      <c r="R98" s="36"/>
      <c r="S98" s="48"/>
    </row>
    <row r="99" spans="1:19" ht="123" customHeight="1" x14ac:dyDescent="0.25">
      <c r="A99" s="34"/>
      <c r="B99" s="35"/>
      <c r="C99" s="36"/>
      <c r="D99" s="35"/>
      <c r="E99" s="35"/>
      <c r="F99" s="37"/>
      <c r="G99" s="38"/>
      <c r="H99" s="38"/>
      <c r="I99" s="38"/>
      <c r="J99" s="39"/>
      <c r="K99" s="38"/>
      <c r="L99" s="38"/>
      <c r="M99" s="38"/>
      <c r="Q99" s="36"/>
      <c r="R99" s="36"/>
      <c r="S99" s="48"/>
    </row>
    <row r="100" spans="1:19" ht="123" customHeight="1" x14ac:dyDescent="0.25">
      <c r="A100" s="34"/>
      <c r="B100" s="35"/>
      <c r="C100" s="36"/>
      <c r="D100" s="35"/>
      <c r="E100" s="35"/>
      <c r="F100" s="37"/>
      <c r="G100" s="38"/>
      <c r="H100" s="38"/>
      <c r="I100" s="38"/>
      <c r="J100" s="39"/>
      <c r="K100" s="38"/>
      <c r="L100" s="38"/>
      <c r="M100" s="38"/>
      <c r="Q100" s="36"/>
      <c r="R100" s="36"/>
      <c r="S100" s="48"/>
    </row>
    <row r="101" spans="1:19" ht="123" customHeight="1" x14ac:dyDescent="0.25">
      <c r="A101" s="34"/>
      <c r="B101" s="35"/>
      <c r="C101" s="36"/>
      <c r="D101" s="35"/>
      <c r="E101" s="35"/>
      <c r="F101" s="37"/>
      <c r="G101" s="38"/>
      <c r="H101" s="38"/>
      <c r="I101" s="38"/>
      <c r="J101" s="39"/>
      <c r="K101" s="38"/>
      <c r="L101" s="38"/>
      <c r="M101" s="38"/>
      <c r="Q101" s="36"/>
      <c r="R101" s="36"/>
      <c r="S101" s="48"/>
    </row>
    <row r="102" spans="1:19" ht="123" customHeight="1" x14ac:dyDescent="0.25">
      <c r="A102" s="34"/>
      <c r="B102" s="35"/>
      <c r="C102" s="36"/>
      <c r="D102" s="35"/>
      <c r="E102" s="35"/>
      <c r="F102" s="37"/>
      <c r="G102" s="38"/>
      <c r="H102" s="38"/>
      <c r="I102" s="38"/>
      <c r="J102" s="39"/>
      <c r="K102" s="38"/>
      <c r="L102" s="38"/>
      <c r="M102" s="38"/>
      <c r="Q102" s="36"/>
      <c r="R102" s="36"/>
      <c r="S102" s="48"/>
    </row>
    <row r="103" spans="1:19" ht="123" customHeight="1" x14ac:dyDescent="0.25">
      <c r="A103" s="34"/>
      <c r="B103" s="35"/>
      <c r="C103" s="36"/>
      <c r="D103" s="35"/>
      <c r="E103" s="35"/>
      <c r="F103" s="37"/>
      <c r="G103" s="38"/>
      <c r="H103" s="38"/>
      <c r="I103" s="38"/>
      <c r="J103" s="39"/>
      <c r="K103" s="38"/>
      <c r="L103" s="38"/>
      <c r="M103" s="38"/>
      <c r="Q103" s="36"/>
      <c r="R103" s="36"/>
      <c r="S103" s="48"/>
    </row>
    <row r="104" spans="1:19" ht="123" customHeight="1" x14ac:dyDescent="0.25">
      <c r="A104" s="34"/>
      <c r="B104" s="35"/>
      <c r="C104" s="36"/>
      <c r="D104" s="35"/>
      <c r="E104" s="35"/>
      <c r="F104" s="37"/>
      <c r="G104" s="38"/>
      <c r="H104" s="38"/>
      <c r="I104" s="38"/>
      <c r="J104" s="39"/>
      <c r="K104" s="38"/>
      <c r="L104" s="38"/>
      <c r="M104" s="38"/>
      <c r="Q104" s="36"/>
      <c r="R104" s="36"/>
      <c r="S104" s="48"/>
    </row>
    <row r="105" spans="1:19" ht="123" customHeight="1" x14ac:dyDescent="0.25">
      <c r="A105" s="34"/>
      <c r="B105" s="35"/>
      <c r="C105" s="36"/>
      <c r="Q105" s="36"/>
    </row>
    <row r="106" spans="1:19" ht="123" customHeight="1" x14ac:dyDescent="0.25">
      <c r="A106" s="34"/>
      <c r="B106" s="35"/>
      <c r="C106" s="36"/>
      <c r="Q106" s="36"/>
    </row>
    <row r="107" spans="1:19" ht="123" customHeight="1" x14ac:dyDescent="0.25">
      <c r="A107" s="34"/>
      <c r="B107" s="35"/>
      <c r="C107" s="36"/>
      <c r="Q107" s="36"/>
    </row>
    <row r="108" spans="1:19" ht="123" customHeight="1" x14ac:dyDescent="0.25">
      <c r="A108" s="34"/>
      <c r="B108" s="35"/>
      <c r="C108" s="36"/>
      <c r="Q108" s="36"/>
    </row>
    <row r="109" spans="1:19" ht="123" customHeight="1" x14ac:dyDescent="0.25">
      <c r="A109" s="34"/>
      <c r="B109" s="35"/>
      <c r="C109" s="36"/>
      <c r="Q109" s="36"/>
    </row>
    <row r="110" spans="1:19" ht="123" customHeight="1" x14ac:dyDescent="0.25">
      <c r="A110" s="34"/>
      <c r="B110" s="35"/>
      <c r="C110" s="36"/>
      <c r="Q110" s="36"/>
    </row>
    <row r="111" spans="1:19" ht="123" customHeight="1" x14ac:dyDescent="0.25">
      <c r="A111" s="34"/>
      <c r="B111" s="35"/>
      <c r="C111" s="36"/>
      <c r="Q111" s="36"/>
    </row>
    <row r="112" spans="1:19" ht="123" customHeight="1" x14ac:dyDescent="0.25">
      <c r="A112" s="34"/>
      <c r="B112" s="35"/>
      <c r="C112" s="36"/>
      <c r="Q112" s="36"/>
    </row>
    <row r="113" spans="1:17" ht="123" customHeight="1" x14ac:dyDescent="0.25">
      <c r="A113" s="34"/>
      <c r="B113" s="35"/>
      <c r="C113" s="36"/>
      <c r="Q113" s="36"/>
    </row>
    <row r="114" spans="1:17" ht="123" customHeight="1" x14ac:dyDescent="0.25">
      <c r="A114" s="34"/>
      <c r="B114" s="35"/>
      <c r="C114" s="36"/>
      <c r="Q114" s="36"/>
    </row>
    <row r="115" spans="1:17" ht="123" customHeight="1" x14ac:dyDescent="0.25">
      <c r="A115" s="34"/>
      <c r="B115" s="35"/>
      <c r="C115" s="36"/>
      <c r="Q115" s="36"/>
    </row>
    <row r="116" spans="1:17" ht="123" customHeight="1" x14ac:dyDescent="0.25">
      <c r="A116" s="34"/>
      <c r="B116" s="35"/>
      <c r="C116" s="36"/>
      <c r="Q116" s="36"/>
    </row>
    <row r="117" spans="1:17" ht="123" customHeight="1" x14ac:dyDescent="0.25">
      <c r="A117" s="34"/>
      <c r="B117" s="35"/>
      <c r="C117" s="36"/>
      <c r="Q117" s="36"/>
    </row>
    <row r="118" spans="1:17" ht="123" customHeight="1" x14ac:dyDescent="0.25">
      <c r="A118" s="34"/>
      <c r="B118" s="35"/>
      <c r="C118" s="36"/>
      <c r="Q118" s="36"/>
    </row>
    <row r="119" spans="1:17" ht="123" customHeight="1" x14ac:dyDescent="0.25">
      <c r="A119" s="34"/>
      <c r="B119" s="35"/>
      <c r="C119" s="36"/>
      <c r="Q119" s="36"/>
    </row>
    <row r="120" spans="1:17" ht="123" customHeight="1" x14ac:dyDescent="0.25">
      <c r="A120" s="34"/>
      <c r="B120" s="35"/>
      <c r="C120" s="36"/>
      <c r="Q120" s="36"/>
    </row>
    <row r="121" spans="1:17" ht="123" customHeight="1" x14ac:dyDescent="0.25">
      <c r="A121" s="34"/>
      <c r="B121" s="35"/>
      <c r="C121" s="36"/>
      <c r="Q121" s="36"/>
    </row>
    <row r="122" spans="1:17" ht="123" customHeight="1" x14ac:dyDescent="0.25">
      <c r="A122" s="34"/>
      <c r="B122" s="35"/>
      <c r="C122" s="36"/>
      <c r="Q122" s="36"/>
    </row>
    <row r="123" spans="1:17" ht="123" customHeight="1" x14ac:dyDescent="0.25">
      <c r="A123" s="34"/>
      <c r="B123" s="35"/>
      <c r="C123" s="36"/>
      <c r="Q123" s="36"/>
    </row>
    <row r="124" spans="1:17" ht="123" customHeight="1" x14ac:dyDescent="0.25">
      <c r="A124" s="34"/>
      <c r="B124" s="35"/>
      <c r="C124" s="36"/>
      <c r="Q124" s="36"/>
    </row>
    <row r="125" spans="1:17" ht="123" customHeight="1" x14ac:dyDescent="0.25">
      <c r="A125" s="34"/>
      <c r="B125" s="35"/>
      <c r="C125" s="36"/>
      <c r="Q125" s="36"/>
    </row>
    <row r="126" spans="1:17" ht="123" customHeight="1" x14ac:dyDescent="0.25">
      <c r="A126" s="34"/>
      <c r="B126" s="35"/>
      <c r="C126" s="36"/>
      <c r="Q126" s="36"/>
    </row>
    <row r="127" spans="1:17" ht="123" customHeight="1" x14ac:dyDescent="0.25">
      <c r="A127" s="34"/>
      <c r="B127" s="35"/>
      <c r="C127" s="36"/>
      <c r="Q127" s="36"/>
    </row>
    <row r="128" spans="1:17" ht="123" customHeight="1" x14ac:dyDescent="0.25">
      <c r="A128" s="34"/>
      <c r="B128" s="35"/>
      <c r="C128" s="36"/>
      <c r="Q128" s="36"/>
    </row>
    <row r="129" spans="1:17" ht="123" customHeight="1" x14ac:dyDescent="0.25">
      <c r="A129" s="34"/>
      <c r="B129" s="35"/>
      <c r="C129" s="36"/>
      <c r="Q129" s="36"/>
    </row>
    <row r="130" spans="1:17" ht="123" customHeight="1" x14ac:dyDescent="0.25">
      <c r="A130" s="34"/>
      <c r="B130" s="35"/>
      <c r="C130" s="36"/>
      <c r="Q130" s="36"/>
    </row>
    <row r="131" spans="1:17" ht="123" customHeight="1" x14ac:dyDescent="0.25">
      <c r="A131" s="34"/>
      <c r="B131" s="35"/>
      <c r="C131" s="36"/>
      <c r="Q131" s="36"/>
    </row>
    <row r="132" spans="1:17" ht="123" customHeight="1" x14ac:dyDescent="0.25">
      <c r="A132" s="34"/>
      <c r="B132" s="35"/>
      <c r="C132" s="36"/>
      <c r="Q132" s="36"/>
    </row>
    <row r="133" spans="1:17" ht="123" customHeight="1" x14ac:dyDescent="0.25">
      <c r="A133" s="34"/>
      <c r="B133" s="35"/>
      <c r="C133" s="36"/>
      <c r="Q133" s="36"/>
    </row>
    <row r="134" spans="1:17" ht="123" customHeight="1" x14ac:dyDescent="0.25">
      <c r="A134" s="34"/>
      <c r="B134" s="35"/>
      <c r="C134" s="36"/>
      <c r="Q134" s="36"/>
    </row>
    <row r="135" spans="1:17" ht="123" customHeight="1" x14ac:dyDescent="0.25">
      <c r="A135" s="34"/>
      <c r="B135" s="35"/>
      <c r="C135" s="36"/>
      <c r="Q135" s="36"/>
    </row>
    <row r="136" spans="1:17" ht="123" customHeight="1" x14ac:dyDescent="0.25">
      <c r="A136" s="34"/>
      <c r="B136" s="35"/>
      <c r="C136" s="36"/>
      <c r="Q136" s="36"/>
    </row>
    <row r="137" spans="1:17" ht="123" customHeight="1" x14ac:dyDescent="0.25">
      <c r="A137" s="34"/>
      <c r="B137" s="35"/>
      <c r="C137" s="36"/>
      <c r="Q137" s="36"/>
    </row>
    <row r="138" spans="1:17" ht="123" customHeight="1" x14ac:dyDescent="0.25">
      <c r="A138" s="34"/>
      <c r="B138" s="35"/>
      <c r="C138" s="36"/>
      <c r="Q138" s="36"/>
    </row>
    <row r="139" spans="1:17" ht="123" customHeight="1" x14ac:dyDescent="0.25">
      <c r="A139" s="34"/>
      <c r="B139" s="35"/>
      <c r="C139" s="36"/>
      <c r="Q139" s="36"/>
    </row>
    <row r="140" spans="1:17" ht="123" customHeight="1" x14ac:dyDescent="0.25">
      <c r="A140" s="34"/>
      <c r="B140" s="35"/>
      <c r="C140" s="36"/>
      <c r="Q140" s="36"/>
    </row>
    <row r="141" spans="1:17" ht="123" customHeight="1" x14ac:dyDescent="0.25">
      <c r="A141" s="34"/>
      <c r="B141" s="35"/>
      <c r="C141" s="36"/>
      <c r="Q141" s="36"/>
    </row>
    <row r="142" spans="1:17" ht="123" customHeight="1" x14ac:dyDescent="0.25">
      <c r="A142" s="34"/>
      <c r="B142" s="35"/>
      <c r="C142" s="36"/>
      <c r="Q142" s="36"/>
    </row>
    <row r="143" spans="1:17" ht="123" customHeight="1" x14ac:dyDescent="0.25">
      <c r="A143" s="34"/>
      <c r="B143" s="35"/>
      <c r="C143" s="36"/>
      <c r="Q143" s="36"/>
    </row>
    <row r="144" spans="1:17" ht="123" customHeight="1" x14ac:dyDescent="0.25">
      <c r="A144" s="34"/>
      <c r="B144" s="35"/>
      <c r="C144" s="36"/>
      <c r="Q144" s="36"/>
    </row>
    <row r="145" spans="1:17" ht="123" customHeight="1" x14ac:dyDescent="0.25">
      <c r="A145" s="34"/>
      <c r="B145" s="35"/>
      <c r="C145" s="36"/>
      <c r="Q145" s="36"/>
    </row>
    <row r="146" spans="1:17" ht="123" customHeight="1" x14ac:dyDescent="0.25">
      <c r="A146" s="34"/>
      <c r="B146" s="35"/>
      <c r="C146" s="36"/>
      <c r="Q146" s="36"/>
    </row>
    <row r="147" spans="1:17" ht="123" customHeight="1" x14ac:dyDescent="0.25">
      <c r="A147" s="34"/>
      <c r="B147" s="35"/>
      <c r="C147" s="36"/>
      <c r="Q147" s="36"/>
    </row>
    <row r="148" spans="1:17" ht="123" customHeight="1" x14ac:dyDescent="0.25">
      <c r="A148" s="34"/>
      <c r="B148" s="35"/>
      <c r="C148" s="36"/>
      <c r="Q148" s="36"/>
    </row>
    <row r="149" spans="1:17" ht="123" customHeight="1" x14ac:dyDescent="0.25">
      <c r="A149" s="34"/>
      <c r="B149" s="35"/>
      <c r="C149" s="36"/>
      <c r="Q149" s="36"/>
    </row>
    <row r="150" spans="1:17" ht="123" customHeight="1" x14ac:dyDescent="0.25">
      <c r="A150" s="34"/>
      <c r="B150" s="35"/>
      <c r="C150" s="36"/>
      <c r="Q150" s="36"/>
    </row>
    <row r="151" spans="1:17" ht="123" customHeight="1" x14ac:dyDescent="0.25">
      <c r="A151" s="34"/>
      <c r="B151" s="35"/>
      <c r="C151" s="36"/>
      <c r="Q151" s="36"/>
    </row>
    <row r="152" spans="1:17" ht="123" customHeight="1" x14ac:dyDescent="0.25">
      <c r="A152" s="34"/>
      <c r="B152" s="35"/>
      <c r="C152" s="36"/>
      <c r="Q152" s="36"/>
    </row>
    <row r="153" spans="1:17" ht="123" customHeight="1" x14ac:dyDescent="0.25">
      <c r="A153" s="34"/>
      <c r="B153" s="35"/>
      <c r="C153" s="36"/>
      <c r="Q153" s="36"/>
    </row>
    <row r="154" spans="1:17" ht="123" customHeight="1" x14ac:dyDescent="0.25">
      <c r="A154" s="34"/>
      <c r="B154" s="35"/>
      <c r="C154" s="36"/>
      <c r="Q154" s="36"/>
    </row>
    <row r="155" spans="1:17" ht="123" customHeight="1" x14ac:dyDescent="0.25">
      <c r="A155" s="34"/>
      <c r="B155" s="35"/>
      <c r="C155" s="36"/>
      <c r="Q155" s="36"/>
    </row>
    <row r="156" spans="1:17" ht="123" customHeight="1" x14ac:dyDescent="0.25">
      <c r="A156" s="34"/>
      <c r="B156" s="35"/>
      <c r="C156" s="36"/>
      <c r="Q156" s="36"/>
    </row>
    <row r="157" spans="1:17" ht="123" customHeight="1" x14ac:dyDescent="0.25">
      <c r="A157" s="34"/>
      <c r="B157" s="35"/>
      <c r="C157" s="36"/>
      <c r="Q157" s="36"/>
    </row>
    <row r="158" spans="1:17" ht="123" customHeight="1" x14ac:dyDescent="0.25">
      <c r="A158" s="34"/>
      <c r="B158" s="35"/>
      <c r="C158" s="36"/>
      <c r="Q158" s="36"/>
    </row>
    <row r="159" spans="1:17" ht="123" customHeight="1" x14ac:dyDescent="0.25">
      <c r="A159" s="34"/>
      <c r="B159" s="35"/>
      <c r="C159" s="36"/>
      <c r="Q159" s="36"/>
    </row>
    <row r="160" spans="1:17" ht="123" customHeight="1" x14ac:dyDescent="0.25">
      <c r="A160" s="34"/>
      <c r="B160" s="35"/>
      <c r="C160" s="36"/>
      <c r="Q160" s="36"/>
    </row>
    <row r="161" spans="1:17" ht="123" customHeight="1" x14ac:dyDescent="0.25">
      <c r="A161" s="34"/>
      <c r="B161" s="35"/>
      <c r="C161" s="36"/>
      <c r="Q161" s="36"/>
    </row>
    <row r="162" spans="1:17" ht="123" customHeight="1" x14ac:dyDescent="0.25">
      <c r="A162" s="34"/>
      <c r="B162" s="35"/>
      <c r="C162" s="36"/>
      <c r="Q162" s="36"/>
    </row>
    <row r="163" spans="1:17" ht="123" customHeight="1" x14ac:dyDescent="0.25">
      <c r="A163" s="34"/>
      <c r="B163" s="35"/>
      <c r="C163" s="36"/>
      <c r="Q163" s="36"/>
    </row>
    <row r="164" spans="1:17" ht="123" customHeight="1" x14ac:dyDescent="0.25">
      <c r="A164" s="34"/>
      <c r="B164" s="35"/>
      <c r="C164" s="36"/>
      <c r="Q164" s="36"/>
    </row>
    <row r="165" spans="1:17" ht="123" customHeight="1" x14ac:dyDescent="0.25">
      <c r="A165" s="34"/>
      <c r="B165" s="35"/>
      <c r="C165" s="36"/>
      <c r="Q165" s="36"/>
    </row>
    <row r="166" spans="1:17" ht="123" customHeight="1" x14ac:dyDescent="0.25">
      <c r="A166" s="34"/>
      <c r="B166" s="35"/>
      <c r="C166" s="36"/>
      <c r="Q166" s="36"/>
    </row>
    <row r="167" spans="1:17" ht="123" customHeight="1" x14ac:dyDescent="0.25">
      <c r="A167" s="34"/>
      <c r="B167" s="35"/>
      <c r="C167" s="36"/>
      <c r="Q167" s="36"/>
    </row>
    <row r="168" spans="1:17" ht="123" customHeight="1" x14ac:dyDescent="0.25">
      <c r="A168" s="34"/>
      <c r="B168" s="35"/>
      <c r="C168" s="36"/>
      <c r="Q168" s="36"/>
    </row>
    <row r="169" spans="1:17" ht="123" customHeight="1" x14ac:dyDescent="0.25">
      <c r="A169" s="34"/>
      <c r="B169" s="35"/>
      <c r="C169" s="36"/>
      <c r="Q169" s="36"/>
    </row>
    <row r="170" spans="1:17" ht="123" customHeight="1" x14ac:dyDescent="0.25">
      <c r="A170" s="34"/>
      <c r="B170" s="35"/>
      <c r="C170" s="36"/>
      <c r="Q170" s="36"/>
    </row>
    <row r="171" spans="1:17" ht="123" customHeight="1" x14ac:dyDescent="0.25">
      <c r="A171" s="34"/>
      <c r="B171" s="35"/>
      <c r="C171" s="36"/>
      <c r="Q171" s="36"/>
    </row>
    <row r="172" spans="1:17" ht="123" customHeight="1" x14ac:dyDescent="0.25">
      <c r="A172" s="34"/>
      <c r="B172" s="35"/>
      <c r="C172" s="36"/>
      <c r="Q172" s="36"/>
    </row>
    <row r="173" spans="1:17" ht="123" customHeight="1" x14ac:dyDescent="0.25">
      <c r="A173" s="34"/>
      <c r="B173" s="35"/>
      <c r="C173" s="36"/>
      <c r="Q173" s="36"/>
    </row>
    <row r="174" spans="1:17" ht="123" customHeight="1" x14ac:dyDescent="0.25">
      <c r="A174" s="34"/>
      <c r="B174" s="35"/>
      <c r="C174" s="36"/>
      <c r="Q174" s="36"/>
    </row>
    <row r="175" spans="1:17" ht="123" customHeight="1" x14ac:dyDescent="0.25">
      <c r="A175" s="34"/>
      <c r="B175" s="35"/>
      <c r="C175" s="36"/>
      <c r="Q175" s="36"/>
    </row>
    <row r="176" spans="1:17" ht="123" customHeight="1" x14ac:dyDescent="0.25">
      <c r="A176" s="34"/>
      <c r="B176" s="35"/>
      <c r="C176" s="36"/>
      <c r="Q176" s="36"/>
    </row>
    <row r="177" spans="1:17" ht="123" customHeight="1" x14ac:dyDescent="0.25">
      <c r="A177" s="34"/>
      <c r="B177" s="35"/>
      <c r="C177" s="36"/>
      <c r="Q177" s="36"/>
    </row>
    <row r="178" spans="1:17" ht="123" customHeight="1" x14ac:dyDescent="0.25">
      <c r="A178" s="34"/>
      <c r="B178" s="35"/>
      <c r="C178" s="36"/>
      <c r="Q178" s="36"/>
    </row>
    <row r="179" spans="1:17" ht="123" customHeight="1" x14ac:dyDescent="0.25">
      <c r="A179" s="34"/>
      <c r="B179" s="35"/>
      <c r="C179" s="36"/>
      <c r="Q179" s="36"/>
    </row>
    <row r="180" spans="1:17" ht="123" customHeight="1" x14ac:dyDescent="0.25">
      <c r="A180" s="34"/>
      <c r="B180" s="35"/>
      <c r="C180" s="36"/>
      <c r="Q180" s="36"/>
    </row>
    <row r="181" spans="1:17" ht="123" customHeight="1" x14ac:dyDescent="0.25">
      <c r="A181" s="34"/>
      <c r="B181" s="35"/>
      <c r="C181" s="36"/>
      <c r="Q181" s="36"/>
    </row>
    <row r="182" spans="1:17" ht="123" customHeight="1" x14ac:dyDescent="0.25">
      <c r="A182" s="34"/>
      <c r="B182" s="35"/>
      <c r="C182" s="36"/>
      <c r="Q182" s="36"/>
    </row>
    <row r="183" spans="1:17" ht="123" customHeight="1" x14ac:dyDescent="0.25">
      <c r="A183" s="34"/>
      <c r="B183" s="35"/>
      <c r="C183" s="36"/>
      <c r="Q183" s="36"/>
    </row>
    <row r="184" spans="1:17" ht="123" customHeight="1" x14ac:dyDescent="0.25">
      <c r="A184" s="34"/>
      <c r="B184" s="35"/>
      <c r="C184" s="36"/>
      <c r="Q184" s="36"/>
    </row>
    <row r="185" spans="1:17" ht="123" customHeight="1" x14ac:dyDescent="0.25">
      <c r="A185" s="34"/>
      <c r="B185" s="35"/>
      <c r="C185" s="36"/>
      <c r="Q185" s="36"/>
    </row>
    <row r="186" spans="1:17" ht="123" customHeight="1" x14ac:dyDescent="0.25">
      <c r="A186" s="34"/>
      <c r="B186" s="35"/>
      <c r="C186" s="36"/>
      <c r="Q186" s="36"/>
    </row>
    <row r="187" spans="1:17" ht="123" customHeight="1" x14ac:dyDescent="0.25">
      <c r="A187" s="34"/>
      <c r="B187" s="35"/>
      <c r="C187" s="36"/>
      <c r="Q187" s="36"/>
    </row>
    <row r="188" spans="1:17" ht="123" customHeight="1" x14ac:dyDescent="0.25">
      <c r="A188" s="34"/>
      <c r="B188" s="35"/>
      <c r="C188" s="36"/>
      <c r="Q188" s="36"/>
    </row>
    <row r="189" spans="1:17" ht="123" customHeight="1" x14ac:dyDescent="0.25">
      <c r="A189" s="34"/>
      <c r="B189" s="35"/>
      <c r="C189" s="36"/>
      <c r="Q189" s="36"/>
    </row>
    <row r="190" spans="1:17" ht="123" customHeight="1" x14ac:dyDescent="0.25">
      <c r="A190" s="34"/>
      <c r="B190" s="35"/>
      <c r="C190" s="36"/>
      <c r="Q190" s="36"/>
    </row>
    <row r="191" spans="1:17" ht="123" customHeight="1" x14ac:dyDescent="0.25">
      <c r="A191" s="34"/>
      <c r="B191" s="35"/>
      <c r="C191" s="36"/>
      <c r="Q191" s="36"/>
    </row>
    <row r="192" spans="1:17" ht="123" customHeight="1" x14ac:dyDescent="0.25">
      <c r="A192" s="34"/>
      <c r="B192" s="35"/>
      <c r="C192" s="36"/>
      <c r="Q192" s="36"/>
    </row>
    <row r="193" spans="1:17" ht="123" customHeight="1" x14ac:dyDescent="0.25">
      <c r="A193" s="34"/>
      <c r="B193" s="35"/>
      <c r="C193" s="36"/>
      <c r="Q193" s="36"/>
    </row>
    <row r="194" spans="1:17" ht="123" customHeight="1" x14ac:dyDescent="0.25">
      <c r="A194" s="34"/>
      <c r="B194" s="35"/>
      <c r="C194" s="36"/>
      <c r="Q194" s="36"/>
    </row>
    <row r="195" spans="1:17" ht="123" customHeight="1" x14ac:dyDescent="0.25">
      <c r="A195" s="34"/>
      <c r="B195" s="35"/>
      <c r="C195" s="36"/>
      <c r="Q195" s="36"/>
    </row>
    <row r="196" spans="1:17" ht="123" customHeight="1" x14ac:dyDescent="0.25">
      <c r="A196" s="34"/>
      <c r="B196" s="35"/>
      <c r="C196" s="36"/>
      <c r="Q196" s="36"/>
    </row>
    <row r="197" spans="1:17" ht="123" customHeight="1" x14ac:dyDescent="0.25">
      <c r="A197" s="34"/>
      <c r="B197" s="35"/>
      <c r="C197" s="36"/>
      <c r="Q197" s="36"/>
    </row>
    <row r="198" spans="1:17" ht="123" customHeight="1" x14ac:dyDescent="0.25">
      <c r="A198" s="34"/>
      <c r="B198" s="35"/>
      <c r="C198" s="36"/>
      <c r="Q198" s="36"/>
    </row>
    <row r="199" spans="1:17" ht="123" customHeight="1" x14ac:dyDescent="0.25">
      <c r="A199" s="34"/>
      <c r="B199" s="35"/>
      <c r="C199" s="36"/>
      <c r="Q199" s="36"/>
    </row>
    <row r="200" spans="1:17" ht="123" customHeight="1" x14ac:dyDescent="0.25">
      <c r="A200" s="34"/>
      <c r="B200" s="35"/>
      <c r="C200" s="36"/>
      <c r="Q200" s="36"/>
    </row>
    <row r="201" spans="1:17" ht="123" customHeight="1" x14ac:dyDescent="0.25">
      <c r="A201" s="34"/>
      <c r="B201" s="35"/>
      <c r="C201" s="36"/>
      <c r="Q201" s="36"/>
    </row>
    <row r="202" spans="1:17" ht="123" customHeight="1" x14ac:dyDescent="0.25">
      <c r="A202" s="34"/>
      <c r="B202" s="35"/>
      <c r="C202" s="36"/>
      <c r="Q202" s="36"/>
    </row>
    <row r="203" spans="1:17" ht="123" customHeight="1" x14ac:dyDescent="0.25">
      <c r="A203" s="34"/>
      <c r="B203" s="35"/>
      <c r="C203" s="36"/>
      <c r="Q203" s="36"/>
    </row>
    <row r="204" spans="1:17" ht="123" customHeight="1" x14ac:dyDescent="0.25">
      <c r="A204" s="34"/>
      <c r="B204" s="35"/>
      <c r="C204" s="36"/>
      <c r="Q204" s="36"/>
    </row>
    <row r="205" spans="1:17" ht="123" customHeight="1" x14ac:dyDescent="0.25">
      <c r="A205" s="34"/>
      <c r="B205" s="35"/>
      <c r="C205" s="36"/>
      <c r="Q205" s="36"/>
    </row>
    <row r="206" spans="1:17" ht="123" customHeight="1" x14ac:dyDescent="0.25">
      <c r="A206" s="34"/>
      <c r="B206" s="35"/>
      <c r="C206" s="36"/>
      <c r="Q206" s="36"/>
    </row>
    <row r="207" spans="1:17" ht="123" customHeight="1" x14ac:dyDescent="0.25">
      <c r="A207" s="34"/>
      <c r="B207" s="35"/>
      <c r="C207" s="36"/>
      <c r="Q207" s="36"/>
    </row>
    <row r="208" spans="1:17" ht="123" customHeight="1" x14ac:dyDescent="0.25">
      <c r="A208" s="34"/>
      <c r="B208" s="35"/>
      <c r="C208" s="36"/>
      <c r="Q208" s="36"/>
    </row>
    <row r="209" spans="1:17" ht="123" customHeight="1" x14ac:dyDescent="0.25">
      <c r="A209" s="34"/>
      <c r="B209" s="35"/>
      <c r="C209" s="36"/>
      <c r="Q209" s="36"/>
    </row>
    <row r="210" spans="1:17" ht="123" customHeight="1" x14ac:dyDescent="0.25">
      <c r="A210" s="34"/>
      <c r="B210" s="35"/>
      <c r="C210" s="36"/>
      <c r="Q210" s="36"/>
    </row>
    <row r="211" spans="1:17" ht="123" customHeight="1" x14ac:dyDescent="0.25">
      <c r="A211" s="34"/>
      <c r="B211" s="35"/>
      <c r="C211" s="36"/>
      <c r="Q211" s="36"/>
    </row>
    <row r="212" spans="1:17" ht="123" customHeight="1" x14ac:dyDescent="0.25">
      <c r="A212" s="34"/>
      <c r="B212" s="35"/>
      <c r="C212" s="36"/>
      <c r="Q212" s="36"/>
    </row>
    <row r="213" spans="1:17" ht="123" customHeight="1" x14ac:dyDescent="0.25">
      <c r="A213" s="34"/>
      <c r="B213" s="35"/>
      <c r="C213" s="36"/>
      <c r="Q213" s="36"/>
    </row>
    <row r="214" spans="1:17" ht="123" customHeight="1" x14ac:dyDescent="0.25">
      <c r="A214" s="34"/>
      <c r="B214" s="35"/>
      <c r="C214" s="36"/>
      <c r="Q214" s="36"/>
    </row>
    <row r="215" spans="1:17" ht="123" customHeight="1" x14ac:dyDescent="0.25">
      <c r="A215" s="34"/>
      <c r="B215" s="35"/>
      <c r="C215" s="36"/>
      <c r="Q215" s="36"/>
    </row>
    <row r="216" spans="1:17" ht="123" customHeight="1" x14ac:dyDescent="0.25">
      <c r="A216" s="34"/>
      <c r="B216" s="35"/>
      <c r="C216" s="36"/>
      <c r="Q216" s="36"/>
    </row>
    <row r="217" spans="1:17" ht="123" customHeight="1" x14ac:dyDescent="0.25">
      <c r="A217" s="34"/>
      <c r="B217" s="35"/>
      <c r="C217" s="36"/>
      <c r="Q217" s="36"/>
    </row>
    <row r="218" spans="1:17" ht="123" customHeight="1" x14ac:dyDescent="0.25">
      <c r="A218" s="34"/>
      <c r="B218" s="35"/>
      <c r="C218" s="36"/>
      <c r="Q218" s="36"/>
    </row>
    <row r="219" spans="1:17" ht="123" customHeight="1" x14ac:dyDescent="0.25">
      <c r="A219" s="34"/>
      <c r="B219" s="35"/>
      <c r="C219" s="36"/>
      <c r="Q219" s="36"/>
    </row>
    <row r="220" spans="1:17" ht="123" customHeight="1" x14ac:dyDescent="0.25">
      <c r="A220" s="34"/>
      <c r="B220" s="35"/>
      <c r="C220" s="36"/>
      <c r="Q220" s="36"/>
    </row>
    <row r="221" spans="1:17" ht="123" customHeight="1" x14ac:dyDescent="0.25">
      <c r="A221" s="34"/>
      <c r="B221" s="35"/>
      <c r="C221" s="36"/>
      <c r="Q221" s="36"/>
    </row>
    <row r="222" spans="1:17" ht="123" customHeight="1" x14ac:dyDescent="0.25">
      <c r="A222" s="34"/>
      <c r="B222" s="35"/>
      <c r="C222" s="36"/>
      <c r="Q222" s="36"/>
    </row>
    <row r="223" spans="1:17" ht="123" customHeight="1" x14ac:dyDescent="0.25">
      <c r="A223" s="34"/>
      <c r="B223" s="35"/>
      <c r="C223" s="36"/>
      <c r="Q223" s="36"/>
    </row>
    <row r="224" spans="1:17" ht="123" customHeight="1" x14ac:dyDescent="0.25">
      <c r="A224" s="34"/>
      <c r="B224" s="35"/>
      <c r="C224" s="36"/>
      <c r="Q224" s="36"/>
    </row>
    <row r="225" spans="1:17" ht="123" customHeight="1" x14ac:dyDescent="0.25">
      <c r="A225" s="34"/>
      <c r="B225" s="35"/>
      <c r="C225" s="36"/>
      <c r="Q225" s="36"/>
    </row>
    <row r="226" spans="1:17" ht="123" customHeight="1" x14ac:dyDescent="0.25">
      <c r="A226" s="34"/>
      <c r="B226" s="35"/>
      <c r="C226" s="36"/>
      <c r="Q226" s="36"/>
    </row>
    <row r="227" spans="1:17" ht="123" customHeight="1" x14ac:dyDescent="0.25">
      <c r="A227" s="34"/>
      <c r="B227" s="35"/>
      <c r="C227" s="36"/>
      <c r="Q227" s="36"/>
    </row>
    <row r="228" spans="1:17" ht="123" customHeight="1" x14ac:dyDescent="0.25">
      <c r="A228" s="34"/>
      <c r="B228" s="35"/>
      <c r="C228" s="36"/>
      <c r="Q228" s="36"/>
    </row>
    <row r="229" spans="1:17" ht="123" customHeight="1" x14ac:dyDescent="0.25">
      <c r="A229" s="34"/>
      <c r="B229" s="35"/>
      <c r="C229" s="36"/>
      <c r="Q229" s="36"/>
    </row>
    <row r="230" spans="1:17" ht="123" customHeight="1" x14ac:dyDescent="0.25">
      <c r="A230" s="34"/>
      <c r="B230" s="35"/>
      <c r="C230" s="36"/>
      <c r="Q230" s="36"/>
    </row>
    <row r="231" spans="1:17" ht="123" customHeight="1" x14ac:dyDescent="0.25">
      <c r="A231" s="34"/>
      <c r="B231" s="35"/>
      <c r="C231" s="36"/>
      <c r="Q231" s="36"/>
    </row>
    <row r="232" spans="1:17" ht="123" customHeight="1" x14ac:dyDescent="0.25">
      <c r="A232" s="34"/>
      <c r="B232" s="35"/>
      <c r="C232" s="36"/>
      <c r="Q232" s="36"/>
    </row>
    <row r="233" spans="1:17" ht="123" customHeight="1" x14ac:dyDescent="0.25">
      <c r="A233" s="34"/>
      <c r="B233" s="35"/>
      <c r="C233" s="36"/>
      <c r="Q233" s="36"/>
    </row>
    <row r="234" spans="1:17" ht="123" customHeight="1" x14ac:dyDescent="0.25">
      <c r="A234" s="34"/>
      <c r="B234" s="35"/>
      <c r="C234" s="36"/>
      <c r="Q234" s="36"/>
    </row>
    <row r="235" spans="1:17" ht="123" customHeight="1" x14ac:dyDescent="0.25">
      <c r="A235" s="34"/>
      <c r="B235" s="35"/>
      <c r="C235" s="36"/>
      <c r="Q235" s="36"/>
    </row>
    <row r="236" spans="1:17" ht="123" customHeight="1" x14ac:dyDescent="0.25">
      <c r="A236" s="34"/>
      <c r="B236" s="35"/>
      <c r="C236" s="36"/>
      <c r="Q236" s="36"/>
    </row>
    <row r="237" spans="1:17" ht="123" customHeight="1" x14ac:dyDescent="0.25">
      <c r="A237" s="34"/>
      <c r="B237" s="35"/>
      <c r="C237" s="36"/>
      <c r="Q237" s="36"/>
    </row>
    <row r="238" spans="1:17" ht="123" customHeight="1" x14ac:dyDescent="0.25">
      <c r="A238" s="34"/>
      <c r="B238" s="35"/>
      <c r="C238" s="36"/>
      <c r="Q238" s="36"/>
    </row>
    <row r="239" spans="1:17" ht="123" customHeight="1" x14ac:dyDescent="0.25">
      <c r="A239" s="34"/>
      <c r="B239" s="35"/>
      <c r="C239" s="36"/>
      <c r="Q239" s="36"/>
    </row>
    <row r="240" spans="1:17" ht="123" customHeight="1" x14ac:dyDescent="0.25">
      <c r="A240" s="34"/>
      <c r="B240" s="35"/>
      <c r="C240" s="36"/>
      <c r="Q240" s="36"/>
    </row>
    <row r="241" spans="1:17" ht="123" customHeight="1" x14ac:dyDescent="0.25">
      <c r="A241" s="34"/>
      <c r="B241" s="35"/>
      <c r="C241" s="36"/>
      <c r="Q241" s="36"/>
    </row>
    <row r="242" spans="1:17" ht="123" customHeight="1" x14ac:dyDescent="0.25">
      <c r="A242" s="34"/>
      <c r="B242" s="35"/>
      <c r="C242" s="36"/>
      <c r="Q242" s="36"/>
    </row>
    <row r="243" spans="1:17" ht="123" customHeight="1" x14ac:dyDescent="0.25">
      <c r="A243" s="34"/>
      <c r="B243" s="35"/>
      <c r="C243" s="36"/>
      <c r="Q243" s="36"/>
    </row>
    <row r="244" spans="1:17" ht="123" customHeight="1" x14ac:dyDescent="0.25">
      <c r="A244" s="34"/>
      <c r="B244" s="35"/>
      <c r="C244" s="36"/>
      <c r="Q244" s="36"/>
    </row>
    <row r="245" spans="1:17" ht="123" customHeight="1" x14ac:dyDescent="0.25">
      <c r="A245" s="34"/>
      <c r="B245" s="35"/>
      <c r="C245" s="36"/>
      <c r="Q245" s="36"/>
    </row>
    <row r="246" spans="1:17" ht="123" customHeight="1" x14ac:dyDescent="0.25">
      <c r="A246" s="34"/>
      <c r="B246" s="35"/>
      <c r="C246" s="36"/>
      <c r="Q246" s="36"/>
    </row>
    <row r="247" spans="1:17" ht="123" customHeight="1" x14ac:dyDescent="0.25">
      <c r="A247" s="34"/>
      <c r="B247" s="35"/>
      <c r="C247" s="36"/>
      <c r="Q247" s="36"/>
    </row>
    <row r="248" spans="1:17" ht="123" customHeight="1" x14ac:dyDescent="0.25">
      <c r="A248" s="34"/>
      <c r="B248" s="35"/>
      <c r="C248" s="36"/>
      <c r="Q248" s="36"/>
    </row>
    <row r="249" spans="1:17" ht="123" customHeight="1" x14ac:dyDescent="0.25">
      <c r="A249" s="34"/>
      <c r="B249" s="35"/>
      <c r="C249" s="36"/>
      <c r="Q249" s="36"/>
    </row>
    <row r="250" spans="1:17" ht="123" customHeight="1" x14ac:dyDescent="0.25">
      <c r="A250" s="34"/>
      <c r="B250" s="35"/>
      <c r="C250" s="36"/>
      <c r="Q250" s="36"/>
    </row>
    <row r="251" spans="1:17" ht="123" customHeight="1" x14ac:dyDescent="0.25">
      <c r="A251" s="34"/>
      <c r="B251" s="35"/>
      <c r="C251" s="36"/>
      <c r="Q251" s="36"/>
    </row>
    <row r="252" spans="1:17" ht="123" customHeight="1" x14ac:dyDescent="0.25">
      <c r="A252" s="34"/>
      <c r="B252" s="35"/>
      <c r="C252" s="36"/>
      <c r="Q252" s="36"/>
    </row>
    <row r="253" spans="1:17" ht="123" customHeight="1" x14ac:dyDescent="0.25">
      <c r="A253" s="34"/>
      <c r="B253" s="35"/>
      <c r="C253" s="36"/>
      <c r="Q253" s="36"/>
    </row>
    <row r="254" spans="1:17" ht="123" customHeight="1" x14ac:dyDescent="0.25">
      <c r="A254" s="34"/>
      <c r="B254" s="35"/>
      <c r="C254" s="36"/>
      <c r="Q254" s="36"/>
    </row>
    <row r="255" spans="1:17" ht="123" customHeight="1" x14ac:dyDescent="0.25">
      <c r="A255" s="34"/>
      <c r="B255" s="35"/>
      <c r="C255" s="36"/>
      <c r="Q255" s="36"/>
    </row>
    <row r="256" spans="1:17" ht="123" customHeight="1" x14ac:dyDescent="0.25">
      <c r="A256" s="34"/>
      <c r="B256" s="35"/>
      <c r="C256" s="36"/>
      <c r="Q256" s="36"/>
    </row>
    <row r="257" spans="1:17" ht="123" customHeight="1" x14ac:dyDescent="0.25">
      <c r="A257" s="34"/>
      <c r="B257" s="35"/>
      <c r="C257" s="36"/>
      <c r="Q257" s="36"/>
    </row>
    <row r="258" spans="1:17" ht="123" customHeight="1" x14ac:dyDescent="0.25">
      <c r="A258" s="34"/>
      <c r="B258" s="35"/>
      <c r="C258" s="36"/>
      <c r="Q258" s="36"/>
    </row>
    <row r="259" spans="1:17" ht="123" customHeight="1" x14ac:dyDescent="0.25">
      <c r="A259" s="34"/>
      <c r="B259" s="35"/>
      <c r="C259" s="36"/>
      <c r="Q259" s="36"/>
    </row>
    <row r="260" spans="1:17" ht="123" customHeight="1" x14ac:dyDescent="0.25">
      <c r="A260" s="34"/>
      <c r="B260" s="35"/>
      <c r="C260" s="36"/>
      <c r="Q260" s="36"/>
    </row>
    <row r="261" spans="1:17" ht="123" customHeight="1" x14ac:dyDescent="0.25">
      <c r="A261" s="34"/>
      <c r="B261" s="35"/>
      <c r="C261" s="36"/>
      <c r="Q261" s="36"/>
    </row>
    <row r="262" spans="1:17" ht="123" customHeight="1" x14ac:dyDescent="0.25">
      <c r="A262" s="34"/>
      <c r="B262" s="35"/>
      <c r="C262" s="36"/>
      <c r="Q262" s="36"/>
    </row>
    <row r="263" spans="1:17" ht="123" customHeight="1" x14ac:dyDescent="0.25">
      <c r="A263" s="34"/>
      <c r="B263" s="35"/>
      <c r="C263" s="36"/>
      <c r="Q263" s="36"/>
    </row>
    <row r="264" spans="1:17" ht="123" customHeight="1" x14ac:dyDescent="0.25">
      <c r="A264" s="34"/>
      <c r="B264" s="35"/>
      <c r="C264" s="36"/>
      <c r="Q264" s="36"/>
    </row>
    <row r="265" spans="1:17" ht="123" customHeight="1" x14ac:dyDescent="0.25">
      <c r="A265" s="34"/>
      <c r="B265" s="35"/>
      <c r="C265" s="36"/>
      <c r="Q265" s="36"/>
    </row>
    <row r="266" spans="1:17" ht="123" customHeight="1" x14ac:dyDescent="0.25">
      <c r="A266" s="34"/>
      <c r="B266" s="35"/>
      <c r="C266" s="36"/>
      <c r="Q266" s="36"/>
    </row>
    <row r="267" spans="1:17" ht="123" customHeight="1" x14ac:dyDescent="0.25">
      <c r="A267" s="34"/>
      <c r="B267" s="35"/>
      <c r="C267" s="36"/>
      <c r="Q267" s="36"/>
    </row>
    <row r="268" spans="1:17" ht="123" customHeight="1" x14ac:dyDescent="0.25">
      <c r="A268" s="34"/>
      <c r="B268" s="35"/>
      <c r="C268" s="36"/>
      <c r="Q268" s="36"/>
    </row>
    <row r="269" spans="1:17" ht="123" customHeight="1" x14ac:dyDescent="0.25">
      <c r="A269" s="34"/>
      <c r="B269" s="35"/>
      <c r="C269" s="36"/>
      <c r="Q269" s="36"/>
    </row>
    <row r="270" spans="1:17" ht="123" customHeight="1" x14ac:dyDescent="0.25">
      <c r="A270" s="34"/>
      <c r="B270" s="35"/>
      <c r="C270" s="36"/>
      <c r="Q270" s="36"/>
    </row>
    <row r="271" spans="1:17" ht="123" customHeight="1" x14ac:dyDescent="0.25">
      <c r="A271" s="34"/>
      <c r="B271" s="35"/>
      <c r="C271" s="36"/>
      <c r="Q271" s="36"/>
    </row>
    <row r="272" spans="1:17" ht="123" customHeight="1" x14ac:dyDescent="0.25">
      <c r="A272" s="34"/>
      <c r="B272" s="35"/>
      <c r="C272" s="36"/>
      <c r="Q272" s="36"/>
    </row>
    <row r="273" spans="1:17" ht="123" customHeight="1" x14ac:dyDescent="0.25">
      <c r="A273" s="34"/>
      <c r="B273" s="35"/>
      <c r="C273" s="36"/>
      <c r="Q273" s="36"/>
    </row>
    <row r="274" spans="1:17" ht="123" customHeight="1" x14ac:dyDescent="0.25">
      <c r="A274" s="34"/>
      <c r="B274" s="35"/>
      <c r="C274" s="36"/>
      <c r="Q274" s="36"/>
    </row>
    <row r="275" spans="1:17" ht="123" customHeight="1" x14ac:dyDescent="0.25">
      <c r="A275" s="34"/>
      <c r="B275" s="35"/>
      <c r="C275" s="36"/>
      <c r="Q275" s="36"/>
    </row>
    <row r="276" spans="1:17" ht="123" customHeight="1" x14ac:dyDescent="0.25">
      <c r="A276" s="34"/>
      <c r="B276" s="35"/>
      <c r="C276" s="36"/>
      <c r="Q276" s="36"/>
    </row>
    <row r="277" spans="1:17" ht="123" customHeight="1" x14ac:dyDescent="0.25">
      <c r="A277" s="34"/>
      <c r="B277" s="35"/>
      <c r="C277" s="36"/>
      <c r="Q277" s="36"/>
    </row>
    <row r="278" spans="1:17" ht="123" customHeight="1" x14ac:dyDescent="0.25">
      <c r="A278" s="34"/>
      <c r="B278" s="35"/>
      <c r="C278" s="36"/>
      <c r="Q278" s="36"/>
    </row>
    <row r="279" spans="1:17" ht="123" customHeight="1" x14ac:dyDescent="0.25">
      <c r="A279" s="34"/>
      <c r="B279" s="35"/>
      <c r="C279" s="36"/>
      <c r="Q279" s="36"/>
    </row>
    <row r="280" spans="1:17" ht="123" customHeight="1" x14ac:dyDescent="0.25">
      <c r="A280" s="34"/>
      <c r="B280" s="35"/>
      <c r="C280" s="36"/>
      <c r="Q280" s="36"/>
    </row>
    <row r="281" spans="1:17" ht="123" customHeight="1" x14ac:dyDescent="0.25">
      <c r="A281" s="34"/>
      <c r="B281" s="35"/>
      <c r="C281" s="36"/>
      <c r="Q281" s="36"/>
    </row>
    <row r="282" spans="1:17" ht="123" customHeight="1" x14ac:dyDescent="0.25">
      <c r="A282" s="34"/>
      <c r="B282" s="35"/>
      <c r="C282" s="36"/>
      <c r="Q282" s="36"/>
    </row>
    <row r="283" spans="1:17" ht="123" customHeight="1" x14ac:dyDescent="0.25">
      <c r="A283" s="34"/>
      <c r="B283" s="35"/>
      <c r="C283" s="36"/>
      <c r="Q283" s="36"/>
    </row>
    <row r="284" spans="1:17" ht="123" customHeight="1" x14ac:dyDescent="0.25">
      <c r="A284" s="34"/>
      <c r="B284" s="35"/>
      <c r="C284" s="36"/>
      <c r="Q284" s="36"/>
    </row>
    <row r="285" spans="1:17" ht="123" customHeight="1" x14ac:dyDescent="0.25">
      <c r="A285" s="34"/>
      <c r="B285" s="35"/>
      <c r="C285" s="36"/>
      <c r="Q285" s="36"/>
    </row>
    <row r="286" spans="1:17" ht="123" customHeight="1" x14ac:dyDescent="0.25">
      <c r="A286" s="34"/>
      <c r="B286" s="35"/>
      <c r="C286" s="36"/>
      <c r="Q286" s="36"/>
    </row>
    <row r="287" spans="1:17" ht="123" customHeight="1" x14ac:dyDescent="0.25">
      <c r="A287" s="34"/>
      <c r="B287" s="35"/>
      <c r="C287" s="36"/>
      <c r="Q287" s="36"/>
    </row>
    <row r="288" spans="1:17" ht="123" customHeight="1" x14ac:dyDescent="0.25">
      <c r="A288" s="34"/>
      <c r="B288" s="35"/>
      <c r="C288" s="36"/>
      <c r="Q288" s="36"/>
    </row>
    <row r="289" spans="1:17" ht="123" customHeight="1" x14ac:dyDescent="0.25">
      <c r="A289" s="34"/>
      <c r="B289" s="35"/>
      <c r="C289" s="36"/>
      <c r="Q289" s="36"/>
    </row>
    <row r="290" spans="1:17" ht="123" customHeight="1" x14ac:dyDescent="0.25">
      <c r="A290" s="34"/>
      <c r="B290" s="35"/>
      <c r="C290" s="36"/>
      <c r="Q290" s="36"/>
    </row>
    <row r="291" spans="1:17" ht="123" customHeight="1" x14ac:dyDescent="0.25">
      <c r="A291" s="34"/>
      <c r="B291" s="35"/>
      <c r="C291" s="36"/>
      <c r="Q291" s="36"/>
    </row>
    <row r="292" spans="1:17" ht="123" customHeight="1" x14ac:dyDescent="0.25">
      <c r="A292" s="34"/>
      <c r="B292" s="35"/>
      <c r="C292" s="36"/>
      <c r="Q292" s="36"/>
    </row>
    <row r="293" spans="1:17" ht="123" customHeight="1" x14ac:dyDescent="0.25">
      <c r="A293" s="34"/>
      <c r="B293" s="35"/>
      <c r="C293" s="36"/>
      <c r="Q293" s="36"/>
    </row>
    <row r="294" spans="1:17" ht="123" customHeight="1" x14ac:dyDescent="0.25">
      <c r="A294" s="34"/>
      <c r="B294" s="35"/>
      <c r="C294" s="36"/>
      <c r="Q294" s="36"/>
    </row>
    <row r="295" spans="1:17" ht="123" customHeight="1" x14ac:dyDescent="0.25">
      <c r="A295" s="34"/>
      <c r="B295" s="35"/>
      <c r="C295" s="36"/>
      <c r="Q295" s="36"/>
    </row>
    <row r="296" spans="1:17" ht="123" customHeight="1" x14ac:dyDescent="0.25">
      <c r="A296" s="34"/>
      <c r="B296" s="35"/>
      <c r="C296" s="36"/>
      <c r="Q296" s="36"/>
    </row>
    <row r="297" spans="1:17" ht="123" customHeight="1" x14ac:dyDescent="0.25">
      <c r="A297" s="34"/>
      <c r="B297" s="35"/>
      <c r="C297" s="36"/>
      <c r="Q297" s="36"/>
    </row>
    <row r="298" spans="1:17" ht="123" customHeight="1" x14ac:dyDescent="0.25">
      <c r="A298" s="34"/>
      <c r="B298" s="35"/>
      <c r="C298" s="36"/>
      <c r="Q298" s="36"/>
    </row>
    <row r="299" spans="1:17" ht="123" customHeight="1" x14ac:dyDescent="0.25">
      <c r="A299" s="34"/>
      <c r="B299" s="35"/>
      <c r="C299" s="36"/>
      <c r="Q299" s="36"/>
    </row>
    <row r="300" spans="1:17" ht="123" customHeight="1" x14ac:dyDescent="0.25">
      <c r="A300" s="34"/>
      <c r="B300" s="35"/>
      <c r="C300" s="36"/>
      <c r="Q300" s="36"/>
    </row>
  </sheetData>
  <sheetProtection formatCells="0" formatColumns="0" formatRows="0" insertColumns="0" insertRows="0" insertHyperlinks="0" deleteColumns="0" deleteRows="0" sort="0" autoFilter="0" pivotTables="0"/>
  <autoFilter ref="A4:S4" xr:uid="{00000000-0009-0000-0000-000000000000}">
    <sortState xmlns:xlrd2="http://schemas.microsoft.com/office/spreadsheetml/2017/richdata2" ref="A5:S9">
      <sortCondition ref="A4"/>
    </sortState>
  </autoFilter>
  <conditionalFormatting sqref="C5:C300">
    <cfRule type="dataBar" priority="3">
      <dataBar>
        <cfvo type="min"/>
        <cfvo type="num" val="500"/>
        <color theme="9" tint="0.39997558519241921"/>
      </dataBar>
      <extLst>
        <ext xmlns:x14="http://schemas.microsoft.com/office/spreadsheetml/2009/9/main" uri="{B025F937-C7B1-47D3-B67F-A62EFF666E3E}">
          <x14:id>{CCAB9563-10AB-4C49-9501-26FBFEDC0318}</x14:id>
        </ext>
      </extLs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1">
              <controlPr defaultSize="0" print="0" disabled="1" autoFill="0" autoPict="0" macro="[0]!NovaCSingleFile">
                <anchor moveWithCells="1" sizeWithCells="1">
                  <from>
                    <xdr:col>9</xdr:col>
                    <xdr:colOff>9525</xdr:colOff>
                    <xdr:row>1</xdr:row>
                    <xdr:rowOff>0</xdr:rowOff>
                  </from>
                  <to>
                    <xdr:col>10</xdr:col>
                    <xdr:colOff>0</xdr:colOff>
                    <xdr:row>2</xdr:row>
                    <xdr:rowOff>9525</xdr:rowOff>
                  </to>
                </anchor>
              </controlPr>
            </control>
          </mc:Choice>
        </mc:AlternateContent>
        <mc:AlternateContent xmlns:mc="http://schemas.openxmlformats.org/markup-compatibility/2006">
          <mc:Choice Requires="x14">
            <control shapeId="1033" r:id="rId5" name="CheckBox1">
              <controlPr defaultSize="0" autoFill="0" autoLine="0" autoPict="0">
                <anchor moveWithCells="1">
                  <from>
                    <xdr:col>12</xdr:col>
                    <xdr:colOff>38100</xdr:colOff>
                    <xdr:row>4</xdr:row>
                    <xdr:rowOff>666750</xdr:rowOff>
                  </from>
                  <to>
                    <xdr:col>12</xdr:col>
                    <xdr:colOff>247650</xdr:colOff>
                    <xdr:row>4</xdr:row>
                    <xdr:rowOff>885825</xdr:rowOff>
                  </to>
                </anchor>
              </controlPr>
            </control>
          </mc:Choice>
        </mc:AlternateContent>
        <mc:AlternateContent xmlns:mc="http://schemas.openxmlformats.org/markup-compatibility/2006">
          <mc:Choice Requires="x14">
            <control shapeId="1034" r:id="rId6" name="CheckBox2">
              <controlPr defaultSize="0" autoFill="0" autoLine="0" autoPict="0">
                <anchor moveWithCells="1">
                  <from>
                    <xdr:col>12</xdr:col>
                    <xdr:colOff>38100</xdr:colOff>
                    <xdr:row>5</xdr:row>
                    <xdr:rowOff>666750</xdr:rowOff>
                  </from>
                  <to>
                    <xdr:col>12</xdr:col>
                    <xdr:colOff>247650</xdr:colOff>
                    <xdr:row>5</xdr:row>
                    <xdr:rowOff>885825</xdr:rowOff>
                  </to>
                </anchor>
              </controlPr>
            </control>
          </mc:Choice>
        </mc:AlternateContent>
        <mc:AlternateContent xmlns:mc="http://schemas.openxmlformats.org/markup-compatibility/2006">
          <mc:Choice Requires="x14">
            <control shapeId="1035" r:id="rId7" name="CheckBox3">
              <controlPr defaultSize="0" autoFill="0" autoLine="0" autoPict="0">
                <anchor moveWithCells="1">
                  <from>
                    <xdr:col>12</xdr:col>
                    <xdr:colOff>38100</xdr:colOff>
                    <xdr:row>6</xdr:row>
                    <xdr:rowOff>666750</xdr:rowOff>
                  </from>
                  <to>
                    <xdr:col>12</xdr:col>
                    <xdr:colOff>247650</xdr:colOff>
                    <xdr:row>6</xdr:row>
                    <xdr:rowOff>885825</xdr:rowOff>
                  </to>
                </anchor>
              </controlPr>
            </control>
          </mc:Choice>
        </mc:AlternateContent>
        <mc:AlternateContent xmlns:mc="http://schemas.openxmlformats.org/markup-compatibility/2006">
          <mc:Choice Requires="x14">
            <control shapeId="1036" r:id="rId8" name="CheckBox4">
              <controlPr defaultSize="0" autoFill="0" autoLine="0" autoPict="0">
                <anchor moveWithCells="1">
                  <from>
                    <xdr:col>12</xdr:col>
                    <xdr:colOff>38100</xdr:colOff>
                    <xdr:row>7</xdr:row>
                    <xdr:rowOff>666750</xdr:rowOff>
                  </from>
                  <to>
                    <xdr:col>12</xdr:col>
                    <xdr:colOff>247650</xdr:colOff>
                    <xdr:row>7</xdr:row>
                    <xdr:rowOff>885825</xdr:rowOff>
                  </to>
                </anchor>
              </controlPr>
            </control>
          </mc:Choice>
        </mc:AlternateContent>
        <mc:AlternateContent xmlns:mc="http://schemas.openxmlformats.org/markup-compatibility/2006">
          <mc:Choice Requires="x14">
            <control shapeId="1037" r:id="rId9" name="CheckBox5">
              <controlPr defaultSize="0" autoFill="0" autoLine="0" autoPict="0">
                <anchor moveWithCells="1">
                  <from>
                    <xdr:col>12</xdr:col>
                    <xdr:colOff>38100</xdr:colOff>
                    <xdr:row>8</xdr:row>
                    <xdr:rowOff>666750</xdr:rowOff>
                  </from>
                  <to>
                    <xdr:col>12</xdr:col>
                    <xdr:colOff>247650</xdr:colOff>
                    <xdr:row>8</xdr:row>
                    <xdr:rowOff>885825</xdr:rowOff>
                  </to>
                </anchor>
              </controlPr>
            </control>
          </mc:Choice>
        </mc:AlternateContent>
        <mc:AlternateContent xmlns:mc="http://schemas.openxmlformats.org/markup-compatibility/2006">
          <mc:Choice Requires="x14">
            <control shapeId="1134" r:id="rId10" name="Button 110">
              <controlPr defaultSize="0" print="0" autoFill="0" autoPict="0" macro="[0]!Uncheckall">
                <anchor moveWithCells="1" sizeWithCells="1">
                  <from>
                    <xdr:col>12</xdr:col>
                    <xdr:colOff>19050</xdr:colOff>
                    <xdr:row>2</xdr:row>
                    <xdr:rowOff>9525</xdr:rowOff>
                  </from>
                  <to>
                    <xdr:col>13</xdr:col>
                    <xdr:colOff>647700</xdr:colOff>
                    <xdr:row>3</xdr:row>
                    <xdr:rowOff>0</xdr:rowOff>
                  </to>
                </anchor>
              </controlPr>
            </control>
          </mc:Choice>
        </mc:AlternateContent>
        <mc:AlternateContent xmlns:mc="http://schemas.openxmlformats.org/markup-compatibility/2006">
          <mc:Choice Requires="x14">
            <control shapeId="1135" r:id="rId11" name="Button 111">
              <controlPr defaultSize="0" print="0" autoFill="0" autoPict="0" macro="[0]!Checkall">
                <anchor moveWithCells="1" sizeWithCells="1">
                  <from>
                    <xdr:col>12</xdr:col>
                    <xdr:colOff>19050</xdr:colOff>
                    <xdr:row>1</xdr:row>
                    <xdr:rowOff>9525</xdr:rowOff>
                  </from>
                  <to>
                    <xdr:col>13</xdr:col>
                    <xdr:colOff>647700</xdr:colOff>
                    <xdr:row>2</xdr:row>
                    <xdr:rowOff>0</xdr:rowOff>
                  </to>
                </anchor>
              </controlPr>
            </control>
          </mc:Choice>
        </mc:AlternateContent>
        <mc:AlternateContent xmlns:mc="http://schemas.openxmlformats.org/markup-compatibility/2006">
          <mc:Choice Requires="x14">
            <control shapeId="1136" r:id="rId12" name="Button 112">
              <controlPr defaultSize="0" print="0" autoFill="0" autoPict="0" macro="[0]!HideChecked">
                <anchor moveWithCells="1" sizeWithCells="1">
                  <from>
                    <xdr:col>13</xdr:col>
                    <xdr:colOff>666750</xdr:colOff>
                    <xdr:row>1</xdr:row>
                    <xdr:rowOff>0</xdr:rowOff>
                  </from>
                  <to>
                    <xdr:col>13</xdr:col>
                    <xdr:colOff>1714500</xdr:colOff>
                    <xdr:row>2</xdr:row>
                    <xdr:rowOff>0</xdr:rowOff>
                  </to>
                </anchor>
              </controlPr>
            </control>
          </mc:Choice>
        </mc:AlternateContent>
        <mc:AlternateContent xmlns:mc="http://schemas.openxmlformats.org/markup-compatibility/2006">
          <mc:Choice Requires="x14">
            <control shapeId="1137" r:id="rId13" name="Button 113">
              <controlPr defaultSize="0" print="0" autoFill="0" autoPict="0" macro="[0]!UnhideAll">
                <anchor moveWithCells="1" sizeWithCells="1">
                  <from>
                    <xdr:col>13</xdr:col>
                    <xdr:colOff>1724025</xdr:colOff>
                    <xdr:row>1</xdr:row>
                    <xdr:rowOff>9525</xdr:rowOff>
                  </from>
                  <to>
                    <xdr:col>14</xdr:col>
                    <xdr:colOff>57150</xdr:colOff>
                    <xdr:row>3</xdr:row>
                    <xdr:rowOff>0</xdr:rowOff>
                  </to>
                </anchor>
              </controlPr>
            </control>
          </mc:Choice>
        </mc:AlternateContent>
        <mc:AlternateContent xmlns:mc="http://schemas.openxmlformats.org/markup-compatibility/2006">
          <mc:Choice Requires="x14">
            <control shapeId="1138" r:id="rId14" name="Button 114">
              <controlPr defaultSize="0" print="0" autoFill="0" autoPict="0" macro="[0]!Recalculate_Peaks">
                <anchor moveWithCells="1" sizeWithCells="1">
                  <from>
                    <xdr:col>5</xdr:col>
                    <xdr:colOff>19050</xdr:colOff>
                    <xdr:row>2</xdr:row>
                    <xdr:rowOff>0</xdr:rowOff>
                  </from>
                  <to>
                    <xdr:col>5</xdr:col>
                    <xdr:colOff>952500</xdr:colOff>
                    <xdr:row>2</xdr:row>
                    <xdr:rowOff>219075</xdr:rowOff>
                  </to>
                </anchor>
              </controlPr>
            </control>
          </mc:Choice>
        </mc:AlternateContent>
        <mc:AlternateContent xmlns:mc="http://schemas.openxmlformats.org/markup-compatibility/2006">
          <mc:Choice Requires="x14">
            <control shapeId="1139" r:id="rId15" name="Button 115">
              <controlPr defaultSize="0" print="0" autoFill="0" autoPict="0" macro="[0]!Cumulative_Area">
                <anchor moveWithCells="1" sizeWithCells="1">
                  <from>
                    <xdr:col>4</xdr:col>
                    <xdr:colOff>9525</xdr:colOff>
                    <xdr:row>2</xdr:row>
                    <xdr:rowOff>9525</xdr:rowOff>
                  </from>
                  <to>
                    <xdr:col>4</xdr:col>
                    <xdr:colOff>942975</xdr:colOff>
                    <xdr:row>2</xdr:row>
                    <xdr:rowOff>219075</xdr:rowOff>
                  </to>
                </anchor>
              </controlPr>
            </control>
          </mc:Choice>
        </mc:AlternateContent>
        <mc:AlternateContent xmlns:mc="http://schemas.openxmlformats.org/markup-compatibility/2006">
          <mc:Choice Requires="x14">
            <control shapeId="1142" r:id="rId16" name="Button 118">
              <controlPr defaultSize="0" print="0" autoFill="0" autoPict="0" macro="[0]!HideUV">
                <anchor moveWithCells="1" sizeWithCells="1">
                  <from>
                    <xdr:col>14</xdr:col>
                    <xdr:colOff>66675</xdr:colOff>
                    <xdr:row>1</xdr:row>
                    <xdr:rowOff>9525</xdr:rowOff>
                  </from>
                  <to>
                    <xdr:col>14</xdr:col>
                    <xdr:colOff>962025</xdr:colOff>
                    <xdr:row>2</xdr:row>
                    <xdr:rowOff>9525</xdr:rowOff>
                  </to>
                </anchor>
              </controlPr>
            </control>
          </mc:Choice>
        </mc:AlternateContent>
        <mc:AlternateContent xmlns:mc="http://schemas.openxmlformats.org/markup-compatibility/2006">
          <mc:Choice Requires="x14">
            <control shapeId="1143" r:id="rId17" name="Button 119">
              <controlPr defaultSize="0" print="0" autoFill="0" autoPict="0" macro="[0]!UnhideUV">
                <anchor moveWithCells="1" sizeWithCells="1">
                  <from>
                    <xdr:col>14</xdr:col>
                    <xdr:colOff>66675</xdr:colOff>
                    <xdr:row>2</xdr:row>
                    <xdr:rowOff>9525</xdr:rowOff>
                  </from>
                  <to>
                    <xdr:col>14</xdr:col>
                    <xdr:colOff>962025</xdr:colOff>
                    <xdr:row>3</xdr:row>
                    <xdr:rowOff>0</xdr:rowOff>
                  </to>
                </anchor>
              </controlPr>
            </control>
          </mc:Choice>
        </mc:AlternateContent>
        <mc:AlternateContent xmlns:mc="http://schemas.openxmlformats.org/markup-compatibility/2006">
          <mc:Choice Requires="x14">
            <control shapeId="1146" r:id="rId18" name="Button 122">
              <controlPr defaultSize="0" print="0" autoFill="0" autoPict="0" macro="[0]!Lock_Click">
                <anchor moveWithCells="1" sizeWithCells="1">
                  <from>
                    <xdr:col>9</xdr:col>
                    <xdr:colOff>9525</xdr:colOff>
                    <xdr:row>1</xdr:row>
                    <xdr:rowOff>0</xdr:rowOff>
                  </from>
                  <to>
                    <xdr:col>9</xdr:col>
                    <xdr:colOff>1114425</xdr:colOff>
                    <xdr:row>2</xdr:row>
                    <xdr:rowOff>9525</xdr:rowOff>
                  </to>
                </anchor>
              </controlPr>
            </control>
          </mc:Choice>
        </mc:AlternateContent>
        <mc:AlternateContent xmlns:mc="http://schemas.openxmlformats.org/markup-compatibility/2006">
          <mc:Choice Requires="x14">
            <control shapeId="1148" r:id="rId19" name="Button 124">
              <controlPr defaultSize="0" print="0" autoFill="0" autoPict="0" macro="[0]!UVSearchAll">
                <anchor moveWithCells="1" sizeWithCells="1">
                  <from>
                    <xdr:col>11</xdr:col>
                    <xdr:colOff>981075</xdr:colOff>
                    <xdr:row>2</xdr:row>
                    <xdr:rowOff>9525</xdr:rowOff>
                  </from>
                  <to>
                    <xdr:col>12</xdr:col>
                    <xdr:colOff>0</xdr:colOff>
                    <xdr:row>3</xdr:row>
                    <xdr:rowOff>0</xdr:rowOff>
                  </to>
                </anchor>
              </controlPr>
            </control>
          </mc:Choice>
        </mc:AlternateContent>
        <mc:AlternateContent xmlns:mc="http://schemas.openxmlformats.org/markup-compatibility/2006">
          <mc:Choice Requires="x14">
            <control shapeId="1149" r:id="rId20" name="Option Button 125">
              <controlPr defaultSize="0" autoFill="0" autoLine="0" autoPict="0">
                <anchor moveWithCells="1">
                  <from>
                    <xdr:col>8</xdr:col>
                    <xdr:colOff>95250</xdr:colOff>
                    <xdr:row>1</xdr:row>
                    <xdr:rowOff>9525</xdr:rowOff>
                  </from>
                  <to>
                    <xdr:col>8</xdr:col>
                    <xdr:colOff>533400</xdr:colOff>
                    <xdr:row>2</xdr:row>
                    <xdr:rowOff>0</xdr:rowOff>
                  </to>
                </anchor>
              </controlPr>
            </control>
          </mc:Choice>
        </mc:AlternateContent>
        <mc:AlternateContent xmlns:mc="http://schemas.openxmlformats.org/markup-compatibility/2006">
          <mc:Choice Requires="x14">
            <control shapeId="1150" r:id="rId21" name="Option Button 126">
              <controlPr defaultSize="0" autoFill="0" autoLine="0" autoPict="0">
                <anchor moveWithCells="1">
                  <from>
                    <xdr:col>8</xdr:col>
                    <xdr:colOff>619125</xdr:colOff>
                    <xdr:row>1</xdr:row>
                    <xdr:rowOff>9525</xdr:rowOff>
                  </from>
                  <to>
                    <xdr:col>8</xdr:col>
                    <xdr:colOff>1057275</xdr:colOff>
                    <xdr:row>1</xdr:row>
                    <xdr:rowOff>228600</xdr:rowOff>
                  </to>
                </anchor>
              </controlPr>
            </control>
          </mc:Choice>
        </mc:AlternateContent>
        <mc:AlternateContent xmlns:mc="http://schemas.openxmlformats.org/markup-compatibility/2006">
          <mc:Choice Requires="x14">
            <control shapeId="1151" r:id="rId22" name="Button 127">
              <controlPr defaultSize="0" print="0" disabled="1" autoFill="0" autoPict="0" macro="[0]!NovaCBatch">
                <anchor moveWithCells="1" sizeWithCells="1">
                  <from>
                    <xdr:col>10</xdr:col>
                    <xdr:colOff>0</xdr:colOff>
                    <xdr:row>1</xdr:row>
                    <xdr:rowOff>0</xdr:rowOff>
                  </from>
                  <to>
                    <xdr:col>11</xdr:col>
                    <xdr:colOff>0</xdr:colOff>
                    <xdr:row>2</xdr:row>
                    <xdr:rowOff>9525</xdr:rowOff>
                  </to>
                </anchor>
              </controlPr>
            </control>
          </mc:Choice>
        </mc:AlternateContent>
        <mc:AlternateContent xmlns:mc="http://schemas.openxmlformats.org/markup-compatibility/2006">
          <mc:Choice Requires="x14">
            <control shapeId="1152" r:id="rId23" name="Button 128">
              <controlPr defaultSize="0" print="0" autoFill="0" autoPict="0" macro="[0]!HideUnchecked">
                <anchor moveWithCells="1" sizeWithCells="1">
                  <from>
                    <xdr:col>13</xdr:col>
                    <xdr:colOff>657225</xdr:colOff>
                    <xdr:row>2</xdr:row>
                    <xdr:rowOff>9525</xdr:rowOff>
                  </from>
                  <to>
                    <xdr:col>13</xdr:col>
                    <xdr:colOff>1714500</xdr:colOff>
                    <xdr:row>3</xdr:row>
                    <xdr:rowOff>0</xdr:rowOff>
                  </to>
                </anchor>
              </controlPr>
            </control>
          </mc:Choice>
        </mc:AlternateContent>
        <mc:AlternateContent xmlns:mc="http://schemas.openxmlformats.org/markup-compatibility/2006">
          <mc:Choice Requires="x14">
            <control shapeId="1153" r:id="rId24" name="Button 129">
              <controlPr defaultSize="0" print="0" autoFill="0" autoPict="0" macro="[0]!MassSearch">
                <anchor moveWithCells="1" sizeWithCells="1">
                  <from>
                    <xdr:col>11</xdr:col>
                    <xdr:colOff>981075</xdr:colOff>
                    <xdr:row>1</xdr:row>
                    <xdr:rowOff>9525</xdr:rowOff>
                  </from>
                  <to>
                    <xdr:col>12</xdr:col>
                    <xdr:colOff>0</xdr:colOff>
                    <xdr:row>2</xdr:row>
                    <xdr:rowOff>0</xdr:rowOff>
                  </to>
                </anchor>
              </controlPr>
            </control>
          </mc:Choice>
        </mc:AlternateContent>
        <mc:AlternateContent xmlns:mc="http://schemas.openxmlformats.org/markup-compatibility/2006">
          <mc:Choice Requires="x14">
            <control shapeId="1154" r:id="rId25" name="Button 130">
              <controlPr defaultSize="0" print="0" autoFill="0" autoPict="0" macro="[0]!CopyTable_Click">
                <anchor moveWithCells="1" sizeWithCells="1">
                  <from>
                    <xdr:col>10</xdr:col>
                    <xdr:colOff>9525</xdr:colOff>
                    <xdr:row>1</xdr:row>
                    <xdr:rowOff>0</xdr:rowOff>
                  </from>
                  <to>
                    <xdr:col>10</xdr:col>
                    <xdr:colOff>1114425</xdr:colOff>
                    <xdr:row>2</xdr:row>
                    <xdr:rowOff>9525</xdr:rowOff>
                  </to>
                </anchor>
              </controlPr>
            </control>
          </mc:Choice>
        </mc:AlternateContent>
        <mc:AlternateContent xmlns:mc="http://schemas.openxmlformats.org/markup-compatibility/2006">
          <mc:Choice Requires="x14">
            <control shapeId="1155" r:id="rId26" name="Button 131">
              <controlPr defaultSize="0" print="0" autoFill="0" autoPict="0" macro="[0]!ClearPeakIds">
                <anchor moveWithCells="1" sizeWithCells="1">
                  <from>
                    <xdr:col>11</xdr:col>
                    <xdr:colOff>9525</xdr:colOff>
                    <xdr:row>2</xdr:row>
                    <xdr:rowOff>9525</xdr:rowOff>
                  </from>
                  <to>
                    <xdr:col>11</xdr:col>
                    <xdr:colOff>971550</xdr:colOff>
                    <xdr:row>3</xdr:row>
                    <xdr:rowOff>0</xdr:rowOff>
                  </to>
                </anchor>
              </controlPr>
            </control>
          </mc:Choice>
        </mc:AlternateContent>
        <mc:AlternateContent xmlns:mc="http://schemas.openxmlformats.org/markup-compatibility/2006">
          <mc:Choice Requires="x14">
            <control shapeId="1156" r:id="rId27" name="Button 132">
              <controlPr defaultSize="0" print="0" autoFill="0" autoPict="0" macro="[0]!AutoUVClass">
                <anchor moveWithCells="1" sizeWithCells="1">
                  <from>
                    <xdr:col>11</xdr:col>
                    <xdr:colOff>9525</xdr:colOff>
                    <xdr:row>1</xdr:row>
                    <xdr:rowOff>9525</xdr:rowOff>
                  </from>
                  <to>
                    <xdr:col>11</xdr:col>
                    <xdr:colOff>971550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CAB9563-10AB-4C49-9501-26FBFEDC0318}">
            <x14:dataBar minLength="0" maxLength="100" gradient="0">
              <x14:cfvo type="autoMin"/>
              <x14:cfvo type="num">
                <xm:f>500</xm:f>
              </x14:cfvo>
              <x14:negativeFillColor rgb="FFFF0000"/>
              <x14:axisColor rgb="FF000000"/>
            </x14:dataBar>
          </x14:cfRule>
          <xm:sqref>C5:C300</xm:sqref>
        </x14:conditionalFormatting>
        <x14:conditionalFormatting xmlns:xm="http://schemas.microsoft.com/office/excel/2006/main">
          <x14:cfRule type="cellIs" priority="1" operator="greaterThan" id="{337D6A85-7DC0-4A07-A82D-044471C809F8}">
            <xm:f>Summary!$A$14</xm:f>
            <x14:dxf>
              <fill>
                <patternFill>
                  <bgColor theme="4" tint="0.39994506668294322"/>
                </patternFill>
              </fill>
            </x14:dxf>
          </x14:cfRule>
          <x14:cfRule type="cellIs" priority="2" operator="between" id="{C4C5A8EB-6E3E-4F3D-BAD0-68F493139E29}">
            <xm:f>0.00001</xm:f>
            <xm:f>Summary!$A$10</xm:f>
            <x14:dxf>
              <fill>
                <patternFill>
                  <bgColor rgb="FFFF8989"/>
                </patternFill>
              </fill>
            </x14:dxf>
          </x14:cfRule>
          <xm:sqref>J5:J104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N35"/>
  <sheetViews>
    <sheetView workbookViewId="0"/>
  </sheetViews>
  <sheetFormatPr defaultColWidth="9.140625" defaultRowHeight="15" x14ac:dyDescent="0.25"/>
  <cols>
    <col min="1" max="2" width="9.140625" style="63"/>
    <col min="3" max="3" width="32.85546875" style="63" customWidth="1"/>
    <col min="4" max="5" width="11" style="63" customWidth="1"/>
    <col min="6" max="6" width="9.140625" style="63"/>
    <col min="7" max="7" width="28.140625" style="63" customWidth="1"/>
    <col min="8" max="8" width="22.5703125" style="63" customWidth="1"/>
    <col min="9" max="9" width="13.5703125" style="63" customWidth="1"/>
    <col min="10" max="10" width="9.28515625" style="63" customWidth="1"/>
    <col min="11" max="11" width="19.5703125" style="63" customWidth="1"/>
    <col min="12" max="12" width="9.42578125" style="63" customWidth="1"/>
    <col min="13" max="13" width="21.7109375" style="63" customWidth="1"/>
    <col min="14" max="14" width="45.85546875" style="63" customWidth="1"/>
    <col min="15" max="16" width="9.28515625" style="63" customWidth="1"/>
    <col min="17" max="16384" width="9.140625" style="63"/>
  </cols>
  <sheetData>
    <row r="1" spans="1:14" ht="15.75" x14ac:dyDescent="0.25">
      <c r="D1" s="64" t="s">
        <v>18</v>
      </c>
      <c r="E1" s="64" t="s">
        <v>19</v>
      </c>
      <c r="H1" s="64" t="s">
        <v>18</v>
      </c>
      <c r="I1" s="64" t="s">
        <v>19</v>
      </c>
      <c r="L1" s="64" t="s">
        <v>18</v>
      </c>
      <c r="M1" s="64" t="s">
        <v>19</v>
      </c>
      <c r="N1" s="65" t="s">
        <v>64</v>
      </c>
    </row>
    <row r="2" spans="1:14" x14ac:dyDescent="0.25">
      <c r="A2" s="66" t="s">
        <v>20</v>
      </c>
      <c r="C2" s="67" t="s">
        <v>16</v>
      </c>
      <c r="D2" s="68">
        <v>5</v>
      </c>
      <c r="E2" s="69"/>
      <c r="G2" s="67" t="s">
        <v>17</v>
      </c>
      <c r="H2" s="70">
        <v>248.2503662109375</v>
      </c>
      <c r="I2" s="69"/>
      <c r="K2" s="71" t="s">
        <v>91</v>
      </c>
      <c r="L2" s="72">
        <f>COUNTIF(Peaks!$L$5:$L$104,"*" &amp; K2 &amp; "*")</f>
        <v>0</v>
      </c>
      <c r="M2" s="73">
        <f>L2/$D$2</f>
        <v>0</v>
      </c>
      <c r="N2" s="68"/>
    </row>
    <row r="3" spans="1:14" x14ac:dyDescent="0.25">
      <c r="K3" s="71" t="s">
        <v>43</v>
      </c>
      <c r="L3" s="72">
        <f>COUNTIF(Peaks!$L$5:$L$104,"*" &amp; K3 &amp; "*")</f>
        <v>0</v>
      </c>
      <c r="M3" s="73">
        <f t="shared" ref="M3:M9" si="0">L3/$D$2</f>
        <v>0</v>
      </c>
      <c r="N3" s="68"/>
    </row>
    <row r="4" spans="1:14" x14ac:dyDescent="0.25">
      <c r="A4" s="82">
        <v>90</v>
      </c>
      <c r="C4" s="67" t="str">
        <f>CONCATENATE("Peaks - ",A4,"% cumulative")</f>
        <v>Peaks - 90% cumulative</v>
      </c>
      <c r="D4" s="68">
        <v>2</v>
      </c>
      <c r="E4" s="74">
        <f>D4/$D$2</f>
        <v>0.4</v>
      </c>
      <c r="G4" s="67" t="str">
        <f>CONCATENATE("Area - ",A4,"% cumulative")</f>
        <v>Area - 90% cumulative</v>
      </c>
      <c r="H4" s="70">
        <v>212.36393737792969</v>
      </c>
      <c r="I4" s="69"/>
      <c r="K4" s="71" t="s">
        <v>28</v>
      </c>
      <c r="L4" s="72">
        <f>COUNTIF(Peaks!$L$5:$L$104,"*" &amp; K4 &amp; "*")</f>
        <v>0</v>
      </c>
      <c r="M4" s="73">
        <f t="shared" si="0"/>
        <v>0</v>
      </c>
      <c r="N4" s="68"/>
    </row>
    <row r="5" spans="1:14" x14ac:dyDescent="0.25">
      <c r="A5" s="75"/>
      <c r="I5" s="76"/>
      <c r="K5" s="71" t="s">
        <v>49</v>
      </c>
      <c r="L5" s="72">
        <f>COUNTIF(Peaks!$L$5:$L$104,"*" &amp; K5 &amp; "*")</f>
        <v>0</v>
      </c>
      <c r="M5" s="73">
        <f t="shared" si="0"/>
        <v>0</v>
      </c>
      <c r="N5" s="68"/>
    </row>
    <row r="6" spans="1:14" x14ac:dyDescent="0.25">
      <c r="A6" s="82">
        <v>95</v>
      </c>
      <c r="C6" s="67" t="str">
        <f>CONCATENATE("Peaks - ",A6,"% cumulative")</f>
        <v>Peaks - 95% cumulative</v>
      </c>
      <c r="D6" s="68">
        <v>3</v>
      </c>
      <c r="E6" s="74">
        <f>D6/$D$2</f>
        <v>0.6</v>
      </c>
      <c r="G6" s="67" t="str">
        <f>CONCATENATE("Area - ",A6,"% cumulative")</f>
        <v>Area - 95% cumulative</v>
      </c>
      <c r="H6" s="70">
        <v>233.706787109375</v>
      </c>
      <c r="I6" s="69"/>
      <c r="K6" s="71" t="s">
        <v>50</v>
      </c>
      <c r="L6" s="72">
        <f>COUNTIF(Peaks!$L$5:$L$104,"*" &amp; K6 &amp; "*")</f>
        <v>0</v>
      </c>
      <c r="M6" s="73">
        <f t="shared" si="0"/>
        <v>0</v>
      </c>
      <c r="N6" s="68"/>
    </row>
    <row r="7" spans="1:14" x14ac:dyDescent="0.25">
      <c r="A7" s="75"/>
      <c r="I7" s="76"/>
      <c r="K7" s="71" t="s">
        <v>51</v>
      </c>
      <c r="L7" s="72">
        <f>COUNTIF(Peaks!$L$5:$L$104,"*" &amp; K7 &amp; "*")</f>
        <v>0</v>
      </c>
      <c r="M7" s="73">
        <f t="shared" si="0"/>
        <v>0</v>
      </c>
      <c r="N7" s="68"/>
    </row>
    <row r="8" spans="1:14" x14ac:dyDescent="0.25">
      <c r="A8" s="82">
        <v>99</v>
      </c>
      <c r="C8" s="67" t="str">
        <f>CONCATENATE("Peaks - ",A8,"% cumulative")</f>
        <v>Peaks - 99% cumulative</v>
      </c>
      <c r="D8" s="68">
        <v>4</v>
      </c>
      <c r="E8" s="74">
        <f>D8/$D$2</f>
        <v>0.8</v>
      </c>
      <c r="G8" s="67" t="str">
        <f>CONCATENATE("Area - ",A8,"% cumulative")</f>
        <v>Area - 99% cumulative</v>
      </c>
      <c r="H8" s="70">
        <v>241.39981079101563</v>
      </c>
      <c r="I8" s="69"/>
      <c r="K8" s="71" t="s">
        <v>52</v>
      </c>
      <c r="L8" s="72">
        <f>COUNTIF(Peaks!$L$5:$L$104,"*" &amp; K8 &amp; "*")</f>
        <v>0</v>
      </c>
      <c r="M8" s="73">
        <f t="shared" si="0"/>
        <v>0</v>
      </c>
      <c r="N8" s="68"/>
    </row>
    <row r="9" spans="1:14" x14ac:dyDescent="0.25">
      <c r="A9" s="75"/>
      <c r="K9" s="71" t="s">
        <v>53</v>
      </c>
      <c r="L9" s="72">
        <f>COUNTIF(Peaks!$L$5:$L$104,"*" &amp; K9 &amp; "*")</f>
        <v>0</v>
      </c>
      <c r="M9" s="73">
        <f t="shared" si="0"/>
        <v>0</v>
      </c>
      <c r="N9" s="68"/>
    </row>
    <row r="10" spans="1:14" x14ac:dyDescent="0.25">
      <c r="A10" s="82">
        <v>2</v>
      </c>
      <c r="C10" s="67" t="str">
        <f>CONCATENATE("Peaks - acidic (Ratio &lt; ",A10,")")</f>
        <v>Peaks - acidic (Ratio &lt; 2)</v>
      </c>
      <c r="D10" s="68">
        <v>5</v>
      </c>
      <c r="E10" s="74">
        <f>D10/$D$2</f>
        <v>1</v>
      </c>
      <c r="G10" s="67" t="str">
        <f>CONCATENATE("Area - acidic (Ratio &lt; ",A10,")")</f>
        <v>Area - acidic (Ratio &lt; 2)</v>
      </c>
      <c r="H10" s="70">
        <v>248.2503662109375</v>
      </c>
      <c r="I10" s="74">
        <f>H10/$H$2</f>
        <v>1</v>
      </c>
      <c r="K10" s="71" t="s">
        <v>54</v>
      </c>
      <c r="L10" s="72">
        <f>COUNTIF(Peaks!$L$5:$L$104,"*" &amp; K10 &amp; "*")</f>
        <v>0</v>
      </c>
      <c r="M10" s="73">
        <f>L10/$D$2</f>
        <v>0</v>
      </c>
      <c r="N10" s="68"/>
    </row>
    <row r="11" spans="1:14" x14ac:dyDescent="0.25">
      <c r="A11" s="75"/>
      <c r="K11" s="71" t="s">
        <v>55</v>
      </c>
      <c r="L11" s="72">
        <f>COUNTIF(Peaks!$L$5:$L$104,"*" &amp; K11 &amp; "*")</f>
        <v>0</v>
      </c>
      <c r="M11" s="73">
        <f t="shared" ref="M11:M17" si="1">L11/$D$2</f>
        <v>0</v>
      </c>
      <c r="N11" s="68"/>
    </row>
    <row r="12" spans="1:14" x14ac:dyDescent="0.25">
      <c r="A12" s="77"/>
      <c r="C12" s="67" t="str">
        <f>CONCATENATE("Peaks - neutral (Ratio ",A10," - ",A14,")")</f>
        <v>Peaks - neutral (Ratio 2 - 50)</v>
      </c>
      <c r="D12" s="68">
        <v>0</v>
      </c>
      <c r="E12" s="74">
        <f>D12/$D$2</f>
        <v>0</v>
      </c>
      <c r="G12" s="67" t="str">
        <f>CONCATENATE("Area - neutral (Ratio ",A10," - ",A14,")")</f>
        <v>Area - neutral (Ratio 2 - 50)</v>
      </c>
      <c r="H12" s="70">
        <v>0</v>
      </c>
      <c r="I12" s="74">
        <f>H12/$H$2</f>
        <v>0</v>
      </c>
      <c r="K12" s="71" t="s">
        <v>56</v>
      </c>
      <c r="L12" s="72">
        <f>COUNTIF(Peaks!$L$5:$L$104,"*" &amp; K12 &amp; "*")</f>
        <v>0</v>
      </c>
      <c r="M12" s="73">
        <f t="shared" si="1"/>
        <v>0</v>
      </c>
      <c r="N12" s="68"/>
    </row>
    <row r="13" spans="1:14" x14ac:dyDescent="0.25">
      <c r="A13" s="75"/>
      <c r="K13" s="71" t="s">
        <v>57</v>
      </c>
      <c r="L13" s="72">
        <f>COUNTIF(Peaks!$L$5:$L$104,"*" &amp; K13 &amp; "*")</f>
        <v>0</v>
      </c>
      <c r="M13" s="73">
        <f t="shared" si="1"/>
        <v>0</v>
      </c>
      <c r="N13" s="68"/>
    </row>
    <row r="14" spans="1:14" x14ac:dyDescent="0.25">
      <c r="A14" s="82">
        <v>50</v>
      </c>
      <c r="C14" s="67" t="str">
        <f>CONCATENATE("Peaks - basic (Ratio &gt; ",A14,")")</f>
        <v>Peaks - basic (Ratio &gt; 50)</v>
      </c>
      <c r="D14" s="68">
        <v>0</v>
      </c>
      <c r="E14" s="74">
        <f>D14/$D$2</f>
        <v>0</v>
      </c>
      <c r="G14" s="67" t="str">
        <f>CONCATENATE("Area - basic (Ratio &gt; ",A14,")")</f>
        <v>Area - basic (Ratio &gt; 50)</v>
      </c>
      <c r="H14" s="70">
        <v>0</v>
      </c>
      <c r="I14" s="74">
        <f>H14/$H$2</f>
        <v>0</v>
      </c>
      <c r="K14" s="71" t="s">
        <v>58</v>
      </c>
      <c r="L14" s="72">
        <f>COUNTIF(Peaks!$L$5:$L$104,"*" &amp; K14 &amp; "*")</f>
        <v>0</v>
      </c>
      <c r="M14" s="73">
        <f t="shared" si="1"/>
        <v>0</v>
      </c>
      <c r="N14" s="68"/>
    </row>
    <row r="15" spans="1:14" x14ac:dyDescent="0.25">
      <c r="A15" s="75"/>
      <c r="K15" s="71" t="s">
        <v>59</v>
      </c>
      <c r="L15" s="72">
        <f>COUNTIF(Peaks!$L$5:$L$104,"*" &amp; K15 &amp; "*")</f>
        <v>0</v>
      </c>
      <c r="M15" s="73">
        <f t="shared" si="1"/>
        <v>0</v>
      </c>
      <c r="N15" s="68"/>
    </row>
    <row r="16" spans="1:14" x14ac:dyDescent="0.25">
      <c r="A16" s="82">
        <v>3</v>
      </c>
      <c r="C16" s="67" t="str">
        <f>CONCATENATE("Peaks - polar (&lt; ",A16," min)")</f>
        <v>Peaks - polar (&lt; 3 min)</v>
      </c>
      <c r="D16" s="68">
        <v>1</v>
      </c>
      <c r="E16" s="74">
        <f>D16/$D$2</f>
        <v>0.2</v>
      </c>
      <c r="G16" s="67" t="str">
        <f>CONCATENATE("Area- polar (&lt; ",A16," min)")</f>
        <v>Area- polar (&lt; 3 min)</v>
      </c>
      <c r="H16" s="70">
        <v>21.342853546142578</v>
      </c>
      <c r="I16" s="74">
        <f>H16/$H$2</f>
        <v>8.5973099947041484E-2</v>
      </c>
      <c r="K16" s="71" t="s">
        <v>60</v>
      </c>
      <c r="L16" s="72">
        <f>COUNTIF(Peaks!$L$5:$L$104,"*" &amp; K16 &amp; "*")</f>
        <v>0</v>
      </c>
      <c r="M16" s="73">
        <f t="shared" si="1"/>
        <v>0</v>
      </c>
      <c r="N16" s="68"/>
    </row>
    <row r="17" spans="1:14" x14ac:dyDescent="0.25">
      <c r="A17" s="75"/>
      <c r="K17" s="71" t="s">
        <v>61</v>
      </c>
      <c r="L17" s="72">
        <f>COUNTIF(Peaks!$L$5:$L$104,"*" &amp; K17 &amp; "*")</f>
        <v>0</v>
      </c>
      <c r="M17" s="73">
        <f t="shared" si="1"/>
        <v>0</v>
      </c>
      <c r="N17" s="68"/>
    </row>
    <row r="18" spans="1:14" x14ac:dyDescent="0.25">
      <c r="A18" s="77"/>
      <c r="C18" s="67" t="str">
        <f>CONCATENATE("Peaks - intermediate (",A16," - ",A20," min)")</f>
        <v>Peaks - intermediate (3 - 6 min)</v>
      </c>
      <c r="D18" s="68">
        <v>2</v>
      </c>
      <c r="E18" s="74">
        <f>D18/$D$2</f>
        <v>0.4</v>
      </c>
      <c r="G18" s="67" t="str">
        <f>CONCATENATE("Area - intermediate (",A16," - ",A20," min)")</f>
        <v>Area - intermediate (3 - 6 min)</v>
      </c>
      <c r="H18" s="70">
        <v>212.36393737792969</v>
      </c>
      <c r="I18" s="74">
        <f>H18/$H$2</f>
        <v>0.85544259458406913</v>
      </c>
      <c r="K18" s="71" t="s">
        <v>62</v>
      </c>
      <c r="L18" s="72">
        <f>COUNTIF(Peaks!$L$5:$L$104,"*" &amp; K18 &amp; "*")</f>
        <v>0</v>
      </c>
      <c r="M18" s="73">
        <f>L18/$D$2</f>
        <v>0</v>
      </c>
      <c r="N18" s="68"/>
    </row>
    <row r="19" spans="1:14" x14ac:dyDescent="0.25">
      <c r="A19" s="75"/>
      <c r="K19" s="71" t="s">
        <v>63</v>
      </c>
      <c r="L19" s="72">
        <f>COUNTIF(Peaks!$L$5:$L$104,"*" &amp; K19 &amp; "*")</f>
        <v>0</v>
      </c>
      <c r="M19" s="73">
        <f t="shared" ref="M19:M25" si="2">L19/$D$2</f>
        <v>0</v>
      </c>
      <c r="N19" s="68"/>
    </row>
    <row r="20" spans="1:14" x14ac:dyDescent="0.25">
      <c r="A20" s="82">
        <v>6</v>
      </c>
      <c r="C20" s="67" t="str">
        <f>CONCATENATE("Peaks - non-polar (&gt; ",A20," min)")</f>
        <v>Peaks - non-polar (&gt; 6 min)</v>
      </c>
      <c r="D20" s="68">
        <v>2</v>
      </c>
      <c r="E20" s="74">
        <f>D20/$D$2</f>
        <v>0.4</v>
      </c>
      <c r="G20" s="67" t="str">
        <f>CONCATENATE("Area - non-polar (&gt; ",A20," min)")</f>
        <v>Area - non-polar (&gt; 6 min)</v>
      </c>
      <c r="H20" s="70">
        <v>14.543566703796387</v>
      </c>
      <c r="I20" s="74">
        <f>H20/$H$2</f>
        <v>5.8584270894644991E-2</v>
      </c>
      <c r="K20" s="71" t="s">
        <v>65</v>
      </c>
      <c r="L20" s="72">
        <f>COUNTIF(Peaks!$L$5:$L$104,"*" &amp; K20 &amp; "*")</f>
        <v>0</v>
      </c>
      <c r="M20" s="73">
        <f t="shared" si="2"/>
        <v>0</v>
      </c>
      <c r="N20" s="68"/>
    </row>
    <row r="21" spans="1:14" x14ac:dyDescent="0.25">
      <c r="K21" s="71" t="s">
        <v>66</v>
      </c>
      <c r="L21" s="72">
        <f>COUNTIF(Peaks!$L$5:$L$104,"*" &amp; K21 &amp; "*")</f>
        <v>0</v>
      </c>
      <c r="M21" s="73">
        <f t="shared" si="2"/>
        <v>0</v>
      </c>
      <c r="N21" s="68"/>
    </row>
    <row r="22" spans="1:14" x14ac:dyDescent="0.25">
      <c r="C22" s="71" t="s">
        <v>21</v>
      </c>
      <c r="D22" s="68">
        <v>5</v>
      </c>
      <c r="E22" s="74">
        <f>D22/$D$2</f>
        <v>1</v>
      </c>
      <c r="G22" s="71" t="s">
        <v>22</v>
      </c>
      <c r="H22" s="70">
        <v>248.2503662109375</v>
      </c>
      <c r="I22" s="74">
        <f>H22/$H$2</f>
        <v>1</v>
      </c>
      <c r="K22" s="71" t="s">
        <v>67</v>
      </c>
      <c r="L22" s="72">
        <f>COUNTIF(Peaks!$L$5:$L$104,"*" &amp; K22 &amp; "*")</f>
        <v>0</v>
      </c>
      <c r="M22" s="73">
        <f t="shared" si="2"/>
        <v>0</v>
      </c>
      <c r="N22" s="68"/>
    </row>
    <row r="23" spans="1:14" x14ac:dyDescent="0.25">
      <c r="K23" s="71" t="s">
        <v>68</v>
      </c>
      <c r="L23" s="72">
        <f>COUNTIF(Peaks!$L$5:$L$104,"*" &amp; K23 &amp; "*")</f>
        <v>0</v>
      </c>
      <c r="M23" s="73">
        <f t="shared" si="2"/>
        <v>0</v>
      </c>
      <c r="N23" s="68"/>
    </row>
    <row r="24" spans="1:14" x14ac:dyDescent="0.25">
      <c r="C24" s="71" t="s">
        <v>23</v>
      </c>
      <c r="D24" s="68">
        <v>0</v>
      </c>
      <c r="E24" s="74">
        <f>D24/$D$2</f>
        <v>0</v>
      </c>
      <c r="G24" s="71" t="s">
        <v>24</v>
      </c>
      <c r="H24" s="70">
        <v>0</v>
      </c>
      <c r="I24" s="74">
        <f>H24/$H$2</f>
        <v>0</v>
      </c>
      <c r="K24" s="71" t="s">
        <v>69</v>
      </c>
      <c r="L24" s="72">
        <f>COUNTIF(Peaks!$L$5:$L$104,"*" &amp; K24 &amp; "*")</f>
        <v>0</v>
      </c>
      <c r="M24" s="73">
        <f t="shared" si="2"/>
        <v>0</v>
      </c>
      <c r="N24" s="68"/>
    </row>
    <row r="25" spans="1:14" x14ac:dyDescent="0.25">
      <c r="K25" s="71" t="s">
        <v>70</v>
      </c>
      <c r="L25" s="72">
        <f>COUNTIF(Peaks!$L$5:$L$104,"*" &amp; K25 &amp; "*")</f>
        <v>0</v>
      </c>
      <c r="M25" s="73">
        <f t="shared" si="2"/>
        <v>0</v>
      </c>
      <c r="N25" s="68"/>
    </row>
    <row r="26" spans="1:14" x14ac:dyDescent="0.25">
      <c r="C26" s="71" t="s">
        <v>46</v>
      </c>
      <c r="D26" s="68">
        <v>0</v>
      </c>
      <c r="K26" s="71" t="s">
        <v>71</v>
      </c>
      <c r="L26" s="72">
        <f>COUNTIF(Peaks!$L$5:$L$104,"*" &amp; K26 &amp; "*")</f>
        <v>0</v>
      </c>
      <c r="M26" s="73">
        <f>L26/$D$2</f>
        <v>0</v>
      </c>
      <c r="N26" s="68"/>
    </row>
    <row r="27" spans="1:14" x14ac:dyDescent="0.25">
      <c r="G27" s="78"/>
      <c r="H27" s="78" t="s">
        <v>86</v>
      </c>
      <c r="K27" s="71" t="s">
        <v>72</v>
      </c>
      <c r="L27" s="72">
        <f>COUNTIF(Peaks!$L$5:$L$104,"*" &amp; K27 &amp; "*")</f>
        <v>0</v>
      </c>
      <c r="M27" s="73">
        <f t="shared" ref="M27:M29" si="3">L27/$D$2</f>
        <v>0</v>
      </c>
      <c r="N27" s="68"/>
    </row>
    <row r="28" spans="1:14" x14ac:dyDescent="0.25">
      <c r="H28" s="63" t="s">
        <v>44</v>
      </c>
      <c r="K28" s="71" t="s">
        <v>73</v>
      </c>
      <c r="L28" s="72">
        <f>COUNTIF(Peaks!$L$5:$L$104,"*" &amp; K28 &amp; "*")</f>
        <v>0</v>
      </c>
      <c r="M28" s="73">
        <f t="shared" si="3"/>
        <v>0</v>
      </c>
      <c r="N28" s="68"/>
    </row>
    <row r="29" spans="1:14" x14ac:dyDescent="0.25">
      <c r="H29" s="63" t="s">
        <v>45</v>
      </c>
      <c r="K29" s="71" t="s">
        <v>74</v>
      </c>
      <c r="L29" s="72">
        <f>COUNTIF(Peaks!$L$5:$L$104,"*" &amp; K29 &amp; "*")</f>
        <v>0</v>
      </c>
      <c r="M29" s="73">
        <f t="shared" si="3"/>
        <v>0</v>
      </c>
      <c r="N29" s="68"/>
    </row>
    <row r="30" spans="1:14" x14ac:dyDescent="0.25">
      <c r="K30" s="79"/>
      <c r="L30" s="80"/>
      <c r="M30" s="81"/>
      <c r="N30" s="76"/>
    </row>
    <row r="31" spans="1:14" x14ac:dyDescent="0.25">
      <c r="C31" s="78"/>
      <c r="K31" s="79"/>
      <c r="L31" s="80"/>
      <c r="M31" s="81"/>
      <c r="N31" s="76"/>
    </row>
    <row r="32" spans="1:14" x14ac:dyDescent="0.25">
      <c r="K32" s="79"/>
      <c r="L32" s="80"/>
      <c r="M32" s="81"/>
      <c r="N32" s="76"/>
    </row>
    <row r="33" spans="6:14" ht="15.75" thickBot="1" x14ac:dyDescent="0.3">
      <c r="K33" s="79"/>
      <c r="L33" s="80"/>
      <c r="M33" s="81"/>
      <c r="N33" s="76"/>
    </row>
    <row r="34" spans="6:14" ht="15.75" thickBot="1" x14ac:dyDescent="0.3">
      <c r="F34" s="25">
        <v>20</v>
      </c>
      <c r="K34" s="79"/>
      <c r="L34" s="80"/>
      <c r="M34" s="81"/>
      <c r="N34" s="76"/>
    </row>
    <row r="35" spans="6:14" x14ac:dyDescent="0.25">
      <c r="K35" s="79"/>
      <c r="L35" s="80"/>
      <c r="M35" s="81"/>
      <c r="N35" s="7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UpdateSummary">
                <anchor moveWithCells="1" sizeWithCells="1">
                  <from>
                    <xdr:col>2</xdr:col>
                    <xdr:colOff>66675</xdr:colOff>
                    <xdr:row>32</xdr:row>
                    <xdr:rowOff>9525</xdr:rowOff>
                  </from>
                  <to>
                    <xdr:col>2</xdr:col>
                    <xdr:colOff>2133600</xdr:colOff>
                    <xdr:row>34</xdr:row>
                    <xdr:rowOff>9525</xdr:rowOff>
                  </to>
                </anchor>
              </controlPr>
            </control>
          </mc:Choice>
        </mc:AlternateContent>
        <mc:AlternateContent xmlns:mc="http://schemas.openxmlformats.org/markup-compatibility/2006">
          <mc:Choice Requires="x14">
            <control shapeId="6146" r:id="rId5" name="Button 2">
              <controlPr defaultSize="0" print="0" autoFill="0" autoPict="0" macro="[0]!HideSpecificID">
                <anchor moveWithCells="1">
                  <from>
                    <xdr:col>7</xdr:col>
                    <xdr:colOff>295275</xdr:colOff>
                    <xdr:row>29</xdr:row>
                    <xdr:rowOff>76200</xdr:rowOff>
                  </from>
                  <to>
                    <xdr:col>8</xdr:col>
                    <xdr:colOff>266700</xdr:colOff>
                    <xdr:row>30</xdr:row>
                    <xdr:rowOff>123825</xdr:rowOff>
                  </to>
                </anchor>
              </controlPr>
            </control>
          </mc:Choice>
        </mc:AlternateContent>
        <mc:AlternateContent xmlns:mc="http://schemas.openxmlformats.org/markup-compatibility/2006">
          <mc:Choice Requires="x14">
            <control shapeId="6147" r:id="rId6" name="Button 3">
              <controlPr defaultSize="0" print="0" autoFill="0" autoPict="0" macro="[0]!UnhideSpecificID">
                <anchor moveWithCells="1">
                  <from>
                    <xdr:col>7</xdr:col>
                    <xdr:colOff>295275</xdr:colOff>
                    <xdr:row>31</xdr:row>
                    <xdr:rowOff>28575</xdr:rowOff>
                  </from>
                  <to>
                    <xdr:col>8</xdr:col>
                    <xdr:colOff>266700</xdr:colOff>
                    <xdr:row>32</xdr:row>
                    <xdr:rowOff>76200</xdr:rowOff>
                  </to>
                </anchor>
              </controlPr>
            </control>
          </mc:Choice>
        </mc:AlternateContent>
        <mc:AlternateContent xmlns:mc="http://schemas.openxmlformats.org/markup-compatibility/2006">
          <mc:Choice Requires="x14">
            <control shapeId="6148" r:id="rId7" name="Button 4">
              <controlPr defaultSize="0" print="0" autoFill="0" autoPict="0" macro="[0]!UnhideAll">
                <anchor moveWithCells="1" sizeWithCells="1">
                  <from>
                    <xdr:col>7</xdr:col>
                    <xdr:colOff>295275</xdr:colOff>
                    <xdr:row>36</xdr:row>
                    <xdr:rowOff>76200</xdr:rowOff>
                  </from>
                  <to>
                    <xdr:col>8</xdr:col>
                    <xdr:colOff>266700</xdr:colOff>
                    <xdr:row>37</xdr:row>
                    <xdr:rowOff>123825</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2</xdr:col>
                    <xdr:colOff>28575</xdr:colOff>
                    <xdr:row>34</xdr:row>
                    <xdr:rowOff>190500</xdr:rowOff>
                  </from>
                  <to>
                    <xdr:col>2</xdr:col>
                    <xdr:colOff>2181225</xdr:colOff>
                    <xdr:row>36</xdr:row>
                    <xdr:rowOff>9525</xdr:rowOff>
                  </to>
                </anchor>
              </controlPr>
            </control>
          </mc:Choice>
        </mc:AlternateContent>
        <mc:AlternateContent xmlns:mc="http://schemas.openxmlformats.org/markup-compatibility/2006">
          <mc:Choice Requires="x14">
            <control shapeId="6150" r:id="rId9" name="Button 6">
              <controlPr defaultSize="0" print="0" autoFill="0" autoPict="0" macro="[0]!ShowOnlyID">
                <anchor moveWithCells="1">
                  <from>
                    <xdr:col>7</xdr:col>
                    <xdr:colOff>295275</xdr:colOff>
                    <xdr:row>32</xdr:row>
                    <xdr:rowOff>171450</xdr:rowOff>
                  </from>
                  <to>
                    <xdr:col>8</xdr:col>
                    <xdr:colOff>266700</xdr:colOff>
                    <xdr:row>34</xdr:row>
                    <xdr:rowOff>9525</xdr:rowOff>
                  </to>
                </anchor>
              </controlPr>
            </control>
          </mc:Choice>
        </mc:AlternateContent>
        <mc:AlternateContent xmlns:mc="http://schemas.openxmlformats.org/markup-compatibility/2006">
          <mc:Choice Requires="x14">
            <control shapeId="6151" r:id="rId10" name="Button 7">
              <controlPr defaultSize="0" print="0" autoFill="0" autoPict="0" macro="[0]!ShowOnlyCumulative">
                <anchor moveWithCells="1">
                  <from>
                    <xdr:col>1</xdr:col>
                    <xdr:colOff>66675</xdr:colOff>
                    <xdr:row>0</xdr:row>
                    <xdr:rowOff>19050</xdr:rowOff>
                  </from>
                  <to>
                    <xdr:col>1</xdr:col>
                    <xdr:colOff>504825</xdr:colOff>
                    <xdr:row>2</xdr:row>
                    <xdr:rowOff>85725</xdr:rowOff>
                  </to>
                </anchor>
              </controlPr>
            </control>
          </mc:Choice>
        </mc:AlternateContent>
        <mc:AlternateContent xmlns:mc="http://schemas.openxmlformats.org/markup-compatibility/2006">
          <mc:Choice Requires="x14">
            <control shapeId="6153" r:id="rId11" name="Button 9">
              <controlPr defaultSize="0" print="0" autoFill="0" autoPict="0" macro="[0]!ShowOnlyTop">
                <anchor moveWithCells="1">
                  <from>
                    <xdr:col>6</xdr:col>
                    <xdr:colOff>28575</xdr:colOff>
                    <xdr:row>32</xdr:row>
                    <xdr:rowOff>161925</xdr:rowOff>
                  </from>
                  <to>
                    <xdr:col>7</xdr:col>
                    <xdr:colOff>0</xdr:colOff>
                    <xdr:row>34</xdr:row>
                    <xdr:rowOff>0</xdr:rowOff>
                  </to>
                </anchor>
              </controlPr>
            </control>
          </mc:Choice>
        </mc:AlternateContent>
        <mc:AlternateContent xmlns:mc="http://schemas.openxmlformats.org/markup-compatibility/2006">
          <mc:Choice Requires="x14">
            <control shapeId="6154" r:id="rId12" name="Button 10">
              <controlPr defaultSize="0" print="0" autoFill="0" autoPict="0" macro="[0]!HideUnlabelled">
                <anchor moveWithCells="1">
                  <from>
                    <xdr:col>7</xdr:col>
                    <xdr:colOff>295275</xdr:colOff>
                    <xdr:row>34</xdr:row>
                    <xdr:rowOff>123825</xdr:rowOff>
                  </from>
                  <to>
                    <xdr:col>8</xdr:col>
                    <xdr:colOff>266700</xdr:colOff>
                    <xdr:row>35</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Z1:AB21"/>
  <sheetViews>
    <sheetView zoomScaleNormal="100" workbookViewId="0">
      <selection activeCell="AA21" sqref="AA21"/>
    </sheetView>
  </sheetViews>
  <sheetFormatPr defaultRowHeight="15" x14ac:dyDescent="0.25"/>
  <sheetData>
    <row r="1" spans="26:28" ht="15.75" thickBot="1" x14ac:dyDescent="0.3">
      <c r="Z1" s="10" t="s">
        <v>30</v>
      </c>
      <c r="AB1" s="10" t="s">
        <v>19</v>
      </c>
    </row>
    <row r="2" spans="26:28" ht="15.75" thickBot="1" x14ac:dyDescent="0.3">
      <c r="Z2" s="2">
        <v>2</v>
      </c>
      <c r="AB2" s="2">
        <v>20</v>
      </c>
    </row>
    <row r="3" spans="26:28" ht="15.75" thickBot="1" x14ac:dyDescent="0.3"/>
    <row r="4" spans="26:28" ht="15.75" thickBot="1" x14ac:dyDescent="0.3">
      <c r="AA4" s="11"/>
    </row>
    <row r="5" spans="26:28" ht="15.75" thickBot="1" x14ac:dyDescent="0.3"/>
    <row r="6" spans="26:28" ht="15.75" thickBot="1" x14ac:dyDescent="0.3">
      <c r="AA6" s="12"/>
    </row>
    <row r="8" spans="26:28" x14ac:dyDescent="0.25">
      <c r="AA8" s="1"/>
    </row>
    <row r="9" spans="26:28" x14ac:dyDescent="0.25">
      <c r="AA9" s="1"/>
    </row>
    <row r="10" spans="26:28" x14ac:dyDescent="0.25">
      <c r="AA10" s="1"/>
    </row>
    <row r="11" spans="26:28" ht="15.75" thickBot="1" x14ac:dyDescent="0.3"/>
    <row r="12" spans="26:28" ht="15.75" thickBot="1" x14ac:dyDescent="0.3">
      <c r="Z12" s="2">
        <v>100</v>
      </c>
    </row>
    <row r="14" spans="26:28" ht="15.75" thickBot="1" x14ac:dyDescent="0.3">
      <c r="Z14" s="40"/>
    </row>
    <row r="15" spans="26:28" ht="15.75" thickBot="1" x14ac:dyDescent="0.3">
      <c r="Z15" s="2">
        <v>0.5</v>
      </c>
      <c r="AA15" s="2">
        <v>10</v>
      </c>
    </row>
    <row r="17" spans="26:28" ht="15.75" thickBot="1" x14ac:dyDescent="0.3"/>
    <row r="18" spans="26:28" ht="15.75" thickBot="1" x14ac:dyDescent="0.3">
      <c r="Z18" s="105" t="s">
        <v>42</v>
      </c>
      <c r="AA18" s="106"/>
      <c r="AB18" s="41"/>
    </row>
    <row r="20" spans="26:28" ht="15.75" thickBot="1" x14ac:dyDescent="0.3"/>
    <row r="21" spans="26:28" ht="15.75" thickBot="1" x14ac:dyDescent="0.3">
      <c r="AA21" s="2">
        <v>0</v>
      </c>
    </row>
  </sheetData>
  <mergeCells count="1">
    <mergeCell ref="Z18:AA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9221" r:id="rId8" name="Button 5">
              <controlPr defaultSize="0" print="0" autoFill="0" autoPict="0" macro="[0]!Chromatograms_Click">
                <anchor moveWithCells="1" sizeWithCells="1">
                  <from>
                    <xdr:col>25</xdr:col>
                    <xdr:colOff>0</xdr:colOff>
                    <xdr:row>15</xdr:row>
                    <xdr:rowOff>47625</xdr:rowOff>
                  </from>
                  <to>
                    <xdr:col>27</xdr:col>
                    <xdr:colOff>0</xdr:colOff>
                    <xdr:row>16</xdr:row>
                    <xdr:rowOff>104775</xdr:rowOff>
                  </to>
                </anchor>
              </controlPr>
            </control>
          </mc:Choice>
        </mc:AlternateContent>
        <mc:AlternateContent xmlns:mc="http://schemas.openxmlformats.org/markup-compatibility/2006">
          <mc:Choice Requires="x14">
            <control shapeId="9222" r:id="rId9"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9223" r:id="rId10"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9224" r:id="rId11"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9225" r:id="rId12"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9230" r:id="rId13"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9231" r:id="rId14"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9232" r:id="rId15"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9233" r:id="rId16"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9238" r:id="rId17"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9239" r:id="rId18"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9240" r:id="rId19"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9241" r:id="rId20" name="Button 25">
              <controlPr defaultSize="0" print="0" autoFill="0" autoPict="0" macro="[0]!NextTraceOne">
                <anchor moveWithCells="1" sizeWithCells="1">
                  <from>
                    <xdr:col>27</xdr:col>
                    <xdr:colOff>19050</xdr:colOff>
                    <xdr:row>19</xdr:row>
                    <xdr:rowOff>104775</xdr:rowOff>
                  </from>
                  <to>
                    <xdr:col>27</xdr:col>
                    <xdr:colOff>381000</xdr:colOff>
                    <xdr:row>21</xdr:row>
                    <xdr:rowOff>95250</xdr:rowOff>
                  </to>
                </anchor>
              </controlPr>
            </control>
          </mc:Choice>
        </mc:AlternateContent>
        <mc:AlternateContent xmlns:mc="http://schemas.openxmlformats.org/markup-compatibility/2006">
          <mc:Choice Requires="x14">
            <control shapeId="9242" r:id="rId21" name="Button 26">
              <controlPr defaultSize="0" print="0" autoFill="0" autoPict="0" macro="[0]!PreviousTraceOne">
                <anchor moveWithCells="1" sizeWithCells="1">
                  <from>
                    <xdr:col>25</xdr:col>
                    <xdr:colOff>238125</xdr:colOff>
                    <xdr:row>19</xdr:row>
                    <xdr:rowOff>104775</xdr:rowOff>
                  </from>
                  <to>
                    <xdr:col>25</xdr:col>
                    <xdr:colOff>600075</xdr:colOff>
                    <xdr:row>21</xdr:row>
                    <xdr:rowOff>85725</xdr:rowOff>
                  </to>
                </anchor>
              </controlPr>
            </control>
          </mc:Choice>
        </mc:AlternateContent>
        <mc:AlternateContent xmlns:mc="http://schemas.openxmlformats.org/markup-compatibility/2006">
          <mc:Choice Requires="x14">
            <control shapeId="9243" r:id="rId22" name="Button 27">
              <controlPr defaultSize="0" print="0" autoFill="0" autoPict="0" macro="[0]!Clear_Inset">
                <anchor moveWithCells="1" sizeWithCells="1">
                  <from>
                    <xdr:col>28</xdr:col>
                    <xdr:colOff>9525</xdr:colOff>
                    <xdr:row>13</xdr:row>
                    <xdr:rowOff>142875</xdr:rowOff>
                  </from>
                  <to>
                    <xdr:col>29</xdr:col>
                    <xdr:colOff>9525</xdr:colOff>
                    <xdr:row>15</xdr:row>
                    <xdr:rowOff>38100</xdr:rowOff>
                  </to>
                </anchor>
              </controlPr>
            </control>
          </mc:Choice>
        </mc:AlternateContent>
        <mc:AlternateContent xmlns:mc="http://schemas.openxmlformats.org/markup-compatibility/2006">
          <mc:Choice Requires="x14">
            <control shapeId="9244" r:id="rId23" name="Button 28">
              <controlPr defaultSize="0" print="0" autoFill="0" autoPict="0" macro="[0]!Reset_Allchromatograms">
                <anchor moveWithCells="1" sizeWithCells="1">
                  <from>
                    <xdr:col>28</xdr:col>
                    <xdr:colOff>38100</xdr:colOff>
                    <xdr:row>0</xdr:row>
                    <xdr:rowOff>57150</xdr:rowOff>
                  </from>
                  <to>
                    <xdr:col>28</xdr:col>
                    <xdr:colOff>457200</xdr:colOff>
                    <xdr:row>2</xdr:row>
                    <xdr:rowOff>66675</xdr:rowOff>
                  </to>
                </anchor>
              </controlPr>
            </control>
          </mc:Choice>
        </mc:AlternateContent>
        <mc:AlternateContent xmlns:mc="http://schemas.openxmlformats.org/markup-compatibility/2006">
          <mc:Choice Requires="x14">
            <control shapeId="9245" r:id="rId24" name="Button 29">
              <controlPr defaultSize="0" print="0" autoFill="0" autoPict="0" macro="[0]!Reset_210">
                <anchor moveWithCells="1" sizeWithCells="1">
                  <from>
                    <xdr:col>28</xdr:col>
                    <xdr:colOff>38100</xdr:colOff>
                    <xdr:row>3</xdr:row>
                    <xdr:rowOff>0</xdr:rowOff>
                  </from>
                  <to>
                    <xdr:col>28</xdr:col>
                    <xdr:colOff>457200</xdr:colOff>
                    <xdr:row>4</xdr:row>
                    <xdr:rowOff>0</xdr:rowOff>
                  </to>
                </anchor>
              </controlPr>
            </control>
          </mc:Choice>
        </mc:AlternateContent>
        <mc:AlternateContent xmlns:mc="http://schemas.openxmlformats.org/markup-compatibility/2006">
          <mc:Choice Requires="x14">
            <control shapeId="9246" r:id="rId25" name="Button 30">
              <controlPr defaultSize="0" print="0" autoFill="0" autoPict="0" macro="[0]!Reset_254">
                <anchor moveWithCells="1" sizeWithCells="1">
                  <from>
                    <xdr:col>28</xdr:col>
                    <xdr:colOff>38100</xdr:colOff>
                    <xdr:row>5</xdr:row>
                    <xdr:rowOff>0</xdr:rowOff>
                  </from>
                  <to>
                    <xdr:col>28</xdr:col>
                    <xdr:colOff>457200</xdr:colOff>
                    <xdr:row>6</xdr:row>
                    <xdr:rowOff>0</xdr:rowOff>
                  </to>
                </anchor>
              </controlPr>
            </control>
          </mc:Choice>
        </mc:AlternateContent>
        <mc:AlternateContent xmlns:mc="http://schemas.openxmlformats.org/markup-compatibility/2006">
          <mc:Choice Requires="x14">
            <control shapeId="9249" r:id="rId26" name="Button 33">
              <controlPr defaultSize="0" print="0" autoFill="0" autoPict="0" macro="[0]!Reset_Labels">
                <anchor moveWithCells="1" sizeWithCells="1">
                  <from>
                    <xdr:col>28</xdr:col>
                    <xdr:colOff>38100</xdr:colOff>
                    <xdr:row>11</xdr:row>
                    <xdr:rowOff>0</xdr:rowOff>
                  </from>
                  <to>
                    <xdr:col>28</xdr:col>
                    <xdr:colOff>457200</xdr:colOff>
                    <xdr:row>12</xdr:row>
                    <xdr:rowOff>0</xdr:rowOff>
                  </to>
                </anchor>
              </controlPr>
            </control>
          </mc:Choice>
        </mc:AlternateContent>
        <mc:AlternateContent xmlns:mc="http://schemas.openxmlformats.org/markup-compatibility/2006">
          <mc:Choice Requires="x14">
            <control shapeId="9250" r:id="rId27" name="Button 34">
              <controlPr defaultSize="0" print="0" autoFill="0" autoPict="0" macro="[0]!LabelID_From_Chromatogram">
                <anchor moveWithCells="1" sizeWithCells="1">
                  <from>
                    <xdr:col>26</xdr:col>
                    <xdr:colOff>9525</xdr:colOff>
                    <xdr:row>18</xdr:row>
                    <xdr:rowOff>76200</xdr:rowOff>
                  </from>
                  <to>
                    <xdr:col>27</xdr:col>
                    <xdr:colOff>9525</xdr:colOff>
                    <xdr:row>19</xdr:row>
                    <xdr:rowOff>95250</xdr:rowOff>
                  </to>
                </anchor>
              </controlPr>
            </control>
          </mc:Choice>
        </mc:AlternateContent>
        <mc:AlternateContent xmlns:mc="http://schemas.openxmlformats.org/markup-compatibility/2006">
          <mc:Choice Requires="x14">
            <control shapeId="9252" r:id="rId28" name="Button 36">
              <controlPr defaultSize="0" print="0" autoFill="0" autoPict="0" macro="[0]!HideID_From_Chromatogram">
                <anchor moveWithCells="1" sizeWithCells="1">
                  <from>
                    <xdr:col>25</xdr:col>
                    <xdr:colOff>0</xdr:colOff>
                    <xdr:row>18</xdr:row>
                    <xdr:rowOff>76200</xdr:rowOff>
                  </from>
                  <to>
                    <xdr:col>25</xdr:col>
                    <xdr:colOff>609600</xdr:colOff>
                    <xdr:row>19</xdr:row>
                    <xdr:rowOff>95250</xdr:rowOff>
                  </to>
                </anchor>
              </controlPr>
            </control>
          </mc:Choice>
        </mc:AlternateContent>
        <mc:AlternateContent xmlns:mc="http://schemas.openxmlformats.org/markup-compatibility/2006">
          <mc:Choice Requires="x14">
            <control shapeId="9253" r:id="rId29" name="Button 37">
              <controlPr defaultSize="0" print="0" autoFill="0" autoPict="0" macro="[0]!LabelandHide">
                <anchor moveWithCells="1" sizeWithCells="1">
                  <from>
                    <xdr:col>27</xdr:col>
                    <xdr:colOff>19050</xdr:colOff>
                    <xdr:row>18</xdr:row>
                    <xdr:rowOff>76200</xdr:rowOff>
                  </from>
                  <to>
                    <xdr:col>29</xdr:col>
                    <xdr:colOff>0</xdr:colOff>
                    <xdr:row>19</xdr:row>
                    <xdr:rowOff>95250</xdr:rowOff>
                  </to>
                </anchor>
              </controlPr>
            </control>
          </mc:Choice>
        </mc:AlternateContent>
        <mc:AlternateContent xmlns:mc="http://schemas.openxmlformats.org/markup-compatibility/2006">
          <mc:Choice Requires="x14">
            <control shapeId="9254" r:id="rId30" name="Button 38">
              <controlPr defaultSize="0" print="0" autoFill="0" autoPict="0" macro="[0]!UnhideID_From_Chromatogram">
                <anchor moveWithCells="1" sizeWithCells="1">
                  <from>
                    <xdr:col>25</xdr:col>
                    <xdr:colOff>9525</xdr:colOff>
                    <xdr:row>21</xdr:row>
                    <xdr:rowOff>114300</xdr:rowOff>
                  </from>
                  <to>
                    <xdr:col>25</xdr:col>
                    <xdr:colOff>600075</xdr:colOff>
                    <xdr:row>22</xdr:row>
                    <xdr:rowOff>114300</xdr:rowOff>
                  </to>
                </anchor>
              </controlPr>
            </control>
          </mc:Choice>
        </mc:AlternateContent>
        <mc:AlternateContent xmlns:mc="http://schemas.openxmlformats.org/markup-compatibility/2006">
          <mc:Choice Requires="x14">
            <control shapeId="9255" r:id="rId31"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9256" r:id="rId32" name="Button 40">
              <controlPr defaultSize="0" print="0" autoFill="0" autoPict="0" macro="[0]!UnhideAll_From_Chromatogram">
                <anchor moveWithCells="1" sizeWithCells="1">
                  <from>
                    <xdr:col>27</xdr:col>
                    <xdr:colOff>19050</xdr:colOff>
                    <xdr:row>21</xdr:row>
                    <xdr:rowOff>104775</xdr:rowOff>
                  </from>
                  <to>
                    <xdr:col>28</xdr:col>
                    <xdr:colOff>600075</xdr:colOff>
                    <xdr:row>22</xdr:row>
                    <xdr:rowOff>114300</xdr:rowOff>
                  </to>
                </anchor>
              </controlPr>
            </control>
          </mc:Choice>
        </mc:AlternateContent>
        <mc:AlternateContent xmlns:mc="http://schemas.openxmlformats.org/markup-compatibility/2006">
          <mc:Choice Requires="x14">
            <control shapeId="9257" r:id="rId33" name="Check Box 41">
              <controlPr defaultSize="0" autoFill="0" autoLine="0" autoPict="0">
                <anchor moveWithCells="1">
                  <from>
                    <xdr:col>25</xdr:col>
                    <xdr:colOff>9525</xdr:colOff>
                    <xdr:row>12</xdr:row>
                    <xdr:rowOff>85725</xdr:rowOff>
                  </from>
                  <to>
                    <xdr:col>25</xdr:col>
                    <xdr:colOff>600075</xdr:colOff>
                    <xdr:row>13</xdr:row>
                    <xdr:rowOff>85725</xdr:rowOff>
                  </to>
                </anchor>
              </controlPr>
            </control>
          </mc:Choice>
        </mc:AlternateContent>
        <mc:AlternateContent xmlns:mc="http://schemas.openxmlformats.org/markup-compatibility/2006">
          <mc:Choice Requires="x14">
            <control shapeId="9258" r:id="rId34" name="Check Box 42">
              <controlPr defaultSize="0" autoFill="0" autoLine="0" autoPict="0">
                <anchor moveWithCells="1">
                  <from>
                    <xdr:col>25</xdr:col>
                    <xdr:colOff>600075</xdr:colOff>
                    <xdr:row>12</xdr:row>
                    <xdr:rowOff>85725</xdr:rowOff>
                  </from>
                  <to>
                    <xdr:col>26</xdr:col>
                    <xdr:colOff>581025</xdr:colOff>
                    <xdr:row>13</xdr:row>
                    <xdr:rowOff>85725</xdr:rowOff>
                  </to>
                </anchor>
              </controlPr>
            </control>
          </mc:Choice>
        </mc:AlternateContent>
        <mc:AlternateContent xmlns:mc="http://schemas.openxmlformats.org/markup-compatibility/2006">
          <mc:Choice Requires="x14">
            <control shapeId="9259" r:id="rId35" name="Check Box 43">
              <controlPr defaultSize="0" autoFill="0" autoLine="0" autoPict="0">
                <anchor moveWithCells="1">
                  <from>
                    <xdr:col>27</xdr:col>
                    <xdr:colOff>0</xdr:colOff>
                    <xdr:row>12</xdr:row>
                    <xdr:rowOff>85725</xdr:rowOff>
                  </from>
                  <to>
                    <xdr:col>27</xdr:col>
                    <xdr:colOff>590550</xdr:colOff>
                    <xdr:row>13</xdr:row>
                    <xdr:rowOff>85725</xdr:rowOff>
                  </to>
                </anchor>
              </controlPr>
            </control>
          </mc:Choice>
        </mc:AlternateContent>
        <mc:AlternateContent xmlns:mc="http://schemas.openxmlformats.org/markup-compatibility/2006">
          <mc:Choice Requires="x14">
            <control shapeId="9260" r:id="rId36" name="Button 44">
              <controlPr defaultSize="0" print="0" autoFill="0" autoPict="0" macro="[0]!CopyChromatogram">
                <anchor moveWithCells="1" sizeWithCells="1">
                  <from>
                    <xdr:col>27</xdr:col>
                    <xdr:colOff>9525</xdr:colOff>
                    <xdr:row>13</xdr:row>
                    <xdr:rowOff>142875</xdr:rowOff>
                  </from>
                  <to>
                    <xdr:col>28</xdr:col>
                    <xdr:colOff>0</xdr:colOff>
                    <xdr:row>15</xdr:row>
                    <xdr:rowOff>38100</xdr:rowOff>
                  </to>
                </anchor>
              </controlPr>
            </control>
          </mc:Choice>
        </mc:AlternateContent>
        <mc:AlternateContent xmlns:mc="http://schemas.openxmlformats.org/markup-compatibility/2006">
          <mc:Choice Requires="x14">
            <control shapeId="9261" r:id="rId37" name="Button 45">
              <controlPr defaultSize="0" print="0" autoFill="0" autoPict="0" macro="[0]!ChromatogramsUnlabel">
                <anchor moveWithCells="1" sizeWithCells="1">
                  <from>
                    <xdr:col>26</xdr:col>
                    <xdr:colOff>0</xdr:colOff>
                    <xdr:row>21</xdr:row>
                    <xdr:rowOff>104775</xdr:rowOff>
                  </from>
                  <to>
                    <xdr:col>27</xdr:col>
                    <xdr:colOff>0</xdr:colOff>
                    <xdr:row>22</xdr:row>
                    <xdr:rowOff>114300</xdr:rowOff>
                  </to>
                </anchor>
              </controlPr>
            </control>
          </mc:Choice>
        </mc:AlternateContent>
        <mc:AlternateContent xmlns:mc="http://schemas.openxmlformats.org/markup-compatibility/2006">
          <mc:Choice Requires="x14">
            <control shapeId="9263" r:id="rId38" name="Button 47">
              <controlPr defaultSize="0" print="0" autoFill="0" autoPict="0" macro="[0]!ChromatogramsKillLabels">
                <anchor moveWithCells="1" sizeWithCells="1">
                  <from>
                    <xdr:col>27</xdr:col>
                    <xdr:colOff>314325</xdr:colOff>
                    <xdr:row>17</xdr:row>
                    <xdr:rowOff>0</xdr:rowOff>
                  </from>
                  <to>
                    <xdr:col>28</xdr:col>
                    <xdr:colOff>609600</xdr:colOff>
                    <xdr:row>17</xdr:row>
                    <xdr:rowOff>200025</xdr:rowOff>
                  </to>
                </anchor>
              </controlPr>
            </control>
          </mc:Choice>
        </mc:AlternateContent>
        <mc:AlternateContent xmlns:mc="http://schemas.openxmlformats.org/markup-compatibility/2006">
          <mc:Choice Requires="x14">
            <control shapeId="9264" r:id="rId39" name="Button 48">
              <controlPr defaultSize="0" print="0" autoFill="0" autoPict="0" macro="[0]!ChromatogramsKillAllLabels">
                <anchor moveWithCells="1" sizeWithCells="1">
                  <from>
                    <xdr:col>27</xdr:col>
                    <xdr:colOff>9525</xdr:colOff>
                    <xdr:row>15</xdr:row>
                    <xdr:rowOff>57150</xdr:rowOff>
                  </from>
                  <to>
                    <xdr:col>29</xdr:col>
                    <xdr:colOff>0</xdr:colOff>
                    <xdr:row>16</xdr:row>
                    <xdr:rowOff>104775</xdr:rowOff>
                  </to>
                </anchor>
              </controlPr>
            </control>
          </mc:Choice>
        </mc:AlternateContent>
        <mc:AlternateContent xmlns:mc="http://schemas.openxmlformats.org/markup-compatibility/2006">
          <mc:Choice Requires="x14">
            <control shapeId="9265" r:id="rId40" name="Button 49">
              <controlPr defaultSize="0" print="0" autoFill="0" autoPict="0" macro="[0]!CoA">
                <anchor moveWithCells="1" sizeWithCells="1">
                  <from>
                    <xdr:col>28</xdr:col>
                    <xdr:colOff>9525</xdr:colOff>
                    <xdr:row>12</xdr:row>
                    <xdr:rowOff>76200</xdr:rowOff>
                  </from>
                  <to>
                    <xdr:col>29</xdr:col>
                    <xdr:colOff>9525</xdr:colOff>
                    <xdr:row>13</xdr:row>
                    <xdr:rowOff>95250</xdr:rowOff>
                  </to>
                </anchor>
              </controlPr>
            </control>
          </mc:Choice>
        </mc:AlternateContent>
        <mc:AlternateContent xmlns:mc="http://schemas.openxmlformats.org/markup-compatibility/2006">
          <mc:Choice Requires="x14">
            <control shapeId="9266" r:id="rId41" name="Button 50">
              <controlPr defaultSize="0" print="0" autoFill="0" autoPict="0" macro="[0]!Base_Allchromatograms">
                <anchor moveWithCells="1" sizeWithCells="1">
                  <from>
                    <xdr:col>28</xdr:col>
                    <xdr:colOff>476250</xdr:colOff>
                    <xdr:row>0</xdr:row>
                    <xdr:rowOff>57150</xdr:rowOff>
                  </from>
                  <to>
                    <xdr:col>29</xdr:col>
                    <xdr:colOff>295275</xdr:colOff>
                    <xdr:row>2</xdr:row>
                    <xdr:rowOff>66675</xdr:rowOff>
                  </to>
                </anchor>
              </controlPr>
            </control>
          </mc:Choice>
        </mc:AlternateContent>
        <mc:AlternateContent xmlns:mc="http://schemas.openxmlformats.org/markup-compatibility/2006">
          <mc:Choice Requires="x14">
            <control shapeId="9267" r:id="rId42" name="Button 51">
              <controlPr defaultSize="0" print="0" autoFill="0" autoPict="0" macro="[0]!Base_210">
                <anchor moveWithCells="1" sizeWithCells="1">
                  <from>
                    <xdr:col>28</xdr:col>
                    <xdr:colOff>476250</xdr:colOff>
                    <xdr:row>3</xdr:row>
                    <xdr:rowOff>0</xdr:rowOff>
                  </from>
                  <to>
                    <xdr:col>29</xdr:col>
                    <xdr:colOff>285750</xdr:colOff>
                    <xdr:row>4</xdr:row>
                    <xdr:rowOff>0</xdr:rowOff>
                  </to>
                </anchor>
              </controlPr>
            </control>
          </mc:Choice>
        </mc:AlternateContent>
        <mc:AlternateContent xmlns:mc="http://schemas.openxmlformats.org/markup-compatibility/2006">
          <mc:Choice Requires="x14">
            <control shapeId="9268" r:id="rId43" name="Button 52">
              <controlPr defaultSize="0" print="0" autoFill="0" autoPict="0" macro="[0]!Base_254">
                <anchor moveWithCells="1" sizeWithCells="1">
                  <from>
                    <xdr:col>28</xdr:col>
                    <xdr:colOff>476250</xdr:colOff>
                    <xdr:row>5</xdr:row>
                    <xdr:rowOff>0</xdr:rowOff>
                  </from>
                  <to>
                    <xdr:col>29</xdr:col>
                    <xdr:colOff>285750</xdr:colOff>
                    <xdr:row>6</xdr:row>
                    <xdr:rowOff>0</xdr:rowOff>
                  </to>
                </anchor>
              </controlPr>
            </control>
          </mc:Choice>
        </mc:AlternateContent>
        <mc:AlternateContent xmlns:mc="http://schemas.openxmlformats.org/markup-compatibility/2006">
          <mc:Choice Requires="x14">
            <control shapeId="9271" r:id="rId44" name="Button 55">
              <controlPr defaultSize="0" print="0" autoFill="0" autoPict="0" macro="[0]!Base_Labels">
                <anchor moveWithCells="1" sizeWithCells="1">
                  <from>
                    <xdr:col>28</xdr:col>
                    <xdr:colOff>476250</xdr:colOff>
                    <xdr:row>11</xdr:row>
                    <xdr:rowOff>0</xdr:rowOff>
                  </from>
                  <to>
                    <xdr:col>29</xdr:col>
                    <xdr:colOff>285750</xdr:colOff>
                    <xdr:row>12</xdr:row>
                    <xdr:rowOff>0</xdr:rowOff>
                  </to>
                </anchor>
              </controlPr>
            </control>
          </mc:Choice>
        </mc:AlternateContent>
        <mc:AlternateContent xmlns:mc="http://schemas.openxmlformats.org/markup-compatibility/2006">
          <mc:Choice Requires="x14">
            <control shapeId="9272" r:id="rId45" name="Button 56">
              <controlPr defaultSize="0" print="0" autoFill="0" autoPict="0" macro="[0]!PreviousTraceTen">
                <anchor moveWithCells="1" sizeWithCells="1">
                  <from>
                    <xdr:col>25</xdr:col>
                    <xdr:colOff>9525</xdr:colOff>
                    <xdr:row>19</xdr:row>
                    <xdr:rowOff>104775</xdr:rowOff>
                  </from>
                  <to>
                    <xdr:col>25</xdr:col>
                    <xdr:colOff>228600</xdr:colOff>
                    <xdr:row>21</xdr:row>
                    <xdr:rowOff>85725</xdr:rowOff>
                  </to>
                </anchor>
              </controlPr>
            </control>
          </mc:Choice>
        </mc:AlternateContent>
        <mc:AlternateContent xmlns:mc="http://schemas.openxmlformats.org/markup-compatibility/2006">
          <mc:Choice Requires="x14">
            <control shapeId="9273" r:id="rId46" name="Button 57">
              <controlPr defaultSize="0" print="0" autoFill="0" autoPict="0" macro="[0]!NextTraceTen">
                <anchor moveWithCells="1" sizeWithCells="1">
                  <from>
                    <xdr:col>27</xdr:col>
                    <xdr:colOff>390525</xdr:colOff>
                    <xdr:row>19</xdr:row>
                    <xdr:rowOff>104775</xdr:rowOff>
                  </from>
                  <to>
                    <xdr:col>28</xdr:col>
                    <xdr:colOff>0</xdr:colOff>
                    <xdr:row>21</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200-000000000000}">
          <x14:formula1>
            <xm:f>Summary!$K$2:$K$9</xm:f>
          </x14:formula1>
          <xm:sqref>AB18</xm:sqref>
        </x14:dataValidation>
        <x14:dataValidation type="list" allowBlank="1" showInputMessage="1" xr:uid="{00000000-0002-0000-0200-000001000000}">
          <x14:formula1>
            <xm:f>Summary!$K$2:$K$29</xm:f>
          </x14:formula1>
          <xm:sqref>Z18:AA18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V1:AB37"/>
  <sheetViews>
    <sheetView zoomScaleNormal="100" workbookViewId="0">
      <selection activeCell="Z11" sqref="Z11:Z12"/>
    </sheetView>
  </sheetViews>
  <sheetFormatPr defaultColWidth="9.140625" defaultRowHeight="15" x14ac:dyDescent="0.25"/>
  <cols>
    <col min="1" max="22" width="9.140625" style="9"/>
    <col min="23" max="23" width="9.140625" style="9" customWidth="1"/>
    <col min="24" max="24" width="9" style="9" customWidth="1"/>
    <col min="25" max="25" width="9.140625" hidden="1" customWidth="1"/>
    <col min="26" max="26" width="18" customWidth="1"/>
    <col min="27" max="28" width="8.85546875" customWidth="1"/>
    <col min="29" max="16384" width="9.140625" style="9"/>
  </cols>
  <sheetData>
    <row r="1" spans="22:28" ht="15.75" thickBot="1" x14ac:dyDescent="0.3">
      <c r="W1" s="17"/>
    </row>
    <row r="2" spans="22:28" ht="15.75" thickBot="1" x14ac:dyDescent="0.3">
      <c r="V2" s="16"/>
      <c r="W2" s="18"/>
      <c r="AB2" s="6">
        <v>1</v>
      </c>
    </row>
    <row r="3" spans="22:28" x14ac:dyDescent="0.25">
      <c r="V3" s="15"/>
      <c r="W3" s="19"/>
    </row>
    <row r="4" spans="22:28" ht="15.75" thickBot="1" x14ac:dyDescent="0.3">
      <c r="AB4" s="6">
        <v>1</v>
      </c>
    </row>
    <row r="5" spans="22:28" ht="16.5" thickBot="1" x14ac:dyDescent="0.3">
      <c r="Z5" s="14" t="s">
        <v>28</v>
      </c>
      <c r="AA5" s="13"/>
      <c r="AB5" s="6">
        <v>1</v>
      </c>
    </row>
    <row r="8" spans="22:28" ht="15" customHeight="1" x14ac:dyDescent="0.25">
      <c r="Z8" s="8"/>
      <c r="AB8" s="6">
        <v>1</v>
      </c>
    </row>
    <row r="9" spans="22:28" ht="15" customHeight="1" x14ac:dyDescent="0.25">
      <c r="Z9" s="8"/>
    </row>
    <row r="10" spans="22:28" ht="15" customHeight="1" thickBot="1" x14ac:dyDescent="0.3">
      <c r="AB10" s="6">
        <v>1</v>
      </c>
    </row>
    <row r="11" spans="22:28" x14ac:dyDescent="0.25">
      <c r="Z11" s="109">
        <v>0</v>
      </c>
      <c r="AB11" s="6">
        <v>1</v>
      </c>
    </row>
    <row r="12" spans="22:28" ht="15.75" thickBot="1" x14ac:dyDescent="0.3">
      <c r="Z12" s="110"/>
    </row>
    <row r="14" spans="22:28" x14ac:dyDescent="0.25">
      <c r="AB14" s="6">
        <v>1</v>
      </c>
    </row>
    <row r="16" spans="22:28" x14ac:dyDescent="0.25">
      <c r="AB16" s="6">
        <v>1</v>
      </c>
    </row>
    <row r="17" spans="28:28" x14ac:dyDescent="0.25">
      <c r="AB17" s="6">
        <v>1</v>
      </c>
    </row>
    <row r="20" spans="28:28" x14ac:dyDescent="0.25">
      <c r="AB20" s="6">
        <v>1</v>
      </c>
    </row>
    <row r="22" spans="28:28" x14ac:dyDescent="0.25">
      <c r="AB22" s="6">
        <v>1</v>
      </c>
    </row>
    <row r="23" spans="28:28" x14ac:dyDescent="0.25">
      <c r="AB23" s="6">
        <v>1</v>
      </c>
    </row>
    <row r="26" spans="28:28" x14ac:dyDescent="0.25">
      <c r="AB26" s="6">
        <v>3</v>
      </c>
    </row>
    <row r="27" spans="28:28" x14ac:dyDescent="0.25">
      <c r="AB27" s="107" t="s">
        <v>26</v>
      </c>
    </row>
    <row r="28" spans="28:28" x14ac:dyDescent="0.25">
      <c r="AB28" s="108"/>
    </row>
    <row r="29" spans="28:28" x14ac:dyDescent="0.25">
      <c r="AB29" s="6">
        <v>6</v>
      </c>
    </row>
    <row r="32" spans="28:28" x14ac:dyDescent="0.25">
      <c r="AB32" s="6">
        <v>1</v>
      </c>
    </row>
    <row r="33" spans="26:28" x14ac:dyDescent="0.25">
      <c r="AB33" s="107" t="s">
        <v>27</v>
      </c>
    </row>
    <row r="34" spans="26:28" x14ac:dyDescent="0.25">
      <c r="AB34" s="108"/>
    </row>
    <row r="35" spans="26:28" x14ac:dyDescent="0.25">
      <c r="AB35" s="6">
        <v>50</v>
      </c>
    </row>
    <row r="37" spans="26:28" x14ac:dyDescent="0.25">
      <c r="Z37" s="7" t="s">
        <v>25</v>
      </c>
    </row>
  </sheetData>
  <mergeCells count="3">
    <mergeCell ref="AB27:AB28"/>
    <mergeCell ref="AB33:AB34"/>
    <mergeCell ref="Z11:Z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verlay_Click">
                <anchor moveWithCells="1" sizeWithCells="1">
                  <from>
                    <xdr:col>23</xdr:col>
                    <xdr:colOff>457200</xdr:colOff>
                    <xdr:row>0</xdr:row>
                    <xdr:rowOff>38100</xdr:rowOff>
                  </from>
                  <to>
                    <xdr:col>26</xdr:col>
                    <xdr:colOff>161925</xdr:colOff>
                    <xdr:row>1</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Checkallandoverlay">
                <anchor moveWithCells="1" sizeWithCells="1">
                  <from>
                    <xdr:col>23</xdr:col>
                    <xdr:colOff>457200</xdr:colOff>
                    <xdr:row>30</xdr:row>
                    <xdr:rowOff>171450</xdr:rowOff>
                  </from>
                  <to>
                    <xdr:col>26</xdr:col>
                    <xdr:colOff>171450</xdr:colOff>
                    <xdr:row>32</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Uncheckallandoverlay">
                <anchor moveWithCells="1" sizeWithCells="1">
                  <from>
                    <xdr:col>23</xdr:col>
                    <xdr:colOff>457200</xdr:colOff>
                    <xdr:row>34</xdr:row>
                    <xdr:rowOff>0</xdr:rowOff>
                  </from>
                  <to>
                    <xdr:col>26</xdr:col>
                    <xdr:colOff>171450</xdr:colOff>
                    <xdr:row>35</xdr:row>
                    <xdr:rowOff>180975</xdr:rowOff>
                  </to>
                </anchor>
              </controlPr>
            </control>
          </mc:Choice>
        </mc:AlternateContent>
        <mc:AlternateContent xmlns:mc="http://schemas.openxmlformats.org/markup-compatibility/2006">
          <mc:Choice Requires="x14">
            <control shapeId="4102" r:id="rId7" name="Button 6">
              <controlPr defaultSize="0" print="0" autoFill="0" autoPict="0" macro="[0]!NotSelected">
                <anchor moveWithCells="1" sizeWithCells="1">
                  <from>
                    <xdr:col>23</xdr:col>
                    <xdr:colOff>457200</xdr:colOff>
                    <xdr:row>28</xdr:row>
                    <xdr:rowOff>104775</xdr:rowOff>
                  </from>
                  <to>
                    <xdr:col>26</xdr:col>
                    <xdr:colOff>171450</xdr:colOff>
                    <xdr:row>29</xdr:row>
                    <xdr:rowOff>180975</xdr:rowOff>
                  </to>
                </anchor>
              </controlPr>
            </control>
          </mc:Choice>
        </mc:AlternateContent>
        <mc:AlternateContent xmlns:mc="http://schemas.openxmlformats.org/markup-compatibility/2006">
          <mc:Choice Requires="x14">
            <control shapeId="4103" r:id="rId8" name="Button 7">
              <controlPr defaultSize="0" print="0" autoFill="0" autoPict="0" macro="[0]!OnlySelected">
                <anchor moveWithCells="1" sizeWithCells="1">
                  <from>
                    <xdr:col>23</xdr:col>
                    <xdr:colOff>457200</xdr:colOff>
                    <xdr:row>26</xdr:row>
                    <xdr:rowOff>114300</xdr:rowOff>
                  </from>
                  <to>
                    <xdr:col>26</xdr:col>
                    <xdr:colOff>171450</xdr:colOff>
                    <xdr:row>28</xdr:row>
                    <xdr:rowOff>0</xdr:rowOff>
                  </to>
                </anchor>
              </controlPr>
            </control>
          </mc:Choice>
        </mc:AlternateContent>
        <mc:AlternateContent xmlns:mc="http://schemas.openxmlformats.org/markup-compatibility/2006">
          <mc:Choice Requires="x14">
            <control shapeId="4104" r:id="rId9" name="Button 8">
              <controlPr defaultSize="0" print="0" autoFill="0" autoPict="0" macro="[0]!Showonly">
                <anchor moveWithCells="1" sizeWithCells="1">
                  <from>
                    <xdr:col>28</xdr:col>
                    <xdr:colOff>28575</xdr:colOff>
                    <xdr:row>12</xdr:row>
                    <xdr:rowOff>152400</xdr:rowOff>
                  </from>
                  <to>
                    <xdr:col>28</xdr:col>
                    <xdr:colOff>600075</xdr:colOff>
                    <xdr:row>14</xdr:row>
                    <xdr:rowOff>19050</xdr:rowOff>
                  </to>
                </anchor>
              </controlPr>
            </control>
          </mc:Choice>
        </mc:AlternateContent>
        <mc:AlternateContent xmlns:mc="http://schemas.openxmlformats.org/markup-compatibility/2006">
          <mc:Choice Requires="x14">
            <control shapeId="4105" r:id="rId10" name="Button 9">
              <controlPr defaultSize="0" print="0" autoFill="0" autoPict="0" macro="[0]!Showonlyrange">
                <anchor moveWithCells="1" sizeWithCells="1">
                  <from>
                    <xdr:col>28</xdr:col>
                    <xdr:colOff>28575</xdr:colOff>
                    <xdr:row>14</xdr:row>
                    <xdr:rowOff>180975</xdr:rowOff>
                  </from>
                  <to>
                    <xdr:col>28</xdr:col>
                    <xdr:colOff>600075</xdr:colOff>
                    <xdr:row>17</xdr:row>
                    <xdr:rowOff>9525</xdr:rowOff>
                  </to>
                </anchor>
              </controlPr>
            </control>
          </mc:Choice>
        </mc:AlternateContent>
        <mc:AlternateContent xmlns:mc="http://schemas.openxmlformats.org/markup-compatibility/2006">
          <mc:Choice Requires="x14">
            <control shapeId="4106" r:id="rId11" name="Button 10">
              <controlPr defaultSize="0" print="0" autoFill="0" autoPict="0" macro="[0]!NotShow">
                <anchor moveWithCells="1" sizeWithCells="1">
                  <from>
                    <xdr:col>28</xdr:col>
                    <xdr:colOff>28575</xdr:colOff>
                    <xdr:row>18</xdr:row>
                    <xdr:rowOff>152400</xdr:rowOff>
                  </from>
                  <to>
                    <xdr:col>28</xdr:col>
                    <xdr:colOff>600075</xdr:colOff>
                    <xdr:row>20</xdr:row>
                    <xdr:rowOff>28575</xdr:rowOff>
                  </to>
                </anchor>
              </controlPr>
            </control>
          </mc:Choice>
        </mc:AlternateContent>
        <mc:AlternateContent xmlns:mc="http://schemas.openxmlformats.org/markup-compatibility/2006">
          <mc:Choice Requires="x14">
            <control shapeId="4107" r:id="rId12" name="Button 11">
              <controlPr defaultSize="0" print="0" autoFill="0" autoPict="0" macro="[0]!NotShowRange">
                <anchor moveWithCells="1" sizeWithCells="1">
                  <from>
                    <xdr:col>28</xdr:col>
                    <xdr:colOff>28575</xdr:colOff>
                    <xdr:row>20</xdr:row>
                    <xdr:rowOff>180975</xdr:rowOff>
                  </from>
                  <to>
                    <xdr:col>28</xdr:col>
                    <xdr:colOff>600075</xdr:colOff>
                    <xdr:row>23</xdr:row>
                    <xdr:rowOff>9525</xdr:rowOff>
                  </to>
                </anchor>
              </controlPr>
            </control>
          </mc:Choice>
        </mc:AlternateContent>
        <mc:AlternateContent xmlns:mc="http://schemas.openxmlformats.org/markup-compatibility/2006">
          <mc:Choice Requires="x14">
            <control shapeId="4110" r:id="rId13" name="Button 14">
              <controlPr defaultSize="0" print="0" autoFill="0" autoPict="0" macro="[0]!AddOverlay">
                <anchor moveWithCells="1" sizeWithCells="1">
                  <from>
                    <xdr:col>28</xdr:col>
                    <xdr:colOff>28575</xdr:colOff>
                    <xdr:row>0</xdr:row>
                    <xdr:rowOff>161925</xdr:rowOff>
                  </from>
                  <to>
                    <xdr:col>28</xdr:col>
                    <xdr:colOff>600075</xdr:colOff>
                    <xdr:row>2</xdr:row>
                    <xdr:rowOff>28575</xdr:rowOff>
                  </to>
                </anchor>
              </controlPr>
            </control>
          </mc:Choice>
        </mc:AlternateContent>
        <mc:AlternateContent xmlns:mc="http://schemas.openxmlformats.org/markup-compatibility/2006">
          <mc:Choice Requires="x14">
            <control shapeId="4111" r:id="rId14" name="Button 15">
              <controlPr defaultSize="0" print="0" autoFill="0" autoPict="0" macro="[0]!AddOverlayRange">
                <anchor moveWithCells="1" sizeWithCells="1">
                  <from>
                    <xdr:col>28</xdr:col>
                    <xdr:colOff>28575</xdr:colOff>
                    <xdr:row>3</xdr:row>
                    <xdr:rowOff>0</xdr:rowOff>
                  </from>
                  <to>
                    <xdr:col>28</xdr:col>
                    <xdr:colOff>600075</xdr:colOff>
                    <xdr:row>5</xdr:row>
                    <xdr:rowOff>0</xdr:rowOff>
                  </to>
                </anchor>
              </controlPr>
            </control>
          </mc:Choice>
        </mc:AlternateContent>
        <mc:AlternateContent xmlns:mc="http://schemas.openxmlformats.org/markup-compatibility/2006">
          <mc:Choice Requires="x14">
            <control shapeId="4112" r:id="rId15" name="Button 16">
              <controlPr defaultSize="0" print="0" autoFill="0" autoPict="0" macro="[0]!RemoveOverlay">
                <anchor moveWithCells="1" sizeWithCells="1">
                  <from>
                    <xdr:col>28</xdr:col>
                    <xdr:colOff>28575</xdr:colOff>
                    <xdr:row>6</xdr:row>
                    <xdr:rowOff>152400</xdr:rowOff>
                  </from>
                  <to>
                    <xdr:col>28</xdr:col>
                    <xdr:colOff>600075</xdr:colOff>
                    <xdr:row>8</xdr:row>
                    <xdr:rowOff>28575</xdr:rowOff>
                  </to>
                </anchor>
              </controlPr>
            </control>
          </mc:Choice>
        </mc:AlternateContent>
        <mc:AlternateContent xmlns:mc="http://schemas.openxmlformats.org/markup-compatibility/2006">
          <mc:Choice Requires="x14">
            <control shapeId="4113" r:id="rId16" name="Button 17">
              <controlPr defaultSize="0" print="0" autoFill="0" autoPict="0" macro="[0]!RemoveOverlayRange">
                <anchor moveWithCells="1" sizeWithCells="1">
                  <from>
                    <xdr:col>28</xdr:col>
                    <xdr:colOff>28575</xdr:colOff>
                    <xdr:row>8</xdr:row>
                    <xdr:rowOff>180975</xdr:rowOff>
                  </from>
                  <to>
                    <xdr:col>28</xdr:col>
                    <xdr:colOff>600075</xdr:colOff>
                    <xdr:row>11</xdr:row>
                    <xdr:rowOff>9525</xdr:rowOff>
                  </to>
                </anchor>
              </controlPr>
            </control>
          </mc:Choice>
        </mc:AlternateContent>
        <mc:AlternateContent xmlns:mc="http://schemas.openxmlformats.org/markup-compatibility/2006">
          <mc:Choice Requires="x14">
            <control shapeId="4114" r:id="rId17" name="Button 18">
              <controlPr defaultSize="0" print="0" autoFill="0" autoPict="0" macro="[0]!RemoveSelected">
                <anchor moveWithCells="1" sizeWithCells="1">
                  <from>
                    <xdr:col>23</xdr:col>
                    <xdr:colOff>457200</xdr:colOff>
                    <xdr:row>24</xdr:row>
                    <xdr:rowOff>114300</xdr:rowOff>
                  </from>
                  <to>
                    <xdr:col>26</xdr:col>
                    <xdr:colOff>171450</xdr:colOff>
                    <xdr:row>26</xdr:row>
                    <xdr:rowOff>0</xdr:rowOff>
                  </to>
                </anchor>
              </controlPr>
            </control>
          </mc:Choice>
        </mc:AlternateContent>
        <mc:AlternateContent xmlns:mc="http://schemas.openxmlformats.org/markup-compatibility/2006">
          <mc:Choice Requires="x14">
            <control shapeId="4115" r:id="rId18" name="Button 19">
              <controlPr defaultSize="0" print="0" autoFill="0" autoPict="0" macro="[0]!ShowPolar">
                <anchor moveWithCells="1" sizeWithCells="1">
                  <from>
                    <xdr:col>28</xdr:col>
                    <xdr:colOff>28575</xdr:colOff>
                    <xdr:row>25</xdr:row>
                    <xdr:rowOff>0</xdr:rowOff>
                  </from>
                  <to>
                    <xdr:col>28</xdr:col>
                    <xdr:colOff>600075</xdr:colOff>
                    <xdr:row>26</xdr:row>
                    <xdr:rowOff>9525</xdr:rowOff>
                  </to>
                </anchor>
              </controlPr>
            </control>
          </mc:Choice>
        </mc:AlternateContent>
        <mc:AlternateContent xmlns:mc="http://schemas.openxmlformats.org/markup-compatibility/2006">
          <mc:Choice Requires="x14">
            <control shapeId="4116" r:id="rId19" name="Button 20">
              <controlPr defaultSize="0" print="0" autoFill="0" autoPict="0" macro="[0]!ShowNonpolar">
                <anchor moveWithCells="1" sizeWithCells="1">
                  <from>
                    <xdr:col>28</xdr:col>
                    <xdr:colOff>38100</xdr:colOff>
                    <xdr:row>28</xdr:row>
                    <xdr:rowOff>0</xdr:rowOff>
                  </from>
                  <to>
                    <xdr:col>29</xdr:col>
                    <xdr:colOff>0</xdr:colOff>
                    <xdr:row>29</xdr:row>
                    <xdr:rowOff>0</xdr:rowOff>
                  </to>
                </anchor>
              </controlPr>
            </control>
          </mc:Choice>
        </mc:AlternateContent>
        <mc:AlternateContent xmlns:mc="http://schemas.openxmlformats.org/markup-compatibility/2006">
          <mc:Choice Requires="x14">
            <control shapeId="4117" r:id="rId20" name="Button 21">
              <controlPr defaultSize="0" print="0" autoFill="0" autoPict="0" macro="[0]!ShowIntermediate">
                <anchor moveWithCells="1" sizeWithCells="1">
                  <from>
                    <xdr:col>28</xdr:col>
                    <xdr:colOff>28575</xdr:colOff>
                    <xdr:row>26</xdr:row>
                    <xdr:rowOff>95250</xdr:rowOff>
                  </from>
                  <to>
                    <xdr:col>28</xdr:col>
                    <xdr:colOff>600075</xdr:colOff>
                    <xdr:row>27</xdr:row>
                    <xdr:rowOff>95250</xdr:rowOff>
                  </to>
                </anchor>
              </controlPr>
            </control>
          </mc:Choice>
        </mc:AlternateContent>
        <mc:AlternateContent xmlns:mc="http://schemas.openxmlformats.org/markup-compatibility/2006">
          <mc:Choice Requires="x14">
            <control shapeId="4118" r:id="rId21" name="Button 22">
              <controlPr defaultSize="0" print="0" autoFill="0" autoPict="0" macro="[0]!ShowAcidic">
                <anchor moveWithCells="1" sizeWithCells="1">
                  <from>
                    <xdr:col>28</xdr:col>
                    <xdr:colOff>28575</xdr:colOff>
                    <xdr:row>30</xdr:row>
                    <xdr:rowOff>180975</xdr:rowOff>
                  </from>
                  <to>
                    <xdr:col>28</xdr:col>
                    <xdr:colOff>600075</xdr:colOff>
                    <xdr:row>32</xdr:row>
                    <xdr:rowOff>0</xdr:rowOff>
                  </to>
                </anchor>
              </controlPr>
            </control>
          </mc:Choice>
        </mc:AlternateContent>
        <mc:AlternateContent xmlns:mc="http://schemas.openxmlformats.org/markup-compatibility/2006">
          <mc:Choice Requires="x14">
            <control shapeId="4119" r:id="rId22" name="Button 23">
              <controlPr defaultSize="0" print="0" autoFill="0" autoPict="0" macro="[0]!ShowBasic">
                <anchor moveWithCells="1" sizeWithCells="1">
                  <from>
                    <xdr:col>28</xdr:col>
                    <xdr:colOff>28575</xdr:colOff>
                    <xdr:row>34</xdr:row>
                    <xdr:rowOff>0</xdr:rowOff>
                  </from>
                  <to>
                    <xdr:col>28</xdr:col>
                    <xdr:colOff>600075</xdr:colOff>
                    <xdr:row>35</xdr:row>
                    <xdr:rowOff>0</xdr:rowOff>
                  </to>
                </anchor>
              </controlPr>
            </control>
          </mc:Choice>
        </mc:AlternateContent>
        <mc:AlternateContent xmlns:mc="http://schemas.openxmlformats.org/markup-compatibility/2006">
          <mc:Choice Requires="x14">
            <control shapeId="4120" r:id="rId23" name="Button 24">
              <controlPr defaultSize="0" print="0" autoFill="0" autoPict="0" macro="[0]!ShowNeutral">
                <anchor moveWithCells="1" sizeWithCells="1">
                  <from>
                    <xdr:col>28</xdr:col>
                    <xdr:colOff>28575</xdr:colOff>
                    <xdr:row>32</xdr:row>
                    <xdr:rowOff>85725</xdr:rowOff>
                  </from>
                  <to>
                    <xdr:col>28</xdr:col>
                    <xdr:colOff>600075</xdr:colOff>
                    <xdr:row>33</xdr:row>
                    <xdr:rowOff>104775</xdr:rowOff>
                  </to>
                </anchor>
              </controlPr>
            </control>
          </mc:Choice>
        </mc:AlternateContent>
        <mc:AlternateContent xmlns:mc="http://schemas.openxmlformats.org/markup-compatibility/2006">
          <mc:Choice Requires="x14">
            <control shapeId="4124" r:id="rId24" name="Button 28">
              <controlPr defaultSize="0" print="0" autoFill="0" autoPict="0" macro="[0]!ShowPreviousTrace">
                <anchor moveWithCells="1" sizeWithCells="1">
                  <from>
                    <xdr:col>25</xdr:col>
                    <xdr:colOff>0</xdr:colOff>
                    <xdr:row>7</xdr:row>
                    <xdr:rowOff>9525</xdr:rowOff>
                  </from>
                  <to>
                    <xdr:col>26</xdr:col>
                    <xdr:colOff>9525</xdr:colOff>
                    <xdr:row>9</xdr:row>
                    <xdr:rowOff>0</xdr:rowOff>
                  </to>
                </anchor>
              </controlPr>
            </control>
          </mc:Choice>
        </mc:AlternateContent>
        <mc:AlternateContent xmlns:mc="http://schemas.openxmlformats.org/markup-compatibility/2006">
          <mc:Choice Requires="x14">
            <control shapeId="4125" r:id="rId25" name="Button 29">
              <controlPr defaultSize="0" print="0" autoFill="0" autoPict="0" macro="[0]!ShowNextTrace">
                <anchor moveWithCells="1" sizeWithCells="1">
                  <from>
                    <xdr:col>24</xdr:col>
                    <xdr:colOff>0</xdr:colOff>
                    <xdr:row>13</xdr:row>
                    <xdr:rowOff>0</xdr:rowOff>
                  </from>
                  <to>
                    <xdr:col>26</xdr:col>
                    <xdr:colOff>0</xdr:colOff>
                    <xdr:row>15</xdr:row>
                    <xdr:rowOff>0</xdr:rowOff>
                  </to>
                </anchor>
              </controlPr>
            </control>
          </mc:Choice>
        </mc:AlternateContent>
        <mc:AlternateContent xmlns:mc="http://schemas.openxmlformats.org/markup-compatibility/2006">
          <mc:Choice Requires="x14">
            <control shapeId="4127" r:id="rId26" name="Button 31">
              <controlPr defaultSize="0" print="0" autoFill="0" autoPict="0" macro="[0]!KeepTrace">
                <anchor moveWithCells="1" sizeWithCells="1">
                  <from>
                    <xdr:col>24</xdr:col>
                    <xdr:colOff>0</xdr:colOff>
                    <xdr:row>15</xdr:row>
                    <xdr:rowOff>180975</xdr:rowOff>
                  </from>
                  <to>
                    <xdr:col>26</xdr:col>
                    <xdr:colOff>0</xdr:colOff>
                    <xdr:row>17</xdr:row>
                    <xdr:rowOff>190500</xdr:rowOff>
                  </to>
                </anchor>
              </controlPr>
            </control>
          </mc:Choice>
        </mc:AlternateContent>
        <mc:AlternateContent xmlns:mc="http://schemas.openxmlformats.org/markup-compatibility/2006">
          <mc:Choice Requires="x14">
            <control shapeId="4130" r:id="rId27" name="Check Box 34">
              <controlPr defaultSize="0" autoFill="0" autoLine="0" autoPict="0">
                <anchor moveWithCells="1">
                  <from>
                    <xdr:col>25</xdr:col>
                    <xdr:colOff>152400</xdr:colOff>
                    <xdr:row>5</xdr:row>
                    <xdr:rowOff>66675</xdr:rowOff>
                  </from>
                  <to>
                    <xdr:col>25</xdr:col>
                    <xdr:colOff>1104900</xdr:colOff>
                    <xdr:row>6</xdr:row>
                    <xdr:rowOff>114300</xdr:rowOff>
                  </to>
                </anchor>
              </controlPr>
            </control>
          </mc:Choice>
        </mc:AlternateContent>
        <mc:AlternateContent xmlns:mc="http://schemas.openxmlformats.org/markup-compatibility/2006">
          <mc:Choice Requires="x14">
            <control shapeId="4131" r:id="rId28" name="Button 35">
              <controlPr defaultSize="0" print="0" autoFill="0" autoPict="0" macro="[0]!LabelAndCopy">
                <anchor moveWithCells="1" sizeWithCells="1">
                  <from>
                    <xdr:col>23</xdr:col>
                    <xdr:colOff>590550</xdr:colOff>
                    <xdr:row>19</xdr:row>
                    <xdr:rowOff>95250</xdr:rowOff>
                  </from>
                  <to>
                    <xdr:col>26</xdr:col>
                    <xdr:colOff>0</xdr:colOff>
                    <xdr:row>22</xdr:row>
                    <xdr:rowOff>104775</xdr:rowOff>
                  </to>
                </anchor>
              </controlPr>
            </control>
          </mc:Choice>
        </mc:AlternateContent>
        <mc:AlternateContent xmlns:mc="http://schemas.openxmlformats.org/markup-compatibility/2006">
          <mc:Choice Requires="x14">
            <control shapeId="4132" r:id="rId29" name="Check Box 36">
              <controlPr defaultSize="0" autoFill="0" autoLine="0" autoPict="0">
                <anchor moveWithCells="1">
                  <from>
                    <xdr:col>21</xdr:col>
                    <xdr:colOff>9525</xdr:colOff>
                    <xdr:row>1</xdr:row>
                    <xdr:rowOff>9525</xdr:rowOff>
                  </from>
                  <to>
                    <xdr:col>21</xdr:col>
                    <xdr:colOff>600075</xdr:colOff>
                    <xdr:row>1</xdr:row>
                    <xdr:rowOff>190500</xdr:rowOff>
                  </to>
                </anchor>
              </controlPr>
            </control>
          </mc:Choice>
        </mc:AlternateContent>
        <mc:AlternateContent xmlns:mc="http://schemas.openxmlformats.org/markup-compatibility/2006">
          <mc:Choice Requires="x14">
            <control shapeId="4133" r:id="rId30" name="Check Box 37">
              <controlPr defaultSize="0" autoFill="0" autoLine="0" autoPict="0">
                <anchor moveWithCells="1">
                  <from>
                    <xdr:col>22</xdr:col>
                    <xdr:colOff>9525</xdr:colOff>
                    <xdr:row>1</xdr:row>
                    <xdr:rowOff>0</xdr:rowOff>
                  </from>
                  <to>
                    <xdr:col>22</xdr:col>
                    <xdr:colOff>600075</xdr:colOff>
                    <xdr:row>2</xdr:row>
                    <xdr:rowOff>0</xdr:rowOff>
                  </to>
                </anchor>
              </controlPr>
            </control>
          </mc:Choice>
        </mc:AlternateContent>
        <mc:AlternateContent xmlns:mc="http://schemas.openxmlformats.org/markup-compatibility/2006">
          <mc:Choice Requires="x14">
            <control shapeId="4134" r:id="rId31" name="Button 38">
              <controlPr defaultSize="0" print="0" autoFill="0" autoPict="0" macro="[0]!Chromatogram_Inset_DAD_A_Small">
                <anchor moveWithCells="1" sizeWithCells="1">
                  <from>
                    <xdr:col>21</xdr:col>
                    <xdr:colOff>9525</xdr:colOff>
                    <xdr:row>3</xdr:row>
                    <xdr:rowOff>0</xdr:rowOff>
                  </from>
                  <to>
                    <xdr:col>21</xdr:col>
                    <xdr:colOff>295275</xdr:colOff>
                    <xdr:row>4</xdr:row>
                    <xdr:rowOff>0</xdr:rowOff>
                  </to>
                </anchor>
              </controlPr>
            </control>
          </mc:Choice>
        </mc:AlternateContent>
        <mc:AlternateContent xmlns:mc="http://schemas.openxmlformats.org/markup-compatibility/2006">
          <mc:Choice Requires="x14">
            <control shapeId="4135" r:id="rId32" name="Button 39">
              <controlPr defaultSize="0" print="0" autoFill="0" autoPict="0" macro="[0]!Chromatogram_Inset_DAD_A_Big">
                <anchor moveWithCells="1" sizeWithCells="1">
                  <from>
                    <xdr:col>21</xdr:col>
                    <xdr:colOff>314325</xdr:colOff>
                    <xdr:row>2</xdr:row>
                    <xdr:rowOff>180975</xdr:rowOff>
                  </from>
                  <to>
                    <xdr:col>21</xdr:col>
                    <xdr:colOff>600075</xdr:colOff>
                    <xdr:row>3</xdr:row>
                    <xdr:rowOff>190500</xdr:rowOff>
                  </to>
                </anchor>
              </controlPr>
            </control>
          </mc:Choice>
        </mc:AlternateContent>
        <mc:AlternateContent xmlns:mc="http://schemas.openxmlformats.org/markup-compatibility/2006">
          <mc:Choice Requires="x14">
            <control shapeId="4136" r:id="rId33" name="Button 40">
              <controlPr defaultSize="0" print="0" autoFill="0" autoPict="0" macro="[0]!Chromatogram_Inset_DAD_B_Small">
                <anchor moveWithCells="1" sizeWithCells="1">
                  <from>
                    <xdr:col>22</xdr:col>
                    <xdr:colOff>9525</xdr:colOff>
                    <xdr:row>3</xdr:row>
                    <xdr:rowOff>0</xdr:rowOff>
                  </from>
                  <to>
                    <xdr:col>22</xdr:col>
                    <xdr:colOff>295275</xdr:colOff>
                    <xdr:row>4</xdr:row>
                    <xdr:rowOff>0</xdr:rowOff>
                  </to>
                </anchor>
              </controlPr>
            </control>
          </mc:Choice>
        </mc:AlternateContent>
        <mc:AlternateContent xmlns:mc="http://schemas.openxmlformats.org/markup-compatibility/2006">
          <mc:Choice Requires="x14">
            <control shapeId="4137" r:id="rId34" name="Button 41">
              <controlPr defaultSize="0" print="0" autoFill="0" autoPict="0" macro="[0]!Chromatogram_Inset_DAD_B_Big">
                <anchor moveWithCells="1" sizeWithCells="1">
                  <from>
                    <xdr:col>22</xdr:col>
                    <xdr:colOff>314325</xdr:colOff>
                    <xdr:row>2</xdr:row>
                    <xdr:rowOff>180975</xdr:rowOff>
                  </from>
                  <to>
                    <xdr:col>22</xdr:col>
                    <xdr:colOff>600075</xdr:colOff>
                    <xdr:row>3</xdr:row>
                    <xdr:rowOff>190500</xdr:rowOff>
                  </to>
                </anchor>
              </controlPr>
            </control>
          </mc:Choice>
        </mc:AlternateContent>
        <mc:AlternateContent xmlns:mc="http://schemas.openxmlformats.org/markup-compatibility/2006">
          <mc:Choice Requires="x14">
            <control shapeId="4138" r:id="rId35" name="Button 42">
              <controlPr defaultSize="0" print="0" autoFill="0" autoPict="0" macro="[0]!Chromatogram_Inset_DAD_A_Down">
                <anchor moveWithCells="1" sizeWithCells="1">
                  <from>
                    <xdr:col>21</xdr:col>
                    <xdr:colOff>9525</xdr:colOff>
                    <xdr:row>4</xdr:row>
                    <xdr:rowOff>0</xdr:rowOff>
                  </from>
                  <to>
                    <xdr:col>21</xdr:col>
                    <xdr:colOff>295275</xdr:colOff>
                    <xdr:row>4</xdr:row>
                    <xdr:rowOff>209550</xdr:rowOff>
                  </to>
                </anchor>
              </controlPr>
            </control>
          </mc:Choice>
        </mc:AlternateContent>
        <mc:AlternateContent xmlns:mc="http://schemas.openxmlformats.org/markup-compatibility/2006">
          <mc:Choice Requires="x14">
            <control shapeId="4139" r:id="rId36" name="Button 43">
              <controlPr defaultSize="0" print="0" autoFill="0" autoPict="0" macro="[0]!Chromatogram_Inset_DAD_A_Up">
                <anchor moveWithCells="1" sizeWithCells="1">
                  <from>
                    <xdr:col>21</xdr:col>
                    <xdr:colOff>314325</xdr:colOff>
                    <xdr:row>4</xdr:row>
                    <xdr:rowOff>0</xdr:rowOff>
                  </from>
                  <to>
                    <xdr:col>21</xdr:col>
                    <xdr:colOff>600075</xdr:colOff>
                    <xdr:row>4</xdr:row>
                    <xdr:rowOff>209550</xdr:rowOff>
                  </to>
                </anchor>
              </controlPr>
            </control>
          </mc:Choice>
        </mc:AlternateContent>
        <mc:AlternateContent xmlns:mc="http://schemas.openxmlformats.org/markup-compatibility/2006">
          <mc:Choice Requires="x14">
            <control shapeId="4140" r:id="rId37" name="Button 44">
              <controlPr defaultSize="0" print="0" autoFill="0" autoPict="0" macro="[0]!Chromatogram_Inset_DAD_B_Down">
                <anchor moveWithCells="1" sizeWithCells="1">
                  <from>
                    <xdr:col>22</xdr:col>
                    <xdr:colOff>9525</xdr:colOff>
                    <xdr:row>4</xdr:row>
                    <xdr:rowOff>0</xdr:rowOff>
                  </from>
                  <to>
                    <xdr:col>22</xdr:col>
                    <xdr:colOff>295275</xdr:colOff>
                    <xdr:row>4</xdr:row>
                    <xdr:rowOff>200025</xdr:rowOff>
                  </to>
                </anchor>
              </controlPr>
            </control>
          </mc:Choice>
        </mc:AlternateContent>
        <mc:AlternateContent xmlns:mc="http://schemas.openxmlformats.org/markup-compatibility/2006">
          <mc:Choice Requires="x14">
            <control shapeId="4141" r:id="rId38" name="Button 45">
              <controlPr defaultSize="0" print="0" autoFill="0" autoPict="0" macro="[0]!Chromatogram_Inset_DAD_B_Up">
                <anchor moveWithCells="1" sizeWithCells="1">
                  <from>
                    <xdr:col>22</xdr:col>
                    <xdr:colOff>314325</xdr:colOff>
                    <xdr:row>4</xdr:row>
                    <xdr:rowOff>0</xdr:rowOff>
                  </from>
                  <to>
                    <xdr:col>22</xdr:col>
                    <xdr:colOff>600075</xdr:colOff>
                    <xdr:row>4</xdr:row>
                    <xdr:rowOff>200025</xdr:rowOff>
                  </to>
                </anchor>
              </controlPr>
            </control>
          </mc:Choice>
        </mc:AlternateContent>
        <mc:AlternateContent xmlns:mc="http://schemas.openxmlformats.org/markup-compatibility/2006">
          <mc:Choice Requires="x14">
            <control shapeId="4142" r:id="rId39" name="Button 46">
              <controlPr defaultSize="0" print="0" autoFill="0" autoPict="0" macro="[0]!Chromatogram_Inset_DAD_A_Reset">
                <anchor moveWithCells="1" sizeWithCells="1">
                  <from>
                    <xdr:col>21</xdr:col>
                    <xdr:colOff>9525</xdr:colOff>
                    <xdr:row>5</xdr:row>
                    <xdr:rowOff>0</xdr:rowOff>
                  </from>
                  <to>
                    <xdr:col>21</xdr:col>
                    <xdr:colOff>600075</xdr:colOff>
                    <xdr:row>6</xdr:row>
                    <xdr:rowOff>9525</xdr:rowOff>
                  </to>
                </anchor>
              </controlPr>
            </control>
          </mc:Choice>
        </mc:AlternateContent>
        <mc:AlternateContent xmlns:mc="http://schemas.openxmlformats.org/markup-compatibility/2006">
          <mc:Choice Requires="x14">
            <control shapeId="4143" r:id="rId40" name="Button 47">
              <controlPr defaultSize="0" print="0" autoFill="0" autoPict="0" macro="[0]!Chromatogram_Inset_DAD_B_Reset">
                <anchor moveWithCells="1" sizeWithCells="1">
                  <from>
                    <xdr:col>22</xdr:col>
                    <xdr:colOff>9525</xdr:colOff>
                    <xdr:row>5</xdr:row>
                    <xdr:rowOff>0</xdr:rowOff>
                  </from>
                  <to>
                    <xdr:col>22</xdr:col>
                    <xdr:colOff>609600</xdr:colOff>
                    <xdr:row>6</xdr:row>
                    <xdr:rowOff>9525</xdr:rowOff>
                  </to>
                </anchor>
              </controlPr>
            </control>
          </mc:Choice>
        </mc:AlternateContent>
        <mc:AlternateContent xmlns:mc="http://schemas.openxmlformats.org/markup-compatibility/2006">
          <mc:Choice Requires="x14">
            <control shapeId="4144" r:id="rId41" name="Button 48">
              <controlPr defaultSize="0" print="0" autoFill="0" autoPict="0" macro="[0]!Chromatogram_Inset_Click">
                <anchor moveWithCells="1" sizeWithCells="1">
                  <from>
                    <xdr:col>21</xdr:col>
                    <xdr:colOff>9525</xdr:colOff>
                    <xdr:row>2</xdr:row>
                    <xdr:rowOff>9525</xdr:rowOff>
                  </from>
                  <to>
                    <xdr:col>22</xdr:col>
                    <xdr:colOff>600075</xdr:colOff>
                    <xdr:row>3</xdr:row>
                    <xdr:rowOff>0</xdr:rowOff>
                  </to>
                </anchor>
              </controlPr>
            </control>
          </mc:Choice>
        </mc:AlternateContent>
        <mc:AlternateContent xmlns:mc="http://schemas.openxmlformats.org/markup-compatibility/2006">
          <mc:Choice Requires="x14">
            <control shapeId="4145" r:id="rId42" name="Button 49">
              <controlPr defaultSize="0" print="0" autoFill="0" autoPict="0" macro="[0]!ShowSelectedClass">
                <anchor moveWithCells="1" sizeWithCells="1">
                  <from>
                    <xdr:col>23</xdr:col>
                    <xdr:colOff>457200</xdr:colOff>
                    <xdr:row>1</xdr:row>
                    <xdr:rowOff>171450</xdr:rowOff>
                  </from>
                  <to>
                    <xdr:col>26</xdr:col>
                    <xdr:colOff>161925</xdr:colOff>
                    <xdr:row>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300-000000000000}">
          <x14:formula1>
            <xm:f>Summary!$K$2:$K$29</xm:f>
          </x14:formula1>
          <xm:sqref>Z5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Z1:AB27"/>
  <sheetViews>
    <sheetView zoomScaleNormal="100" workbookViewId="0">
      <pane ySplit="10" topLeftCell="A11" activePane="bottomLeft" state="frozen"/>
      <selection pane="bottomLeft" activeCell="AA21" sqref="AA21"/>
    </sheetView>
  </sheetViews>
  <sheetFormatPr defaultColWidth="9.140625" defaultRowHeight="15" x14ac:dyDescent="0.25"/>
  <cols>
    <col min="1" max="16384" width="9.140625" style="24"/>
  </cols>
  <sheetData>
    <row r="1" spans="26:28" ht="15.75" thickBot="1" x14ac:dyDescent="0.3">
      <c r="Z1" s="42" t="s">
        <v>30</v>
      </c>
      <c r="AB1" s="42" t="s">
        <v>19</v>
      </c>
    </row>
    <row r="2" spans="26:28" ht="15.75" thickBot="1" x14ac:dyDescent="0.3">
      <c r="Z2" s="25">
        <v>1.5</v>
      </c>
      <c r="AB2" s="25">
        <v>5</v>
      </c>
    </row>
    <row r="3" spans="26:28" ht="15.75" thickBot="1" x14ac:dyDescent="0.3"/>
    <row r="4" spans="26:28" ht="15.75" thickBot="1" x14ac:dyDescent="0.3">
      <c r="AA4" s="43"/>
    </row>
    <row r="5" spans="26:28" ht="15.75" thickBot="1" x14ac:dyDescent="0.3"/>
    <row r="6" spans="26:28" ht="15.75" thickBot="1" x14ac:dyDescent="0.3">
      <c r="AA6" s="44"/>
    </row>
    <row r="8" spans="26:28" x14ac:dyDescent="0.25">
      <c r="AA8" s="23"/>
    </row>
    <row r="9" spans="26:28" x14ac:dyDescent="0.25">
      <c r="AA9" s="23"/>
    </row>
    <row r="10" spans="26:28" x14ac:dyDescent="0.25">
      <c r="AA10" s="23"/>
    </row>
    <row r="11" spans="26:28" ht="15.75" thickBot="1" x14ac:dyDescent="0.3"/>
    <row r="12" spans="26:28" ht="15.75" thickBot="1" x14ac:dyDescent="0.3">
      <c r="Z12" s="25">
        <v>100</v>
      </c>
    </row>
    <row r="14" spans="26:28" ht="15.75" thickBot="1" x14ac:dyDescent="0.3">
      <c r="Z14" s="45"/>
    </row>
    <row r="15" spans="26:28" ht="15.75" thickBot="1" x14ac:dyDescent="0.3">
      <c r="Z15" s="25">
        <v>0.5</v>
      </c>
      <c r="AA15" s="25">
        <v>10</v>
      </c>
    </row>
    <row r="17" spans="26:28" ht="15.75" thickBot="1" x14ac:dyDescent="0.3"/>
    <row r="18" spans="26:28" ht="15.75" thickBot="1" x14ac:dyDescent="0.3">
      <c r="Z18" s="111" t="s">
        <v>42</v>
      </c>
      <c r="AA18" s="112"/>
      <c r="AB18" s="46"/>
    </row>
    <row r="20" spans="26:28" ht="15.75" thickBot="1" x14ac:dyDescent="0.3"/>
    <row r="21" spans="26:28" ht="15.75" thickBot="1" x14ac:dyDescent="0.3">
      <c r="AA21" s="25">
        <v>0</v>
      </c>
    </row>
    <row r="25" spans="26:28" x14ac:dyDescent="0.25">
      <c r="Z25" s="46"/>
      <c r="AA25" s="41"/>
    </row>
    <row r="27" spans="26:28" x14ac:dyDescent="0.25">
      <c r="Z27" s="47" t="s">
        <v>75</v>
      </c>
      <c r="AB27" s="47" t="s">
        <v>95</v>
      </c>
    </row>
  </sheetData>
  <mergeCells count="1">
    <mergeCell ref="Z18:AA18"/>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12290" r:id="rId4"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12291" r:id="rId5"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12292" r:id="rId6"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12293" r:id="rId7" name="Button 5">
              <controlPr defaultSize="0" print="0" autoFill="0" autoPict="0" macro="[0]!Chromatograms_Click">
                <anchor moveWithCells="1" sizeWithCells="1">
                  <from>
                    <xdr:col>25</xdr:col>
                    <xdr:colOff>0</xdr:colOff>
                    <xdr:row>15</xdr:row>
                    <xdr:rowOff>19050</xdr:rowOff>
                  </from>
                  <to>
                    <xdr:col>27</xdr:col>
                    <xdr:colOff>0</xdr:colOff>
                    <xdr:row>16</xdr:row>
                    <xdr:rowOff>104775</xdr:rowOff>
                  </to>
                </anchor>
              </controlPr>
            </control>
          </mc:Choice>
        </mc:AlternateContent>
        <mc:AlternateContent xmlns:mc="http://schemas.openxmlformats.org/markup-compatibility/2006">
          <mc:Choice Requires="x14">
            <control shapeId="12294" r:id="rId8"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12295" r:id="rId9"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12296" r:id="rId10"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12297" r:id="rId11"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12302" r:id="rId12"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12303" r:id="rId13"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12304" r:id="rId14"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12305" r:id="rId15"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12310" r:id="rId16"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12311" r:id="rId17"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12312" r:id="rId18"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12315" r:id="rId19" name="Button 27">
              <controlPr defaultSize="0" print="0" autoFill="0" autoPict="0" macro="[0]!Clear_Inset">
                <anchor moveWithCells="1" sizeWithCells="1">
                  <from>
                    <xdr:col>25</xdr:col>
                    <xdr:colOff>600075</xdr:colOff>
                    <xdr:row>22</xdr:row>
                    <xdr:rowOff>180975</xdr:rowOff>
                  </from>
                  <to>
                    <xdr:col>26</xdr:col>
                    <xdr:colOff>600075</xdr:colOff>
                    <xdr:row>25</xdr:row>
                    <xdr:rowOff>0</xdr:rowOff>
                  </to>
                </anchor>
              </controlPr>
            </control>
          </mc:Choice>
        </mc:AlternateContent>
        <mc:AlternateContent xmlns:mc="http://schemas.openxmlformats.org/markup-compatibility/2006">
          <mc:Choice Requires="x14">
            <control shapeId="12316" r:id="rId20" name="Button 28">
              <controlPr defaultSize="0" print="0" autoFill="0" autoPict="0" macro="[0]!Reset_Allchromatograms">
                <anchor moveWithCells="1" sizeWithCells="1">
                  <from>
                    <xdr:col>28</xdr:col>
                    <xdr:colOff>28575</xdr:colOff>
                    <xdr:row>0</xdr:row>
                    <xdr:rowOff>57150</xdr:rowOff>
                  </from>
                  <to>
                    <xdr:col>28</xdr:col>
                    <xdr:colOff>447675</xdr:colOff>
                    <xdr:row>2</xdr:row>
                    <xdr:rowOff>66675</xdr:rowOff>
                  </to>
                </anchor>
              </controlPr>
            </control>
          </mc:Choice>
        </mc:AlternateContent>
        <mc:AlternateContent xmlns:mc="http://schemas.openxmlformats.org/markup-compatibility/2006">
          <mc:Choice Requires="x14">
            <control shapeId="12317" r:id="rId21" name="Button 29">
              <controlPr defaultSize="0" print="0" autoFill="0" autoPict="0" macro="[0]!Reset_210">
                <anchor moveWithCells="1" sizeWithCells="1">
                  <from>
                    <xdr:col>28</xdr:col>
                    <xdr:colOff>28575</xdr:colOff>
                    <xdr:row>2</xdr:row>
                    <xdr:rowOff>190500</xdr:rowOff>
                  </from>
                  <to>
                    <xdr:col>28</xdr:col>
                    <xdr:colOff>447675</xdr:colOff>
                    <xdr:row>3</xdr:row>
                    <xdr:rowOff>190500</xdr:rowOff>
                  </to>
                </anchor>
              </controlPr>
            </control>
          </mc:Choice>
        </mc:AlternateContent>
        <mc:AlternateContent xmlns:mc="http://schemas.openxmlformats.org/markup-compatibility/2006">
          <mc:Choice Requires="x14">
            <control shapeId="12318" r:id="rId22" name="Button 30">
              <controlPr defaultSize="0" print="0" autoFill="0" autoPict="0" macro="[0]!Reset_254">
                <anchor moveWithCells="1" sizeWithCells="1">
                  <from>
                    <xdr:col>28</xdr:col>
                    <xdr:colOff>28575</xdr:colOff>
                    <xdr:row>4</xdr:row>
                    <xdr:rowOff>200025</xdr:rowOff>
                  </from>
                  <to>
                    <xdr:col>28</xdr:col>
                    <xdr:colOff>447675</xdr:colOff>
                    <xdr:row>6</xdr:row>
                    <xdr:rowOff>0</xdr:rowOff>
                  </to>
                </anchor>
              </controlPr>
            </control>
          </mc:Choice>
        </mc:AlternateContent>
        <mc:AlternateContent xmlns:mc="http://schemas.openxmlformats.org/markup-compatibility/2006">
          <mc:Choice Requires="x14">
            <control shapeId="12321" r:id="rId23" name="Button 33">
              <controlPr defaultSize="0" print="0" autoFill="0" autoPict="0" macro="[0]!Reset_Labels">
                <anchor moveWithCells="1" sizeWithCells="1">
                  <from>
                    <xdr:col>28</xdr:col>
                    <xdr:colOff>28575</xdr:colOff>
                    <xdr:row>11</xdr:row>
                    <xdr:rowOff>0</xdr:rowOff>
                  </from>
                  <to>
                    <xdr:col>28</xdr:col>
                    <xdr:colOff>447675</xdr:colOff>
                    <xdr:row>12</xdr:row>
                    <xdr:rowOff>0</xdr:rowOff>
                  </to>
                </anchor>
              </controlPr>
            </control>
          </mc:Choice>
        </mc:AlternateContent>
        <mc:AlternateContent xmlns:mc="http://schemas.openxmlformats.org/markup-compatibility/2006">
          <mc:Choice Requires="x14">
            <control shapeId="12322" r:id="rId24" name="Button 34">
              <controlPr defaultSize="0" print="0" autoFill="0" autoPict="0" macro="[0]!LabelID_From_Chromatogram">
                <anchor moveWithCells="1" sizeWithCells="1">
                  <from>
                    <xdr:col>26</xdr:col>
                    <xdr:colOff>9525</xdr:colOff>
                    <xdr:row>18</xdr:row>
                    <xdr:rowOff>76200</xdr:rowOff>
                  </from>
                  <to>
                    <xdr:col>27</xdr:col>
                    <xdr:colOff>9525</xdr:colOff>
                    <xdr:row>19</xdr:row>
                    <xdr:rowOff>95250</xdr:rowOff>
                  </to>
                </anchor>
              </controlPr>
            </control>
          </mc:Choice>
        </mc:AlternateContent>
        <mc:AlternateContent xmlns:mc="http://schemas.openxmlformats.org/markup-compatibility/2006">
          <mc:Choice Requires="x14">
            <control shapeId="12323" r:id="rId25" name="Button 35">
              <controlPr defaultSize="0" print="0" autoFill="0" autoPict="0" macro="[0]!HideID_From_Chromatogram">
                <anchor moveWithCells="1" sizeWithCells="1">
                  <from>
                    <xdr:col>25</xdr:col>
                    <xdr:colOff>0</xdr:colOff>
                    <xdr:row>18</xdr:row>
                    <xdr:rowOff>76200</xdr:rowOff>
                  </from>
                  <to>
                    <xdr:col>25</xdr:col>
                    <xdr:colOff>609600</xdr:colOff>
                    <xdr:row>19</xdr:row>
                    <xdr:rowOff>95250</xdr:rowOff>
                  </to>
                </anchor>
              </controlPr>
            </control>
          </mc:Choice>
        </mc:AlternateContent>
        <mc:AlternateContent xmlns:mc="http://schemas.openxmlformats.org/markup-compatibility/2006">
          <mc:Choice Requires="x14">
            <control shapeId="12324" r:id="rId26" name="Button 36">
              <controlPr defaultSize="0" print="0" autoFill="0" autoPict="0" macro="[0]!LabelandHide">
                <anchor moveWithCells="1" sizeWithCells="1">
                  <from>
                    <xdr:col>27</xdr:col>
                    <xdr:colOff>19050</xdr:colOff>
                    <xdr:row>18</xdr:row>
                    <xdr:rowOff>76200</xdr:rowOff>
                  </from>
                  <to>
                    <xdr:col>29</xdr:col>
                    <xdr:colOff>0</xdr:colOff>
                    <xdr:row>19</xdr:row>
                    <xdr:rowOff>95250</xdr:rowOff>
                  </to>
                </anchor>
              </controlPr>
            </control>
          </mc:Choice>
        </mc:AlternateContent>
        <mc:AlternateContent xmlns:mc="http://schemas.openxmlformats.org/markup-compatibility/2006">
          <mc:Choice Requires="x14">
            <control shapeId="12325" r:id="rId27" name="Button 37">
              <controlPr defaultSize="0" print="0" autoFill="0" autoPict="0" macro="[0]!UnhideID_From_Chromatogram">
                <anchor moveWithCells="1" sizeWithCells="1">
                  <from>
                    <xdr:col>25</xdr:col>
                    <xdr:colOff>9525</xdr:colOff>
                    <xdr:row>21</xdr:row>
                    <xdr:rowOff>104775</xdr:rowOff>
                  </from>
                  <to>
                    <xdr:col>25</xdr:col>
                    <xdr:colOff>600075</xdr:colOff>
                    <xdr:row>22</xdr:row>
                    <xdr:rowOff>123825</xdr:rowOff>
                  </to>
                </anchor>
              </controlPr>
            </control>
          </mc:Choice>
        </mc:AlternateContent>
        <mc:AlternateContent xmlns:mc="http://schemas.openxmlformats.org/markup-compatibility/2006">
          <mc:Choice Requires="x14">
            <control shapeId="12326" r:id="rId28"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12327" r:id="rId29" name="Button 39">
              <controlPr defaultSize="0" print="0" autoFill="0" autoPict="0" macro="[0]!UnhideAll_From_Chromatogram">
                <anchor moveWithCells="1" sizeWithCells="1">
                  <from>
                    <xdr:col>27</xdr:col>
                    <xdr:colOff>19050</xdr:colOff>
                    <xdr:row>21</xdr:row>
                    <xdr:rowOff>104775</xdr:rowOff>
                  </from>
                  <to>
                    <xdr:col>29</xdr:col>
                    <xdr:colOff>0</xdr:colOff>
                    <xdr:row>22</xdr:row>
                    <xdr:rowOff>123825</xdr:rowOff>
                  </to>
                </anchor>
              </controlPr>
            </control>
          </mc:Choice>
        </mc:AlternateContent>
        <mc:AlternateContent xmlns:mc="http://schemas.openxmlformats.org/markup-compatibility/2006">
          <mc:Choice Requires="x14">
            <control shapeId="12332" r:id="rId30" name="Button 44">
              <controlPr defaultSize="0" print="0" autoFill="0" autoPict="0" macro="[0]!ChromatogramsUnlabel">
                <anchor moveWithCells="1" sizeWithCells="1">
                  <from>
                    <xdr:col>26</xdr:col>
                    <xdr:colOff>0</xdr:colOff>
                    <xdr:row>21</xdr:row>
                    <xdr:rowOff>104775</xdr:rowOff>
                  </from>
                  <to>
                    <xdr:col>27</xdr:col>
                    <xdr:colOff>19050</xdr:colOff>
                    <xdr:row>22</xdr:row>
                    <xdr:rowOff>123825</xdr:rowOff>
                  </to>
                </anchor>
              </controlPr>
            </control>
          </mc:Choice>
        </mc:AlternateContent>
        <mc:AlternateContent xmlns:mc="http://schemas.openxmlformats.org/markup-compatibility/2006">
          <mc:Choice Requires="x14">
            <control shapeId="12333" r:id="rId31" name="Button 45">
              <controlPr defaultSize="0" print="0" autoFill="0" autoPict="0" macro="[0]!ChromatogramsKillLabels">
                <anchor moveWithCells="1" sizeWithCells="1">
                  <from>
                    <xdr:col>27</xdr:col>
                    <xdr:colOff>9525</xdr:colOff>
                    <xdr:row>13</xdr:row>
                    <xdr:rowOff>152400</xdr:rowOff>
                  </from>
                  <to>
                    <xdr:col>29</xdr:col>
                    <xdr:colOff>9525</xdr:colOff>
                    <xdr:row>15</xdr:row>
                    <xdr:rowOff>28575</xdr:rowOff>
                  </to>
                </anchor>
              </controlPr>
            </control>
          </mc:Choice>
        </mc:AlternateContent>
        <mc:AlternateContent xmlns:mc="http://schemas.openxmlformats.org/markup-compatibility/2006">
          <mc:Choice Requires="x14">
            <control shapeId="12334" r:id="rId32" name="Button 46">
              <controlPr defaultSize="0" print="0" autoFill="0" autoPict="0" macro="[0]!ChromatogramsKillAllLabels">
                <anchor moveWithCells="1" sizeWithCells="1">
                  <from>
                    <xdr:col>27</xdr:col>
                    <xdr:colOff>9525</xdr:colOff>
                    <xdr:row>15</xdr:row>
                    <xdr:rowOff>38100</xdr:rowOff>
                  </from>
                  <to>
                    <xdr:col>29</xdr:col>
                    <xdr:colOff>0</xdr:colOff>
                    <xdr:row>16</xdr:row>
                    <xdr:rowOff>104775</xdr:rowOff>
                  </to>
                </anchor>
              </controlPr>
            </control>
          </mc:Choice>
        </mc:AlternateContent>
        <mc:AlternateContent xmlns:mc="http://schemas.openxmlformats.org/markup-compatibility/2006">
          <mc:Choice Requires="x14">
            <control shapeId="12335" r:id="rId33" name="Button 1">
              <controlPr defaultSize="0" print="0" autoFill="0" autoPict="0" macro="[0]!GenerateUVGrid">
                <anchor moveWithCells="1" sizeWithCells="1">
                  <from>
                    <xdr:col>25</xdr:col>
                    <xdr:colOff>9525</xdr:colOff>
                    <xdr:row>34</xdr:row>
                    <xdr:rowOff>142875</xdr:rowOff>
                  </from>
                  <to>
                    <xdr:col>29</xdr:col>
                    <xdr:colOff>0</xdr:colOff>
                    <xdr:row>36</xdr:row>
                    <xdr:rowOff>0</xdr:rowOff>
                  </to>
                </anchor>
              </controlPr>
            </control>
          </mc:Choice>
        </mc:AlternateContent>
        <mc:AlternateContent xmlns:mc="http://schemas.openxmlformats.org/markup-compatibility/2006">
          <mc:Choice Requires="x14">
            <control shapeId="12336" r:id="rId34" name="Check Box 41">
              <controlPr defaultSize="0" autoFill="0" autoLine="0" autoPict="0">
                <anchor moveWithCells="1">
                  <from>
                    <xdr:col>25</xdr:col>
                    <xdr:colOff>9525</xdr:colOff>
                    <xdr:row>12</xdr:row>
                    <xdr:rowOff>85725</xdr:rowOff>
                  </from>
                  <to>
                    <xdr:col>25</xdr:col>
                    <xdr:colOff>600075</xdr:colOff>
                    <xdr:row>13</xdr:row>
                    <xdr:rowOff>85725</xdr:rowOff>
                  </to>
                </anchor>
              </controlPr>
            </control>
          </mc:Choice>
        </mc:AlternateContent>
        <mc:AlternateContent xmlns:mc="http://schemas.openxmlformats.org/markup-compatibility/2006">
          <mc:Choice Requires="x14">
            <control shapeId="12337" r:id="rId35" name="Check Box 42">
              <controlPr defaultSize="0" autoFill="0" autoLine="0" autoPict="0">
                <anchor moveWithCells="1">
                  <from>
                    <xdr:col>25</xdr:col>
                    <xdr:colOff>600075</xdr:colOff>
                    <xdr:row>12</xdr:row>
                    <xdr:rowOff>85725</xdr:rowOff>
                  </from>
                  <to>
                    <xdr:col>26</xdr:col>
                    <xdr:colOff>581025</xdr:colOff>
                    <xdr:row>13</xdr:row>
                    <xdr:rowOff>85725</xdr:rowOff>
                  </to>
                </anchor>
              </controlPr>
            </control>
          </mc:Choice>
        </mc:AlternateContent>
        <mc:AlternateContent xmlns:mc="http://schemas.openxmlformats.org/markup-compatibility/2006">
          <mc:Choice Requires="x14">
            <control shapeId="12338" r:id="rId36" name="Check Box 43">
              <controlPr defaultSize="0" autoFill="0" autoLine="0" autoPict="0">
                <anchor moveWithCells="1">
                  <from>
                    <xdr:col>27</xdr:col>
                    <xdr:colOff>0</xdr:colOff>
                    <xdr:row>12</xdr:row>
                    <xdr:rowOff>85725</xdr:rowOff>
                  </from>
                  <to>
                    <xdr:col>27</xdr:col>
                    <xdr:colOff>590550</xdr:colOff>
                    <xdr:row>13</xdr:row>
                    <xdr:rowOff>85725</xdr:rowOff>
                  </to>
                </anchor>
              </controlPr>
            </control>
          </mc:Choice>
        </mc:AlternateContent>
        <mc:AlternateContent xmlns:mc="http://schemas.openxmlformats.org/markup-compatibility/2006">
          <mc:Choice Requires="x14">
            <control shapeId="12341" r:id="rId37" name="Option Button 53">
              <controlPr defaultSize="0" autoFill="0" autoLine="0" autoPict="0">
                <anchor moveWithCells="1">
                  <from>
                    <xdr:col>24</xdr:col>
                    <xdr:colOff>600075</xdr:colOff>
                    <xdr:row>27</xdr:row>
                    <xdr:rowOff>0</xdr:rowOff>
                  </from>
                  <to>
                    <xdr:col>26</xdr:col>
                    <xdr:colOff>600075</xdr:colOff>
                    <xdr:row>28</xdr:row>
                    <xdr:rowOff>9525</xdr:rowOff>
                  </to>
                </anchor>
              </controlPr>
            </control>
          </mc:Choice>
        </mc:AlternateContent>
        <mc:AlternateContent xmlns:mc="http://schemas.openxmlformats.org/markup-compatibility/2006">
          <mc:Choice Requires="x14">
            <control shapeId="12342" r:id="rId38" name="Option Button 54">
              <controlPr defaultSize="0" autoFill="0" autoLine="0" autoPict="0">
                <anchor moveWithCells="1">
                  <from>
                    <xdr:col>24</xdr:col>
                    <xdr:colOff>600075</xdr:colOff>
                    <xdr:row>28</xdr:row>
                    <xdr:rowOff>0</xdr:rowOff>
                  </from>
                  <to>
                    <xdr:col>26</xdr:col>
                    <xdr:colOff>600075</xdr:colOff>
                    <xdr:row>29</xdr:row>
                    <xdr:rowOff>9525</xdr:rowOff>
                  </to>
                </anchor>
              </controlPr>
            </control>
          </mc:Choice>
        </mc:AlternateContent>
        <mc:AlternateContent xmlns:mc="http://schemas.openxmlformats.org/markup-compatibility/2006">
          <mc:Choice Requires="x14">
            <control shapeId="12343" r:id="rId39" name="Option Button 55">
              <controlPr defaultSize="0" autoFill="0" autoLine="0" autoPict="0">
                <anchor moveWithCells="1">
                  <from>
                    <xdr:col>24</xdr:col>
                    <xdr:colOff>600075</xdr:colOff>
                    <xdr:row>29</xdr:row>
                    <xdr:rowOff>9525</xdr:rowOff>
                  </from>
                  <to>
                    <xdr:col>26</xdr:col>
                    <xdr:colOff>600075</xdr:colOff>
                    <xdr:row>30</xdr:row>
                    <xdr:rowOff>9525</xdr:rowOff>
                  </to>
                </anchor>
              </controlPr>
            </control>
          </mc:Choice>
        </mc:AlternateContent>
        <mc:AlternateContent xmlns:mc="http://schemas.openxmlformats.org/markup-compatibility/2006">
          <mc:Choice Requires="x14">
            <control shapeId="12344" r:id="rId40" name="Option Button 56">
              <controlPr defaultSize="0" autoFill="0" autoLine="0" autoPict="0">
                <anchor moveWithCells="1">
                  <from>
                    <xdr:col>24</xdr:col>
                    <xdr:colOff>600075</xdr:colOff>
                    <xdr:row>30</xdr:row>
                    <xdr:rowOff>19050</xdr:rowOff>
                  </from>
                  <to>
                    <xdr:col>26</xdr:col>
                    <xdr:colOff>600075</xdr:colOff>
                    <xdr:row>31</xdr:row>
                    <xdr:rowOff>19050</xdr:rowOff>
                  </to>
                </anchor>
              </controlPr>
            </control>
          </mc:Choice>
        </mc:AlternateContent>
        <mc:AlternateContent xmlns:mc="http://schemas.openxmlformats.org/markup-compatibility/2006">
          <mc:Choice Requires="x14">
            <control shapeId="12346" r:id="rId41" name="Button 58">
              <controlPr defaultSize="0" print="0" autoFill="0" autoPict="0" macro="[0]!NextClass">
                <anchor moveWithCells="1" sizeWithCells="1">
                  <from>
                    <xdr:col>27</xdr:col>
                    <xdr:colOff>304800</xdr:colOff>
                    <xdr:row>17</xdr:row>
                    <xdr:rowOff>9525</xdr:rowOff>
                  </from>
                  <to>
                    <xdr:col>28</xdr:col>
                    <xdr:colOff>600075</xdr:colOff>
                    <xdr:row>18</xdr:row>
                    <xdr:rowOff>0</xdr:rowOff>
                  </to>
                </anchor>
              </controlPr>
            </control>
          </mc:Choice>
        </mc:AlternateContent>
        <mc:AlternateContent xmlns:mc="http://schemas.openxmlformats.org/markup-compatibility/2006">
          <mc:Choice Requires="x14">
            <control shapeId="12347" r:id="rId42" name="Check Box 59">
              <controlPr defaultSize="0" autoFill="0" autoLine="0" autoPict="0">
                <anchor moveWithCells="1">
                  <from>
                    <xdr:col>27</xdr:col>
                    <xdr:colOff>9525</xdr:colOff>
                    <xdr:row>26</xdr:row>
                    <xdr:rowOff>171450</xdr:rowOff>
                  </from>
                  <to>
                    <xdr:col>29</xdr:col>
                    <xdr:colOff>9525</xdr:colOff>
                    <xdr:row>28</xdr:row>
                    <xdr:rowOff>19050</xdr:rowOff>
                  </to>
                </anchor>
              </controlPr>
            </control>
          </mc:Choice>
        </mc:AlternateContent>
        <mc:AlternateContent xmlns:mc="http://schemas.openxmlformats.org/markup-compatibility/2006">
          <mc:Choice Requires="x14">
            <control shapeId="12350" r:id="rId43" name="Button 62">
              <controlPr defaultSize="0" print="0" autoFill="0" autoPict="0" macro="[0]!UpdateUVGrid">
                <anchor moveWithCells="1" sizeWithCells="1">
                  <from>
                    <xdr:col>25</xdr:col>
                    <xdr:colOff>19050</xdr:colOff>
                    <xdr:row>31</xdr:row>
                    <xdr:rowOff>171450</xdr:rowOff>
                  </from>
                  <to>
                    <xdr:col>29</xdr:col>
                    <xdr:colOff>0</xdr:colOff>
                    <xdr:row>34</xdr:row>
                    <xdr:rowOff>57150</xdr:rowOff>
                  </to>
                </anchor>
              </controlPr>
            </control>
          </mc:Choice>
        </mc:AlternateContent>
        <mc:AlternateContent xmlns:mc="http://schemas.openxmlformats.org/markup-compatibility/2006">
          <mc:Choice Requires="x14">
            <control shapeId="12351" r:id="rId44" name="Button 63">
              <controlPr defaultSize="0" print="0" autoFill="0" autoPict="0" macro="[0]!Base_Allchromatograms">
                <anchor moveWithCells="1" sizeWithCells="1">
                  <from>
                    <xdr:col>28</xdr:col>
                    <xdr:colOff>457200</xdr:colOff>
                    <xdr:row>0</xdr:row>
                    <xdr:rowOff>57150</xdr:rowOff>
                  </from>
                  <to>
                    <xdr:col>29</xdr:col>
                    <xdr:colOff>266700</xdr:colOff>
                    <xdr:row>2</xdr:row>
                    <xdr:rowOff>66675</xdr:rowOff>
                  </to>
                </anchor>
              </controlPr>
            </control>
          </mc:Choice>
        </mc:AlternateContent>
        <mc:AlternateContent xmlns:mc="http://schemas.openxmlformats.org/markup-compatibility/2006">
          <mc:Choice Requires="x14">
            <control shapeId="12352" r:id="rId45" name="Button 64">
              <controlPr defaultSize="0" print="0" autoFill="0" autoPict="0" macro="[0]!Base_210">
                <anchor moveWithCells="1" sizeWithCells="1">
                  <from>
                    <xdr:col>28</xdr:col>
                    <xdr:colOff>457200</xdr:colOff>
                    <xdr:row>2</xdr:row>
                    <xdr:rowOff>190500</xdr:rowOff>
                  </from>
                  <to>
                    <xdr:col>29</xdr:col>
                    <xdr:colOff>266700</xdr:colOff>
                    <xdr:row>3</xdr:row>
                    <xdr:rowOff>190500</xdr:rowOff>
                  </to>
                </anchor>
              </controlPr>
            </control>
          </mc:Choice>
        </mc:AlternateContent>
        <mc:AlternateContent xmlns:mc="http://schemas.openxmlformats.org/markup-compatibility/2006">
          <mc:Choice Requires="x14">
            <control shapeId="12353" r:id="rId46" name="Button 65">
              <controlPr defaultSize="0" print="0" autoFill="0" autoPict="0" macro="[0]!Base_254">
                <anchor moveWithCells="1" sizeWithCells="1">
                  <from>
                    <xdr:col>28</xdr:col>
                    <xdr:colOff>457200</xdr:colOff>
                    <xdr:row>4</xdr:row>
                    <xdr:rowOff>200025</xdr:rowOff>
                  </from>
                  <to>
                    <xdr:col>29</xdr:col>
                    <xdr:colOff>266700</xdr:colOff>
                    <xdr:row>6</xdr:row>
                    <xdr:rowOff>0</xdr:rowOff>
                  </to>
                </anchor>
              </controlPr>
            </control>
          </mc:Choice>
        </mc:AlternateContent>
        <mc:AlternateContent xmlns:mc="http://schemas.openxmlformats.org/markup-compatibility/2006">
          <mc:Choice Requires="x14">
            <control shapeId="12356" r:id="rId47" name="Button 68">
              <controlPr defaultSize="0" print="0" autoFill="0" autoPict="0" macro="[0]!Base_Labels">
                <anchor moveWithCells="1" sizeWithCells="1">
                  <from>
                    <xdr:col>28</xdr:col>
                    <xdr:colOff>466725</xdr:colOff>
                    <xdr:row>11</xdr:row>
                    <xdr:rowOff>0</xdr:rowOff>
                  </from>
                  <to>
                    <xdr:col>29</xdr:col>
                    <xdr:colOff>276225</xdr:colOff>
                    <xdr:row>12</xdr:row>
                    <xdr:rowOff>0</xdr:rowOff>
                  </to>
                </anchor>
              </controlPr>
            </control>
          </mc:Choice>
        </mc:AlternateContent>
        <mc:AlternateContent xmlns:mc="http://schemas.openxmlformats.org/markup-compatibility/2006">
          <mc:Choice Requires="x14">
            <control shapeId="12357" r:id="rId48" name="Check Box 69">
              <controlPr defaultSize="0" autoFill="0" autoLine="0" autoPict="0">
                <anchor moveWithCells="1">
                  <from>
                    <xdr:col>27</xdr:col>
                    <xdr:colOff>209550</xdr:colOff>
                    <xdr:row>27</xdr:row>
                    <xdr:rowOff>180975</xdr:rowOff>
                  </from>
                  <to>
                    <xdr:col>29</xdr:col>
                    <xdr:colOff>0</xdr:colOff>
                    <xdr:row>29</xdr:row>
                    <xdr:rowOff>9525</xdr:rowOff>
                  </to>
                </anchor>
              </controlPr>
            </control>
          </mc:Choice>
        </mc:AlternateContent>
        <mc:AlternateContent xmlns:mc="http://schemas.openxmlformats.org/markup-compatibility/2006">
          <mc:Choice Requires="x14">
            <control shapeId="12358" r:id="rId49" name="Check Box 70">
              <controlPr defaultSize="0" autoFill="0" autoLine="0" autoPict="0">
                <anchor moveWithCells="1">
                  <from>
                    <xdr:col>27</xdr:col>
                    <xdr:colOff>209550</xdr:colOff>
                    <xdr:row>29</xdr:row>
                    <xdr:rowOff>0</xdr:rowOff>
                  </from>
                  <to>
                    <xdr:col>29</xdr:col>
                    <xdr:colOff>0</xdr:colOff>
                    <xdr:row>30</xdr:row>
                    <xdr:rowOff>19050</xdr:rowOff>
                  </to>
                </anchor>
              </controlPr>
            </control>
          </mc:Choice>
        </mc:AlternateContent>
        <mc:AlternateContent xmlns:mc="http://schemas.openxmlformats.org/markup-compatibility/2006">
          <mc:Choice Requires="x14">
            <control shapeId="12359" r:id="rId50" name="Button 71">
              <controlPr defaultSize="0" print="0" autoFill="0" autoPict="0" macro="[0]!NextTraceOne">
                <anchor moveWithCells="1" sizeWithCells="1">
                  <from>
                    <xdr:col>27</xdr:col>
                    <xdr:colOff>19050</xdr:colOff>
                    <xdr:row>19</xdr:row>
                    <xdr:rowOff>114300</xdr:rowOff>
                  </from>
                  <to>
                    <xdr:col>27</xdr:col>
                    <xdr:colOff>381000</xdr:colOff>
                    <xdr:row>21</xdr:row>
                    <xdr:rowOff>104775</xdr:rowOff>
                  </to>
                </anchor>
              </controlPr>
            </control>
          </mc:Choice>
        </mc:AlternateContent>
        <mc:AlternateContent xmlns:mc="http://schemas.openxmlformats.org/markup-compatibility/2006">
          <mc:Choice Requires="x14">
            <control shapeId="12360" r:id="rId51" name="Button 72">
              <controlPr defaultSize="0" print="0" autoFill="0" autoPict="0" macro="[0]!PreviousTraceOne">
                <anchor moveWithCells="1" sizeWithCells="1">
                  <from>
                    <xdr:col>25</xdr:col>
                    <xdr:colOff>238125</xdr:colOff>
                    <xdr:row>19</xdr:row>
                    <xdr:rowOff>114300</xdr:rowOff>
                  </from>
                  <to>
                    <xdr:col>25</xdr:col>
                    <xdr:colOff>600075</xdr:colOff>
                    <xdr:row>21</xdr:row>
                    <xdr:rowOff>95250</xdr:rowOff>
                  </to>
                </anchor>
              </controlPr>
            </control>
          </mc:Choice>
        </mc:AlternateContent>
        <mc:AlternateContent xmlns:mc="http://schemas.openxmlformats.org/markup-compatibility/2006">
          <mc:Choice Requires="x14">
            <control shapeId="12361" r:id="rId52" name="Button 73">
              <controlPr defaultSize="0" print="0" autoFill="0" autoPict="0" macro="[0]!PreviousTraceTen">
                <anchor moveWithCells="1" sizeWithCells="1">
                  <from>
                    <xdr:col>25</xdr:col>
                    <xdr:colOff>9525</xdr:colOff>
                    <xdr:row>19</xdr:row>
                    <xdr:rowOff>114300</xdr:rowOff>
                  </from>
                  <to>
                    <xdr:col>25</xdr:col>
                    <xdr:colOff>228600</xdr:colOff>
                    <xdr:row>21</xdr:row>
                    <xdr:rowOff>95250</xdr:rowOff>
                  </to>
                </anchor>
              </controlPr>
            </control>
          </mc:Choice>
        </mc:AlternateContent>
        <mc:AlternateContent xmlns:mc="http://schemas.openxmlformats.org/markup-compatibility/2006">
          <mc:Choice Requires="x14">
            <control shapeId="12362" r:id="rId53" name="Button 74">
              <controlPr defaultSize="0" print="0" autoFill="0" autoPict="0" macro="[0]!NextTraceTen">
                <anchor moveWithCells="1" sizeWithCells="1">
                  <from>
                    <xdr:col>27</xdr:col>
                    <xdr:colOff>390525</xdr:colOff>
                    <xdr:row>19</xdr:row>
                    <xdr:rowOff>114300</xdr:rowOff>
                  </from>
                  <to>
                    <xdr:col>28</xdr:col>
                    <xdr:colOff>0</xdr:colOff>
                    <xdr:row>21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400-000000000000}">
          <x14:formula1>
            <xm:f>Summary!$K$2:$K$9</xm:f>
          </x14:formula1>
          <xm:sqref>AB18</xm:sqref>
        </x14:dataValidation>
        <x14:dataValidation type="list" allowBlank="1" showInputMessage="1" xr:uid="{00000000-0002-0000-0400-000001000000}">
          <x14:formula1>
            <xm:f>Summary!$K$2:$K$29</xm:f>
          </x14:formula1>
          <xm:sqref>Z18:AA18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T1:AC27"/>
  <sheetViews>
    <sheetView zoomScaleNormal="100" workbookViewId="0">
      <selection activeCell="AA21" sqref="AA21"/>
    </sheetView>
  </sheetViews>
  <sheetFormatPr defaultColWidth="9.140625" defaultRowHeight="15" x14ac:dyDescent="0.25"/>
  <cols>
    <col min="1" max="16384" width="9.140625" style="24"/>
  </cols>
  <sheetData>
    <row r="1" spans="22:28" ht="15.75" thickBot="1" x14ac:dyDescent="0.3">
      <c r="Z1" s="42" t="s">
        <v>30</v>
      </c>
      <c r="AB1" s="42" t="s">
        <v>19</v>
      </c>
    </row>
    <row r="2" spans="22:28" ht="15.75" thickBot="1" x14ac:dyDescent="0.3">
      <c r="Z2" s="25">
        <v>1.5</v>
      </c>
      <c r="AB2" s="25">
        <v>5</v>
      </c>
    </row>
    <row r="3" spans="22:28" ht="15.75" thickBot="1" x14ac:dyDescent="0.3"/>
    <row r="4" spans="22:28" ht="15.75" thickBot="1" x14ac:dyDescent="0.3">
      <c r="AA4" s="43"/>
    </row>
    <row r="5" spans="22:28" ht="15.75" thickBot="1" x14ac:dyDescent="0.3"/>
    <row r="6" spans="22:28" ht="15.75" thickBot="1" x14ac:dyDescent="0.3">
      <c r="AA6" s="44"/>
    </row>
    <row r="8" spans="22:28" x14ac:dyDescent="0.25">
      <c r="AA8" s="23"/>
    </row>
    <row r="9" spans="22:28" x14ac:dyDescent="0.25">
      <c r="AA9" s="23"/>
    </row>
    <row r="10" spans="22:28" x14ac:dyDescent="0.25">
      <c r="AA10" s="23"/>
    </row>
    <row r="11" spans="22:28" ht="15.75" thickBot="1" x14ac:dyDescent="0.3"/>
    <row r="12" spans="22:28" ht="15.75" thickBot="1" x14ac:dyDescent="0.3">
      <c r="Z12" s="25">
        <v>100</v>
      </c>
    </row>
    <row r="13" spans="22:28" ht="15.75" thickBot="1" x14ac:dyDescent="0.3">
      <c r="V13" s="89" t="s">
        <v>116</v>
      </c>
      <c r="W13" s="1"/>
      <c r="X13" s="1"/>
      <c r="Y13" s="1"/>
    </row>
    <row r="14" spans="22:28" ht="15.75" thickBot="1" x14ac:dyDescent="0.3">
      <c r="V14" s="88" t="s">
        <v>104</v>
      </c>
      <c r="W14" s="2">
        <v>200</v>
      </c>
      <c r="X14" s="2">
        <v>500</v>
      </c>
      <c r="Y14" s="50" t="s">
        <v>83</v>
      </c>
      <c r="Z14" s="45"/>
    </row>
    <row r="15" spans="22:28" ht="15.75" thickBot="1" x14ac:dyDescent="0.3">
      <c r="Y15" s="91" t="s">
        <v>111</v>
      </c>
      <c r="Z15" s="25">
        <v>0.5</v>
      </c>
      <c r="AA15" s="25">
        <v>10</v>
      </c>
      <c r="AB15" s="47" t="s">
        <v>108</v>
      </c>
    </row>
    <row r="16" spans="22:28" ht="15.75" thickBot="1" x14ac:dyDescent="0.3">
      <c r="V16" s="42" t="s">
        <v>114</v>
      </c>
      <c r="W16" s="42" t="s">
        <v>115</v>
      </c>
      <c r="X16" s="42" t="s">
        <v>109</v>
      </c>
      <c r="Y16" s="92" t="s">
        <v>113</v>
      </c>
      <c r="Z16" s="25">
        <v>200</v>
      </c>
      <c r="AA16" s="25">
        <v>600</v>
      </c>
      <c r="AB16" s="47" t="s">
        <v>83</v>
      </c>
    </row>
    <row r="17" spans="20:29" ht="15.75" thickBot="1" x14ac:dyDescent="0.3">
      <c r="V17" s="25">
        <v>-20</v>
      </c>
      <c r="W17" s="25">
        <v>20</v>
      </c>
      <c r="X17" s="25">
        <v>4</v>
      </c>
      <c r="Y17" s="47" t="s">
        <v>83</v>
      </c>
    </row>
    <row r="18" spans="20:29" ht="15.75" thickBot="1" x14ac:dyDescent="0.3">
      <c r="Z18" s="90"/>
      <c r="AA18" s="90"/>
      <c r="AB18" s="46"/>
    </row>
    <row r="19" spans="20:29" ht="15.75" thickBot="1" x14ac:dyDescent="0.3">
      <c r="V19" s="25">
        <v>-20</v>
      </c>
      <c r="W19" s="25">
        <v>20</v>
      </c>
      <c r="X19" s="25">
        <v>5</v>
      </c>
      <c r="Y19" s="47" t="s">
        <v>19</v>
      </c>
    </row>
    <row r="20" spans="20:29" ht="15.75" thickBot="1" x14ac:dyDescent="0.3"/>
    <row r="21" spans="20:29" ht="15.75" thickBot="1" x14ac:dyDescent="0.3">
      <c r="V21" s="93">
        <v>0.9</v>
      </c>
      <c r="W21" s="93">
        <v>1.1000000000000001</v>
      </c>
      <c r="X21" s="25">
        <v>0.05</v>
      </c>
      <c r="Y21" s="47" t="s">
        <v>30</v>
      </c>
      <c r="AA21" s="25">
        <v>0</v>
      </c>
    </row>
    <row r="23" spans="20:29" x14ac:dyDescent="0.25">
      <c r="T23" s="47" t="s">
        <v>112</v>
      </c>
      <c r="U23" s="47" t="s">
        <v>9</v>
      </c>
      <c r="V23" s="47" t="s">
        <v>111</v>
      </c>
      <c r="W23" s="47" t="s">
        <v>90</v>
      </c>
      <c r="Z23" s="47"/>
      <c r="AC23" s="47" t="s">
        <v>130</v>
      </c>
    </row>
    <row r="25" spans="20:29" x14ac:dyDescent="0.25">
      <c r="Z25" s="46"/>
      <c r="AA25" s="41"/>
    </row>
    <row r="27" spans="20:29" x14ac:dyDescent="0.25">
      <c r="Z27" s="47"/>
      <c r="AB27" s="47"/>
    </row>
  </sheetData>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16448" r:id="rId3" name="ListBox1">
          <controlPr defaultSize="0" autoLine="0" autoPict="0" r:id="rId4">
            <anchor moveWithCells="1">
              <from>
                <xdr:col>18</xdr:col>
                <xdr:colOff>552450</xdr:colOff>
                <xdr:row>23</xdr:row>
                <xdr:rowOff>9525</xdr:rowOff>
              </from>
              <to>
                <xdr:col>28</xdr:col>
                <xdr:colOff>542925</xdr:colOff>
                <xdr:row>35</xdr:row>
                <xdr:rowOff>180975</xdr:rowOff>
              </to>
            </anchor>
          </controlPr>
        </control>
      </mc:Choice>
      <mc:Fallback>
        <control shapeId="16448" r:id="rId3" name="ListBox1"/>
      </mc:Fallback>
    </mc:AlternateContent>
    <mc:AlternateContent xmlns:mc="http://schemas.openxmlformats.org/markup-compatibility/2006">
      <mc:Choice Requires="x14">
        <control shapeId="16385" r:id="rId5"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16386" r:id="rId6"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16387" r:id="rId7"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16388" r:id="rId8"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16389" r:id="rId9" name="Button 5">
          <controlPr defaultSize="0" print="0" autoFill="0" autoPict="0" macro="[0]!Chromatograms_Click">
            <anchor moveWithCells="1" sizeWithCells="1">
              <from>
                <xdr:col>28</xdr:col>
                <xdr:colOff>0</xdr:colOff>
                <xdr:row>14</xdr:row>
                <xdr:rowOff>9525</xdr:rowOff>
              </from>
              <to>
                <xdr:col>29</xdr:col>
                <xdr:colOff>133350</xdr:colOff>
                <xdr:row>16</xdr:row>
                <xdr:rowOff>0</xdr:rowOff>
              </to>
            </anchor>
          </controlPr>
        </control>
      </mc:Choice>
    </mc:AlternateContent>
    <mc:AlternateContent xmlns:mc="http://schemas.openxmlformats.org/markup-compatibility/2006">
      <mc:Choice Requires="x14">
        <control shapeId="16390" r:id="rId10"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16391" r:id="rId11"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16392" r:id="rId12"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16393" r:id="rId13"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16398" r:id="rId14"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16399" r:id="rId15"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16400" r:id="rId16"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16401" r:id="rId17"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16406" r:id="rId18"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16407" r:id="rId19"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16408" r:id="rId20"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16410" r:id="rId21" name="Button 28">
          <controlPr defaultSize="0" print="0" autoFill="0" autoPict="0" macro="[0]!Reset_Allchromatograms">
            <anchor moveWithCells="1" sizeWithCells="1">
              <from>
                <xdr:col>28</xdr:col>
                <xdr:colOff>28575</xdr:colOff>
                <xdr:row>0</xdr:row>
                <xdr:rowOff>57150</xdr:rowOff>
              </from>
              <to>
                <xdr:col>28</xdr:col>
                <xdr:colOff>447675</xdr:colOff>
                <xdr:row>2</xdr:row>
                <xdr:rowOff>66675</xdr:rowOff>
              </to>
            </anchor>
          </controlPr>
        </control>
      </mc:Choice>
    </mc:AlternateContent>
    <mc:AlternateContent xmlns:mc="http://schemas.openxmlformats.org/markup-compatibility/2006">
      <mc:Choice Requires="x14">
        <control shapeId="16411" r:id="rId22" name="Button 29">
          <controlPr defaultSize="0" print="0" autoFill="0" autoPict="0" macro="[0]!Reset_210">
            <anchor moveWithCells="1" sizeWithCells="1">
              <from>
                <xdr:col>28</xdr:col>
                <xdr:colOff>28575</xdr:colOff>
                <xdr:row>2</xdr:row>
                <xdr:rowOff>190500</xdr:rowOff>
              </from>
              <to>
                <xdr:col>28</xdr:col>
                <xdr:colOff>447675</xdr:colOff>
                <xdr:row>3</xdr:row>
                <xdr:rowOff>190500</xdr:rowOff>
              </to>
            </anchor>
          </controlPr>
        </control>
      </mc:Choice>
    </mc:AlternateContent>
    <mc:AlternateContent xmlns:mc="http://schemas.openxmlformats.org/markup-compatibility/2006">
      <mc:Choice Requires="x14">
        <control shapeId="16412" r:id="rId23" name="Button 30">
          <controlPr defaultSize="0" print="0" autoFill="0" autoPict="0" macro="[0]!Reset_254">
            <anchor moveWithCells="1" sizeWithCells="1">
              <from>
                <xdr:col>28</xdr:col>
                <xdr:colOff>28575</xdr:colOff>
                <xdr:row>4</xdr:row>
                <xdr:rowOff>200025</xdr:rowOff>
              </from>
              <to>
                <xdr:col>28</xdr:col>
                <xdr:colOff>447675</xdr:colOff>
                <xdr:row>6</xdr:row>
                <xdr:rowOff>0</xdr:rowOff>
              </to>
            </anchor>
          </controlPr>
        </control>
      </mc:Choice>
    </mc:AlternateContent>
    <mc:AlternateContent xmlns:mc="http://schemas.openxmlformats.org/markup-compatibility/2006">
      <mc:Choice Requires="x14">
        <control shapeId="16415" r:id="rId24" name="Button 33">
          <controlPr defaultSize="0" print="0" autoFill="0" autoPict="0" macro="[0]!Reset_Labels">
            <anchor moveWithCells="1" sizeWithCells="1">
              <from>
                <xdr:col>28</xdr:col>
                <xdr:colOff>28575</xdr:colOff>
                <xdr:row>11</xdr:row>
                <xdr:rowOff>0</xdr:rowOff>
              </from>
              <to>
                <xdr:col>28</xdr:col>
                <xdr:colOff>447675</xdr:colOff>
                <xdr:row>12</xdr:row>
                <xdr:rowOff>0</xdr:rowOff>
              </to>
            </anchor>
          </controlPr>
        </control>
      </mc:Choice>
    </mc:AlternateContent>
    <mc:AlternateContent xmlns:mc="http://schemas.openxmlformats.org/markup-compatibility/2006">
      <mc:Choice Requires="x14">
        <control shapeId="16420" r:id="rId25"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16426" r:id="rId26" name="Check Box 41">
          <controlPr defaultSize="0" autoFill="0" autoLine="0" autoPict="0">
            <anchor moveWithCells="1">
              <from>
                <xdr:col>25</xdr:col>
                <xdr:colOff>9525</xdr:colOff>
                <xdr:row>12</xdr:row>
                <xdr:rowOff>85725</xdr:rowOff>
              </from>
              <to>
                <xdr:col>25</xdr:col>
                <xdr:colOff>600075</xdr:colOff>
                <xdr:row>13</xdr:row>
                <xdr:rowOff>76200</xdr:rowOff>
              </to>
            </anchor>
          </controlPr>
        </control>
      </mc:Choice>
    </mc:AlternateContent>
    <mc:AlternateContent xmlns:mc="http://schemas.openxmlformats.org/markup-compatibility/2006">
      <mc:Choice Requires="x14">
        <control shapeId="16427" r:id="rId27" name="Check Box 42">
          <controlPr defaultSize="0" autoFill="0" autoLine="0" autoPict="0">
            <anchor moveWithCells="1">
              <from>
                <xdr:col>25</xdr:col>
                <xdr:colOff>600075</xdr:colOff>
                <xdr:row>12</xdr:row>
                <xdr:rowOff>85725</xdr:rowOff>
              </from>
              <to>
                <xdr:col>26</xdr:col>
                <xdr:colOff>581025</xdr:colOff>
                <xdr:row>13</xdr:row>
                <xdr:rowOff>76200</xdr:rowOff>
              </to>
            </anchor>
          </controlPr>
        </control>
      </mc:Choice>
    </mc:AlternateContent>
    <mc:AlternateContent xmlns:mc="http://schemas.openxmlformats.org/markup-compatibility/2006">
      <mc:Choice Requires="x14">
        <control shapeId="16428" r:id="rId28" name="Check Box 43">
          <controlPr defaultSize="0" autoFill="0" autoLine="0" autoPict="0">
            <anchor moveWithCells="1">
              <from>
                <xdr:col>27</xdr:col>
                <xdr:colOff>0</xdr:colOff>
                <xdr:row>12</xdr:row>
                <xdr:rowOff>85725</xdr:rowOff>
              </from>
              <to>
                <xdr:col>27</xdr:col>
                <xdr:colOff>590550</xdr:colOff>
                <xdr:row>13</xdr:row>
                <xdr:rowOff>76200</xdr:rowOff>
              </to>
            </anchor>
          </controlPr>
        </control>
      </mc:Choice>
    </mc:AlternateContent>
    <mc:AlternateContent xmlns:mc="http://schemas.openxmlformats.org/markup-compatibility/2006">
      <mc:Choice Requires="x14">
        <control shapeId="16436" r:id="rId29" name="Button 50">
          <controlPr defaultSize="0" print="0" autoFill="0" autoPict="0" macro="[0]!Base_Allchromatograms">
            <anchor moveWithCells="1" sizeWithCells="1">
              <from>
                <xdr:col>28</xdr:col>
                <xdr:colOff>457200</xdr:colOff>
                <xdr:row>0</xdr:row>
                <xdr:rowOff>57150</xdr:rowOff>
              </from>
              <to>
                <xdr:col>29</xdr:col>
                <xdr:colOff>266700</xdr:colOff>
                <xdr:row>2</xdr:row>
                <xdr:rowOff>66675</xdr:rowOff>
              </to>
            </anchor>
          </controlPr>
        </control>
      </mc:Choice>
    </mc:AlternateContent>
    <mc:AlternateContent xmlns:mc="http://schemas.openxmlformats.org/markup-compatibility/2006">
      <mc:Choice Requires="x14">
        <control shapeId="16437" r:id="rId30" name="Button 51">
          <controlPr defaultSize="0" print="0" autoFill="0" autoPict="0" macro="[0]!Base_210">
            <anchor moveWithCells="1" sizeWithCells="1">
              <from>
                <xdr:col>28</xdr:col>
                <xdr:colOff>457200</xdr:colOff>
                <xdr:row>2</xdr:row>
                <xdr:rowOff>190500</xdr:rowOff>
              </from>
              <to>
                <xdr:col>29</xdr:col>
                <xdr:colOff>266700</xdr:colOff>
                <xdr:row>3</xdr:row>
                <xdr:rowOff>190500</xdr:rowOff>
              </to>
            </anchor>
          </controlPr>
        </control>
      </mc:Choice>
    </mc:AlternateContent>
    <mc:AlternateContent xmlns:mc="http://schemas.openxmlformats.org/markup-compatibility/2006">
      <mc:Choice Requires="x14">
        <control shapeId="16438" r:id="rId31" name="Button 52">
          <controlPr defaultSize="0" print="0" autoFill="0" autoPict="0" macro="[0]!Base_254">
            <anchor moveWithCells="1" sizeWithCells="1">
              <from>
                <xdr:col>28</xdr:col>
                <xdr:colOff>457200</xdr:colOff>
                <xdr:row>4</xdr:row>
                <xdr:rowOff>200025</xdr:rowOff>
              </from>
              <to>
                <xdr:col>29</xdr:col>
                <xdr:colOff>266700</xdr:colOff>
                <xdr:row>6</xdr:row>
                <xdr:rowOff>0</xdr:rowOff>
              </to>
            </anchor>
          </controlPr>
        </control>
      </mc:Choice>
    </mc:AlternateContent>
    <mc:AlternateContent xmlns:mc="http://schemas.openxmlformats.org/markup-compatibility/2006">
      <mc:Choice Requires="x14">
        <control shapeId="16441" r:id="rId32" name="Button 55">
          <controlPr defaultSize="0" print="0" autoFill="0" autoPict="0" macro="[0]!Base_Labels">
            <anchor moveWithCells="1" sizeWithCells="1">
              <from>
                <xdr:col>28</xdr:col>
                <xdr:colOff>466725</xdr:colOff>
                <xdr:row>11</xdr:row>
                <xdr:rowOff>0</xdr:rowOff>
              </from>
              <to>
                <xdr:col>29</xdr:col>
                <xdr:colOff>276225</xdr:colOff>
                <xdr:row>12</xdr:row>
                <xdr:rowOff>0</xdr:rowOff>
              </to>
            </anchor>
          </controlPr>
        </control>
      </mc:Choice>
    </mc:AlternateContent>
    <mc:AlternateContent xmlns:mc="http://schemas.openxmlformats.org/markup-compatibility/2006">
      <mc:Choice Requires="x14">
        <control shapeId="16444" r:id="rId33" name="Button 60">
          <controlPr defaultSize="0" print="0" autoFill="0" autoPict="0" macro="[0]!NextTraceOne">
            <anchor moveWithCells="1" sizeWithCells="1">
              <from>
                <xdr:col>27</xdr:col>
                <xdr:colOff>19050</xdr:colOff>
                <xdr:row>19</xdr:row>
                <xdr:rowOff>114300</xdr:rowOff>
              </from>
              <to>
                <xdr:col>27</xdr:col>
                <xdr:colOff>381000</xdr:colOff>
                <xdr:row>21</xdr:row>
                <xdr:rowOff>104775</xdr:rowOff>
              </to>
            </anchor>
          </controlPr>
        </control>
      </mc:Choice>
    </mc:AlternateContent>
    <mc:AlternateContent xmlns:mc="http://schemas.openxmlformats.org/markup-compatibility/2006">
      <mc:Choice Requires="x14">
        <control shapeId="16445" r:id="rId34" name="Button 61">
          <controlPr defaultSize="0" print="0" autoFill="0" autoPict="0" macro="[0]!PreviousTraceOne">
            <anchor moveWithCells="1" sizeWithCells="1">
              <from>
                <xdr:col>25</xdr:col>
                <xdr:colOff>238125</xdr:colOff>
                <xdr:row>19</xdr:row>
                <xdr:rowOff>114300</xdr:rowOff>
              </from>
              <to>
                <xdr:col>25</xdr:col>
                <xdr:colOff>600075</xdr:colOff>
                <xdr:row>21</xdr:row>
                <xdr:rowOff>95250</xdr:rowOff>
              </to>
            </anchor>
          </controlPr>
        </control>
      </mc:Choice>
    </mc:AlternateContent>
    <mc:AlternateContent xmlns:mc="http://schemas.openxmlformats.org/markup-compatibility/2006">
      <mc:Choice Requires="x14">
        <control shapeId="16446" r:id="rId35" name="Button 62">
          <controlPr defaultSize="0" print="0" autoFill="0" autoPict="0" macro="[0]!PreviousTraceTen">
            <anchor moveWithCells="1" sizeWithCells="1">
              <from>
                <xdr:col>25</xdr:col>
                <xdr:colOff>9525</xdr:colOff>
                <xdr:row>19</xdr:row>
                <xdr:rowOff>114300</xdr:rowOff>
              </from>
              <to>
                <xdr:col>25</xdr:col>
                <xdr:colOff>228600</xdr:colOff>
                <xdr:row>21</xdr:row>
                <xdr:rowOff>95250</xdr:rowOff>
              </to>
            </anchor>
          </controlPr>
        </control>
      </mc:Choice>
    </mc:AlternateContent>
    <mc:AlternateContent xmlns:mc="http://schemas.openxmlformats.org/markup-compatibility/2006">
      <mc:Choice Requires="x14">
        <control shapeId="16447" r:id="rId36" name="Button 63">
          <controlPr defaultSize="0" print="0" autoFill="0" autoPict="0" macro="[0]!NextTraceTen">
            <anchor moveWithCells="1" sizeWithCells="1">
              <from>
                <xdr:col>27</xdr:col>
                <xdr:colOff>390525</xdr:colOff>
                <xdr:row>19</xdr:row>
                <xdr:rowOff>114300</xdr:rowOff>
              </from>
              <to>
                <xdr:col>28</xdr:col>
                <xdr:colOff>0</xdr:colOff>
                <xdr:row>21</xdr:row>
                <xdr:rowOff>104775</xdr:rowOff>
              </to>
            </anchor>
          </controlPr>
        </control>
      </mc:Choice>
    </mc:AlternateContent>
    <mc:AlternateContent xmlns:mc="http://schemas.openxmlformats.org/markup-compatibility/2006">
      <mc:Choice Requires="x14">
        <control shapeId="16450" r:id="rId37" name="Button 66">
          <controlPr defaultSize="0" print="0" autoFill="0" autoPict="0" macro="[0]!UVSearchOne">
            <anchor moveWithCells="1" sizeWithCells="1">
              <from>
                <xdr:col>25</xdr:col>
                <xdr:colOff>609600</xdr:colOff>
                <xdr:row>17</xdr:row>
                <xdr:rowOff>0</xdr:rowOff>
              </from>
              <to>
                <xdr:col>26</xdr:col>
                <xdr:colOff>609600</xdr:colOff>
                <xdr:row>19</xdr:row>
                <xdr:rowOff>9525</xdr:rowOff>
              </to>
            </anchor>
          </controlPr>
        </control>
      </mc:Choice>
    </mc:AlternateContent>
    <mc:AlternateContent xmlns:mc="http://schemas.openxmlformats.org/markup-compatibility/2006">
      <mc:Choice Requires="x14">
        <control shapeId="16451" r:id="rId38" name="Button 67">
          <controlPr defaultSize="0" print="0" autoFill="0" autoPict="0" macro="[0]!Clear_Inset">
            <anchor moveWithCells="1" sizeWithCells="1">
              <from>
                <xdr:col>27</xdr:col>
                <xdr:colOff>19050</xdr:colOff>
                <xdr:row>17</xdr:row>
                <xdr:rowOff>0</xdr:rowOff>
              </from>
              <to>
                <xdr:col>28</xdr:col>
                <xdr:colOff>0</xdr:colOff>
                <xdr:row>19</xdr:row>
                <xdr:rowOff>9525</xdr:rowOff>
              </to>
            </anchor>
          </controlPr>
        </control>
      </mc:Choice>
    </mc:AlternateContent>
    <mc:AlternateContent xmlns:mc="http://schemas.openxmlformats.org/markup-compatibility/2006">
      <mc:Choice Requires="x14">
        <control shapeId="16452" r:id="rId39" name="Button 68">
          <controlPr defaultSize="0" print="0" autoFill="0" autoPict="0" macro="[0]!KeepDbaseTrace">
            <anchor moveWithCells="1" sizeWithCells="1">
              <from>
                <xdr:col>25</xdr:col>
                <xdr:colOff>9525</xdr:colOff>
                <xdr:row>17</xdr:row>
                <xdr:rowOff>0</xdr:rowOff>
              </from>
              <to>
                <xdr:col>25</xdr:col>
                <xdr:colOff>590550</xdr:colOff>
                <xdr:row>19</xdr:row>
                <xdr:rowOff>9525</xdr:rowOff>
              </to>
            </anchor>
          </controlPr>
        </control>
      </mc:Choice>
    </mc:AlternateContent>
    <mc:AlternateContent xmlns:mc="http://schemas.openxmlformats.org/markup-compatibility/2006">
      <mc:Choice Requires="x14">
        <control shapeId="16457" r:id="rId40" name="Check Box 73">
          <controlPr defaultSize="0" autoFill="0" autoLine="0" autoPict="0">
            <anchor moveWithCells="1">
              <from>
                <xdr:col>19</xdr:col>
                <xdr:colOff>0</xdr:colOff>
                <xdr:row>16</xdr:row>
                <xdr:rowOff>0</xdr:rowOff>
              </from>
              <to>
                <xdr:col>20</xdr:col>
                <xdr:colOff>466725</xdr:colOff>
                <xdr:row>17</xdr:row>
                <xdr:rowOff>0</xdr:rowOff>
              </to>
            </anchor>
          </controlPr>
        </control>
      </mc:Choice>
    </mc:AlternateContent>
    <mc:AlternateContent xmlns:mc="http://schemas.openxmlformats.org/markup-compatibility/2006">
      <mc:Choice Requires="x14">
        <control shapeId="16458" r:id="rId41" name="Check Box 74">
          <controlPr defaultSize="0" autoFill="0" autoLine="0" autoPict="0">
            <anchor moveWithCells="1">
              <from>
                <xdr:col>19</xdr:col>
                <xdr:colOff>0</xdr:colOff>
                <xdr:row>18</xdr:row>
                <xdr:rowOff>0</xdr:rowOff>
              </from>
              <to>
                <xdr:col>20</xdr:col>
                <xdr:colOff>476250</xdr:colOff>
                <xdr:row>19</xdr:row>
                <xdr:rowOff>9525</xdr:rowOff>
              </to>
            </anchor>
          </controlPr>
        </control>
      </mc:Choice>
    </mc:AlternateContent>
    <mc:AlternateContent xmlns:mc="http://schemas.openxmlformats.org/markup-compatibility/2006">
      <mc:Choice Requires="x14">
        <control shapeId="16459" r:id="rId42" name="Check Box 75">
          <controlPr defaultSize="0" autoFill="0" autoLine="0" autoPict="0">
            <anchor moveWithCells="1">
              <from>
                <xdr:col>19</xdr:col>
                <xdr:colOff>0</xdr:colOff>
                <xdr:row>20</xdr:row>
                <xdr:rowOff>0</xdr:rowOff>
              </from>
              <to>
                <xdr:col>20</xdr:col>
                <xdr:colOff>476250</xdr:colOff>
                <xdr:row>21</xdr:row>
                <xdr:rowOff>0</xdr:rowOff>
              </to>
            </anchor>
          </controlPr>
        </control>
      </mc:Choice>
    </mc:AlternateContent>
    <mc:AlternateContent xmlns:mc="http://schemas.openxmlformats.org/markup-compatibility/2006">
      <mc:Choice Requires="x14">
        <control shapeId="16460" r:id="rId43" name="Check Box 76">
          <controlPr defaultSize="0" autoFill="0" autoLine="0" autoPict="0">
            <anchor moveWithCells="1">
              <from>
                <xdr:col>28</xdr:col>
                <xdr:colOff>9525</xdr:colOff>
                <xdr:row>17</xdr:row>
                <xdr:rowOff>0</xdr:rowOff>
              </from>
              <to>
                <xdr:col>29</xdr:col>
                <xdr:colOff>266700</xdr:colOff>
                <xdr:row>18</xdr:row>
                <xdr:rowOff>9525</xdr:rowOff>
              </to>
            </anchor>
          </controlPr>
        </control>
      </mc:Choice>
    </mc:AlternateContent>
    <mc:AlternateContent xmlns:mc="http://schemas.openxmlformats.org/markup-compatibility/2006">
      <mc:Choice Requires="x14">
        <control shapeId="16461" r:id="rId44" name="Check Box 77">
          <controlPr defaultSize="0" autoFill="0" autoLine="0" autoPict="0">
            <anchor moveWithCells="1">
              <from>
                <xdr:col>28</xdr:col>
                <xdr:colOff>9525</xdr:colOff>
                <xdr:row>18</xdr:row>
                <xdr:rowOff>0</xdr:rowOff>
              </from>
              <to>
                <xdr:col>29</xdr:col>
                <xdr:colOff>266700</xdr:colOff>
                <xdr:row>19</xdr:row>
                <xdr:rowOff>9525</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xr:uid="{00000000-0002-0000-0500-000000000000}">
          <x14:formula1>
            <xm:f>Summary!$K$2:$K$9</xm:f>
          </x14:formula1>
          <xm:sqref>AB18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HX1"/>
  <sheetViews>
    <sheetView workbookViewId="0"/>
  </sheetViews>
  <sheetFormatPr defaultRowHeight="15" x14ac:dyDescent="0.25"/>
  <cols>
    <col min="1" max="1" width="56.5703125" customWidth="1"/>
    <col min="2" max="2" width="13.28515625" customWidth="1"/>
    <col min="3" max="4" width="43.140625" customWidth="1"/>
    <col min="5" max="5" width="17.42578125" customWidth="1"/>
    <col min="232" max="232" width="23.140625" customWidth="1"/>
  </cols>
  <sheetData>
    <row r="1" spans="1:232" x14ac:dyDescent="0.25">
      <c r="A1" s="104"/>
      <c r="B1" s="5" t="s">
        <v>93</v>
      </c>
      <c r="C1" s="5" t="s">
        <v>90</v>
      </c>
      <c r="D1" s="5" t="s">
        <v>130</v>
      </c>
      <c r="E1" s="5" t="s">
        <v>92</v>
      </c>
      <c r="F1" s="84">
        <v>190</v>
      </c>
      <c r="G1" s="84">
        <v>192</v>
      </c>
      <c r="H1" s="84">
        <v>194</v>
      </c>
      <c r="I1" s="84">
        <v>196</v>
      </c>
      <c r="J1" s="84">
        <v>198</v>
      </c>
      <c r="K1" s="84">
        <v>200</v>
      </c>
      <c r="L1" s="84">
        <v>202</v>
      </c>
      <c r="M1" s="84">
        <v>204</v>
      </c>
      <c r="N1" s="84">
        <v>206</v>
      </c>
      <c r="O1" s="84">
        <v>208</v>
      </c>
      <c r="P1" s="84">
        <v>210</v>
      </c>
      <c r="Q1" s="84">
        <v>212</v>
      </c>
      <c r="R1" s="84">
        <v>214</v>
      </c>
      <c r="S1" s="84">
        <v>216</v>
      </c>
      <c r="T1" s="84">
        <v>218</v>
      </c>
      <c r="U1" s="84">
        <v>220</v>
      </c>
      <c r="V1" s="84">
        <v>222</v>
      </c>
      <c r="W1" s="84">
        <v>224</v>
      </c>
      <c r="X1" s="84">
        <v>226</v>
      </c>
      <c r="Y1" s="84">
        <v>228</v>
      </c>
      <c r="Z1" s="84">
        <v>230</v>
      </c>
      <c r="AA1" s="84">
        <v>232</v>
      </c>
      <c r="AB1" s="84">
        <v>234</v>
      </c>
      <c r="AC1" s="84">
        <v>236</v>
      </c>
      <c r="AD1" s="84">
        <v>238</v>
      </c>
      <c r="AE1" s="84">
        <v>240</v>
      </c>
      <c r="AF1" s="84">
        <v>242</v>
      </c>
      <c r="AG1" s="84">
        <v>244</v>
      </c>
      <c r="AH1" s="84">
        <v>246</v>
      </c>
      <c r="AI1" s="84">
        <v>248</v>
      </c>
      <c r="AJ1" s="84">
        <v>250</v>
      </c>
      <c r="AK1" s="84">
        <v>252</v>
      </c>
      <c r="AL1" s="84">
        <v>254</v>
      </c>
      <c r="AM1" s="84">
        <v>256</v>
      </c>
      <c r="AN1" s="84">
        <v>258</v>
      </c>
      <c r="AO1" s="84">
        <v>260</v>
      </c>
      <c r="AP1" s="84">
        <v>262</v>
      </c>
      <c r="AQ1" s="84">
        <v>264</v>
      </c>
      <c r="AR1" s="84">
        <v>266</v>
      </c>
      <c r="AS1" s="84">
        <v>268</v>
      </c>
      <c r="AT1" s="84">
        <v>270</v>
      </c>
      <c r="AU1" s="84">
        <v>272</v>
      </c>
      <c r="AV1" s="84">
        <v>274</v>
      </c>
      <c r="AW1" s="84">
        <v>276</v>
      </c>
      <c r="AX1" s="84">
        <v>278</v>
      </c>
      <c r="AY1" s="84">
        <v>280</v>
      </c>
      <c r="AZ1" s="84">
        <v>282</v>
      </c>
      <c r="BA1" s="84">
        <v>284</v>
      </c>
      <c r="BB1" s="84">
        <v>286</v>
      </c>
      <c r="BC1" s="84">
        <v>288</v>
      </c>
      <c r="BD1" s="84">
        <v>290</v>
      </c>
      <c r="BE1" s="84">
        <v>292</v>
      </c>
      <c r="BF1" s="84">
        <v>294</v>
      </c>
      <c r="BG1" s="84">
        <v>296</v>
      </c>
      <c r="BH1" s="84">
        <v>298</v>
      </c>
      <c r="BI1" s="84">
        <v>300</v>
      </c>
      <c r="BJ1" s="84">
        <v>302</v>
      </c>
      <c r="BK1" s="84">
        <v>304</v>
      </c>
      <c r="BL1" s="84">
        <v>306</v>
      </c>
      <c r="BM1" s="84">
        <v>308</v>
      </c>
      <c r="BN1" s="84">
        <v>310</v>
      </c>
      <c r="BO1" s="84">
        <v>312</v>
      </c>
      <c r="BP1" s="84">
        <v>314</v>
      </c>
      <c r="BQ1" s="84">
        <v>316</v>
      </c>
      <c r="BR1" s="84">
        <v>318</v>
      </c>
      <c r="BS1" s="84">
        <v>320</v>
      </c>
      <c r="BT1" s="84">
        <v>322</v>
      </c>
      <c r="BU1" s="84">
        <v>324</v>
      </c>
      <c r="BV1" s="84">
        <v>326</v>
      </c>
      <c r="BW1" s="84">
        <v>328</v>
      </c>
      <c r="BX1" s="84">
        <v>330</v>
      </c>
      <c r="BY1" s="84">
        <v>332</v>
      </c>
      <c r="BZ1" s="84">
        <v>334</v>
      </c>
      <c r="CA1" s="84">
        <v>336</v>
      </c>
      <c r="CB1" s="84">
        <v>338</v>
      </c>
      <c r="CC1" s="84">
        <v>340</v>
      </c>
      <c r="CD1" s="84">
        <v>342</v>
      </c>
      <c r="CE1" s="84">
        <v>344</v>
      </c>
      <c r="CF1" s="84">
        <v>346</v>
      </c>
      <c r="CG1" s="84">
        <v>348</v>
      </c>
      <c r="CH1" s="84">
        <v>350</v>
      </c>
      <c r="CI1" s="84">
        <v>352</v>
      </c>
      <c r="CJ1" s="84">
        <v>354</v>
      </c>
      <c r="CK1" s="84">
        <v>356</v>
      </c>
      <c r="CL1" s="84">
        <v>358</v>
      </c>
      <c r="CM1" s="84">
        <v>360</v>
      </c>
      <c r="CN1" s="84">
        <v>362</v>
      </c>
      <c r="CO1" s="84">
        <v>364</v>
      </c>
      <c r="CP1" s="84">
        <v>366</v>
      </c>
      <c r="CQ1" s="84">
        <v>368</v>
      </c>
      <c r="CR1" s="84">
        <v>370</v>
      </c>
      <c r="CS1" s="84">
        <v>372</v>
      </c>
      <c r="CT1" s="84">
        <v>374</v>
      </c>
      <c r="CU1" s="84">
        <v>376</v>
      </c>
      <c r="CV1" s="84">
        <v>378</v>
      </c>
      <c r="CW1" s="84">
        <v>380</v>
      </c>
      <c r="CX1" s="84">
        <v>382</v>
      </c>
      <c r="CY1" s="84">
        <v>384</v>
      </c>
      <c r="CZ1" s="84">
        <v>386</v>
      </c>
      <c r="DA1" s="84">
        <v>388</v>
      </c>
      <c r="DB1" s="84">
        <v>390</v>
      </c>
      <c r="DC1" s="84">
        <v>392</v>
      </c>
      <c r="DD1" s="84">
        <v>394</v>
      </c>
      <c r="DE1" s="84">
        <v>396</v>
      </c>
      <c r="DF1" s="84">
        <v>398</v>
      </c>
      <c r="DG1" s="84">
        <v>400</v>
      </c>
      <c r="DH1" s="84">
        <v>402</v>
      </c>
      <c r="DI1" s="84">
        <v>404</v>
      </c>
      <c r="DJ1" s="84">
        <v>406</v>
      </c>
      <c r="DK1" s="84">
        <v>408</v>
      </c>
      <c r="DL1" s="84">
        <v>410</v>
      </c>
      <c r="DM1" s="84">
        <v>412</v>
      </c>
      <c r="DN1" s="84">
        <v>414</v>
      </c>
      <c r="DO1" s="84">
        <v>416</v>
      </c>
      <c r="DP1" s="84">
        <v>418</v>
      </c>
      <c r="DQ1" s="84">
        <v>420</v>
      </c>
      <c r="DR1" s="84">
        <v>422</v>
      </c>
      <c r="DS1" s="84">
        <v>424</v>
      </c>
      <c r="DT1" s="84">
        <v>426</v>
      </c>
      <c r="DU1" s="84">
        <v>428</v>
      </c>
      <c r="DV1" s="84">
        <v>430</v>
      </c>
      <c r="DW1" s="84">
        <v>432</v>
      </c>
      <c r="DX1" s="84">
        <v>434</v>
      </c>
      <c r="DY1" s="84">
        <v>436</v>
      </c>
      <c r="DZ1" s="84">
        <v>438</v>
      </c>
      <c r="EA1" s="84">
        <v>440</v>
      </c>
      <c r="EB1" s="84">
        <v>442</v>
      </c>
      <c r="EC1" s="84">
        <v>444</v>
      </c>
      <c r="ED1" s="84">
        <v>446</v>
      </c>
      <c r="EE1" s="84">
        <v>448</v>
      </c>
      <c r="EF1" s="84">
        <v>450</v>
      </c>
      <c r="EG1" s="84">
        <v>452</v>
      </c>
      <c r="EH1" s="84">
        <v>454</v>
      </c>
      <c r="EI1" s="84">
        <v>456</v>
      </c>
      <c r="EJ1" s="84">
        <v>458</v>
      </c>
      <c r="EK1" s="84">
        <v>460</v>
      </c>
      <c r="EL1" s="84">
        <v>462</v>
      </c>
      <c r="EM1" s="84">
        <v>464</v>
      </c>
      <c r="EN1" s="84">
        <v>466</v>
      </c>
      <c r="EO1" s="84">
        <v>468</v>
      </c>
      <c r="EP1" s="84">
        <v>470</v>
      </c>
      <c r="EQ1" s="84">
        <v>472</v>
      </c>
      <c r="ER1" s="84">
        <v>474</v>
      </c>
      <c r="ES1" s="84">
        <v>476</v>
      </c>
      <c r="ET1" s="84">
        <v>478</v>
      </c>
      <c r="EU1" s="84">
        <v>480</v>
      </c>
      <c r="EV1" s="84">
        <v>482</v>
      </c>
      <c r="EW1" s="84">
        <v>484</v>
      </c>
      <c r="EX1" s="84">
        <v>486</v>
      </c>
      <c r="EY1" s="84">
        <v>488</v>
      </c>
      <c r="EZ1" s="84">
        <v>490</v>
      </c>
      <c r="FA1" s="84">
        <v>492</v>
      </c>
      <c r="FB1" s="84">
        <v>494</v>
      </c>
      <c r="FC1" s="84">
        <v>496</v>
      </c>
      <c r="FD1" s="84">
        <v>498</v>
      </c>
      <c r="FE1" s="84">
        <v>500</v>
      </c>
      <c r="FF1" s="84">
        <v>502</v>
      </c>
      <c r="FG1" s="84">
        <v>504</v>
      </c>
      <c r="FH1" s="84">
        <v>506</v>
      </c>
      <c r="FI1" s="84">
        <v>508</v>
      </c>
      <c r="FJ1" s="84">
        <v>510</v>
      </c>
      <c r="FK1" s="84">
        <v>512</v>
      </c>
      <c r="FL1" s="84">
        <v>514</v>
      </c>
      <c r="FM1" s="84">
        <v>516</v>
      </c>
      <c r="FN1" s="84">
        <v>518</v>
      </c>
      <c r="FO1" s="84">
        <v>520</v>
      </c>
      <c r="FP1" s="84">
        <v>522</v>
      </c>
      <c r="FQ1" s="84">
        <v>524</v>
      </c>
      <c r="FR1" s="84">
        <v>526</v>
      </c>
      <c r="FS1" s="84">
        <v>528</v>
      </c>
      <c r="FT1" s="84">
        <v>530</v>
      </c>
      <c r="FU1" s="84">
        <v>532</v>
      </c>
      <c r="FV1" s="84">
        <v>534</v>
      </c>
      <c r="FW1" s="84">
        <v>536</v>
      </c>
      <c r="FX1" s="84">
        <v>538</v>
      </c>
      <c r="FY1" s="84">
        <v>540</v>
      </c>
      <c r="FZ1" s="84">
        <v>542</v>
      </c>
      <c r="GA1" s="84">
        <v>544</v>
      </c>
      <c r="GB1" s="84">
        <v>546</v>
      </c>
      <c r="GC1" s="84">
        <v>548</v>
      </c>
      <c r="GD1" s="84">
        <v>550</v>
      </c>
      <c r="GE1" s="84">
        <v>552</v>
      </c>
      <c r="GF1" s="84">
        <v>554</v>
      </c>
      <c r="GG1" s="84">
        <v>556</v>
      </c>
      <c r="GH1" s="84">
        <v>558</v>
      </c>
      <c r="GI1" s="84">
        <v>560</v>
      </c>
      <c r="GJ1" s="84">
        <v>562</v>
      </c>
      <c r="GK1" s="84">
        <v>564</v>
      </c>
      <c r="GL1" s="84">
        <v>566</v>
      </c>
      <c r="GM1" s="84">
        <v>568</v>
      </c>
      <c r="GN1" s="84">
        <v>570</v>
      </c>
      <c r="GO1" s="84">
        <v>572</v>
      </c>
      <c r="GP1" s="84">
        <v>574</v>
      </c>
      <c r="GQ1" s="84">
        <v>576</v>
      </c>
      <c r="GR1" s="84">
        <v>578</v>
      </c>
      <c r="GS1" s="84">
        <v>580</v>
      </c>
      <c r="GT1" s="84">
        <v>582</v>
      </c>
      <c r="GU1" s="84">
        <v>584</v>
      </c>
      <c r="GV1" s="84">
        <v>586</v>
      </c>
      <c r="GW1" s="84">
        <v>588</v>
      </c>
      <c r="GX1" s="84">
        <v>590</v>
      </c>
      <c r="GY1" s="84">
        <v>592</v>
      </c>
      <c r="GZ1" s="84">
        <v>594</v>
      </c>
      <c r="HA1" s="84">
        <v>596</v>
      </c>
      <c r="HB1" s="84">
        <v>598</v>
      </c>
      <c r="HC1" s="84">
        <v>600</v>
      </c>
      <c r="HD1" s="84">
        <v>602</v>
      </c>
      <c r="HE1" s="84">
        <v>604</v>
      </c>
      <c r="HF1" s="84">
        <v>606</v>
      </c>
      <c r="HG1" s="84">
        <v>608</v>
      </c>
      <c r="HH1" s="84">
        <v>610</v>
      </c>
      <c r="HI1" s="84">
        <v>612</v>
      </c>
      <c r="HJ1" s="84">
        <v>614</v>
      </c>
      <c r="HK1" s="84">
        <v>616</v>
      </c>
      <c r="HL1" s="84">
        <v>618</v>
      </c>
      <c r="HM1" s="84">
        <v>620</v>
      </c>
      <c r="HN1" s="84">
        <v>622</v>
      </c>
      <c r="HO1" s="84">
        <v>624</v>
      </c>
      <c r="HP1" s="84">
        <v>626</v>
      </c>
      <c r="HQ1" s="84">
        <v>628</v>
      </c>
      <c r="HR1" s="84">
        <v>630</v>
      </c>
      <c r="HS1" s="84">
        <v>632</v>
      </c>
      <c r="HT1" s="84">
        <v>634</v>
      </c>
      <c r="HU1" s="84">
        <v>636</v>
      </c>
      <c r="HV1" s="84">
        <v>638</v>
      </c>
      <c r="HW1" s="84">
        <v>640</v>
      </c>
      <c r="HX1" s="5" t="s">
        <v>97</v>
      </c>
    </row>
  </sheetData>
  <autoFilter ref="B1:HX1" xr:uid="{00000000-0009-0000-0000-00000600000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DbaseLoad">
                <anchor moveWithCells="1" sizeWithCells="1">
                  <from>
                    <xdr:col>0</xdr:col>
                    <xdr:colOff>1390650</xdr:colOff>
                    <xdr:row>4</xdr:row>
                    <xdr:rowOff>180975</xdr:rowOff>
                  </from>
                  <to>
                    <xdr:col>0</xdr:col>
                    <xdr:colOff>2371725</xdr:colOff>
                    <xdr:row>7</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DbaseAppend">
                <anchor moveWithCells="1" sizeWithCells="1">
                  <from>
                    <xdr:col>0</xdr:col>
                    <xdr:colOff>1390650</xdr:colOff>
                    <xdr:row>8</xdr:row>
                    <xdr:rowOff>0</xdr:rowOff>
                  </from>
                  <to>
                    <xdr:col>0</xdr:col>
                    <xdr:colOff>2371725</xdr:colOff>
                    <xdr:row>10</xdr:row>
                    <xdr:rowOff>9525</xdr:rowOff>
                  </to>
                </anchor>
              </controlPr>
            </control>
          </mc:Choice>
        </mc:AlternateContent>
        <mc:AlternateContent xmlns:mc="http://schemas.openxmlformats.org/markup-compatibility/2006">
          <mc:Choice Requires="x14">
            <control shapeId="14339" r:id="rId5" name="Button 3">
              <controlPr defaultSize="0" print="0" autoFill="0" autoPict="0" macro="[0]!DbaseSave">
                <anchor moveWithCells="1" sizeWithCells="1">
                  <from>
                    <xdr:col>0</xdr:col>
                    <xdr:colOff>1390650</xdr:colOff>
                    <xdr:row>11</xdr:row>
                    <xdr:rowOff>0</xdr:rowOff>
                  </from>
                  <to>
                    <xdr:col>0</xdr:col>
                    <xdr:colOff>2371725</xdr:colOff>
                    <xdr:row>13</xdr:row>
                    <xdr:rowOff>9525</xdr:rowOff>
                  </to>
                </anchor>
              </controlPr>
            </control>
          </mc:Choice>
        </mc:AlternateContent>
        <mc:AlternateContent xmlns:mc="http://schemas.openxmlformats.org/markup-compatibility/2006">
          <mc:Choice Requires="x14">
            <control shapeId="14340" r:id="rId6" name="Button 4">
              <controlPr defaultSize="0" print="0" autoFill="0" autoPict="0" macro="[0]!DbaseClear">
                <anchor moveWithCells="1" sizeWithCells="1">
                  <from>
                    <xdr:col>0</xdr:col>
                    <xdr:colOff>1390650</xdr:colOff>
                    <xdr:row>14</xdr:row>
                    <xdr:rowOff>9525</xdr:rowOff>
                  </from>
                  <to>
                    <xdr:col>0</xdr:col>
                    <xdr:colOff>2371725</xdr:colOff>
                    <xdr:row>16</xdr:row>
                    <xdr:rowOff>19050</xdr:rowOff>
                  </to>
                </anchor>
              </controlPr>
            </control>
          </mc:Choice>
        </mc:AlternateContent>
        <mc:AlternateContent xmlns:mc="http://schemas.openxmlformats.org/markup-compatibility/2006">
          <mc:Choice Requires="x14">
            <control shapeId="14341" r:id="rId7" name="Button 5">
              <controlPr defaultSize="0" print="0" autoFill="0" autoPict="0" macro="[0]!DbaseAdd">
                <anchor moveWithCells="1" sizeWithCells="1">
                  <from>
                    <xdr:col>0</xdr:col>
                    <xdr:colOff>1390650</xdr:colOff>
                    <xdr:row>1</xdr:row>
                    <xdr:rowOff>171450</xdr:rowOff>
                  </from>
                  <to>
                    <xdr:col>0</xdr:col>
                    <xdr:colOff>2371725</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U37"/>
  <sheetViews>
    <sheetView zoomScaleNormal="100" workbookViewId="0"/>
  </sheetViews>
  <sheetFormatPr defaultRowHeight="15" x14ac:dyDescent="0.25"/>
  <cols>
    <col min="1" max="10" width="11" customWidth="1"/>
  </cols>
  <sheetData>
    <row r="1" spans="1:18" x14ac:dyDescent="0.25">
      <c r="A1" s="117"/>
      <c r="B1" s="118"/>
      <c r="C1" s="118"/>
      <c r="D1" s="118"/>
      <c r="E1" s="118"/>
      <c r="F1" s="118"/>
      <c r="G1" s="118"/>
      <c r="H1" s="119"/>
      <c r="I1" s="119"/>
      <c r="J1" s="119"/>
      <c r="K1" s="120"/>
      <c r="L1" s="120"/>
      <c r="M1" s="120"/>
      <c r="N1" s="120"/>
      <c r="O1" s="120"/>
      <c r="P1" s="53" t="s">
        <v>94</v>
      </c>
    </row>
    <row r="2" spans="1:18" x14ac:dyDescent="0.25">
      <c r="A2" s="118"/>
      <c r="B2" s="117"/>
      <c r="C2" s="117"/>
      <c r="D2" s="117"/>
      <c r="E2" s="117"/>
      <c r="F2" s="117"/>
      <c r="G2" s="117"/>
      <c r="H2" s="117"/>
      <c r="I2" s="117"/>
      <c r="J2" s="117"/>
      <c r="K2" s="120"/>
      <c r="L2" s="120"/>
      <c r="M2" s="120"/>
      <c r="N2" s="120"/>
      <c r="O2" s="120"/>
    </row>
    <row r="3" spans="1:18" x14ac:dyDescent="0.25">
      <c r="A3" s="118"/>
      <c r="B3" s="117"/>
      <c r="C3" s="117"/>
      <c r="D3" s="117"/>
      <c r="E3" s="117"/>
      <c r="F3" s="117"/>
      <c r="G3" s="117"/>
      <c r="H3" s="117"/>
      <c r="I3" s="117"/>
      <c r="J3" s="117"/>
      <c r="K3" s="120"/>
      <c r="L3" s="120"/>
      <c r="M3" s="120"/>
      <c r="N3" s="120"/>
      <c r="O3" s="120"/>
    </row>
    <row r="4" spans="1:18" ht="15.75" thickBot="1" x14ac:dyDescent="0.3">
      <c r="A4" s="118"/>
      <c r="B4" s="117"/>
      <c r="C4" s="117"/>
      <c r="D4" s="117"/>
      <c r="E4" s="117"/>
      <c r="F4" s="117"/>
      <c r="G4" s="117"/>
      <c r="H4" s="117"/>
      <c r="I4" s="117"/>
      <c r="J4" s="117"/>
      <c r="K4" s="120"/>
      <c r="L4" s="120"/>
      <c r="M4" s="120"/>
      <c r="N4" s="120"/>
      <c r="O4" s="120"/>
    </row>
    <row r="5" spans="1:18" ht="15.75" thickBot="1" x14ac:dyDescent="0.3">
      <c r="A5" s="118"/>
      <c r="B5" s="117"/>
      <c r="C5" s="117"/>
      <c r="D5" s="117"/>
      <c r="E5" s="117"/>
      <c r="F5" s="117"/>
      <c r="G5" s="117"/>
      <c r="H5" s="117"/>
      <c r="I5" s="117"/>
      <c r="J5" s="117"/>
      <c r="K5" s="120"/>
      <c r="L5" s="120"/>
      <c r="M5" s="120"/>
      <c r="N5" s="120"/>
      <c r="O5" s="120"/>
      <c r="P5" s="62" t="s">
        <v>32</v>
      </c>
      <c r="Q5" s="49"/>
      <c r="R5" s="2">
        <v>1</v>
      </c>
    </row>
    <row r="6" spans="1:18" ht="15.75" thickBot="1" x14ac:dyDescent="0.3">
      <c r="A6" s="118"/>
      <c r="B6" s="117"/>
      <c r="C6" s="117"/>
      <c r="D6" s="117"/>
      <c r="E6" s="117"/>
      <c r="F6" s="117"/>
      <c r="G6" s="117"/>
      <c r="H6" s="117"/>
      <c r="I6" s="117"/>
      <c r="J6" s="117"/>
      <c r="K6" s="120"/>
      <c r="L6" s="120"/>
      <c r="M6" s="120"/>
      <c r="N6" s="120"/>
      <c r="O6" s="120"/>
      <c r="P6" s="62" t="s">
        <v>0</v>
      </c>
      <c r="Q6" s="49"/>
      <c r="R6" s="2">
        <v>1</v>
      </c>
    </row>
    <row r="7" spans="1:18" ht="15.75" thickBot="1" x14ac:dyDescent="0.3">
      <c r="A7" s="118"/>
      <c r="B7" s="117"/>
      <c r="C7" s="117"/>
      <c r="D7" s="117"/>
      <c r="E7" s="117"/>
      <c r="F7" s="117"/>
      <c r="G7" s="117"/>
      <c r="H7" s="117"/>
      <c r="I7" s="117"/>
      <c r="J7" s="117"/>
      <c r="K7" s="120"/>
      <c r="L7" s="120"/>
      <c r="M7" s="120"/>
      <c r="N7" s="120"/>
      <c r="O7" s="120"/>
      <c r="P7" s="62" t="s">
        <v>1</v>
      </c>
      <c r="Q7" s="49"/>
      <c r="R7" s="2">
        <v>1</v>
      </c>
    </row>
    <row r="8" spans="1:18" ht="15.75" thickBot="1" x14ac:dyDescent="0.3">
      <c r="A8" s="119"/>
      <c r="B8" s="117"/>
      <c r="C8" s="117"/>
      <c r="D8" s="117"/>
      <c r="E8" s="117"/>
      <c r="F8" s="117"/>
      <c r="G8" s="117"/>
      <c r="H8" s="117"/>
      <c r="I8" s="117"/>
      <c r="J8" s="117"/>
      <c r="K8" s="120"/>
      <c r="L8" s="120"/>
      <c r="M8" s="120"/>
      <c r="N8" s="120"/>
      <c r="O8" s="120"/>
      <c r="P8" s="62" t="s">
        <v>2</v>
      </c>
      <c r="Q8" s="49"/>
      <c r="R8" s="2"/>
    </row>
    <row r="9" spans="1:18" ht="15.75" thickBot="1" x14ac:dyDescent="0.3">
      <c r="A9" s="119"/>
      <c r="B9" s="117"/>
      <c r="C9" s="117"/>
      <c r="D9" s="117"/>
      <c r="E9" s="117"/>
      <c r="F9" s="117"/>
      <c r="G9" s="117"/>
      <c r="H9" s="117"/>
      <c r="I9" s="117"/>
      <c r="J9" s="117"/>
      <c r="K9" s="120"/>
      <c r="L9" s="120"/>
      <c r="M9" s="120"/>
      <c r="N9" s="120"/>
      <c r="O9" s="120"/>
      <c r="P9" s="62" t="s">
        <v>3</v>
      </c>
      <c r="Q9" s="49"/>
      <c r="R9" s="2"/>
    </row>
    <row r="10" spans="1:18" ht="15.75" thickBot="1" x14ac:dyDescent="0.3">
      <c r="A10" s="119"/>
      <c r="B10" s="117"/>
      <c r="C10" s="117"/>
      <c r="D10" s="117"/>
      <c r="E10" s="117"/>
      <c r="F10" s="117"/>
      <c r="G10" s="117"/>
      <c r="H10" s="117"/>
      <c r="I10" s="117"/>
      <c r="J10" s="117"/>
      <c r="K10" s="120"/>
      <c r="L10" s="120"/>
      <c r="M10" s="120"/>
      <c r="N10" s="120"/>
      <c r="O10" s="120"/>
      <c r="P10" s="62" t="s">
        <v>14</v>
      </c>
      <c r="Q10" s="49"/>
      <c r="R10" s="2"/>
    </row>
    <row r="11" spans="1:18" ht="15.75" thickBot="1" x14ac:dyDescent="0.3">
      <c r="A11" s="120"/>
      <c r="B11" s="120"/>
      <c r="C11" s="120"/>
      <c r="D11" s="120"/>
      <c r="E11" s="120"/>
      <c r="F11" s="120"/>
      <c r="G11" s="120"/>
      <c r="H11" s="120"/>
      <c r="I11" s="120"/>
      <c r="J11" s="120"/>
      <c r="K11" s="120"/>
      <c r="L11" s="120"/>
      <c r="M11" s="120"/>
      <c r="N11" s="120"/>
      <c r="O11" s="120"/>
      <c r="P11" s="62"/>
      <c r="Q11" s="49"/>
      <c r="R11" s="2"/>
    </row>
    <row r="12" spans="1:18" ht="15.75" thickBot="1" x14ac:dyDescent="0.3">
      <c r="A12" s="120"/>
      <c r="B12" s="120"/>
      <c r="C12" s="120"/>
      <c r="D12" s="120"/>
      <c r="E12" s="120"/>
      <c r="F12" s="120"/>
      <c r="G12" s="120"/>
      <c r="H12" s="120"/>
      <c r="I12" s="120"/>
      <c r="J12" s="120"/>
      <c r="K12" s="120"/>
      <c r="L12" s="120"/>
      <c r="M12" s="120"/>
      <c r="N12" s="120"/>
      <c r="O12" s="120"/>
      <c r="P12" s="62"/>
      <c r="Q12" s="49"/>
      <c r="R12" s="2"/>
    </row>
    <row r="13" spans="1:18" ht="15.75" thickBot="1" x14ac:dyDescent="0.3">
      <c r="A13" s="121"/>
      <c r="B13" s="120"/>
      <c r="C13" s="120"/>
      <c r="D13" s="118"/>
      <c r="E13" s="118"/>
      <c r="F13" s="122"/>
      <c r="G13" s="53" t="s">
        <v>96</v>
      </c>
      <c r="H13" s="54"/>
      <c r="I13" s="54"/>
      <c r="J13" s="54"/>
      <c r="K13" s="54"/>
      <c r="L13" s="54"/>
      <c r="M13" s="54"/>
      <c r="N13" s="54"/>
      <c r="O13" s="85"/>
      <c r="P13" s="62" t="s">
        <v>9</v>
      </c>
      <c r="Q13" s="49"/>
      <c r="R13" s="2"/>
    </row>
    <row r="14" spans="1:18" ht="15.75" thickBot="1" x14ac:dyDescent="0.3">
      <c r="A14" s="120"/>
      <c r="B14" s="120"/>
      <c r="C14" s="120"/>
      <c r="D14" s="119"/>
      <c r="E14" s="119"/>
      <c r="F14" s="120"/>
      <c r="G14" s="124" t="s">
        <v>105</v>
      </c>
      <c r="H14" s="1"/>
      <c r="I14" s="1"/>
      <c r="J14" s="87" t="s">
        <v>103</v>
      </c>
      <c r="K14" s="1"/>
      <c r="L14" s="89" t="s">
        <v>106</v>
      </c>
      <c r="M14" s="1"/>
      <c r="N14" s="1"/>
      <c r="O14" s="1"/>
      <c r="P14" s="62"/>
      <c r="Q14" s="49"/>
      <c r="R14" s="2"/>
    </row>
    <row r="15" spans="1:18" ht="15.75" thickBot="1" x14ac:dyDescent="0.3">
      <c r="A15" s="120"/>
      <c r="B15" s="120"/>
      <c r="C15" s="120"/>
      <c r="D15" s="120"/>
      <c r="E15" s="120"/>
      <c r="F15" s="120"/>
      <c r="G15" s="125" t="s">
        <v>102</v>
      </c>
      <c r="H15" s="4"/>
      <c r="I15" s="49"/>
      <c r="J15" s="2">
        <v>500</v>
      </c>
      <c r="K15" s="1"/>
      <c r="L15" s="88" t="s">
        <v>104</v>
      </c>
      <c r="M15" s="2">
        <v>200</v>
      </c>
      <c r="N15" s="2">
        <v>500</v>
      </c>
      <c r="O15" s="50" t="s">
        <v>83</v>
      </c>
      <c r="P15" s="62" t="s">
        <v>12</v>
      </c>
      <c r="Q15" s="49"/>
      <c r="R15" s="2">
        <v>1</v>
      </c>
    </row>
    <row r="16" spans="1:18" ht="15.75" thickBot="1" x14ac:dyDescent="0.3">
      <c r="A16" s="123"/>
      <c r="B16" s="120"/>
      <c r="C16" s="120"/>
      <c r="D16" s="120"/>
      <c r="E16" s="120"/>
      <c r="F16" s="120"/>
      <c r="G16" s="125" t="s">
        <v>98</v>
      </c>
      <c r="H16" s="4"/>
      <c r="I16" s="49"/>
      <c r="J16" s="2">
        <v>1.5</v>
      </c>
      <c r="K16" s="1"/>
      <c r="L16" s="1"/>
      <c r="M16" s="1"/>
      <c r="N16" s="1"/>
      <c r="O16" s="1"/>
      <c r="P16" s="62" t="s">
        <v>6</v>
      </c>
      <c r="Q16" s="49"/>
      <c r="R16" s="2">
        <v>1</v>
      </c>
    </row>
    <row r="17" spans="1:20" ht="15.75" thickBot="1" x14ac:dyDescent="0.3">
      <c r="A17" s="120"/>
      <c r="B17" s="120"/>
      <c r="C17" s="120"/>
      <c r="D17" s="120"/>
      <c r="E17" s="120"/>
      <c r="F17" s="120"/>
      <c r="G17" s="125" t="s">
        <v>99</v>
      </c>
      <c r="H17" s="4"/>
      <c r="I17" s="49"/>
      <c r="J17" s="2">
        <v>300</v>
      </c>
      <c r="K17" s="1"/>
      <c r="L17" s="1"/>
      <c r="M17" s="1"/>
      <c r="N17" s="1"/>
      <c r="O17" s="1"/>
      <c r="P17" s="62" t="s">
        <v>15</v>
      </c>
      <c r="Q17" s="49"/>
      <c r="R17" s="2"/>
    </row>
    <row r="18" spans="1:20" ht="15.75" thickBot="1" x14ac:dyDescent="0.3">
      <c r="A18" s="59"/>
      <c r="B18" s="60"/>
      <c r="C18" s="60"/>
      <c r="D18" s="60"/>
      <c r="E18" s="60"/>
      <c r="F18" s="60"/>
      <c r="G18" s="125" t="s">
        <v>100</v>
      </c>
      <c r="H18" s="4"/>
      <c r="I18" s="49"/>
      <c r="J18" s="2">
        <v>300</v>
      </c>
      <c r="K18" s="1"/>
      <c r="L18" s="1"/>
      <c r="M18" s="1"/>
      <c r="N18" s="1"/>
      <c r="O18" s="1"/>
      <c r="P18" s="62" t="s">
        <v>4</v>
      </c>
      <c r="Q18" s="49"/>
      <c r="R18" s="2">
        <v>1</v>
      </c>
    </row>
    <row r="19" spans="1:20" ht="15.75" thickBot="1" x14ac:dyDescent="0.3">
      <c r="A19" s="53" t="s">
        <v>87</v>
      </c>
      <c r="B19" s="54"/>
      <c r="C19" s="54"/>
      <c r="D19" s="54"/>
      <c r="E19" s="54"/>
      <c r="F19" s="54"/>
      <c r="G19" s="125" t="s">
        <v>101</v>
      </c>
      <c r="H19" s="4"/>
      <c r="I19" s="49"/>
      <c r="J19" s="2">
        <v>10</v>
      </c>
      <c r="K19" s="88" t="s">
        <v>110</v>
      </c>
      <c r="L19" s="2">
        <v>2</v>
      </c>
      <c r="M19" s="88" t="s">
        <v>109</v>
      </c>
      <c r="N19" s="2">
        <v>2</v>
      </c>
      <c r="O19" s="86"/>
      <c r="P19" s="62"/>
      <c r="Q19" s="49"/>
      <c r="R19" s="2"/>
    </row>
    <row r="20" spans="1:20" ht="15.75" thickBot="1" x14ac:dyDescent="0.3">
      <c r="A20" s="55"/>
      <c r="B20" s="1"/>
      <c r="C20" s="1"/>
      <c r="D20" s="1"/>
      <c r="E20" s="1"/>
      <c r="F20" s="1"/>
      <c r="G20" s="126"/>
      <c r="H20" s="1"/>
      <c r="I20" s="1"/>
      <c r="J20" s="1"/>
      <c r="K20" s="1"/>
      <c r="L20" s="1"/>
      <c r="M20" s="1"/>
      <c r="N20" s="1"/>
      <c r="O20" s="1"/>
      <c r="P20" s="62"/>
      <c r="Q20" s="49"/>
      <c r="R20" s="2"/>
    </row>
    <row r="21" spans="1:20" ht="15.75" thickBot="1" x14ac:dyDescent="0.3">
      <c r="A21" s="57" t="s">
        <v>76</v>
      </c>
      <c r="B21" s="4"/>
      <c r="C21" s="49"/>
      <c r="D21" s="2">
        <v>5</v>
      </c>
      <c r="E21" s="50" t="s">
        <v>19</v>
      </c>
      <c r="F21" s="1"/>
      <c r="G21" s="125" t="s">
        <v>88</v>
      </c>
      <c r="H21" s="4"/>
      <c r="I21" s="49"/>
      <c r="J21" s="2">
        <v>10</v>
      </c>
      <c r="K21" s="50" t="s">
        <v>19</v>
      </c>
      <c r="L21" s="1"/>
      <c r="M21" s="1"/>
      <c r="N21" s="1"/>
      <c r="O21" s="1"/>
      <c r="P21" s="62" t="s">
        <v>31</v>
      </c>
      <c r="Q21" s="49"/>
      <c r="R21" s="2"/>
    </row>
    <row r="22" spans="1:20" ht="15.75" thickBot="1" x14ac:dyDescent="0.3">
      <c r="A22" s="57" t="s">
        <v>77</v>
      </c>
      <c r="B22" s="4"/>
      <c r="C22" s="49"/>
      <c r="D22" s="2">
        <v>0.1</v>
      </c>
      <c r="E22" s="50" t="s">
        <v>82</v>
      </c>
      <c r="F22" s="1"/>
      <c r="G22" s="125" t="s">
        <v>89</v>
      </c>
      <c r="H22" s="4"/>
      <c r="I22" s="49"/>
      <c r="J22" s="105" t="s">
        <v>43</v>
      </c>
      <c r="K22" s="106"/>
      <c r="L22" s="1"/>
      <c r="M22" s="1"/>
      <c r="N22" s="1"/>
      <c r="O22" s="56"/>
      <c r="P22" s="62" t="s">
        <v>41</v>
      </c>
      <c r="Q22" s="49"/>
      <c r="R22" s="2"/>
    </row>
    <row r="23" spans="1:20" ht="15.75" thickBot="1" x14ac:dyDescent="0.3">
      <c r="A23" s="57" t="s">
        <v>78</v>
      </c>
      <c r="B23" s="4"/>
      <c r="C23" s="49"/>
      <c r="D23" s="2">
        <v>5</v>
      </c>
      <c r="E23" s="50" t="s">
        <v>83</v>
      </c>
      <c r="F23" s="1"/>
      <c r="G23" s="126"/>
      <c r="L23" s="41"/>
      <c r="M23" s="1"/>
      <c r="N23" s="1"/>
      <c r="O23" s="56"/>
      <c r="P23" s="62" t="s">
        <v>48</v>
      </c>
      <c r="Q23" s="49"/>
      <c r="R23" s="2"/>
    </row>
    <row r="24" spans="1:20" ht="15.75" thickBot="1" x14ac:dyDescent="0.3">
      <c r="A24" s="58"/>
      <c r="B24" s="1"/>
      <c r="C24" s="1"/>
      <c r="D24" s="1"/>
      <c r="E24" s="50"/>
      <c r="F24" s="1"/>
      <c r="G24" s="127"/>
      <c r="H24" s="120"/>
      <c r="I24" s="120"/>
      <c r="J24" s="119"/>
      <c r="K24" s="1"/>
      <c r="L24" s="1"/>
      <c r="M24" s="1"/>
      <c r="N24" s="1"/>
      <c r="O24" s="56"/>
    </row>
    <row r="25" spans="1:20" ht="15.75" thickBot="1" x14ac:dyDescent="0.3">
      <c r="A25" s="57" t="s">
        <v>79</v>
      </c>
      <c r="B25" s="4"/>
      <c r="C25" s="49"/>
      <c r="D25" s="2">
        <v>5</v>
      </c>
      <c r="E25" s="50" t="s">
        <v>19</v>
      </c>
      <c r="F25" s="1"/>
      <c r="G25" s="127"/>
      <c r="H25" s="120"/>
      <c r="I25" s="120"/>
      <c r="J25" s="119"/>
      <c r="K25" s="41"/>
      <c r="L25" s="50"/>
      <c r="M25" s="1"/>
      <c r="N25" s="1"/>
      <c r="O25" s="1"/>
      <c r="P25" s="94" t="s">
        <v>128</v>
      </c>
    </row>
    <row r="26" spans="1:20" ht="15.75" thickBot="1" x14ac:dyDescent="0.3">
      <c r="A26" s="57" t="s">
        <v>80</v>
      </c>
      <c r="B26" s="4"/>
      <c r="C26" s="49"/>
      <c r="D26" s="2">
        <v>0.1</v>
      </c>
      <c r="E26" s="50" t="s">
        <v>82</v>
      </c>
      <c r="F26" s="1"/>
      <c r="G26" s="127"/>
      <c r="H26" s="120"/>
      <c r="I26" s="120"/>
      <c r="J26" s="119"/>
      <c r="K26" s="1"/>
      <c r="L26" s="1"/>
      <c r="M26" s="1"/>
      <c r="N26" s="1"/>
      <c r="O26" s="56"/>
    </row>
    <row r="27" spans="1:20" ht="15.75" thickBot="1" x14ac:dyDescent="0.3">
      <c r="A27" s="57" t="s">
        <v>81</v>
      </c>
      <c r="B27" s="4"/>
      <c r="C27" s="49"/>
      <c r="D27" s="2">
        <v>5</v>
      </c>
      <c r="E27" s="50" t="s">
        <v>83</v>
      </c>
      <c r="F27" s="1"/>
      <c r="G27" s="128"/>
      <c r="H27" s="120"/>
      <c r="I27" s="120"/>
      <c r="J27" s="120"/>
      <c r="K27" s="1"/>
      <c r="L27" s="1"/>
      <c r="M27" s="1"/>
      <c r="N27" s="1"/>
      <c r="O27" s="1"/>
      <c r="P27" s="115" t="s">
        <v>117</v>
      </c>
      <c r="Q27" s="116"/>
      <c r="R27" s="2">
        <v>100</v>
      </c>
      <c r="T27" t="s">
        <v>118</v>
      </c>
    </row>
    <row r="28" spans="1:20" ht="15.75" thickBot="1" x14ac:dyDescent="0.3">
      <c r="A28" s="57" t="s">
        <v>84</v>
      </c>
      <c r="B28" s="4"/>
      <c r="C28" s="49"/>
      <c r="D28" s="2">
        <v>1</v>
      </c>
      <c r="E28" s="50"/>
      <c r="F28" s="1"/>
      <c r="G28" s="62" t="s">
        <v>107</v>
      </c>
      <c r="H28" s="4"/>
      <c r="I28" s="49"/>
      <c r="J28" s="2">
        <v>1</v>
      </c>
      <c r="K28" s="50" t="s">
        <v>108</v>
      </c>
      <c r="L28" s="1"/>
      <c r="M28" s="1"/>
      <c r="N28" s="1"/>
      <c r="O28" s="1"/>
      <c r="P28" s="115" t="s">
        <v>1</v>
      </c>
      <c r="Q28" s="116"/>
      <c r="R28" s="2">
        <v>0</v>
      </c>
      <c r="T28" t="s">
        <v>119</v>
      </c>
    </row>
    <row r="29" spans="1:20" ht="15.75" thickBot="1" x14ac:dyDescent="0.3">
      <c r="A29" s="57" t="s">
        <v>85</v>
      </c>
      <c r="B29" s="4"/>
      <c r="C29" s="49"/>
      <c r="D29" s="2">
        <v>1</v>
      </c>
      <c r="E29" s="50"/>
      <c r="F29" s="1"/>
      <c r="G29" s="55"/>
      <c r="K29" s="1"/>
      <c r="L29" s="1"/>
      <c r="M29" s="1"/>
      <c r="N29" s="1"/>
      <c r="O29" s="1"/>
      <c r="P29" s="115" t="s">
        <v>120</v>
      </c>
      <c r="Q29" s="116"/>
      <c r="R29" s="2">
        <v>0</v>
      </c>
      <c r="S29" t="s">
        <v>19</v>
      </c>
      <c r="T29" t="s">
        <v>121</v>
      </c>
    </row>
    <row r="30" spans="1:20" ht="15.75" thickBot="1" x14ac:dyDescent="0.3">
      <c r="A30" s="58"/>
      <c r="B30" s="1"/>
      <c r="C30" s="1"/>
      <c r="D30" s="1"/>
      <c r="E30" s="50"/>
      <c r="F30" s="1"/>
      <c r="G30" s="62" t="s">
        <v>129</v>
      </c>
      <c r="H30" s="4"/>
      <c r="I30" s="49"/>
      <c r="J30" s="2">
        <v>100</v>
      </c>
      <c r="K30" s="1"/>
      <c r="L30" s="1"/>
      <c r="M30" s="1"/>
      <c r="N30" s="1"/>
      <c r="O30" s="1"/>
      <c r="P30" s="115" t="s">
        <v>31</v>
      </c>
      <c r="Q30" s="116"/>
      <c r="R30" s="2">
        <v>0</v>
      </c>
      <c r="T30" t="s">
        <v>122</v>
      </c>
    </row>
    <row r="31" spans="1:20" ht="15.75" thickBot="1" x14ac:dyDescent="0.3">
      <c r="A31" s="50"/>
      <c r="B31" s="1"/>
      <c r="C31" s="1"/>
      <c r="D31" s="41"/>
      <c r="E31" s="50"/>
      <c r="F31" s="56"/>
      <c r="G31" s="55"/>
      <c r="H31" s="1"/>
      <c r="I31" s="1"/>
      <c r="J31" s="1"/>
      <c r="K31" s="1"/>
      <c r="L31" s="1"/>
      <c r="M31" s="1"/>
      <c r="N31" s="1"/>
      <c r="O31" s="1"/>
      <c r="P31" s="113" t="s">
        <v>41</v>
      </c>
      <c r="Q31" s="114"/>
      <c r="R31" s="2">
        <v>0</v>
      </c>
      <c r="S31" t="s">
        <v>19</v>
      </c>
      <c r="T31" t="s">
        <v>123</v>
      </c>
    </row>
    <row r="32" spans="1:20" ht="15.75" thickBot="1" x14ac:dyDescent="0.3">
      <c r="A32" s="50"/>
      <c r="B32" s="1"/>
      <c r="C32" s="1"/>
      <c r="D32" s="41"/>
      <c r="E32" s="50"/>
      <c r="F32" s="56"/>
      <c r="G32" s="55"/>
      <c r="H32" s="1"/>
      <c r="I32" s="1"/>
      <c r="J32" s="1"/>
      <c r="K32" s="1"/>
      <c r="L32" s="1"/>
      <c r="M32" s="1"/>
      <c r="N32" s="1"/>
      <c r="O32" s="1"/>
      <c r="P32" s="113" t="s">
        <v>124</v>
      </c>
      <c r="Q32" s="114"/>
      <c r="R32" s="95">
        <v>0.5</v>
      </c>
      <c r="S32" t="s">
        <v>108</v>
      </c>
      <c r="T32" t="s">
        <v>125</v>
      </c>
    </row>
    <row r="33" spans="1:21" ht="15.75" thickBot="1" x14ac:dyDescent="0.3">
      <c r="A33" s="50"/>
      <c r="B33" s="1"/>
      <c r="C33" s="1"/>
      <c r="D33" s="41"/>
      <c r="E33" s="50"/>
      <c r="F33" s="56"/>
      <c r="G33" s="55"/>
      <c r="H33" s="1"/>
      <c r="I33" s="1"/>
      <c r="J33" s="1"/>
      <c r="K33" s="1"/>
      <c r="L33" s="1"/>
      <c r="M33" s="1"/>
      <c r="N33" s="1"/>
      <c r="O33" s="1"/>
      <c r="P33" s="113" t="s">
        <v>126</v>
      </c>
      <c r="Q33" s="114"/>
      <c r="R33" s="96">
        <v>14</v>
      </c>
      <c r="S33" t="s">
        <v>108</v>
      </c>
      <c r="T33" t="s">
        <v>127</v>
      </c>
    </row>
    <row r="34" spans="1:21" ht="8.25" customHeight="1" x14ac:dyDescent="0.25">
      <c r="A34" s="55"/>
      <c r="B34" s="1"/>
      <c r="C34" s="1"/>
      <c r="D34" s="1"/>
      <c r="E34" s="1"/>
      <c r="F34" s="56"/>
      <c r="G34" s="55"/>
      <c r="H34" s="1"/>
      <c r="I34" s="1"/>
      <c r="J34" s="1"/>
      <c r="K34" s="1"/>
      <c r="L34" s="1"/>
      <c r="M34" s="1"/>
      <c r="N34" s="1"/>
      <c r="O34" s="56"/>
    </row>
    <row r="35" spans="1:21" ht="15.75" thickBot="1" x14ac:dyDescent="0.3">
      <c r="A35" s="55"/>
      <c r="B35" s="1"/>
      <c r="C35" s="1"/>
      <c r="D35" s="1"/>
      <c r="E35" s="1"/>
      <c r="F35" s="56"/>
      <c r="G35" s="55"/>
      <c r="H35" s="1"/>
      <c r="I35" s="1"/>
      <c r="J35" s="1"/>
      <c r="K35" s="1"/>
      <c r="L35" s="1"/>
      <c r="M35" s="1"/>
      <c r="N35" s="1"/>
      <c r="O35" s="56"/>
      <c r="P35" s="94" t="s">
        <v>131</v>
      </c>
      <c r="T35" s="103" t="s">
        <v>132</v>
      </c>
    </row>
    <row r="36" spans="1:21" x14ac:dyDescent="0.25">
      <c r="A36" s="55"/>
      <c r="B36" s="1"/>
      <c r="C36" s="1"/>
      <c r="D36" s="1"/>
      <c r="E36" s="1"/>
      <c r="F36" s="56"/>
      <c r="G36" s="55"/>
      <c r="H36" s="1"/>
      <c r="I36" s="1"/>
      <c r="J36" s="1"/>
      <c r="K36" s="1"/>
      <c r="L36" s="1"/>
      <c r="M36" s="1"/>
      <c r="N36" s="1"/>
      <c r="O36" s="1"/>
      <c r="P36" s="97"/>
      <c r="Q36" s="98"/>
      <c r="R36" s="99"/>
      <c r="T36" s="97"/>
      <c r="U36" s="99"/>
    </row>
    <row r="37" spans="1:21" ht="15.75" thickBot="1" x14ac:dyDescent="0.3">
      <c r="A37" s="59"/>
      <c r="B37" s="60"/>
      <c r="C37" s="60"/>
      <c r="D37" s="60"/>
      <c r="E37" s="60"/>
      <c r="F37" s="61"/>
      <c r="G37" s="59"/>
      <c r="H37" s="60"/>
      <c r="I37" s="60"/>
      <c r="J37" s="60"/>
      <c r="K37" s="60"/>
      <c r="L37" s="60"/>
      <c r="M37" s="60"/>
      <c r="N37" s="60"/>
      <c r="O37" s="60"/>
      <c r="P37" s="100"/>
      <c r="Q37" s="101"/>
      <c r="R37" s="102"/>
      <c r="T37" s="100"/>
      <c r="U37" s="102"/>
    </row>
  </sheetData>
  <mergeCells count="8">
    <mergeCell ref="P31:Q31"/>
    <mergeCell ref="P32:Q32"/>
    <mergeCell ref="P33:Q33"/>
    <mergeCell ref="J22:K22"/>
    <mergeCell ref="P27:Q27"/>
    <mergeCell ref="P28:Q28"/>
    <mergeCell ref="P29:Q29"/>
    <mergeCell ref="P30:Q30"/>
  </mergeCells>
  <dataValidations disablePrompts="1" count="1">
    <dataValidation allowBlank="1" showInputMessage="1" sqref="L23" xr:uid="{00000000-0002-0000-0700-000000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UpdatePeakLabels_Peaksheet">
                <anchor moveWithCells="1" sizeWithCells="1">
                  <from>
                    <xdr:col>0</xdr:col>
                    <xdr:colOff>114300</xdr:colOff>
                    <xdr:row>34</xdr:row>
                    <xdr:rowOff>28575</xdr:rowOff>
                  </from>
                  <to>
                    <xdr:col>1</xdr:col>
                    <xdr:colOff>600075</xdr:colOff>
                    <xdr:row>35</xdr:row>
                    <xdr:rowOff>161925</xdr:rowOff>
                  </to>
                </anchor>
              </controlPr>
            </control>
          </mc:Choice>
        </mc:AlternateContent>
        <mc:AlternateContent xmlns:mc="http://schemas.openxmlformats.org/markup-compatibility/2006">
          <mc:Choice Requires="x14">
            <control shapeId="2052" r:id="rId5" name="Check Box 4">
              <controlPr defaultSize="0" autoFill="0" autoLine="0" autoPict="0">
                <anchor moveWithCells="1">
                  <from>
                    <xdr:col>11</xdr:col>
                    <xdr:colOff>9525</xdr:colOff>
                    <xdr:row>20</xdr:row>
                    <xdr:rowOff>0</xdr:rowOff>
                  </from>
                  <to>
                    <xdr:col>13</xdr:col>
                    <xdr:colOff>581025</xdr:colOff>
                    <xdr:row>21</xdr:row>
                    <xdr:rowOff>0</xdr:rowOff>
                  </to>
                </anchor>
              </controlPr>
            </control>
          </mc:Choice>
        </mc:AlternateContent>
        <mc:AlternateContent xmlns:mc="http://schemas.openxmlformats.org/markup-compatibility/2006">
          <mc:Choice Requires="x14">
            <control shapeId="2053" r:id="rId6" name="Check Box 5">
              <controlPr defaultSize="0" autoFill="0" autoLine="0" autoPict="0">
                <anchor moveWithCells="1">
                  <from>
                    <xdr:col>11</xdr:col>
                    <xdr:colOff>0</xdr:colOff>
                    <xdr:row>23</xdr:row>
                    <xdr:rowOff>9525</xdr:rowOff>
                  </from>
                  <to>
                    <xdr:col>13</xdr:col>
                    <xdr:colOff>600075</xdr:colOff>
                    <xdr:row>24</xdr:row>
                    <xdr:rowOff>9525</xdr:rowOff>
                  </to>
                </anchor>
              </controlPr>
            </control>
          </mc:Choice>
        </mc:AlternateContent>
        <mc:AlternateContent xmlns:mc="http://schemas.openxmlformats.org/markup-compatibility/2006">
          <mc:Choice Requires="x14">
            <control shapeId="2054" r:id="rId7" name="Check Box 6">
              <controlPr defaultSize="0" autoFill="0" autoLine="0" autoPict="0">
                <anchor moveWithCells="1">
                  <from>
                    <xdr:col>11</xdr:col>
                    <xdr:colOff>0</xdr:colOff>
                    <xdr:row>24</xdr:row>
                    <xdr:rowOff>9525</xdr:rowOff>
                  </from>
                  <to>
                    <xdr:col>13</xdr:col>
                    <xdr:colOff>600075</xdr:colOff>
                    <xdr:row>25</xdr:row>
                    <xdr:rowOff>9525</xdr:rowOff>
                  </to>
                </anchor>
              </controlPr>
            </control>
          </mc:Choice>
        </mc:AlternateContent>
        <mc:AlternateContent xmlns:mc="http://schemas.openxmlformats.org/markup-compatibility/2006">
          <mc:Choice Requires="x14">
            <control shapeId="2055" r:id="rId8" name="Check Box 7">
              <controlPr defaultSize="0" autoFill="0" autoLine="0" autoPict="0">
                <anchor moveWithCells="1">
                  <from>
                    <xdr:col>15</xdr:col>
                    <xdr:colOff>28575</xdr:colOff>
                    <xdr:row>1</xdr:row>
                    <xdr:rowOff>180975</xdr:rowOff>
                  </from>
                  <to>
                    <xdr:col>17</xdr:col>
                    <xdr:colOff>600075</xdr:colOff>
                    <xdr:row>3</xdr:row>
                    <xdr:rowOff>0</xdr:rowOff>
                  </to>
                </anchor>
              </controlPr>
            </control>
          </mc:Choice>
        </mc:AlternateContent>
        <mc:AlternateContent xmlns:mc="http://schemas.openxmlformats.org/markup-compatibility/2006">
          <mc:Choice Requires="x14">
            <control shapeId="2056" r:id="rId9" name="Option Button 8">
              <controlPr defaultSize="0" autoFill="0" autoLine="0" autoPict="0">
                <anchor moveWithCells="1">
                  <from>
                    <xdr:col>8</xdr:col>
                    <xdr:colOff>247650</xdr:colOff>
                    <xdr:row>14</xdr:row>
                    <xdr:rowOff>0</xdr:rowOff>
                  </from>
                  <to>
                    <xdr:col>8</xdr:col>
                    <xdr:colOff>466725</xdr:colOff>
                    <xdr:row>15</xdr:row>
                    <xdr:rowOff>0</xdr:rowOff>
                  </to>
                </anchor>
              </controlPr>
            </control>
          </mc:Choice>
        </mc:AlternateContent>
        <mc:AlternateContent xmlns:mc="http://schemas.openxmlformats.org/markup-compatibility/2006">
          <mc:Choice Requires="x14">
            <control shapeId="2057" r:id="rId10" name="Option Button 9">
              <controlPr defaultSize="0" autoFill="0" autoLine="0" autoPict="0">
                <anchor moveWithCells="1">
                  <from>
                    <xdr:col>8</xdr:col>
                    <xdr:colOff>247650</xdr:colOff>
                    <xdr:row>15</xdr:row>
                    <xdr:rowOff>0</xdr:rowOff>
                  </from>
                  <to>
                    <xdr:col>8</xdr:col>
                    <xdr:colOff>466725</xdr:colOff>
                    <xdr:row>16</xdr:row>
                    <xdr:rowOff>0</xdr:rowOff>
                  </to>
                </anchor>
              </controlPr>
            </control>
          </mc:Choice>
        </mc:AlternateContent>
        <mc:AlternateContent xmlns:mc="http://schemas.openxmlformats.org/markup-compatibility/2006">
          <mc:Choice Requires="x14">
            <control shapeId="2058" r:id="rId11" name="Option Button 10">
              <controlPr defaultSize="0" autoFill="0" autoLine="0" autoPict="0">
                <anchor moveWithCells="1">
                  <from>
                    <xdr:col>8</xdr:col>
                    <xdr:colOff>247650</xdr:colOff>
                    <xdr:row>15</xdr:row>
                    <xdr:rowOff>190500</xdr:rowOff>
                  </from>
                  <to>
                    <xdr:col>8</xdr:col>
                    <xdr:colOff>466725</xdr:colOff>
                    <xdr:row>16</xdr:row>
                    <xdr:rowOff>190500</xdr:rowOff>
                  </to>
                </anchor>
              </controlPr>
            </control>
          </mc:Choice>
        </mc:AlternateContent>
        <mc:AlternateContent xmlns:mc="http://schemas.openxmlformats.org/markup-compatibility/2006">
          <mc:Choice Requires="x14">
            <control shapeId="2059" r:id="rId12" name="Option Button 11">
              <controlPr defaultSize="0" autoFill="0" autoLine="0" autoPict="0">
                <anchor moveWithCells="1">
                  <from>
                    <xdr:col>8</xdr:col>
                    <xdr:colOff>247650</xdr:colOff>
                    <xdr:row>16</xdr:row>
                    <xdr:rowOff>180975</xdr:rowOff>
                  </from>
                  <to>
                    <xdr:col>8</xdr:col>
                    <xdr:colOff>466725</xdr:colOff>
                    <xdr:row>17</xdr:row>
                    <xdr:rowOff>180975</xdr:rowOff>
                  </to>
                </anchor>
              </controlPr>
            </control>
          </mc:Choice>
        </mc:AlternateContent>
        <mc:AlternateContent xmlns:mc="http://schemas.openxmlformats.org/markup-compatibility/2006">
          <mc:Choice Requires="x14">
            <control shapeId="2060" r:id="rId13" name="Option Button 12">
              <controlPr defaultSize="0" autoFill="0" autoLine="0" autoPict="0">
                <anchor moveWithCells="1">
                  <from>
                    <xdr:col>8</xdr:col>
                    <xdr:colOff>247650</xdr:colOff>
                    <xdr:row>17</xdr:row>
                    <xdr:rowOff>190500</xdr:rowOff>
                  </from>
                  <to>
                    <xdr:col>8</xdr:col>
                    <xdr:colOff>466725</xdr:colOff>
                    <xdr:row>18</xdr:row>
                    <xdr:rowOff>190500</xdr:rowOff>
                  </to>
                </anchor>
              </controlPr>
            </control>
          </mc:Choice>
        </mc:AlternateContent>
        <mc:AlternateContent xmlns:mc="http://schemas.openxmlformats.org/markup-compatibility/2006">
          <mc:Choice Requires="x14">
            <control shapeId="2061" r:id="rId14" name="Check Box 13">
              <controlPr defaultSize="0" autoFill="0" autoLine="0" autoPict="0">
                <anchor moveWithCells="1">
                  <from>
                    <xdr:col>11</xdr:col>
                    <xdr:colOff>0</xdr:colOff>
                    <xdr:row>25</xdr:row>
                    <xdr:rowOff>9525</xdr:rowOff>
                  </from>
                  <to>
                    <xdr:col>14</xdr:col>
                    <xdr:colOff>276225</xdr:colOff>
                    <xdr:row>26</xdr:row>
                    <xdr:rowOff>19050</xdr:rowOff>
                  </to>
                </anchor>
              </controlPr>
            </control>
          </mc:Choice>
        </mc:AlternateContent>
        <mc:AlternateContent xmlns:mc="http://schemas.openxmlformats.org/markup-compatibility/2006">
          <mc:Choice Requires="x14">
            <control shapeId="2063" r:id="rId15" name="Check Box 15">
              <controlPr defaultSize="0" autoFill="0" autoLine="0" autoPict="0">
                <anchor moveWithCells="1">
                  <from>
                    <xdr:col>11</xdr:col>
                    <xdr:colOff>0</xdr:colOff>
                    <xdr:row>26</xdr:row>
                    <xdr:rowOff>190500</xdr:rowOff>
                  </from>
                  <to>
                    <xdr:col>14</xdr:col>
                    <xdr:colOff>38100</xdr:colOff>
                    <xdr:row>28</xdr:row>
                    <xdr:rowOff>0</xdr:rowOff>
                  </to>
                </anchor>
              </controlPr>
            </control>
          </mc:Choice>
        </mc:AlternateContent>
        <mc:AlternateContent xmlns:mc="http://schemas.openxmlformats.org/markup-compatibility/2006">
          <mc:Choice Requires="x14">
            <control shapeId="2064" r:id="rId16" name="Check Box 16">
              <controlPr defaultSize="0" autoFill="0" autoLine="0" autoPict="0">
                <anchor moveWithCells="1">
                  <from>
                    <xdr:col>11</xdr:col>
                    <xdr:colOff>0</xdr:colOff>
                    <xdr:row>27</xdr:row>
                    <xdr:rowOff>190500</xdr:rowOff>
                  </from>
                  <to>
                    <xdr:col>14</xdr:col>
                    <xdr:colOff>38100</xdr:colOff>
                    <xdr:row>29</xdr:row>
                    <xdr:rowOff>0</xdr:rowOff>
                  </to>
                </anchor>
              </controlPr>
            </control>
          </mc:Choice>
        </mc:AlternateContent>
        <mc:AlternateContent xmlns:mc="http://schemas.openxmlformats.org/markup-compatibility/2006">
          <mc:Choice Requires="x14">
            <control shapeId="2065" r:id="rId17" name="Check Box 17">
              <controlPr defaultSize="0" autoFill="0" autoLine="0" autoPict="0">
                <anchor moveWithCells="1">
                  <from>
                    <xdr:col>11</xdr:col>
                    <xdr:colOff>9525</xdr:colOff>
                    <xdr:row>16</xdr:row>
                    <xdr:rowOff>104775</xdr:rowOff>
                  </from>
                  <to>
                    <xdr:col>14</xdr:col>
                    <xdr:colOff>285750</xdr:colOff>
                    <xdr:row>17</xdr:row>
                    <xdr:rowOff>114300</xdr:rowOff>
                  </to>
                </anchor>
              </controlPr>
            </control>
          </mc:Choice>
        </mc:AlternateContent>
        <mc:AlternateContent xmlns:mc="http://schemas.openxmlformats.org/markup-compatibility/2006">
          <mc:Choice Requires="x14">
            <control shapeId="2066" r:id="rId18" name="Check Box 18">
              <controlPr defaultSize="0" autoFill="0" autoLine="0" autoPict="0">
                <anchor moveWithCells="1">
                  <from>
                    <xdr:col>11</xdr:col>
                    <xdr:colOff>9525</xdr:colOff>
                    <xdr:row>15</xdr:row>
                    <xdr:rowOff>85725</xdr:rowOff>
                  </from>
                  <to>
                    <xdr:col>14</xdr:col>
                    <xdr:colOff>285750</xdr:colOff>
                    <xdr:row>16</xdr:row>
                    <xdr:rowOff>95250</xdr:rowOff>
                  </to>
                </anchor>
              </controlPr>
            </control>
          </mc:Choice>
        </mc:AlternateContent>
        <mc:AlternateContent xmlns:mc="http://schemas.openxmlformats.org/markup-compatibility/2006">
          <mc:Choice Requires="x14">
            <control shapeId="2067" r:id="rId19" name="Check Box 19">
              <controlPr defaultSize="0" autoFill="0" autoLine="0" autoPict="0">
                <anchor moveWithCells="1">
                  <from>
                    <xdr:col>15</xdr:col>
                    <xdr:colOff>9525</xdr:colOff>
                    <xdr:row>24</xdr:row>
                    <xdr:rowOff>180975</xdr:rowOff>
                  </from>
                  <to>
                    <xdr:col>17</xdr:col>
                    <xdr:colOff>581025</xdr:colOff>
                    <xdr:row>25</xdr:row>
                    <xdr:rowOff>180975</xdr:rowOff>
                  </to>
                </anchor>
              </controlPr>
            </control>
          </mc:Choice>
        </mc:AlternateContent>
        <mc:AlternateContent xmlns:mc="http://schemas.openxmlformats.org/markup-compatibility/2006">
          <mc:Choice Requires="x14">
            <control shapeId="2068" r:id="rId20" name="Option Button 20">
              <controlPr defaultSize="0" autoFill="0" autoLine="0" autoPict="0">
                <anchor moveWithCells="1" sizeWithCells="1">
                  <from>
                    <xdr:col>19</xdr:col>
                    <xdr:colOff>9525</xdr:colOff>
                    <xdr:row>35</xdr:row>
                    <xdr:rowOff>19050</xdr:rowOff>
                  </from>
                  <to>
                    <xdr:col>20</xdr:col>
                    <xdr:colOff>581025</xdr:colOff>
                    <xdr:row>35</xdr:row>
                    <xdr:rowOff>180975</xdr:rowOff>
                  </to>
                </anchor>
              </controlPr>
            </control>
          </mc:Choice>
        </mc:AlternateContent>
        <mc:AlternateContent xmlns:mc="http://schemas.openxmlformats.org/markup-compatibility/2006">
          <mc:Choice Requires="x14">
            <control shapeId="2069" r:id="rId21" name="Option Button 21">
              <controlPr defaultSize="0" autoFill="0" autoLine="0" autoPict="0">
                <anchor moveWithCells="1" sizeWithCells="1">
                  <from>
                    <xdr:col>19</xdr:col>
                    <xdr:colOff>9525</xdr:colOff>
                    <xdr:row>36</xdr:row>
                    <xdr:rowOff>19050</xdr:rowOff>
                  </from>
                  <to>
                    <xdr:col>20</xdr:col>
                    <xdr:colOff>600075</xdr:colOff>
                    <xdr:row>36</xdr:row>
                    <xdr:rowOff>171450</xdr:rowOff>
                  </to>
                </anchor>
              </controlPr>
            </control>
          </mc:Choice>
        </mc:AlternateContent>
        <mc:AlternateContent xmlns:mc="http://schemas.openxmlformats.org/markup-compatibility/2006">
          <mc:Choice Requires="x14">
            <control shapeId="2070" r:id="rId22" name="Check Box 22">
              <controlPr defaultSize="0" autoFill="0" autoLine="0" autoPict="0">
                <anchor moveWithCells="1" sizeWithCells="1">
                  <from>
                    <xdr:col>15</xdr:col>
                    <xdr:colOff>9525</xdr:colOff>
                    <xdr:row>35</xdr:row>
                    <xdr:rowOff>9525</xdr:rowOff>
                  </from>
                  <to>
                    <xdr:col>16</xdr:col>
                    <xdr:colOff>371475</xdr:colOff>
                    <xdr:row>35</xdr:row>
                    <xdr:rowOff>180975</xdr:rowOff>
                  </to>
                </anchor>
              </controlPr>
            </control>
          </mc:Choice>
        </mc:AlternateContent>
        <mc:AlternateContent xmlns:mc="http://schemas.openxmlformats.org/markup-compatibility/2006">
          <mc:Choice Requires="x14">
            <control shapeId="2071" r:id="rId23" name="Check Box 23">
              <controlPr defaultSize="0" autoFill="0" autoLine="0" autoPict="0">
                <anchor moveWithCells="1" sizeWithCells="1">
                  <from>
                    <xdr:col>15</xdr:col>
                    <xdr:colOff>9525</xdr:colOff>
                    <xdr:row>36</xdr:row>
                    <xdr:rowOff>9525</xdr:rowOff>
                  </from>
                  <to>
                    <xdr:col>16</xdr:col>
                    <xdr:colOff>371475</xdr:colOff>
                    <xdr:row>36</xdr:row>
                    <xdr:rowOff>180975</xdr:rowOff>
                  </to>
                </anchor>
              </controlPr>
            </control>
          </mc:Choice>
        </mc:AlternateContent>
        <mc:AlternateContent xmlns:mc="http://schemas.openxmlformats.org/markup-compatibility/2006">
          <mc:Choice Requires="x14">
            <control shapeId="2072" r:id="rId24" name="Check Box 24">
              <controlPr defaultSize="0" autoFill="0" autoLine="0" autoPict="0">
                <anchor moveWithCells="1" sizeWithCells="1">
                  <from>
                    <xdr:col>16</xdr:col>
                    <xdr:colOff>381000</xdr:colOff>
                    <xdr:row>35</xdr:row>
                    <xdr:rowOff>9525</xdr:rowOff>
                  </from>
                  <to>
                    <xdr:col>17</xdr:col>
                    <xdr:colOff>590550</xdr:colOff>
                    <xdr:row>35</xdr:row>
                    <xdr:rowOff>180975</xdr:rowOff>
                  </to>
                </anchor>
              </controlPr>
            </control>
          </mc:Choice>
        </mc:AlternateContent>
        <mc:AlternateContent xmlns:mc="http://schemas.openxmlformats.org/markup-compatibility/2006">
          <mc:Choice Requires="x14">
            <control shapeId="2073" r:id="rId25" name="Check Box 25">
              <controlPr defaultSize="0" autoFill="0" autoLine="0" autoPict="0">
                <anchor moveWithCells="1" sizeWithCells="1">
                  <from>
                    <xdr:col>16</xdr:col>
                    <xdr:colOff>381000</xdr:colOff>
                    <xdr:row>36</xdr:row>
                    <xdr:rowOff>9525</xdr:rowOff>
                  </from>
                  <to>
                    <xdr:col>17</xdr:col>
                    <xdr:colOff>590550</xdr:colOff>
                    <xdr:row>36</xdr:row>
                    <xdr:rowOff>171450</xdr:rowOff>
                  </to>
                </anchor>
              </controlPr>
            </control>
          </mc:Choice>
        </mc:AlternateContent>
        <mc:AlternateContent xmlns:mc="http://schemas.openxmlformats.org/markup-compatibility/2006">
          <mc:Choice Requires="x14">
            <control shapeId="2074" r:id="rId26" name="Group Box 26">
              <controlPr defaultSize="0" autoFill="0" autoPict="0">
                <anchor moveWithCells="1">
                  <from>
                    <xdr:col>18</xdr:col>
                    <xdr:colOff>600075</xdr:colOff>
                    <xdr:row>35</xdr:row>
                    <xdr:rowOff>0</xdr:rowOff>
                  </from>
                  <to>
                    <xdr:col>20</xdr:col>
                    <xdr:colOff>600075</xdr:colOff>
                    <xdr:row>36</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xr:uid="{00000000-0002-0000-0700-000001000000}">
          <x14:formula1>
            <xm:f>Summary!$K$2:$K$29</xm:f>
          </x14:formula1>
          <xm:sqref>J22:K22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F227"/>
  <sheetViews>
    <sheetView workbookViewId="0"/>
  </sheetViews>
  <sheetFormatPr defaultRowHeight="15" x14ac:dyDescent="0.25"/>
  <sheetData>
    <row r="1" spans="1:6" x14ac:dyDescent="0.25">
      <c r="A1" t="s">
        <v>137</v>
      </c>
      <c r="B1">
        <v>1</v>
      </c>
      <c r="C1">
        <v>2</v>
      </c>
      <c r="D1">
        <v>3</v>
      </c>
      <c r="E1">
        <v>4</v>
      </c>
      <c r="F1">
        <v>5</v>
      </c>
    </row>
    <row r="2" spans="1:6" x14ac:dyDescent="0.25">
      <c r="A2">
        <v>190</v>
      </c>
      <c r="B2">
        <v>3.6808040000000002</v>
      </c>
      <c r="C2">
        <v>8.594042</v>
      </c>
      <c r="D2">
        <v>10.249788000000001</v>
      </c>
      <c r="E2">
        <v>2.3500359999999998</v>
      </c>
      <c r="F2">
        <v>11.726799</v>
      </c>
    </row>
    <row r="3" spans="1:6" x14ac:dyDescent="0.25">
      <c r="A3">
        <v>192</v>
      </c>
      <c r="B3">
        <v>3.0788410000000002</v>
      </c>
      <c r="C3">
        <v>8.3970939999999992</v>
      </c>
      <c r="D3">
        <v>9.8361560000000008</v>
      </c>
      <c r="E3">
        <v>2.6813760000000002</v>
      </c>
      <c r="F3">
        <v>10.886481</v>
      </c>
    </row>
    <row r="4" spans="1:6" x14ac:dyDescent="0.25">
      <c r="A4">
        <v>194</v>
      </c>
      <c r="B4">
        <v>2.5440480000000001</v>
      </c>
      <c r="C4">
        <v>8.1962539999999997</v>
      </c>
      <c r="D4">
        <v>9.3561080000000008</v>
      </c>
      <c r="E4">
        <v>2.911556</v>
      </c>
      <c r="F4">
        <v>9.8700109999999999</v>
      </c>
    </row>
    <row r="5" spans="1:6" x14ac:dyDescent="0.25">
      <c r="A5">
        <v>196</v>
      </c>
      <c r="B5">
        <v>2.1208420000000001</v>
      </c>
      <c r="C5">
        <v>8.0697229999999998</v>
      </c>
      <c r="D5">
        <v>8.9653449999999992</v>
      </c>
      <c r="E5">
        <v>3.0146929999999998</v>
      </c>
      <c r="F5">
        <v>8.7129549999999991</v>
      </c>
    </row>
    <row r="6" spans="1:6" x14ac:dyDescent="0.25">
      <c r="A6">
        <v>198</v>
      </c>
      <c r="B6">
        <v>1.837213</v>
      </c>
      <c r="C6">
        <v>8.0921620000000001</v>
      </c>
      <c r="D6">
        <v>8.7682579999999994</v>
      </c>
      <c r="E6">
        <v>2.9682029999999999</v>
      </c>
      <c r="F6">
        <v>7.5210720000000002</v>
      </c>
    </row>
    <row r="7" spans="1:6" x14ac:dyDescent="0.25">
      <c r="A7">
        <v>200</v>
      </c>
      <c r="B7">
        <v>1.6804460000000001</v>
      </c>
      <c r="C7">
        <v>8.3952500000000008</v>
      </c>
      <c r="D7">
        <v>8.8723270000000003</v>
      </c>
      <c r="E7">
        <v>2.7850980000000001</v>
      </c>
      <c r="F7">
        <v>6.3560220000000003</v>
      </c>
    </row>
    <row r="8" spans="1:6" x14ac:dyDescent="0.25">
      <c r="A8">
        <v>202</v>
      </c>
      <c r="B8">
        <v>1.629178</v>
      </c>
      <c r="C8">
        <v>9.1064450000000008</v>
      </c>
      <c r="D8">
        <v>9.3828969999999998</v>
      </c>
      <c r="E8">
        <v>2.4709690000000002</v>
      </c>
      <c r="F8">
        <v>5.1840999999999999</v>
      </c>
    </row>
    <row r="9" spans="1:6" x14ac:dyDescent="0.25">
      <c r="A9">
        <v>204</v>
      </c>
      <c r="B9">
        <v>1.665629</v>
      </c>
      <c r="C9">
        <v>10.222663000000001</v>
      </c>
      <c r="D9">
        <v>10.275715999999999</v>
      </c>
      <c r="E9">
        <v>2.0868060000000002</v>
      </c>
      <c r="F9">
        <v>4.1807749999999997</v>
      </c>
    </row>
    <row r="10" spans="1:6" x14ac:dyDescent="0.25">
      <c r="A10">
        <v>206</v>
      </c>
      <c r="B10">
        <v>1.736291</v>
      </c>
      <c r="C10">
        <v>11.593614000000001</v>
      </c>
      <c r="D10">
        <v>11.374055</v>
      </c>
      <c r="E10">
        <v>1.695991</v>
      </c>
      <c r="F10">
        <v>3.4164919999999999</v>
      </c>
    </row>
    <row r="11" spans="1:6" x14ac:dyDescent="0.25">
      <c r="A11">
        <v>208</v>
      </c>
      <c r="B11">
        <v>1.8092649999999999</v>
      </c>
      <c r="C11">
        <v>13.084224000000001</v>
      </c>
      <c r="D11">
        <v>12.538532999999999</v>
      </c>
      <c r="E11">
        <v>1.3346849999999999</v>
      </c>
      <c r="F11">
        <v>2.8363999999999998</v>
      </c>
    </row>
    <row r="12" spans="1:6" x14ac:dyDescent="0.25">
      <c r="A12">
        <v>210</v>
      </c>
      <c r="B12">
        <v>1.869893</v>
      </c>
      <c r="C12">
        <v>14.373279</v>
      </c>
      <c r="D12">
        <v>13.504109</v>
      </c>
      <c r="E12">
        <v>1.0437730000000001</v>
      </c>
      <c r="F12">
        <v>2.4270179999999999</v>
      </c>
    </row>
    <row r="13" spans="1:6" x14ac:dyDescent="0.25">
      <c r="A13">
        <v>212</v>
      </c>
      <c r="B13">
        <v>1.903413</v>
      </c>
      <c r="C13">
        <v>15.283599000000001</v>
      </c>
      <c r="D13">
        <v>14.146281</v>
      </c>
      <c r="E13">
        <v>0.81510000000000005</v>
      </c>
      <c r="F13">
        <v>2.131173</v>
      </c>
    </row>
    <row r="14" spans="1:6" x14ac:dyDescent="0.25">
      <c r="A14">
        <v>214</v>
      </c>
      <c r="B14">
        <v>1.8834070000000001</v>
      </c>
      <c r="C14">
        <v>15.668533999999999</v>
      </c>
      <c r="D14">
        <v>14.385005</v>
      </c>
      <c r="E14">
        <v>0.62940300000000005</v>
      </c>
      <c r="F14">
        <v>1.9058139999999999</v>
      </c>
    </row>
    <row r="15" spans="1:6" x14ac:dyDescent="0.25">
      <c r="A15">
        <v>216</v>
      </c>
      <c r="B15">
        <v>1.8161050000000001</v>
      </c>
      <c r="C15">
        <v>15.531828000000001</v>
      </c>
      <c r="D15">
        <v>14.254758000000001</v>
      </c>
      <c r="E15">
        <v>0.47857300000000003</v>
      </c>
      <c r="F15">
        <v>1.7316830000000001</v>
      </c>
    </row>
    <row r="16" spans="1:6" x14ac:dyDescent="0.25">
      <c r="A16">
        <v>218</v>
      </c>
      <c r="B16">
        <v>1.7116480000000001</v>
      </c>
      <c r="C16">
        <v>15.027274999999999</v>
      </c>
      <c r="D16">
        <v>13.841009</v>
      </c>
      <c r="E16">
        <v>0.36850300000000002</v>
      </c>
      <c r="F16">
        <v>1.586514</v>
      </c>
    </row>
    <row r="17" spans="1:6" x14ac:dyDescent="0.25">
      <c r="A17">
        <v>220</v>
      </c>
      <c r="B17">
        <v>1.578058</v>
      </c>
      <c r="C17">
        <v>14.259893999999999</v>
      </c>
      <c r="D17">
        <v>13.150510000000001</v>
      </c>
      <c r="E17">
        <v>0.28940199999999999</v>
      </c>
      <c r="F17">
        <v>1.466072</v>
      </c>
    </row>
    <row r="18" spans="1:6" x14ac:dyDescent="0.25">
      <c r="A18">
        <v>222</v>
      </c>
      <c r="B18">
        <v>1.425408</v>
      </c>
      <c r="C18">
        <v>13.162872</v>
      </c>
      <c r="D18">
        <v>12.072414</v>
      </c>
      <c r="E18">
        <v>0.234265</v>
      </c>
      <c r="F18">
        <v>1.3829089999999999</v>
      </c>
    </row>
    <row r="19" spans="1:6" x14ac:dyDescent="0.25">
      <c r="A19">
        <v>224</v>
      </c>
      <c r="B19">
        <v>1.2496430000000001</v>
      </c>
      <c r="C19">
        <v>11.614891</v>
      </c>
      <c r="D19">
        <v>10.550362</v>
      </c>
      <c r="E19">
        <v>0.19945199999999999</v>
      </c>
      <c r="F19">
        <v>1.327008</v>
      </c>
    </row>
    <row r="20" spans="1:6" x14ac:dyDescent="0.25">
      <c r="A20">
        <v>226</v>
      </c>
      <c r="B20">
        <v>1.0720879999999999</v>
      </c>
      <c r="C20">
        <v>9.815842</v>
      </c>
      <c r="D20">
        <v>8.8201769999999993</v>
      </c>
      <c r="E20">
        <v>0.176931</v>
      </c>
      <c r="F20">
        <v>1.295415</v>
      </c>
    </row>
    <row r="21" spans="1:6" x14ac:dyDescent="0.25">
      <c r="A21">
        <v>228</v>
      </c>
      <c r="B21">
        <v>0.91384600000000005</v>
      </c>
      <c r="C21">
        <v>8.1178609999999995</v>
      </c>
      <c r="D21">
        <v>7.1799840000000001</v>
      </c>
      <c r="E21">
        <v>0.156389</v>
      </c>
      <c r="F21">
        <v>1.2871079999999999</v>
      </c>
    </row>
    <row r="22" spans="1:6" x14ac:dyDescent="0.25">
      <c r="A22">
        <v>230</v>
      </c>
      <c r="B22">
        <v>0.80341499999999999</v>
      </c>
      <c r="C22">
        <v>6.8917190000000002</v>
      </c>
      <c r="D22">
        <v>5.9403819999999996</v>
      </c>
      <c r="E22">
        <v>0.13581599999999999</v>
      </c>
      <c r="F22">
        <v>1.2979780000000001</v>
      </c>
    </row>
    <row r="23" spans="1:6" x14ac:dyDescent="0.25">
      <c r="A23">
        <v>232</v>
      </c>
      <c r="B23">
        <v>0.73330700000000004</v>
      </c>
      <c r="C23">
        <v>6.112698</v>
      </c>
      <c r="D23">
        <v>5.0952770000000003</v>
      </c>
      <c r="E23">
        <v>0.11822199999999999</v>
      </c>
      <c r="F23">
        <v>1.323912</v>
      </c>
    </row>
    <row r="24" spans="1:6" x14ac:dyDescent="0.25">
      <c r="A24">
        <v>234</v>
      </c>
      <c r="B24">
        <v>0.68838999999999995</v>
      </c>
      <c r="C24">
        <v>5.6634770000000003</v>
      </c>
      <c r="D24">
        <v>4.5645110000000004</v>
      </c>
      <c r="E24">
        <v>0.102053</v>
      </c>
      <c r="F24">
        <v>1.3648720000000001</v>
      </c>
    </row>
    <row r="25" spans="1:6" x14ac:dyDescent="0.25">
      <c r="A25">
        <v>236</v>
      </c>
      <c r="B25">
        <v>0.65896200000000005</v>
      </c>
      <c r="C25">
        <v>5.4216389999999999</v>
      </c>
      <c r="D25">
        <v>4.2787030000000001</v>
      </c>
      <c r="E25">
        <v>9.3461000000000002E-2</v>
      </c>
      <c r="F25">
        <v>1.4321710000000001</v>
      </c>
    </row>
    <row r="26" spans="1:6" x14ac:dyDescent="0.25">
      <c r="A26">
        <v>238</v>
      </c>
      <c r="B26">
        <v>0.63626700000000003</v>
      </c>
      <c r="C26">
        <v>5.2592730000000003</v>
      </c>
      <c r="D26">
        <v>4.1325010000000004</v>
      </c>
      <c r="E26">
        <v>8.0419000000000004E-2</v>
      </c>
      <c r="F26">
        <v>1.5362960000000001</v>
      </c>
    </row>
    <row r="27" spans="1:6" x14ac:dyDescent="0.25">
      <c r="A27">
        <v>240</v>
      </c>
      <c r="B27">
        <v>0.62496799999999997</v>
      </c>
      <c r="C27">
        <v>5.1351389999999997</v>
      </c>
      <c r="D27">
        <v>4.0957749999999997</v>
      </c>
      <c r="E27">
        <v>7.2300000000000003E-2</v>
      </c>
      <c r="F27">
        <v>1.676922</v>
      </c>
    </row>
    <row r="28" spans="1:6" x14ac:dyDescent="0.25">
      <c r="A28">
        <v>242</v>
      </c>
      <c r="B28">
        <v>0.619506</v>
      </c>
      <c r="C28">
        <v>5.0482189999999996</v>
      </c>
      <c r="D28">
        <v>4.1625059999999996</v>
      </c>
      <c r="E28">
        <v>6.4839999999999995E-2</v>
      </c>
      <c r="F28">
        <v>1.849572</v>
      </c>
    </row>
    <row r="29" spans="1:6" x14ac:dyDescent="0.25">
      <c r="A29">
        <v>244</v>
      </c>
      <c r="B29">
        <v>0.61652899999999999</v>
      </c>
      <c r="C29">
        <v>5.0474579999999998</v>
      </c>
      <c r="D29">
        <v>4.3219709999999996</v>
      </c>
      <c r="E29">
        <v>5.6424000000000002E-2</v>
      </c>
      <c r="F29">
        <v>2.0450840000000001</v>
      </c>
    </row>
    <row r="30" spans="1:6" x14ac:dyDescent="0.25">
      <c r="A30">
        <v>246</v>
      </c>
      <c r="B30">
        <v>0.62543099999999996</v>
      </c>
      <c r="C30">
        <v>5.1425020000000004</v>
      </c>
      <c r="D30">
        <v>4.5518960000000002</v>
      </c>
      <c r="E30">
        <v>5.4671999999999998E-2</v>
      </c>
      <c r="F30">
        <v>2.3038609999999999</v>
      </c>
    </row>
    <row r="31" spans="1:6" x14ac:dyDescent="0.25">
      <c r="A31">
        <v>248</v>
      </c>
      <c r="B31">
        <v>0.63627999999999996</v>
      </c>
      <c r="C31">
        <v>5.2779949999999998</v>
      </c>
      <c r="D31">
        <v>4.779293</v>
      </c>
      <c r="E31">
        <v>5.3974000000000001E-2</v>
      </c>
      <c r="F31">
        <v>2.62819</v>
      </c>
    </row>
    <row r="32" spans="1:6" x14ac:dyDescent="0.25">
      <c r="A32">
        <v>250</v>
      </c>
      <c r="B32">
        <v>0.64188400000000001</v>
      </c>
      <c r="C32">
        <v>5.3583619999999996</v>
      </c>
      <c r="D32">
        <v>4.9188830000000001</v>
      </c>
      <c r="E32">
        <v>5.772E-2</v>
      </c>
      <c r="F32">
        <v>3.0188769999999998</v>
      </c>
    </row>
    <row r="33" spans="1:6" x14ac:dyDescent="0.25">
      <c r="A33">
        <v>252</v>
      </c>
      <c r="B33">
        <v>0.63920399999999999</v>
      </c>
      <c r="C33">
        <v>5.2893150000000002</v>
      </c>
      <c r="D33">
        <v>4.8927550000000002</v>
      </c>
      <c r="E33">
        <v>6.2161000000000001E-2</v>
      </c>
      <c r="F33">
        <v>3.3897080000000002</v>
      </c>
    </row>
    <row r="34" spans="1:6" x14ac:dyDescent="0.25">
      <c r="A34">
        <v>254</v>
      </c>
      <c r="B34">
        <v>0.62147200000000002</v>
      </c>
      <c r="C34">
        <v>5.0566440000000004</v>
      </c>
      <c r="D34">
        <v>4.6931219999999998</v>
      </c>
      <c r="E34">
        <v>7.0254999999999998E-2</v>
      </c>
      <c r="F34">
        <v>3.7902629999999999</v>
      </c>
    </row>
    <row r="35" spans="1:6" x14ac:dyDescent="0.25">
      <c r="A35">
        <v>256</v>
      </c>
      <c r="B35">
        <v>0.592414</v>
      </c>
      <c r="C35">
        <v>4.6839519999999997</v>
      </c>
      <c r="D35">
        <v>4.3505479999999999</v>
      </c>
      <c r="E35">
        <v>8.1512000000000001E-2</v>
      </c>
      <c r="F35">
        <v>4.2985759999999997</v>
      </c>
    </row>
    <row r="36" spans="1:6" x14ac:dyDescent="0.25">
      <c r="A36">
        <v>258</v>
      </c>
      <c r="B36">
        <v>0.54964900000000005</v>
      </c>
      <c r="C36">
        <v>4.2024220000000003</v>
      </c>
      <c r="D36">
        <v>3.9150079999999998</v>
      </c>
      <c r="E36">
        <v>9.2660999999999993E-2</v>
      </c>
      <c r="F36">
        <v>4.9074479999999996</v>
      </c>
    </row>
    <row r="37" spans="1:6" x14ac:dyDescent="0.25">
      <c r="A37">
        <v>260</v>
      </c>
      <c r="B37">
        <v>0.50074600000000002</v>
      </c>
      <c r="C37">
        <v>3.5904280000000002</v>
      </c>
      <c r="D37">
        <v>3.3539970000000001</v>
      </c>
      <c r="E37">
        <v>0.100462</v>
      </c>
      <c r="F37">
        <v>5.533544</v>
      </c>
    </row>
    <row r="38" spans="1:6" x14ac:dyDescent="0.25">
      <c r="A38">
        <v>262</v>
      </c>
      <c r="B38">
        <v>0.45199899999999998</v>
      </c>
      <c r="C38">
        <v>2.8839579999999998</v>
      </c>
      <c r="D38">
        <v>2.6717019999999998</v>
      </c>
      <c r="E38">
        <v>0.108006</v>
      </c>
      <c r="F38">
        <v>5.9965200000000003</v>
      </c>
    </row>
    <row r="39" spans="1:6" x14ac:dyDescent="0.25">
      <c r="A39">
        <v>264</v>
      </c>
      <c r="B39">
        <v>0.39182299999999998</v>
      </c>
      <c r="C39">
        <v>2.1528670000000001</v>
      </c>
      <c r="D39">
        <v>1.9390750000000001</v>
      </c>
      <c r="E39">
        <v>0.115369</v>
      </c>
      <c r="F39">
        <v>6.3423959999999999</v>
      </c>
    </row>
    <row r="40" spans="1:6" x14ac:dyDescent="0.25">
      <c r="A40">
        <v>266</v>
      </c>
      <c r="B40">
        <v>0.34167399999999998</v>
      </c>
      <c r="C40">
        <v>1.543479</v>
      </c>
      <c r="D40">
        <v>1.2877719999999999</v>
      </c>
      <c r="E40">
        <v>0.124274</v>
      </c>
      <c r="F40">
        <v>6.8037720000000004</v>
      </c>
    </row>
    <row r="41" spans="1:6" x14ac:dyDescent="0.25">
      <c r="A41">
        <v>268</v>
      </c>
      <c r="B41">
        <v>0.31143999999999999</v>
      </c>
      <c r="C41">
        <v>1.122738</v>
      </c>
      <c r="D41">
        <v>0.80079900000000004</v>
      </c>
      <c r="E41">
        <v>0.13999300000000001</v>
      </c>
      <c r="F41">
        <v>7.5341560000000003</v>
      </c>
    </row>
    <row r="42" spans="1:6" x14ac:dyDescent="0.25">
      <c r="A42">
        <v>270</v>
      </c>
      <c r="B42">
        <v>0.30299799999999999</v>
      </c>
      <c r="C42">
        <v>0.91463300000000003</v>
      </c>
      <c r="D42">
        <v>0.52014899999999997</v>
      </c>
      <c r="E42">
        <v>0.152584</v>
      </c>
      <c r="F42">
        <v>8.2422570000000004</v>
      </c>
    </row>
    <row r="43" spans="1:6" x14ac:dyDescent="0.25">
      <c r="A43">
        <v>272</v>
      </c>
      <c r="B43">
        <v>0.30906099999999997</v>
      </c>
      <c r="C43">
        <v>0.85622799999999999</v>
      </c>
      <c r="D43">
        <v>0.38194499999999998</v>
      </c>
      <c r="E43">
        <v>0.16045400000000001</v>
      </c>
      <c r="F43">
        <v>8.4754020000000008</v>
      </c>
    </row>
    <row r="44" spans="1:6" x14ac:dyDescent="0.25">
      <c r="A44">
        <v>274</v>
      </c>
      <c r="B44">
        <v>0.32740200000000003</v>
      </c>
      <c r="C44">
        <v>0.87802800000000003</v>
      </c>
      <c r="D44">
        <v>0.33506399999999997</v>
      </c>
      <c r="E44">
        <v>0.171402</v>
      </c>
      <c r="F44">
        <v>8.2313679999999998</v>
      </c>
    </row>
    <row r="45" spans="1:6" x14ac:dyDescent="0.25">
      <c r="A45">
        <v>276</v>
      </c>
      <c r="B45">
        <v>0.34748600000000002</v>
      </c>
      <c r="C45">
        <v>0.94336900000000001</v>
      </c>
      <c r="D45">
        <v>0.34971999999999998</v>
      </c>
      <c r="E45">
        <v>0.18277299999999999</v>
      </c>
      <c r="F45">
        <v>8.0274909999999995</v>
      </c>
    </row>
    <row r="46" spans="1:6" x14ac:dyDescent="0.25">
      <c r="A46">
        <v>278</v>
      </c>
      <c r="B46">
        <v>0.35765200000000003</v>
      </c>
      <c r="C46">
        <v>1.0225690000000001</v>
      </c>
      <c r="D46">
        <v>0.38308300000000001</v>
      </c>
      <c r="E46">
        <v>0.18040700000000001</v>
      </c>
      <c r="F46">
        <v>8.2765699999999995</v>
      </c>
    </row>
    <row r="47" spans="1:6" x14ac:dyDescent="0.25">
      <c r="A47">
        <v>280</v>
      </c>
      <c r="B47">
        <v>0.37507099999999999</v>
      </c>
      <c r="C47">
        <v>1.110142</v>
      </c>
      <c r="D47">
        <v>0.43565999999999999</v>
      </c>
      <c r="E47">
        <v>0.18986800000000001</v>
      </c>
      <c r="F47">
        <v>8.7462769999999992</v>
      </c>
    </row>
    <row r="48" spans="1:6" x14ac:dyDescent="0.25">
      <c r="A48">
        <v>282</v>
      </c>
      <c r="B48">
        <v>0.39016699999999999</v>
      </c>
      <c r="C48">
        <v>1.199247</v>
      </c>
      <c r="D48">
        <v>0.51083900000000004</v>
      </c>
      <c r="E48">
        <v>0.195025</v>
      </c>
      <c r="F48">
        <v>8.770384</v>
      </c>
    </row>
    <row r="49" spans="1:6" x14ac:dyDescent="0.25">
      <c r="A49">
        <v>284</v>
      </c>
      <c r="B49">
        <v>0.400426</v>
      </c>
      <c r="C49">
        <v>1.2845409999999999</v>
      </c>
      <c r="D49">
        <v>0.59320799999999996</v>
      </c>
      <c r="E49">
        <v>0.193053</v>
      </c>
      <c r="F49">
        <v>7.9691150000000004</v>
      </c>
    </row>
    <row r="50" spans="1:6" x14ac:dyDescent="0.25">
      <c r="A50">
        <v>286</v>
      </c>
      <c r="B50">
        <v>0.40870200000000001</v>
      </c>
      <c r="C50">
        <v>1.358503</v>
      </c>
      <c r="D50">
        <v>0.68303000000000003</v>
      </c>
      <c r="E50">
        <v>0.19522200000000001</v>
      </c>
      <c r="F50">
        <v>6.6928840000000003</v>
      </c>
    </row>
    <row r="51" spans="1:6" x14ac:dyDescent="0.25">
      <c r="A51">
        <v>288</v>
      </c>
      <c r="B51">
        <v>0.41279700000000003</v>
      </c>
      <c r="C51">
        <v>1.422544</v>
      </c>
      <c r="D51">
        <v>0.78334899999999996</v>
      </c>
      <c r="E51">
        <v>0.193499</v>
      </c>
      <c r="F51">
        <v>5.6576089999999999</v>
      </c>
    </row>
    <row r="52" spans="1:6" x14ac:dyDescent="0.25">
      <c r="A52">
        <v>290</v>
      </c>
      <c r="B52">
        <v>0.41731699999999999</v>
      </c>
      <c r="C52">
        <v>1.4801439999999999</v>
      </c>
      <c r="D52">
        <v>0.89098599999999994</v>
      </c>
      <c r="E52">
        <v>0.17970900000000001</v>
      </c>
      <c r="F52">
        <v>5.2274039999999999</v>
      </c>
    </row>
    <row r="53" spans="1:6" x14ac:dyDescent="0.25">
      <c r="A53">
        <v>292</v>
      </c>
      <c r="B53">
        <v>0.41393000000000002</v>
      </c>
      <c r="C53">
        <v>1.534427</v>
      </c>
      <c r="D53">
        <v>1.0086379999999999</v>
      </c>
      <c r="E53">
        <v>0.172709</v>
      </c>
      <c r="F53">
        <v>5.1844089999999996</v>
      </c>
    </row>
    <row r="54" spans="1:6" x14ac:dyDescent="0.25">
      <c r="A54">
        <v>294</v>
      </c>
      <c r="B54">
        <v>0.40556500000000001</v>
      </c>
      <c r="C54">
        <v>1.599451</v>
      </c>
      <c r="D54">
        <v>1.1264320000000001</v>
      </c>
      <c r="E54">
        <v>0.174316</v>
      </c>
      <c r="F54">
        <v>4.9980560000000001</v>
      </c>
    </row>
    <row r="55" spans="1:6" x14ac:dyDescent="0.25">
      <c r="A55">
        <v>296</v>
      </c>
      <c r="B55">
        <v>0.40441100000000002</v>
      </c>
      <c r="C55">
        <v>1.6738660000000001</v>
      </c>
      <c r="D55">
        <v>1.246057</v>
      </c>
      <c r="E55">
        <v>0.17072799999999999</v>
      </c>
      <c r="F55">
        <v>4.2585519999999999</v>
      </c>
    </row>
    <row r="56" spans="1:6" x14ac:dyDescent="0.25">
      <c r="A56">
        <v>298</v>
      </c>
      <c r="B56">
        <v>0.40082000000000001</v>
      </c>
      <c r="C56">
        <v>1.750173</v>
      </c>
      <c r="D56">
        <v>1.3762160000000001</v>
      </c>
      <c r="E56">
        <v>0.154472</v>
      </c>
      <c r="F56">
        <v>2.9976449999999999</v>
      </c>
    </row>
    <row r="57" spans="1:6" x14ac:dyDescent="0.25">
      <c r="A57">
        <v>300</v>
      </c>
      <c r="B57">
        <v>0.39116400000000001</v>
      </c>
      <c r="C57">
        <v>1.830794</v>
      </c>
      <c r="D57">
        <v>1.490869</v>
      </c>
      <c r="E57">
        <v>0.13205800000000001</v>
      </c>
      <c r="F57">
        <v>1.7499530000000001</v>
      </c>
    </row>
    <row r="58" spans="1:6" x14ac:dyDescent="0.25">
      <c r="A58">
        <v>302</v>
      </c>
      <c r="B58">
        <v>0.38568000000000002</v>
      </c>
      <c r="C58">
        <v>1.911716</v>
      </c>
      <c r="D58">
        <v>1.591969</v>
      </c>
      <c r="E58">
        <v>0.109223</v>
      </c>
      <c r="F58">
        <v>0.86655700000000002</v>
      </c>
    </row>
    <row r="59" spans="1:6" x14ac:dyDescent="0.25">
      <c r="A59">
        <v>304</v>
      </c>
      <c r="B59">
        <v>0.36998799999999998</v>
      </c>
      <c r="C59">
        <v>1.979436</v>
      </c>
      <c r="D59">
        <v>1.682966</v>
      </c>
      <c r="E59">
        <v>9.0055999999999997E-2</v>
      </c>
      <c r="F59">
        <v>0.38869500000000001</v>
      </c>
    </row>
    <row r="60" spans="1:6" x14ac:dyDescent="0.25">
      <c r="A60">
        <v>306</v>
      </c>
      <c r="B60">
        <v>0.352572</v>
      </c>
      <c r="C60">
        <v>2.0265960000000001</v>
      </c>
      <c r="D60">
        <v>1.7594529999999999</v>
      </c>
      <c r="E60">
        <v>7.2092000000000003E-2</v>
      </c>
      <c r="F60">
        <v>0.16167699999999999</v>
      </c>
    </row>
    <row r="61" spans="1:6" x14ac:dyDescent="0.25">
      <c r="A61">
        <v>308</v>
      </c>
      <c r="B61">
        <v>0.33953</v>
      </c>
      <c r="C61">
        <v>2.043749</v>
      </c>
      <c r="D61">
        <v>1.802308</v>
      </c>
      <c r="E61">
        <v>5.5273999999999997E-2</v>
      </c>
      <c r="F61">
        <v>7.4282000000000001E-2</v>
      </c>
    </row>
    <row r="62" spans="1:6" x14ac:dyDescent="0.25">
      <c r="A62">
        <v>310</v>
      </c>
      <c r="B62">
        <v>0.328733</v>
      </c>
      <c r="C62">
        <v>2.0401359999999999</v>
      </c>
      <c r="D62">
        <v>1.810486</v>
      </c>
      <c r="E62">
        <v>3.9439000000000002E-2</v>
      </c>
      <c r="F62">
        <v>3.9801999999999997E-2</v>
      </c>
    </row>
    <row r="63" spans="1:6" x14ac:dyDescent="0.25">
      <c r="A63">
        <v>312</v>
      </c>
      <c r="B63">
        <v>0.31767400000000001</v>
      </c>
      <c r="C63">
        <v>2.0112510000000001</v>
      </c>
      <c r="D63">
        <v>1.792535</v>
      </c>
      <c r="E63">
        <v>2.5888000000000001E-2</v>
      </c>
      <c r="F63">
        <v>1.8069999999999999E-2</v>
      </c>
    </row>
    <row r="64" spans="1:6" x14ac:dyDescent="0.25">
      <c r="A64">
        <v>314</v>
      </c>
      <c r="B64">
        <v>0.296178</v>
      </c>
      <c r="C64">
        <v>1.953565</v>
      </c>
      <c r="D64">
        <v>1.7501329999999999</v>
      </c>
      <c r="E64">
        <v>1.6226999999999998E-2</v>
      </c>
      <c r="F64">
        <v>9.4590000000000004E-3</v>
      </c>
    </row>
    <row r="65" spans="1:6" x14ac:dyDescent="0.25">
      <c r="A65">
        <v>316</v>
      </c>
      <c r="B65">
        <v>0.27290300000000001</v>
      </c>
      <c r="C65">
        <v>1.865796</v>
      </c>
      <c r="D65">
        <v>1.6744540000000001</v>
      </c>
      <c r="E65">
        <v>1.4156E-2</v>
      </c>
      <c r="F65">
        <v>1.2156999999999999E-2</v>
      </c>
    </row>
    <row r="66" spans="1:6" x14ac:dyDescent="0.25">
      <c r="A66">
        <v>318</v>
      </c>
      <c r="B66">
        <v>0.25515700000000002</v>
      </c>
      <c r="C66">
        <v>1.7568600000000001</v>
      </c>
      <c r="D66">
        <v>1.5610889999999999</v>
      </c>
      <c r="E66">
        <v>1.4659999999999999E-2</v>
      </c>
      <c r="F66">
        <v>1.2403000000000001E-2</v>
      </c>
    </row>
    <row r="67" spans="1:6" x14ac:dyDescent="0.25">
      <c r="A67">
        <v>320</v>
      </c>
      <c r="B67">
        <v>0.240291</v>
      </c>
      <c r="C67">
        <v>1.621588</v>
      </c>
      <c r="D67">
        <v>1.4267369999999999</v>
      </c>
      <c r="E67">
        <v>1.0359999999999999E-2</v>
      </c>
      <c r="F67">
        <v>4.2370000000000003E-3</v>
      </c>
    </row>
    <row r="68" spans="1:6" x14ac:dyDescent="0.25">
      <c r="A68">
        <v>322</v>
      </c>
      <c r="B68">
        <v>0.229437</v>
      </c>
      <c r="C68">
        <v>1.491736</v>
      </c>
      <c r="D68">
        <v>1.2838689999999999</v>
      </c>
      <c r="E68">
        <v>1.162E-2</v>
      </c>
      <c r="F68">
        <v>-3.3400000000000001E-3</v>
      </c>
    </row>
    <row r="69" spans="1:6" x14ac:dyDescent="0.25">
      <c r="A69">
        <v>324</v>
      </c>
      <c r="B69">
        <v>0.21656600000000001</v>
      </c>
      <c r="C69">
        <v>1.3613690000000001</v>
      </c>
      <c r="D69">
        <v>1.12019</v>
      </c>
      <c r="E69">
        <v>1.2115000000000001E-2</v>
      </c>
      <c r="F69">
        <v>1.5200000000000001E-4</v>
      </c>
    </row>
    <row r="70" spans="1:6" x14ac:dyDescent="0.25">
      <c r="A70">
        <v>326</v>
      </c>
      <c r="B70">
        <v>0.201657</v>
      </c>
      <c r="C70">
        <v>1.2418070000000001</v>
      </c>
      <c r="D70">
        <v>0.95404199999999995</v>
      </c>
      <c r="E70">
        <v>7.1549999999999999E-3</v>
      </c>
      <c r="F70">
        <v>5.4469999999999996E-3</v>
      </c>
    </row>
    <row r="71" spans="1:6" x14ac:dyDescent="0.25">
      <c r="A71">
        <v>328</v>
      </c>
      <c r="B71">
        <v>0.19476499999999999</v>
      </c>
      <c r="C71">
        <v>1.1332249999999999</v>
      </c>
      <c r="D71">
        <v>0.784887</v>
      </c>
      <c r="E71">
        <v>1.0873000000000001E-2</v>
      </c>
      <c r="F71">
        <v>-8.7100000000000003E-4</v>
      </c>
    </row>
    <row r="72" spans="1:6" x14ac:dyDescent="0.25">
      <c r="A72">
        <v>330</v>
      </c>
      <c r="B72">
        <v>0.18569099999999999</v>
      </c>
      <c r="C72">
        <v>1.032251</v>
      </c>
      <c r="D72">
        <v>0.63254500000000002</v>
      </c>
      <c r="E72">
        <v>1.554E-2</v>
      </c>
      <c r="F72">
        <v>-1.7060000000000001E-3</v>
      </c>
    </row>
    <row r="73" spans="1:6" x14ac:dyDescent="0.25">
      <c r="A73">
        <v>332</v>
      </c>
      <c r="B73">
        <v>0.17188300000000001</v>
      </c>
      <c r="C73">
        <v>0.94790300000000005</v>
      </c>
      <c r="D73">
        <v>0.502799</v>
      </c>
      <c r="E73">
        <v>1.3904E-2</v>
      </c>
      <c r="F73">
        <v>2.8579999999999999E-3</v>
      </c>
    </row>
    <row r="74" spans="1:6" x14ac:dyDescent="0.25">
      <c r="A74">
        <v>334</v>
      </c>
      <c r="B74">
        <v>0.165163</v>
      </c>
      <c r="C74">
        <v>0.87049200000000004</v>
      </c>
      <c r="D74">
        <v>0.39516600000000002</v>
      </c>
      <c r="E74">
        <v>4.3189999999999999E-3</v>
      </c>
      <c r="F74">
        <v>-8.4400000000000002E-4</v>
      </c>
    </row>
    <row r="75" spans="1:6" x14ac:dyDescent="0.25">
      <c r="A75">
        <v>336</v>
      </c>
      <c r="B75">
        <v>0.169401</v>
      </c>
      <c r="C75">
        <v>0.79263899999999998</v>
      </c>
      <c r="D75">
        <v>0.318187</v>
      </c>
      <c r="E75">
        <v>1.2229999999999999E-3</v>
      </c>
      <c r="F75">
        <v>-2.3010000000000001E-3</v>
      </c>
    </row>
    <row r="76" spans="1:6" x14ac:dyDescent="0.25">
      <c r="A76">
        <v>338</v>
      </c>
      <c r="B76">
        <v>0.173625</v>
      </c>
      <c r="C76">
        <v>0.71399800000000002</v>
      </c>
      <c r="D76">
        <v>0.25229800000000002</v>
      </c>
      <c r="E76">
        <v>1.0133E-2</v>
      </c>
      <c r="F76">
        <v>3.0249999999999999E-3</v>
      </c>
    </row>
    <row r="77" spans="1:6" x14ac:dyDescent="0.25">
      <c r="A77">
        <v>340</v>
      </c>
      <c r="B77">
        <v>0.164244</v>
      </c>
      <c r="C77">
        <v>0.63872300000000004</v>
      </c>
      <c r="D77">
        <v>0.198043</v>
      </c>
      <c r="E77">
        <v>7.4070000000000004E-3</v>
      </c>
      <c r="F77">
        <v>5.0369999999999998E-3</v>
      </c>
    </row>
    <row r="78" spans="1:6" x14ac:dyDescent="0.25">
      <c r="A78">
        <v>342</v>
      </c>
      <c r="B78">
        <v>0.152282</v>
      </c>
      <c r="C78">
        <v>0.55698700000000001</v>
      </c>
      <c r="D78">
        <v>0.15600900000000001</v>
      </c>
      <c r="E78">
        <v>5.9540000000000001E-3</v>
      </c>
      <c r="F78">
        <v>5.8809999999999999E-3</v>
      </c>
    </row>
    <row r="79" spans="1:6" x14ac:dyDescent="0.25">
      <c r="A79">
        <v>344</v>
      </c>
      <c r="B79">
        <v>0.15384100000000001</v>
      </c>
      <c r="C79">
        <v>0.47594900000000001</v>
      </c>
      <c r="D79">
        <v>0.121216</v>
      </c>
      <c r="E79">
        <v>5.0679999999999996E-3</v>
      </c>
      <c r="F79">
        <v>6.2839999999999997E-3</v>
      </c>
    </row>
    <row r="80" spans="1:6" x14ac:dyDescent="0.25">
      <c r="A80">
        <v>346</v>
      </c>
      <c r="B80">
        <v>0.14941399999999999</v>
      </c>
      <c r="C80">
        <v>0.40619899999999998</v>
      </c>
      <c r="D80">
        <v>9.3878000000000003E-2</v>
      </c>
      <c r="E80">
        <v>5.3439999999999998E-3</v>
      </c>
      <c r="F80">
        <v>9.5610000000000001E-3</v>
      </c>
    </row>
    <row r="81" spans="1:6" x14ac:dyDescent="0.25">
      <c r="A81">
        <v>348</v>
      </c>
      <c r="B81">
        <v>0.13663500000000001</v>
      </c>
      <c r="C81">
        <v>0.347076</v>
      </c>
      <c r="D81">
        <v>7.6060000000000003E-2</v>
      </c>
      <c r="E81">
        <v>1.0204E-2</v>
      </c>
      <c r="F81">
        <v>4.1739999999999998E-3</v>
      </c>
    </row>
    <row r="82" spans="1:6" x14ac:dyDescent="0.25">
      <c r="A82">
        <v>350</v>
      </c>
      <c r="B82">
        <v>0.12975900000000001</v>
      </c>
      <c r="C82">
        <v>0.29313800000000001</v>
      </c>
      <c r="D82">
        <v>5.5543000000000002E-2</v>
      </c>
      <c r="E82">
        <v>2.7420000000000001E-3</v>
      </c>
      <c r="F82">
        <v>-9.1699999999999995E-4</v>
      </c>
    </row>
    <row r="83" spans="1:6" x14ac:dyDescent="0.25">
      <c r="A83">
        <v>352</v>
      </c>
      <c r="B83">
        <v>0.12747900000000001</v>
      </c>
      <c r="C83">
        <v>0.24072299999999999</v>
      </c>
      <c r="D83">
        <v>4.0382000000000001E-2</v>
      </c>
      <c r="E83">
        <v>-8.8400000000000002E-4</v>
      </c>
      <c r="F83">
        <v>5.3090000000000004E-3</v>
      </c>
    </row>
    <row r="84" spans="1:6" x14ac:dyDescent="0.25">
      <c r="A84">
        <v>354</v>
      </c>
      <c r="B84">
        <v>0.12367499999999999</v>
      </c>
      <c r="C84">
        <v>0.21343699999999999</v>
      </c>
      <c r="D84">
        <v>4.0479000000000001E-2</v>
      </c>
      <c r="E84">
        <v>1.2725E-2</v>
      </c>
      <c r="F84">
        <v>8.2810000000000002E-3</v>
      </c>
    </row>
    <row r="85" spans="1:6" x14ac:dyDescent="0.25">
      <c r="A85">
        <v>356</v>
      </c>
      <c r="B85">
        <v>0.12300800000000001</v>
      </c>
      <c r="C85">
        <v>0.18928500000000001</v>
      </c>
      <c r="D85">
        <v>4.0500000000000001E-2</v>
      </c>
      <c r="E85">
        <v>2.2998000000000001E-2</v>
      </c>
      <c r="F85">
        <v>9.9520000000000008E-3</v>
      </c>
    </row>
    <row r="86" spans="1:6" x14ac:dyDescent="0.25">
      <c r="A86">
        <v>358</v>
      </c>
      <c r="B86">
        <v>0.120256</v>
      </c>
      <c r="C86">
        <v>0.153282</v>
      </c>
      <c r="D86">
        <v>2.8368000000000001E-2</v>
      </c>
      <c r="E86">
        <v>1.8661000000000001E-2</v>
      </c>
      <c r="F86">
        <v>1.9949999999999998E-3</v>
      </c>
    </row>
    <row r="87" spans="1:6" x14ac:dyDescent="0.25">
      <c r="A87">
        <v>360</v>
      </c>
      <c r="B87">
        <v>0.12319099999999999</v>
      </c>
      <c r="C87">
        <v>0.12997500000000001</v>
      </c>
      <c r="D87">
        <v>2.1413999999999999E-2</v>
      </c>
      <c r="E87">
        <v>1.4588E-2</v>
      </c>
      <c r="F87">
        <v>-6.4050000000000001E-3</v>
      </c>
    </row>
    <row r="88" spans="1:6" x14ac:dyDescent="0.25">
      <c r="A88">
        <v>362</v>
      </c>
      <c r="B88">
        <v>0.121768</v>
      </c>
      <c r="C88">
        <v>0.119379</v>
      </c>
      <c r="D88">
        <v>1.8126E-2</v>
      </c>
      <c r="E88">
        <v>1.3469E-2</v>
      </c>
      <c r="F88">
        <v>-2.6419999999999998E-3</v>
      </c>
    </row>
    <row r="89" spans="1:6" x14ac:dyDescent="0.25">
      <c r="A89">
        <v>364</v>
      </c>
      <c r="B89">
        <v>0.114659</v>
      </c>
      <c r="C89">
        <v>9.9170999999999995E-2</v>
      </c>
      <c r="D89">
        <v>7.2690000000000003E-3</v>
      </c>
      <c r="E89">
        <v>1.8905999999999999E-2</v>
      </c>
      <c r="F89">
        <v>7.345E-3</v>
      </c>
    </row>
    <row r="90" spans="1:6" x14ac:dyDescent="0.25">
      <c r="A90">
        <v>366</v>
      </c>
      <c r="B90">
        <v>0.112709</v>
      </c>
      <c r="C90">
        <v>8.2764000000000004E-2</v>
      </c>
      <c r="D90">
        <v>1.1771E-2</v>
      </c>
      <c r="E90">
        <v>1.8901000000000001E-2</v>
      </c>
      <c r="F90">
        <v>8.6599999999999993E-3</v>
      </c>
    </row>
    <row r="91" spans="1:6" x14ac:dyDescent="0.25">
      <c r="A91">
        <v>368</v>
      </c>
      <c r="B91">
        <v>0.118495</v>
      </c>
      <c r="C91">
        <v>7.8958E-2</v>
      </c>
      <c r="D91">
        <v>2.1852E-2</v>
      </c>
      <c r="E91">
        <v>6.4390000000000003E-3</v>
      </c>
      <c r="F91">
        <v>2.6129999999999999E-3</v>
      </c>
    </row>
    <row r="92" spans="1:6" x14ac:dyDescent="0.25">
      <c r="A92">
        <v>370</v>
      </c>
      <c r="B92">
        <v>0.11841</v>
      </c>
      <c r="C92">
        <v>7.3425000000000004E-2</v>
      </c>
      <c r="D92">
        <v>1.5075E-2</v>
      </c>
      <c r="E92">
        <v>1.1850000000000001E-3</v>
      </c>
      <c r="F92">
        <v>5.6449999999999998E-3</v>
      </c>
    </row>
    <row r="93" spans="1:6" x14ac:dyDescent="0.25">
      <c r="A93">
        <v>372</v>
      </c>
      <c r="B93">
        <v>0.10689</v>
      </c>
      <c r="C93">
        <v>5.1228999999999997E-2</v>
      </c>
      <c r="D93">
        <v>3.0630000000000002E-3</v>
      </c>
      <c r="E93">
        <v>9.1190000000000004E-3</v>
      </c>
      <c r="F93">
        <v>7.6059999999999999E-3</v>
      </c>
    </row>
    <row r="94" spans="1:6" x14ac:dyDescent="0.25">
      <c r="A94">
        <v>374</v>
      </c>
      <c r="B94">
        <v>0.111697</v>
      </c>
      <c r="C94">
        <v>3.6948000000000002E-2</v>
      </c>
      <c r="D94">
        <v>-6.594E-3</v>
      </c>
      <c r="E94">
        <v>1.1931000000000001E-2</v>
      </c>
      <c r="F94">
        <v>4.5300000000000001E-4</v>
      </c>
    </row>
    <row r="95" spans="1:6" x14ac:dyDescent="0.25">
      <c r="A95">
        <v>376</v>
      </c>
      <c r="B95">
        <v>0.126114</v>
      </c>
      <c r="C95">
        <v>4.4738E-2</v>
      </c>
      <c r="D95">
        <v>4.7460000000000002E-3</v>
      </c>
      <c r="E95">
        <v>9.7990000000000004E-3</v>
      </c>
      <c r="F95">
        <v>-1.6800000000000001E-3</v>
      </c>
    </row>
    <row r="96" spans="1:6" x14ac:dyDescent="0.25">
      <c r="A96">
        <v>378</v>
      </c>
      <c r="B96">
        <v>0.14157</v>
      </c>
      <c r="C96">
        <v>5.3393999999999997E-2</v>
      </c>
      <c r="D96">
        <v>9.9260000000000008E-3</v>
      </c>
      <c r="E96">
        <v>5.5409999999999999E-3</v>
      </c>
      <c r="F96">
        <v>2.2049999999999999E-3</v>
      </c>
    </row>
    <row r="97" spans="1:6" x14ac:dyDescent="0.25">
      <c r="A97">
        <v>380</v>
      </c>
      <c r="B97">
        <v>0.14917900000000001</v>
      </c>
      <c r="C97">
        <v>5.8361000000000003E-2</v>
      </c>
      <c r="D97">
        <v>-6.1349999999999998E-3</v>
      </c>
      <c r="E97">
        <v>-2.676E-3</v>
      </c>
      <c r="F97">
        <v>-2.0119999999999999E-3</v>
      </c>
    </row>
    <row r="98" spans="1:6" x14ac:dyDescent="0.25">
      <c r="A98">
        <v>382</v>
      </c>
      <c r="B98">
        <v>0.132414</v>
      </c>
      <c r="C98">
        <v>5.5907999999999999E-2</v>
      </c>
      <c r="D98">
        <v>-4.6699999999999997E-3</v>
      </c>
      <c r="E98">
        <v>-1.0226000000000001E-2</v>
      </c>
      <c r="F98">
        <v>-8.7399999999999999E-4</v>
      </c>
    </row>
    <row r="99" spans="1:6" x14ac:dyDescent="0.25">
      <c r="A99">
        <v>384</v>
      </c>
      <c r="B99">
        <v>0.12577099999999999</v>
      </c>
      <c r="C99">
        <v>5.0250000000000003E-2</v>
      </c>
      <c r="D99">
        <v>4.1999999999999997E-3</v>
      </c>
      <c r="E99">
        <v>-2.879E-3</v>
      </c>
      <c r="F99">
        <v>2.3080000000000002E-3</v>
      </c>
    </row>
    <row r="100" spans="1:6" x14ac:dyDescent="0.25">
      <c r="A100">
        <v>386</v>
      </c>
      <c r="B100">
        <v>0.12573000000000001</v>
      </c>
      <c r="C100">
        <v>5.0258999999999998E-2</v>
      </c>
      <c r="D100">
        <v>8.5290000000000001E-3</v>
      </c>
      <c r="E100">
        <v>1.0307E-2</v>
      </c>
      <c r="F100">
        <v>-3.571E-3</v>
      </c>
    </row>
    <row r="101" spans="1:6" x14ac:dyDescent="0.25">
      <c r="A101">
        <v>388</v>
      </c>
      <c r="B101">
        <v>0.123971</v>
      </c>
      <c r="C101">
        <v>4.8284000000000001E-2</v>
      </c>
      <c r="D101">
        <v>-1.8469999999999999E-3</v>
      </c>
      <c r="E101">
        <v>9.0220000000000005E-3</v>
      </c>
      <c r="F101">
        <v>-1.075E-3</v>
      </c>
    </row>
    <row r="102" spans="1:6" x14ac:dyDescent="0.25">
      <c r="A102">
        <v>390</v>
      </c>
      <c r="B102">
        <v>0.120185</v>
      </c>
      <c r="C102">
        <v>3.7719000000000003E-2</v>
      </c>
      <c r="D102">
        <v>-9.5359999999999993E-3</v>
      </c>
      <c r="E102">
        <v>4.9969999999999997E-3</v>
      </c>
      <c r="F102">
        <v>5.7600000000000004E-3</v>
      </c>
    </row>
    <row r="103" spans="1:6" x14ac:dyDescent="0.25">
      <c r="A103">
        <v>392</v>
      </c>
      <c r="B103">
        <v>0.10760400000000001</v>
      </c>
      <c r="C103">
        <v>3.6204E-2</v>
      </c>
      <c r="D103">
        <v>5.9020000000000001E-3</v>
      </c>
      <c r="E103">
        <v>-2.098E-3</v>
      </c>
      <c r="F103">
        <v>7.4510000000000002E-3</v>
      </c>
    </row>
    <row r="104" spans="1:6" x14ac:dyDescent="0.25">
      <c r="A104">
        <v>394</v>
      </c>
      <c r="B104">
        <v>0.103532</v>
      </c>
      <c r="C104">
        <v>3.9274000000000003E-2</v>
      </c>
      <c r="D104">
        <v>6.2420000000000002E-3</v>
      </c>
      <c r="E104">
        <v>-3.2669999999999999E-3</v>
      </c>
      <c r="F104">
        <v>6.8640000000000003E-3</v>
      </c>
    </row>
    <row r="105" spans="1:6" x14ac:dyDescent="0.25">
      <c r="A105">
        <v>396</v>
      </c>
      <c r="B105">
        <v>0.126161</v>
      </c>
      <c r="C105">
        <v>4.3159000000000003E-2</v>
      </c>
      <c r="D105">
        <v>1.2664999999999999E-2</v>
      </c>
      <c r="E105">
        <v>4.2640000000000004E-3</v>
      </c>
      <c r="F105">
        <v>1.4159999999999999E-3</v>
      </c>
    </row>
    <row r="106" spans="1:6" x14ac:dyDescent="0.25">
      <c r="A106">
        <v>398</v>
      </c>
      <c r="B106">
        <v>0.13012899999999999</v>
      </c>
      <c r="C106">
        <v>4.5102000000000003E-2</v>
      </c>
      <c r="D106">
        <v>1.7274000000000001E-2</v>
      </c>
      <c r="E106">
        <v>-6.78E-4</v>
      </c>
      <c r="F106">
        <v>5.6259999999999999E-3</v>
      </c>
    </row>
    <row r="107" spans="1:6" x14ac:dyDescent="0.25">
      <c r="A107">
        <v>400</v>
      </c>
      <c r="B107">
        <v>0.126442</v>
      </c>
      <c r="C107">
        <v>3.8845999999999999E-2</v>
      </c>
      <c r="D107">
        <v>-2.43E-4</v>
      </c>
      <c r="E107">
        <v>-9.0060000000000001E-3</v>
      </c>
      <c r="F107">
        <v>5.0369999999999998E-3</v>
      </c>
    </row>
    <row r="108" spans="1:6" x14ac:dyDescent="0.25">
      <c r="A108">
        <v>402</v>
      </c>
      <c r="B108">
        <v>0.142705</v>
      </c>
      <c r="C108">
        <v>3.227E-2</v>
      </c>
      <c r="D108">
        <v>-5.8539999999999998E-3</v>
      </c>
      <c r="E108">
        <v>-6.3639999999999999E-3</v>
      </c>
      <c r="F108">
        <v>3.2339999999999999E-3</v>
      </c>
    </row>
    <row r="109" spans="1:6" x14ac:dyDescent="0.25">
      <c r="A109">
        <v>404</v>
      </c>
      <c r="B109">
        <v>0.14770800000000001</v>
      </c>
      <c r="C109">
        <v>2.2889E-2</v>
      </c>
      <c r="D109">
        <v>-1.549E-3</v>
      </c>
      <c r="E109">
        <v>1.83E-3</v>
      </c>
      <c r="F109">
        <v>2.3960000000000001E-3</v>
      </c>
    </row>
    <row r="110" spans="1:6" x14ac:dyDescent="0.25">
      <c r="A110">
        <v>406</v>
      </c>
      <c r="B110">
        <v>0.14746699999999999</v>
      </c>
      <c r="C110">
        <v>2.6002000000000001E-2</v>
      </c>
      <c r="D110">
        <v>1.4660000000000001E-3</v>
      </c>
      <c r="E110">
        <v>9.1269999999999997E-3</v>
      </c>
      <c r="F110">
        <v>-2.6459999999999999E-3</v>
      </c>
    </row>
    <row r="111" spans="1:6" x14ac:dyDescent="0.25">
      <c r="A111">
        <v>408</v>
      </c>
      <c r="B111">
        <v>0.149311</v>
      </c>
      <c r="C111">
        <v>3.2779000000000003E-2</v>
      </c>
      <c r="D111">
        <v>4.9509999999999997E-3</v>
      </c>
      <c r="E111">
        <v>7.2579999999999997E-3</v>
      </c>
      <c r="F111">
        <v>-3.3080000000000002E-3</v>
      </c>
    </row>
    <row r="112" spans="1:6" x14ac:dyDescent="0.25">
      <c r="A112">
        <v>410</v>
      </c>
      <c r="B112">
        <v>0.15062500000000001</v>
      </c>
      <c r="C112">
        <v>2.6596999999999999E-2</v>
      </c>
      <c r="D112">
        <v>1.4737E-2</v>
      </c>
      <c r="E112">
        <v>7.3159999999999996E-3</v>
      </c>
      <c r="F112">
        <v>1.1869999999999999E-3</v>
      </c>
    </row>
    <row r="113" spans="1:6" x14ac:dyDescent="0.25">
      <c r="A113">
        <v>412</v>
      </c>
      <c r="B113">
        <v>0.15053800000000001</v>
      </c>
      <c r="C113">
        <v>2.1617999999999998E-2</v>
      </c>
      <c r="D113">
        <v>1.7684999999999999E-2</v>
      </c>
      <c r="E113">
        <v>8.3020000000000004E-3</v>
      </c>
      <c r="F113">
        <v>-1.6930000000000001E-3</v>
      </c>
    </row>
    <row r="114" spans="1:6" x14ac:dyDescent="0.25">
      <c r="A114">
        <v>414</v>
      </c>
      <c r="B114">
        <v>0.15437300000000001</v>
      </c>
      <c r="C114">
        <v>2.8201E-2</v>
      </c>
      <c r="D114">
        <v>1.7604999999999999E-2</v>
      </c>
      <c r="E114">
        <v>-2.1919999999999999E-3</v>
      </c>
      <c r="F114">
        <v>-5.4699999999999996E-4</v>
      </c>
    </row>
    <row r="115" spans="1:6" x14ac:dyDescent="0.25">
      <c r="A115">
        <v>416</v>
      </c>
      <c r="B115">
        <v>0.152392</v>
      </c>
      <c r="C115">
        <v>2.9717E-2</v>
      </c>
      <c r="D115">
        <v>1.8790999999999999E-2</v>
      </c>
      <c r="E115">
        <v>-8.7309999999999992E-3</v>
      </c>
      <c r="F115">
        <v>-1.92E-4</v>
      </c>
    </row>
    <row r="116" spans="1:6" x14ac:dyDescent="0.25">
      <c r="A116">
        <v>418</v>
      </c>
      <c r="B116">
        <v>0.14752899999999999</v>
      </c>
      <c r="C116">
        <v>1.1414000000000001E-2</v>
      </c>
      <c r="D116">
        <v>1.9115E-2</v>
      </c>
      <c r="E116">
        <v>-3.921E-3</v>
      </c>
      <c r="F116">
        <v>-2.6879999999999999E-3</v>
      </c>
    </row>
    <row r="117" spans="1:6" x14ac:dyDescent="0.25">
      <c r="A117">
        <v>420</v>
      </c>
      <c r="B117">
        <v>0.15326999999999999</v>
      </c>
      <c r="C117">
        <v>8.6750000000000004E-3</v>
      </c>
      <c r="D117">
        <v>1.9480000000000001E-2</v>
      </c>
      <c r="E117">
        <v>-1.8760000000000001E-3</v>
      </c>
      <c r="F117">
        <v>-6.4939999999999998E-3</v>
      </c>
    </row>
    <row r="118" spans="1:6" x14ac:dyDescent="0.25">
      <c r="A118">
        <v>422</v>
      </c>
      <c r="B118">
        <v>0.154337</v>
      </c>
      <c r="C118">
        <v>2.0045E-2</v>
      </c>
      <c r="D118">
        <v>7.1580000000000003E-3</v>
      </c>
      <c r="E118">
        <v>4.35E-4</v>
      </c>
      <c r="F118">
        <v>-3.5609999999999999E-3</v>
      </c>
    </row>
    <row r="119" spans="1:6" x14ac:dyDescent="0.25">
      <c r="A119">
        <v>424</v>
      </c>
      <c r="B119">
        <v>0.151671</v>
      </c>
      <c r="C119">
        <v>1.3993999999999999E-2</v>
      </c>
      <c r="D119">
        <v>6.1879999999999999E-3</v>
      </c>
      <c r="E119">
        <v>-5.659E-3</v>
      </c>
      <c r="F119">
        <v>1.0369E-2</v>
      </c>
    </row>
    <row r="120" spans="1:6" x14ac:dyDescent="0.25">
      <c r="A120">
        <v>426</v>
      </c>
      <c r="B120">
        <v>0.14320099999999999</v>
      </c>
      <c r="C120">
        <v>1.0298E-2</v>
      </c>
      <c r="D120">
        <v>2.5633E-2</v>
      </c>
      <c r="E120">
        <v>-5.3070000000000001E-3</v>
      </c>
      <c r="F120">
        <v>9.0279999999999996E-3</v>
      </c>
    </row>
    <row r="121" spans="1:6" x14ac:dyDescent="0.25">
      <c r="A121">
        <v>428</v>
      </c>
      <c r="B121">
        <v>0.15304200000000001</v>
      </c>
      <c r="C121">
        <v>1.4076E-2</v>
      </c>
      <c r="D121">
        <v>2.2273999999999999E-2</v>
      </c>
      <c r="E121">
        <v>-4.431E-3</v>
      </c>
      <c r="F121">
        <v>3.7850000000000002E-3</v>
      </c>
    </row>
    <row r="122" spans="1:6" x14ac:dyDescent="0.25">
      <c r="A122">
        <v>430</v>
      </c>
      <c r="B122">
        <v>0.161771</v>
      </c>
      <c r="C122">
        <v>2.134E-3</v>
      </c>
      <c r="D122">
        <v>1.3139E-2</v>
      </c>
      <c r="E122">
        <v>-5.8719999999999996E-3</v>
      </c>
      <c r="F122">
        <v>1.044E-3</v>
      </c>
    </row>
    <row r="123" spans="1:6" x14ac:dyDescent="0.25">
      <c r="A123">
        <v>432</v>
      </c>
      <c r="B123">
        <v>0.13822599999999999</v>
      </c>
      <c r="C123">
        <v>2.5660000000000001E-3</v>
      </c>
      <c r="D123">
        <v>2.0906999999999999E-2</v>
      </c>
      <c r="E123">
        <v>-6.6829999999999997E-3</v>
      </c>
      <c r="F123">
        <v>-6.2129999999999998E-3</v>
      </c>
    </row>
    <row r="124" spans="1:6" x14ac:dyDescent="0.25">
      <c r="A124">
        <v>434</v>
      </c>
      <c r="B124">
        <v>0.13525400000000001</v>
      </c>
      <c r="C124">
        <v>1.1915E-2</v>
      </c>
      <c r="D124">
        <v>2.7723999999999999E-2</v>
      </c>
      <c r="E124">
        <v>-1.1428000000000001E-2</v>
      </c>
      <c r="F124">
        <v>-6.9259999999999999E-3</v>
      </c>
    </row>
    <row r="125" spans="1:6" x14ac:dyDescent="0.25">
      <c r="A125">
        <v>436</v>
      </c>
      <c r="B125">
        <v>0.136937</v>
      </c>
      <c r="C125">
        <v>1.4430000000000001E-3</v>
      </c>
      <c r="D125">
        <v>3.7565000000000001E-2</v>
      </c>
      <c r="E125">
        <v>-2.7569999999999999E-3</v>
      </c>
      <c r="F125">
        <v>1.622E-3</v>
      </c>
    </row>
    <row r="126" spans="1:6" x14ac:dyDescent="0.25">
      <c r="A126">
        <v>438</v>
      </c>
      <c r="B126">
        <v>0.123151</v>
      </c>
      <c r="C126">
        <v>2.4780000000000002E-3</v>
      </c>
      <c r="D126">
        <v>2.7833E-2</v>
      </c>
      <c r="E126">
        <v>3.3470000000000001E-3</v>
      </c>
      <c r="F126">
        <v>4.7159999999999997E-3</v>
      </c>
    </row>
    <row r="127" spans="1:6" x14ac:dyDescent="0.25">
      <c r="A127">
        <v>440</v>
      </c>
      <c r="B127">
        <v>0.14726</v>
      </c>
      <c r="C127">
        <v>1.0931E-2</v>
      </c>
      <c r="D127">
        <v>2.3205E-2</v>
      </c>
      <c r="E127">
        <v>9.0609999999999996E-3</v>
      </c>
      <c r="F127">
        <v>3.0739999999999999E-3</v>
      </c>
    </row>
    <row r="128" spans="1:6" x14ac:dyDescent="0.25">
      <c r="A128">
        <v>442</v>
      </c>
      <c r="B128">
        <v>0.16950499999999999</v>
      </c>
      <c r="C128">
        <v>6.5300000000000004E-4</v>
      </c>
      <c r="D128">
        <v>3.2761999999999999E-2</v>
      </c>
      <c r="E128">
        <v>6.7949999999999998E-3</v>
      </c>
      <c r="F128">
        <v>4.0200000000000001E-4</v>
      </c>
    </row>
    <row r="129" spans="1:6" x14ac:dyDescent="0.25">
      <c r="A129">
        <v>444</v>
      </c>
      <c r="B129">
        <v>0.15548999999999999</v>
      </c>
      <c r="C129">
        <v>3.8010000000000001E-3</v>
      </c>
      <c r="D129">
        <v>2.6606999999999999E-2</v>
      </c>
      <c r="E129">
        <v>-2.3140000000000001E-3</v>
      </c>
      <c r="F129">
        <v>8.6499999999999999E-4</v>
      </c>
    </row>
    <row r="130" spans="1:6" x14ac:dyDescent="0.25">
      <c r="A130">
        <v>446</v>
      </c>
      <c r="B130">
        <v>0.12786600000000001</v>
      </c>
      <c r="C130">
        <v>6.5700000000000003E-3</v>
      </c>
      <c r="D130">
        <v>2.5711999999999999E-2</v>
      </c>
      <c r="E130">
        <v>-1.291E-3</v>
      </c>
      <c r="F130">
        <v>1.946E-3</v>
      </c>
    </row>
    <row r="131" spans="1:6" x14ac:dyDescent="0.25">
      <c r="A131">
        <v>448</v>
      </c>
      <c r="B131">
        <v>0.11909699999999999</v>
      </c>
      <c r="C131">
        <v>2.568E-3</v>
      </c>
      <c r="D131">
        <v>3.3162999999999998E-2</v>
      </c>
      <c r="E131">
        <v>-4.2709999999999996E-3</v>
      </c>
      <c r="F131">
        <v>7.9570000000000005E-3</v>
      </c>
    </row>
    <row r="132" spans="1:6" x14ac:dyDescent="0.25">
      <c r="A132">
        <v>450</v>
      </c>
      <c r="B132">
        <v>0.14166000000000001</v>
      </c>
      <c r="C132">
        <v>1.8803E-2</v>
      </c>
      <c r="D132">
        <v>2.9089E-2</v>
      </c>
      <c r="E132">
        <v>-9.0939999999999997E-3</v>
      </c>
      <c r="F132">
        <v>5.9160000000000003E-3</v>
      </c>
    </row>
    <row r="133" spans="1:6" x14ac:dyDescent="0.25">
      <c r="A133">
        <v>452</v>
      </c>
      <c r="B133">
        <v>0.15113299999999999</v>
      </c>
      <c r="C133">
        <v>1.9460000000000002E-2</v>
      </c>
      <c r="D133">
        <v>2.7906E-2</v>
      </c>
      <c r="E133">
        <v>-3.7629999999999999E-3</v>
      </c>
      <c r="F133">
        <v>-4.4060000000000002E-3</v>
      </c>
    </row>
    <row r="134" spans="1:6" x14ac:dyDescent="0.25">
      <c r="A134">
        <v>454</v>
      </c>
      <c r="B134">
        <v>0.13561100000000001</v>
      </c>
      <c r="C134">
        <v>1.0670000000000001E-2</v>
      </c>
      <c r="D134">
        <v>3.2724999999999997E-2</v>
      </c>
      <c r="E134">
        <v>-4.8669999999999998E-3</v>
      </c>
      <c r="F134">
        <v>5.9800000000000001E-4</v>
      </c>
    </row>
    <row r="135" spans="1:6" x14ac:dyDescent="0.25">
      <c r="A135">
        <v>456</v>
      </c>
      <c r="B135">
        <v>0.11760900000000001</v>
      </c>
      <c r="C135">
        <v>8.2900000000000005E-3</v>
      </c>
      <c r="D135">
        <v>3.0204999999999999E-2</v>
      </c>
      <c r="E135">
        <v>-4.712E-3</v>
      </c>
      <c r="F135">
        <v>6.0829999999999999E-3</v>
      </c>
    </row>
    <row r="136" spans="1:6" x14ac:dyDescent="0.25">
      <c r="A136">
        <v>458</v>
      </c>
      <c r="B136">
        <v>8.3169999999999994E-2</v>
      </c>
      <c r="C136">
        <v>1.1622E-2</v>
      </c>
      <c r="D136">
        <v>1.9049E-2</v>
      </c>
      <c r="E136">
        <v>2.8370000000000001E-3</v>
      </c>
      <c r="F136">
        <v>1.0008E-2</v>
      </c>
    </row>
    <row r="137" spans="1:6" x14ac:dyDescent="0.25">
      <c r="A137">
        <v>460</v>
      </c>
      <c r="B137">
        <v>7.6524999999999996E-2</v>
      </c>
      <c r="C137">
        <v>2.4278999999999998E-2</v>
      </c>
      <c r="D137">
        <v>2.0175999999999999E-2</v>
      </c>
      <c r="E137">
        <v>2.3159999999999999E-3</v>
      </c>
      <c r="F137">
        <v>4.6410000000000002E-3</v>
      </c>
    </row>
    <row r="138" spans="1:6" x14ac:dyDescent="0.25">
      <c r="A138">
        <v>462</v>
      </c>
      <c r="B138">
        <v>6.5221000000000001E-2</v>
      </c>
      <c r="C138">
        <v>0.164633</v>
      </c>
      <c r="D138">
        <v>0.16245699999999999</v>
      </c>
      <c r="E138">
        <v>7.8352000000000005E-2</v>
      </c>
      <c r="F138">
        <v>2.7274E-2</v>
      </c>
    </row>
    <row r="139" spans="1:6" x14ac:dyDescent="0.25">
      <c r="A139">
        <v>464</v>
      </c>
      <c r="B139">
        <v>7.1562000000000001E-2</v>
      </c>
      <c r="C139">
        <v>0.230849</v>
      </c>
      <c r="D139">
        <v>0.24343799999999999</v>
      </c>
      <c r="E139">
        <v>0.12898399999999999</v>
      </c>
      <c r="F139">
        <v>4.1730999999999997E-2</v>
      </c>
    </row>
    <row r="140" spans="1:6" x14ac:dyDescent="0.25">
      <c r="A140">
        <v>466</v>
      </c>
      <c r="B140">
        <v>0.109416</v>
      </c>
      <c r="C140">
        <v>9.2612E-2</v>
      </c>
      <c r="D140">
        <v>0.110527</v>
      </c>
      <c r="E140">
        <v>5.5739999999999998E-2</v>
      </c>
      <c r="F140">
        <v>2.6220000000000002E-3</v>
      </c>
    </row>
    <row r="141" spans="1:6" x14ac:dyDescent="0.25">
      <c r="A141">
        <v>468</v>
      </c>
      <c r="B141">
        <v>0.113998</v>
      </c>
      <c r="C141">
        <v>1.9980999999999999E-2</v>
      </c>
      <c r="D141">
        <v>1.1892E-2</v>
      </c>
      <c r="E141">
        <v>7.8729999999999998E-3</v>
      </c>
      <c r="F141">
        <v>-1.8995999999999999E-2</v>
      </c>
    </row>
    <row r="142" spans="1:6" x14ac:dyDescent="0.25">
      <c r="A142">
        <v>470</v>
      </c>
      <c r="B142">
        <v>0.13469999999999999</v>
      </c>
      <c r="C142">
        <v>1.0992999999999999E-2</v>
      </c>
      <c r="D142">
        <v>2.3026000000000001E-2</v>
      </c>
      <c r="E142">
        <v>1.6990999999999999E-2</v>
      </c>
      <c r="F142">
        <v>-1.3538E-2</v>
      </c>
    </row>
    <row r="143" spans="1:6" x14ac:dyDescent="0.25">
      <c r="A143">
        <v>472</v>
      </c>
      <c r="B143">
        <v>0.15305299999999999</v>
      </c>
      <c r="C143">
        <v>2.9940000000000001E-3</v>
      </c>
      <c r="D143">
        <v>2.3966000000000001E-2</v>
      </c>
      <c r="E143">
        <v>1.5372E-2</v>
      </c>
      <c r="F143">
        <v>-3.0299999999999999E-4</v>
      </c>
    </row>
    <row r="144" spans="1:6" x14ac:dyDescent="0.25">
      <c r="A144">
        <v>474</v>
      </c>
      <c r="B144">
        <v>0.110026</v>
      </c>
      <c r="C144">
        <v>1.3898000000000001E-2</v>
      </c>
      <c r="D144">
        <v>6.7120000000000001E-3</v>
      </c>
      <c r="E144">
        <v>7.0479999999999996E-3</v>
      </c>
      <c r="F144">
        <v>9.469E-3</v>
      </c>
    </row>
    <row r="145" spans="1:6" x14ac:dyDescent="0.25">
      <c r="A145">
        <v>476</v>
      </c>
      <c r="B145">
        <v>9.0843999999999994E-2</v>
      </c>
      <c r="C145">
        <v>1.3343000000000001E-2</v>
      </c>
      <c r="D145">
        <v>2.2866000000000001E-2</v>
      </c>
      <c r="E145">
        <v>5.8329999999999996E-3</v>
      </c>
      <c r="F145">
        <v>7.5209999999999999E-3</v>
      </c>
    </row>
    <row r="146" spans="1:6" x14ac:dyDescent="0.25">
      <c r="A146">
        <v>478</v>
      </c>
      <c r="B146">
        <v>0.112612</v>
      </c>
      <c r="C146">
        <v>1.8776000000000001E-2</v>
      </c>
      <c r="D146">
        <v>3.0190000000000002E-2</v>
      </c>
      <c r="E146">
        <v>2.1450000000000002E-3</v>
      </c>
      <c r="F146">
        <v>7.6000000000000004E-4</v>
      </c>
    </row>
    <row r="147" spans="1:6" x14ac:dyDescent="0.25">
      <c r="A147">
        <v>480</v>
      </c>
      <c r="B147">
        <v>8.8691000000000006E-2</v>
      </c>
      <c r="C147">
        <v>2.0878000000000001E-2</v>
      </c>
      <c r="D147">
        <v>6.7739999999999996E-3</v>
      </c>
      <c r="E147">
        <v>5.8300000000000001E-3</v>
      </c>
      <c r="F147">
        <v>1.0893E-2</v>
      </c>
    </row>
    <row r="148" spans="1:6" x14ac:dyDescent="0.25">
      <c r="A148">
        <v>482</v>
      </c>
      <c r="B148">
        <v>-3.8564000000000001E-2</v>
      </c>
      <c r="C148">
        <v>3.2001000000000002E-2</v>
      </c>
      <c r="D148">
        <v>1.3259E-2</v>
      </c>
      <c r="E148">
        <v>1.6983000000000002E-2</v>
      </c>
      <c r="F148">
        <v>2.0084999999999999E-2</v>
      </c>
    </row>
    <row r="149" spans="1:6" x14ac:dyDescent="0.25">
      <c r="A149">
        <v>484</v>
      </c>
      <c r="B149">
        <v>-4.8197999999999998E-2</v>
      </c>
      <c r="C149">
        <v>1.272E-2</v>
      </c>
      <c r="D149">
        <v>1.6313999999999999E-2</v>
      </c>
      <c r="E149">
        <v>1.0284E-2</v>
      </c>
      <c r="F149">
        <v>5.1250000000000002E-3</v>
      </c>
    </row>
    <row r="150" spans="1:6" x14ac:dyDescent="0.25">
      <c r="A150">
        <v>486</v>
      </c>
      <c r="B150">
        <v>-6.0520000000000001E-3</v>
      </c>
      <c r="C150">
        <v>1.1212E-2</v>
      </c>
      <c r="D150">
        <v>1.1998E-2</v>
      </c>
      <c r="E150">
        <v>5.594E-3</v>
      </c>
      <c r="F150">
        <v>3.1900000000000001E-3</v>
      </c>
    </row>
    <row r="151" spans="1:6" x14ac:dyDescent="0.25">
      <c r="A151">
        <v>488</v>
      </c>
      <c r="B151">
        <v>2.3414999999999998E-2</v>
      </c>
      <c r="C151">
        <v>1.4344000000000001E-2</v>
      </c>
      <c r="D151">
        <v>1.0952E-2</v>
      </c>
      <c r="E151">
        <v>9.8169999999999993E-3</v>
      </c>
      <c r="F151">
        <v>3.2139999999999998E-3</v>
      </c>
    </row>
    <row r="152" spans="1:6" x14ac:dyDescent="0.25">
      <c r="A152">
        <v>490</v>
      </c>
      <c r="B152">
        <v>9.7273999999999999E-2</v>
      </c>
      <c r="C152">
        <v>2.5079999999999998E-3</v>
      </c>
      <c r="D152">
        <v>1.4765E-2</v>
      </c>
      <c r="E152">
        <v>1.6822E-2</v>
      </c>
      <c r="F152">
        <v>-6.208E-3</v>
      </c>
    </row>
    <row r="153" spans="1:6" x14ac:dyDescent="0.25">
      <c r="A153">
        <v>492</v>
      </c>
      <c r="B153">
        <v>0.10809299999999999</v>
      </c>
      <c r="C153">
        <v>1.4524E-2</v>
      </c>
      <c r="D153">
        <v>2.7445000000000001E-2</v>
      </c>
      <c r="E153">
        <v>8.3459999999999993E-3</v>
      </c>
      <c r="F153">
        <v>-1.1506000000000001E-2</v>
      </c>
    </row>
    <row r="154" spans="1:6" x14ac:dyDescent="0.25">
      <c r="A154">
        <v>494</v>
      </c>
      <c r="B154">
        <v>0.106543</v>
      </c>
      <c r="C154">
        <v>-1.3680000000000001E-3</v>
      </c>
      <c r="D154">
        <v>2.0843E-2</v>
      </c>
      <c r="E154">
        <v>4.28E-3</v>
      </c>
      <c r="F154">
        <v>-7.0699999999999999E-3</v>
      </c>
    </row>
    <row r="155" spans="1:6" x14ac:dyDescent="0.25">
      <c r="A155">
        <v>496</v>
      </c>
      <c r="B155">
        <v>8.6399000000000004E-2</v>
      </c>
      <c r="C155">
        <v>2.6559999999999999E-3</v>
      </c>
      <c r="D155">
        <v>2.3359000000000001E-2</v>
      </c>
      <c r="E155">
        <v>8.7819999999999999E-3</v>
      </c>
      <c r="F155">
        <v>-2.1419999999999998E-3</v>
      </c>
    </row>
    <row r="156" spans="1:6" x14ac:dyDescent="0.25">
      <c r="A156">
        <v>498</v>
      </c>
      <c r="B156">
        <v>7.1794999999999998E-2</v>
      </c>
      <c r="C156">
        <v>1.5100000000000001E-3</v>
      </c>
      <c r="D156">
        <v>3.3656999999999999E-2</v>
      </c>
      <c r="E156">
        <v>9.3349999999999995E-3</v>
      </c>
      <c r="F156">
        <v>-1.0399E-2</v>
      </c>
    </row>
    <row r="157" spans="1:6" x14ac:dyDescent="0.25">
      <c r="A157">
        <v>500</v>
      </c>
      <c r="B157">
        <v>7.2081999999999993E-2</v>
      </c>
      <c r="C157">
        <v>1.9300000000000001E-3</v>
      </c>
      <c r="D157">
        <v>1.6400000000000001E-2</v>
      </c>
      <c r="E157">
        <v>1.3519999999999999E-3</v>
      </c>
      <c r="F157">
        <v>-8.2249999999999997E-3</v>
      </c>
    </row>
    <row r="158" spans="1:6" x14ac:dyDescent="0.25">
      <c r="A158">
        <v>502</v>
      </c>
      <c r="B158">
        <v>8.6030999999999996E-2</v>
      </c>
      <c r="C158">
        <v>1.1896E-2</v>
      </c>
      <c r="D158">
        <v>1.3018E-2</v>
      </c>
      <c r="E158">
        <v>-6.3119999999999999E-3</v>
      </c>
      <c r="F158">
        <v>-2.7330000000000002E-3</v>
      </c>
    </row>
    <row r="159" spans="1:6" x14ac:dyDescent="0.25">
      <c r="A159">
        <v>504</v>
      </c>
      <c r="B159">
        <v>8.3068000000000003E-2</v>
      </c>
      <c r="C159">
        <v>2.5971999999999999E-2</v>
      </c>
      <c r="D159">
        <v>8.7679999999999998E-3</v>
      </c>
      <c r="E159">
        <v>6.293E-3</v>
      </c>
      <c r="F159">
        <v>5.9249999999999997E-3</v>
      </c>
    </row>
    <row r="160" spans="1:6" x14ac:dyDescent="0.25">
      <c r="A160">
        <v>506</v>
      </c>
      <c r="B160">
        <v>4.6640000000000001E-2</v>
      </c>
      <c r="C160">
        <v>1.7940000000000001E-2</v>
      </c>
      <c r="D160">
        <v>9.4870000000000006E-3</v>
      </c>
      <c r="E160">
        <v>-5.1659999999999996E-3</v>
      </c>
      <c r="F160">
        <v>9.1249999999999994E-3</v>
      </c>
    </row>
    <row r="161" spans="1:6" x14ac:dyDescent="0.25">
      <c r="A161">
        <v>508</v>
      </c>
      <c r="B161">
        <v>6.5962000000000007E-2</v>
      </c>
      <c r="C161">
        <v>-1.7669999999999999E-3</v>
      </c>
      <c r="D161">
        <v>2.7807999999999999E-2</v>
      </c>
      <c r="E161">
        <v>-1.1944E-2</v>
      </c>
      <c r="F161">
        <v>6.9410000000000001E-3</v>
      </c>
    </row>
    <row r="162" spans="1:6" x14ac:dyDescent="0.25">
      <c r="A162">
        <v>510</v>
      </c>
      <c r="B162">
        <v>9.5589999999999994E-2</v>
      </c>
      <c r="C162">
        <v>8.7119999999999993E-3</v>
      </c>
      <c r="D162">
        <v>1.8584E-2</v>
      </c>
      <c r="E162">
        <v>5.9059999999999998E-3</v>
      </c>
      <c r="F162">
        <v>1.9139E-2</v>
      </c>
    </row>
    <row r="163" spans="1:6" x14ac:dyDescent="0.25">
      <c r="A163">
        <v>512</v>
      </c>
      <c r="B163">
        <v>7.8367999999999993E-2</v>
      </c>
      <c r="C163">
        <v>2.794E-3</v>
      </c>
      <c r="D163">
        <v>1.6563999999999999E-2</v>
      </c>
      <c r="E163">
        <v>8.3269999999999993E-3</v>
      </c>
      <c r="F163">
        <v>1.8416999999999999E-2</v>
      </c>
    </row>
    <row r="164" spans="1:6" x14ac:dyDescent="0.25">
      <c r="A164">
        <v>514</v>
      </c>
      <c r="B164">
        <v>9.8018999999999995E-2</v>
      </c>
      <c r="C164">
        <v>2.4889999999999999E-3</v>
      </c>
      <c r="D164">
        <v>2.5256000000000001E-2</v>
      </c>
      <c r="E164">
        <v>-7.0100000000000002E-4</v>
      </c>
      <c r="F164">
        <v>1.5793000000000001E-2</v>
      </c>
    </row>
    <row r="165" spans="1:6" x14ac:dyDescent="0.25">
      <c r="A165">
        <v>516</v>
      </c>
      <c r="B165">
        <v>0.100129</v>
      </c>
      <c r="C165">
        <v>1.6504999999999999E-2</v>
      </c>
      <c r="D165">
        <v>2.0826999999999998E-2</v>
      </c>
      <c r="E165">
        <v>8.2050000000000005E-3</v>
      </c>
      <c r="F165">
        <v>8.5660000000000007E-3</v>
      </c>
    </row>
    <row r="166" spans="1:6" x14ac:dyDescent="0.25">
      <c r="A166">
        <v>518</v>
      </c>
      <c r="B166">
        <v>6.719E-2</v>
      </c>
      <c r="C166">
        <v>7.5469999999999999E-3</v>
      </c>
      <c r="D166">
        <v>2.4121E-2</v>
      </c>
      <c r="E166">
        <v>1.1096999999999999E-2</v>
      </c>
      <c r="F166">
        <v>-1.3722E-2</v>
      </c>
    </row>
    <row r="167" spans="1:6" x14ac:dyDescent="0.25">
      <c r="A167">
        <v>520</v>
      </c>
      <c r="B167">
        <v>8.0229999999999996E-2</v>
      </c>
      <c r="C167">
        <v>1.5117999999999999E-2</v>
      </c>
      <c r="D167">
        <v>1.1318E-2</v>
      </c>
      <c r="E167">
        <v>-5.803E-3</v>
      </c>
      <c r="F167">
        <v>-2.3862000000000001E-2</v>
      </c>
    </row>
    <row r="168" spans="1:6" x14ac:dyDescent="0.25">
      <c r="A168">
        <v>522</v>
      </c>
      <c r="B168">
        <v>4.0367E-2</v>
      </c>
      <c r="C168">
        <v>1.234E-2</v>
      </c>
      <c r="D168">
        <v>2.0226000000000001E-2</v>
      </c>
      <c r="E168">
        <v>4.9550000000000002E-3</v>
      </c>
      <c r="F168">
        <v>-1.1284000000000001E-2</v>
      </c>
    </row>
    <row r="169" spans="1:6" x14ac:dyDescent="0.25">
      <c r="A169">
        <v>524</v>
      </c>
      <c r="B169">
        <v>7.0673E-2</v>
      </c>
      <c r="C169">
        <v>2.2750000000000001E-3</v>
      </c>
      <c r="D169">
        <v>3.4551999999999999E-2</v>
      </c>
      <c r="E169">
        <v>1.1159000000000001E-2</v>
      </c>
      <c r="F169">
        <v>-7.5240000000000003E-3</v>
      </c>
    </row>
    <row r="170" spans="1:6" x14ac:dyDescent="0.25">
      <c r="A170">
        <v>526</v>
      </c>
      <c r="B170">
        <v>0.10659100000000001</v>
      </c>
      <c r="C170">
        <v>2.1420000000000002E-2</v>
      </c>
      <c r="D170">
        <v>1.8435E-2</v>
      </c>
      <c r="E170">
        <v>8.9449999999999998E-3</v>
      </c>
      <c r="F170">
        <v>-1.1084E-2</v>
      </c>
    </row>
    <row r="171" spans="1:6" x14ac:dyDescent="0.25">
      <c r="A171">
        <v>528</v>
      </c>
      <c r="B171">
        <v>8.2900000000000001E-2</v>
      </c>
      <c r="C171">
        <v>3.5990000000000002E-3</v>
      </c>
      <c r="D171">
        <v>1.8092E-2</v>
      </c>
      <c r="E171">
        <v>1.2278000000000001E-2</v>
      </c>
      <c r="F171">
        <v>-3.921E-3</v>
      </c>
    </row>
    <row r="172" spans="1:6" x14ac:dyDescent="0.25">
      <c r="A172">
        <v>530</v>
      </c>
      <c r="B172">
        <v>0.12798200000000001</v>
      </c>
      <c r="C172">
        <v>4.7159999999999997E-3</v>
      </c>
      <c r="D172">
        <v>1.6653999999999999E-2</v>
      </c>
      <c r="E172">
        <v>8.7180000000000001E-3</v>
      </c>
      <c r="F172">
        <v>-1.0799E-2</v>
      </c>
    </row>
    <row r="173" spans="1:6" x14ac:dyDescent="0.25">
      <c r="A173">
        <v>532</v>
      </c>
      <c r="B173">
        <v>6.1060999999999997E-2</v>
      </c>
      <c r="C173">
        <v>-1.7793E-2</v>
      </c>
      <c r="D173">
        <v>3.2534E-2</v>
      </c>
      <c r="E173">
        <v>-3.0179999999999998E-3</v>
      </c>
      <c r="F173">
        <v>-8.0499999999999999E-3</v>
      </c>
    </row>
    <row r="174" spans="1:6" x14ac:dyDescent="0.25">
      <c r="A174">
        <v>534</v>
      </c>
      <c r="B174">
        <v>6.2821000000000002E-2</v>
      </c>
      <c r="C174">
        <v>-1.4522E-2</v>
      </c>
      <c r="D174">
        <v>2.7130999999999999E-2</v>
      </c>
      <c r="E174">
        <v>1.1832000000000001E-2</v>
      </c>
      <c r="F174">
        <v>4.5519999999999996E-3</v>
      </c>
    </row>
    <row r="175" spans="1:6" x14ac:dyDescent="0.25">
      <c r="A175">
        <v>536</v>
      </c>
      <c r="B175">
        <v>7.4733999999999995E-2</v>
      </c>
      <c r="C175">
        <v>-2.2209999999999999E-3</v>
      </c>
      <c r="D175">
        <v>1.3542E-2</v>
      </c>
      <c r="E175">
        <v>1.5422E-2</v>
      </c>
      <c r="F175">
        <v>9.5149999999999992E-3</v>
      </c>
    </row>
    <row r="176" spans="1:6" x14ac:dyDescent="0.25">
      <c r="A176">
        <v>538</v>
      </c>
      <c r="B176">
        <v>8.4399000000000002E-2</v>
      </c>
      <c r="C176">
        <v>-1.3747000000000001E-2</v>
      </c>
      <c r="D176">
        <v>2.6794999999999999E-2</v>
      </c>
      <c r="E176">
        <v>-1.6139000000000001E-2</v>
      </c>
      <c r="F176">
        <v>1.4607999999999999E-2</v>
      </c>
    </row>
    <row r="177" spans="1:6" x14ac:dyDescent="0.25">
      <c r="A177">
        <v>540</v>
      </c>
      <c r="B177">
        <v>7.6907000000000003E-2</v>
      </c>
      <c r="C177">
        <v>-1.1641E-2</v>
      </c>
      <c r="D177">
        <v>1.942E-2</v>
      </c>
      <c r="E177">
        <v>-8.4539999999999997E-3</v>
      </c>
      <c r="F177">
        <v>9.7450000000000002E-3</v>
      </c>
    </row>
    <row r="178" spans="1:6" x14ac:dyDescent="0.25">
      <c r="A178">
        <v>542</v>
      </c>
      <c r="B178">
        <v>8.4087999999999996E-2</v>
      </c>
      <c r="C178">
        <v>6.1399999999999996E-4</v>
      </c>
      <c r="D178">
        <v>1.2762000000000001E-2</v>
      </c>
      <c r="E178">
        <v>2.2532E-2</v>
      </c>
      <c r="F178">
        <v>-4.7999999999999996E-3</v>
      </c>
    </row>
    <row r="179" spans="1:6" x14ac:dyDescent="0.25">
      <c r="A179">
        <v>544</v>
      </c>
      <c r="B179">
        <v>0.12560499999999999</v>
      </c>
      <c r="C179">
        <v>9.0910000000000001E-3</v>
      </c>
      <c r="D179">
        <v>1.8263000000000001E-2</v>
      </c>
      <c r="E179">
        <v>2.5170000000000001E-2</v>
      </c>
      <c r="F179">
        <v>-3.4199999999999999E-3</v>
      </c>
    </row>
    <row r="180" spans="1:6" x14ac:dyDescent="0.25">
      <c r="A180">
        <v>546</v>
      </c>
      <c r="B180">
        <v>0.103628</v>
      </c>
      <c r="C180">
        <v>9.9579999999999998E-3</v>
      </c>
      <c r="D180">
        <v>1.099E-2</v>
      </c>
      <c r="E180">
        <v>1.2111E-2</v>
      </c>
      <c r="F180">
        <v>9.3629999999999998E-3</v>
      </c>
    </row>
    <row r="181" spans="1:6" x14ac:dyDescent="0.25">
      <c r="A181">
        <v>548</v>
      </c>
      <c r="B181">
        <v>7.8824000000000005E-2</v>
      </c>
      <c r="C181">
        <v>3.3890000000000003E-2</v>
      </c>
      <c r="D181">
        <v>8.7349999999999997E-3</v>
      </c>
      <c r="E181">
        <v>2.9489999999999998E-3</v>
      </c>
      <c r="F181">
        <v>1.6053999999999999E-2</v>
      </c>
    </row>
    <row r="182" spans="1:6" x14ac:dyDescent="0.25">
      <c r="A182">
        <v>550</v>
      </c>
      <c r="B182">
        <v>6.5615000000000007E-2</v>
      </c>
      <c r="C182">
        <v>1.5389999999999999E-2</v>
      </c>
      <c r="D182">
        <v>1.7446E-2</v>
      </c>
      <c r="E182">
        <v>1.8787999999999999E-2</v>
      </c>
      <c r="F182">
        <v>7.8390000000000005E-3</v>
      </c>
    </row>
    <row r="183" spans="1:6" x14ac:dyDescent="0.25">
      <c r="A183">
        <v>552</v>
      </c>
      <c r="B183">
        <v>8.6404999999999996E-2</v>
      </c>
      <c r="C183">
        <v>-1.2267E-2</v>
      </c>
      <c r="D183">
        <v>1.6986000000000001E-2</v>
      </c>
      <c r="E183">
        <v>2.0188999999999999E-2</v>
      </c>
      <c r="F183">
        <v>-7.1149999999999998E-3</v>
      </c>
    </row>
    <row r="184" spans="1:6" x14ac:dyDescent="0.25">
      <c r="A184">
        <v>554</v>
      </c>
      <c r="B184">
        <v>8.7297E-2</v>
      </c>
      <c r="C184">
        <v>-1.6081999999999999E-2</v>
      </c>
      <c r="D184">
        <v>1.4283000000000001E-2</v>
      </c>
      <c r="E184">
        <v>1.219E-3</v>
      </c>
      <c r="F184">
        <v>-5.1500000000000001E-3</v>
      </c>
    </row>
    <row r="185" spans="1:6" x14ac:dyDescent="0.25">
      <c r="A185">
        <v>556</v>
      </c>
      <c r="B185">
        <v>3.7318999999999998E-2</v>
      </c>
      <c r="C185">
        <v>-1.0690000000000001E-3</v>
      </c>
      <c r="D185">
        <v>9.7070000000000004E-3</v>
      </c>
      <c r="E185">
        <v>-2.215E-3</v>
      </c>
      <c r="F185">
        <v>-1.0402E-2</v>
      </c>
    </row>
    <row r="186" spans="1:6" x14ac:dyDescent="0.25">
      <c r="A186">
        <v>558</v>
      </c>
      <c r="B186">
        <v>2.894E-2</v>
      </c>
      <c r="C186">
        <v>5.012E-3</v>
      </c>
      <c r="D186">
        <v>4.3109999999999997E-3</v>
      </c>
      <c r="E186">
        <v>-1.3433E-2</v>
      </c>
      <c r="F186">
        <v>-3.614E-3</v>
      </c>
    </row>
    <row r="187" spans="1:6" x14ac:dyDescent="0.25">
      <c r="A187">
        <v>560</v>
      </c>
      <c r="B187">
        <v>8.4796999999999997E-2</v>
      </c>
      <c r="C187">
        <v>1.9344E-2</v>
      </c>
      <c r="D187">
        <v>1.3821999999999999E-2</v>
      </c>
      <c r="E187">
        <v>-7.3639999999999999E-3</v>
      </c>
      <c r="F187">
        <v>1.1967E-2</v>
      </c>
    </row>
    <row r="188" spans="1:6" x14ac:dyDescent="0.25">
      <c r="A188">
        <v>562</v>
      </c>
      <c r="B188">
        <v>0.11665499999999999</v>
      </c>
      <c r="C188">
        <v>2.7706999999999999E-2</v>
      </c>
      <c r="D188">
        <v>9.6170000000000005E-3</v>
      </c>
      <c r="E188">
        <v>6.4180000000000001E-3</v>
      </c>
      <c r="F188">
        <v>1.1571E-2</v>
      </c>
    </row>
    <row r="189" spans="1:6" x14ac:dyDescent="0.25">
      <c r="A189">
        <v>564</v>
      </c>
      <c r="B189">
        <v>0.116786</v>
      </c>
      <c r="C189">
        <v>6.5599999999999999E-3</v>
      </c>
      <c r="D189">
        <v>1.2293999999999999E-2</v>
      </c>
      <c r="E189">
        <v>1.4290000000000001E-2</v>
      </c>
      <c r="F189">
        <v>2.1808000000000001E-2</v>
      </c>
    </row>
    <row r="190" spans="1:6" x14ac:dyDescent="0.25">
      <c r="A190">
        <v>566</v>
      </c>
      <c r="B190">
        <v>5.5560999999999999E-2</v>
      </c>
      <c r="C190">
        <v>3.8119999999999999E-3</v>
      </c>
      <c r="D190">
        <v>2.6707999999999999E-2</v>
      </c>
      <c r="E190">
        <v>9.6089999999999995E-3</v>
      </c>
      <c r="F190">
        <v>1.158E-2</v>
      </c>
    </row>
    <row r="191" spans="1:6" x14ac:dyDescent="0.25">
      <c r="A191">
        <v>568</v>
      </c>
      <c r="B191">
        <v>8.8512999999999994E-2</v>
      </c>
      <c r="C191">
        <v>9.8160000000000001E-3</v>
      </c>
      <c r="D191">
        <v>9.7289999999999998E-3</v>
      </c>
      <c r="E191">
        <v>8.1689999999999992E-3</v>
      </c>
      <c r="F191">
        <v>2.8839999999999998E-3</v>
      </c>
    </row>
    <row r="192" spans="1:6" x14ac:dyDescent="0.25">
      <c r="A192">
        <v>570</v>
      </c>
      <c r="B192">
        <v>8.3628999999999995E-2</v>
      </c>
      <c r="C192">
        <v>1.5630000000000002E-2</v>
      </c>
      <c r="D192">
        <v>6.7140000000000003E-3</v>
      </c>
      <c r="E192">
        <v>6.9439999999999997E-3</v>
      </c>
      <c r="F192">
        <v>-1.6509999999999999E-3</v>
      </c>
    </row>
    <row r="193" spans="1:6" x14ac:dyDescent="0.25">
      <c r="A193">
        <v>572</v>
      </c>
      <c r="B193">
        <v>1.6900999999999999E-2</v>
      </c>
      <c r="C193">
        <v>8.8909999999999996E-3</v>
      </c>
      <c r="D193">
        <v>1.4505000000000001E-2</v>
      </c>
      <c r="E193">
        <v>2.679E-3</v>
      </c>
      <c r="F193">
        <v>-8.4519999999999994E-3</v>
      </c>
    </row>
    <row r="194" spans="1:6" x14ac:dyDescent="0.25">
      <c r="A194">
        <v>574</v>
      </c>
      <c r="B194">
        <v>4.2639000000000003E-2</v>
      </c>
      <c r="C194">
        <v>3.0860000000000002E-3</v>
      </c>
      <c r="D194">
        <v>-1.983E-3</v>
      </c>
      <c r="E194">
        <v>4.052E-3</v>
      </c>
      <c r="F194">
        <v>-8.0420000000000005E-3</v>
      </c>
    </row>
    <row r="195" spans="1:6" x14ac:dyDescent="0.25">
      <c r="A195">
        <v>576</v>
      </c>
      <c r="B195">
        <v>3.4736999999999997E-2</v>
      </c>
      <c r="C195">
        <v>4.5040000000000002E-3</v>
      </c>
      <c r="D195">
        <v>-2.7880000000000001E-3</v>
      </c>
      <c r="E195">
        <v>1.701E-3</v>
      </c>
      <c r="F195">
        <v>-7.4029999999999999E-3</v>
      </c>
    </row>
    <row r="196" spans="1:6" x14ac:dyDescent="0.25">
      <c r="A196">
        <v>578</v>
      </c>
      <c r="B196">
        <v>0.10853</v>
      </c>
      <c r="C196">
        <v>2.0730999999999999E-2</v>
      </c>
      <c r="D196">
        <v>3.3270000000000001E-3</v>
      </c>
      <c r="E196">
        <v>-1.856E-3</v>
      </c>
      <c r="F196">
        <v>-1.0120000000000001E-2</v>
      </c>
    </row>
    <row r="197" spans="1:6" x14ac:dyDescent="0.25">
      <c r="A197">
        <v>580</v>
      </c>
      <c r="B197">
        <v>7.6530000000000001E-2</v>
      </c>
      <c r="C197">
        <v>5.8259999999999996E-3</v>
      </c>
      <c r="D197">
        <v>5.5999999999999999E-5</v>
      </c>
      <c r="E197">
        <v>4.2900000000000002E-4</v>
      </c>
      <c r="F197">
        <v>-8.5730000000000008E-3</v>
      </c>
    </row>
    <row r="198" spans="1:6" x14ac:dyDescent="0.25">
      <c r="A198">
        <v>582</v>
      </c>
      <c r="B198">
        <v>0.15679999999999999</v>
      </c>
      <c r="C198">
        <v>2.9198999999999999E-2</v>
      </c>
      <c r="D198">
        <v>-4.0749999999999996E-3</v>
      </c>
      <c r="E198">
        <v>-2.4559999999999998E-3</v>
      </c>
      <c r="F198">
        <v>-2.9659999999999999E-3</v>
      </c>
    </row>
    <row r="199" spans="1:6" x14ac:dyDescent="0.25">
      <c r="A199">
        <v>584</v>
      </c>
      <c r="B199">
        <v>0.12853600000000001</v>
      </c>
      <c r="C199">
        <v>1.1213000000000001E-2</v>
      </c>
      <c r="D199">
        <v>2.2160000000000001E-3</v>
      </c>
      <c r="E199">
        <v>2.8609999999999998E-3</v>
      </c>
      <c r="F199">
        <v>1.142E-3</v>
      </c>
    </row>
    <row r="200" spans="1:6" x14ac:dyDescent="0.25">
      <c r="A200">
        <v>586</v>
      </c>
      <c r="B200">
        <v>8.8648000000000005E-2</v>
      </c>
      <c r="C200">
        <v>-7.2030000000000002E-3</v>
      </c>
      <c r="D200">
        <v>1.928E-3</v>
      </c>
      <c r="E200">
        <v>9.6170000000000005E-3</v>
      </c>
      <c r="F200">
        <v>2.5999999999999998E-4</v>
      </c>
    </row>
    <row r="201" spans="1:6" x14ac:dyDescent="0.25">
      <c r="A201">
        <v>588</v>
      </c>
      <c r="B201">
        <v>8.6619000000000002E-2</v>
      </c>
      <c r="C201">
        <v>3.2130000000000001E-3</v>
      </c>
      <c r="D201">
        <v>-1.5809999999999999E-3</v>
      </c>
      <c r="E201">
        <v>6.914E-3</v>
      </c>
      <c r="F201">
        <v>-2.4269999999999999E-3</v>
      </c>
    </row>
    <row r="202" spans="1:6" x14ac:dyDescent="0.25">
      <c r="A202">
        <v>590</v>
      </c>
      <c r="B202">
        <v>0.12038500000000001</v>
      </c>
      <c r="C202">
        <v>8.6999999999999994E-3</v>
      </c>
      <c r="D202">
        <v>5.9699999999999998E-4</v>
      </c>
      <c r="E202">
        <v>1.848E-3</v>
      </c>
      <c r="F202">
        <v>-4.3179999999999998E-3</v>
      </c>
    </row>
    <row r="203" spans="1:6" x14ac:dyDescent="0.25">
      <c r="A203">
        <v>592</v>
      </c>
      <c r="B203">
        <v>9.9746000000000001E-2</v>
      </c>
      <c r="C203">
        <v>2.5479000000000002E-2</v>
      </c>
      <c r="D203">
        <v>-1.1580999999999999E-2</v>
      </c>
      <c r="E203">
        <v>2.5349999999999999E-3</v>
      </c>
      <c r="F203">
        <v>-2.712E-3</v>
      </c>
    </row>
    <row r="204" spans="1:6" x14ac:dyDescent="0.25">
      <c r="A204">
        <v>594</v>
      </c>
      <c r="B204">
        <v>4.0559999999999997E-3</v>
      </c>
      <c r="C204">
        <v>-2.66E-3</v>
      </c>
      <c r="D204">
        <v>-5.4060000000000002E-3</v>
      </c>
      <c r="E204">
        <v>9.9690000000000004E-3</v>
      </c>
      <c r="F204">
        <v>6.3330000000000001E-3</v>
      </c>
    </row>
    <row r="205" spans="1:6" x14ac:dyDescent="0.25">
      <c r="A205">
        <v>596</v>
      </c>
      <c r="B205">
        <v>8.6114999999999997E-2</v>
      </c>
      <c r="C205">
        <v>4.1920000000000004E-3</v>
      </c>
      <c r="D205">
        <v>3.0999999999999999E-3</v>
      </c>
      <c r="E205">
        <v>1.23E-2</v>
      </c>
      <c r="F205">
        <v>5.6119999999999998E-3</v>
      </c>
    </row>
    <row r="206" spans="1:6" x14ac:dyDescent="0.25">
      <c r="A206">
        <v>598</v>
      </c>
      <c r="B206">
        <v>5.9617000000000003E-2</v>
      </c>
      <c r="C206">
        <v>-1.0189E-2</v>
      </c>
      <c r="D206">
        <v>8.6700000000000004E-4</v>
      </c>
      <c r="E206">
        <v>3.6219999999999998E-3</v>
      </c>
      <c r="F206">
        <v>-1.2926999999999999E-2</v>
      </c>
    </row>
    <row r="207" spans="1:6" x14ac:dyDescent="0.25">
      <c r="A207">
        <v>600</v>
      </c>
      <c r="B207">
        <v>0.14553099999999999</v>
      </c>
      <c r="C207">
        <v>1.023E-2</v>
      </c>
      <c r="D207">
        <v>-3.3800000000000002E-3</v>
      </c>
      <c r="E207">
        <v>-1.794E-3</v>
      </c>
      <c r="F207">
        <v>-6.4720000000000003E-3</v>
      </c>
    </row>
    <row r="208" spans="1:6" x14ac:dyDescent="0.25">
      <c r="A208">
        <v>602</v>
      </c>
      <c r="B208">
        <v>5.2833999999999999E-2</v>
      </c>
      <c r="C208">
        <v>-2.709E-3</v>
      </c>
      <c r="D208">
        <v>3.9500000000000001E-4</v>
      </c>
      <c r="E208">
        <v>5.0080000000000003E-3</v>
      </c>
      <c r="F208">
        <v>-6.8999999999999997E-5</v>
      </c>
    </row>
    <row r="209" spans="1:6" x14ac:dyDescent="0.25">
      <c r="A209">
        <v>604</v>
      </c>
      <c r="B209">
        <v>0.15911400000000001</v>
      </c>
      <c r="C209">
        <v>2.5490000000000001E-3</v>
      </c>
      <c r="D209">
        <v>-1.6699999999999999E-4</v>
      </c>
      <c r="E209">
        <v>-9.4899999999999997E-4</v>
      </c>
      <c r="F209">
        <v>-7.3220000000000004E-3</v>
      </c>
    </row>
    <row r="210" spans="1:6" x14ac:dyDescent="0.25">
      <c r="A210">
        <v>606</v>
      </c>
      <c r="B210">
        <v>6.5723000000000004E-2</v>
      </c>
      <c r="C210">
        <v>-1.1561E-2</v>
      </c>
      <c r="D210">
        <v>-5.0470000000000003E-3</v>
      </c>
      <c r="E210">
        <v>-9.7029999999999998E-3</v>
      </c>
      <c r="F210">
        <v>-9.2750000000000003E-3</v>
      </c>
    </row>
    <row r="211" spans="1:6" x14ac:dyDescent="0.25">
      <c r="A211">
        <v>608</v>
      </c>
      <c r="B211">
        <v>7.5769000000000003E-2</v>
      </c>
      <c r="C211">
        <v>-4.8729999999999997E-3</v>
      </c>
      <c r="D211">
        <v>1.2539999999999999E-3</v>
      </c>
      <c r="E211">
        <v>-4.8240000000000002E-3</v>
      </c>
      <c r="F211">
        <v>-9.4599999999999997E-3</v>
      </c>
    </row>
    <row r="212" spans="1:6" x14ac:dyDescent="0.25">
      <c r="A212">
        <v>610</v>
      </c>
      <c r="B212">
        <v>5.9915000000000003E-2</v>
      </c>
      <c r="C212">
        <v>2.24E-4</v>
      </c>
      <c r="D212">
        <v>4.9810000000000002E-3</v>
      </c>
      <c r="E212">
        <v>9.7900000000000001E-3</v>
      </c>
      <c r="F212">
        <v>-6.5750000000000001E-3</v>
      </c>
    </row>
    <row r="213" spans="1:6" x14ac:dyDescent="0.25">
      <c r="A213">
        <v>612</v>
      </c>
      <c r="B213">
        <v>7.8700000000000005E-4</v>
      </c>
      <c r="C213">
        <v>-2.1361999999999999E-2</v>
      </c>
      <c r="D213">
        <v>-3.588E-3</v>
      </c>
      <c r="E213">
        <v>6.7149999999999996E-3</v>
      </c>
      <c r="F213">
        <v>-1.062E-3</v>
      </c>
    </row>
    <row r="214" spans="1:6" x14ac:dyDescent="0.25">
      <c r="A214">
        <v>614</v>
      </c>
      <c r="B214">
        <v>0.121061</v>
      </c>
      <c r="C214">
        <v>1.433E-3</v>
      </c>
      <c r="D214">
        <v>-6.4819999999999999E-3</v>
      </c>
      <c r="E214">
        <v>-3.4099999999999998E-3</v>
      </c>
      <c r="F214">
        <v>-7.4939999999999998E-3</v>
      </c>
    </row>
    <row r="215" spans="1:6" x14ac:dyDescent="0.25">
      <c r="A215">
        <v>616</v>
      </c>
      <c r="B215">
        <v>5.8706000000000001E-2</v>
      </c>
      <c r="C215">
        <v>-4.6100000000000004E-3</v>
      </c>
      <c r="D215">
        <v>1.526E-3</v>
      </c>
      <c r="E215">
        <v>3.009E-3</v>
      </c>
      <c r="F215">
        <v>2.594E-3</v>
      </c>
    </row>
    <row r="216" spans="1:6" x14ac:dyDescent="0.25">
      <c r="A216">
        <v>618</v>
      </c>
      <c r="B216">
        <v>0.132242</v>
      </c>
      <c r="C216">
        <v>2.1656000000000002E-2</v>
      </c>
      <c r="D216">
        <v>-5.5750000000000001E-3</v>
      </c>
      <c r="E216">
        <v>4.0140000000000002E-3</v>
      </c>
      <c r="F216">
        <v>8.4569999999999992E-3</v>
      </c>
    </row>
    <row r="217" spans="1:6" x14ac:dyDescent="0.25">
      <c r="A217">
        <v>620</v>
      </c>
      <c r="B217">
        <v>1.5233999999999999E-2</v>
      </c>
      <c r="C217">
        <v>-1.317E-3</v>
      </c>
      <c r="D217">
        <v>-2.1559999999999999E-3</v>
      </c>
      <c r="E217">
        <v>8.4320000000000003E-3</v>
      </c>
      <c r="F217">
        <v>8.4699999999999999E-4</v>
      </c>
    </row>
    <row r="218" spans="1:6" x14ac:dyDescent="0.25">
      <c r="A218">
        <v>622</v>
      </c>
      <c r="B218">
        <v>7.5554999999999997E-2</v>
      </c>
      <c r="C218">
        <v>-3.571E-3</v>
      </c>
      <c r="D218">
        <v>5.5430000000000002E-3</v>
      </c>
      <c r="E218">
        <v>-2.3140000000000001E-3</v>
      </c>
      <c r="F218">
        <v>-5.1200000000000004E-3</v>
      </c>
    </row>
    <row r="219" spans="1:6" x14ac:dyDescent="0.25">
      <c r="A219">
        <v>624</v>
      </c>
      <c r="B219">
        <v>8.2912E-2</v>
      </c>
      <c r="C219">
        <v>1.1797E-2</v>
      </c>
      <c r="D219">
        <v>-2.0419E-2</v>
      </c>
      <c r="E219">
        <v>1.8569999999999999E-3</v>
      </c>
      <c r="F219">
        <v>-1.2755000000000001E-2</v>
      </c>
    </row>
    <row r="220" spans="1:6" x14ac:dyDescent="0.25">
      <c r="A220">
        <v>626</v>
      </c>
      <c r="B220">
        <v>3.8721999999999999E-2</v>
      </c>
      <c r="C220">
        <v>1.184E-2</v>
      </c>
      <c r="D220">
        <v>-1.7742000000000001E-2</v>
      </c>
      <c r="E220">
        <v>2.3709000000000001E-2</v>
      </c>
      <c r="F220">
        <v>3.6219999999999998E-3</v>
      </c>
    </row>
    <row r="221" spans="1:6" x14ac:dyDescent="0.25">
      <c r="A221">
        <v>628</v>
      </c>
      <c r="B221">
        <v>0.161832</v>
      </c>
      <c r="C221">
        <v>5.8298000000000003E-2</v>
      </c>
      <c r="D221">
        <v>3.1549999999999998E-3</v>
      </c>
      <c r="E221">
        <v>2.9538999999999999E-2</v>
      </c>
      <c r="F221">
        <v>-1.1259999999999999E-2</v>
      </c>
    </row>
    <row r="222" spans="1:6" x14ac:dyDescent="0.25">
      <c r="A222">
        <v>630</v>
      </c>
      <c r="B222">
        <v>7.6000000000000004E-4</v>
      </c>
      <c r="C222">
        <v>3.0491999999999998E-2</v>
      </c>
      <c r="D222">
        <v>2.8739999999999998E-3</v>
      </c>
      <c r="E222">
        <v>1.7173000000000001E-2</v>
      </c>
      <c r="F222">
        <v>-1.5259E-2</v>
      </c>
    </row>
    <row r="223" spans="1:6" x14ac:dyDescent="0.25">
      <c r="A223">
        <v>632</v>
      </c>
      <c r="B223">
        <v>0.143097</v>
      </c>
      <c r="C223">
        <v>2.1485000000000001E-2</v>
      </c>
      <c r="D223">
        <v>-4.313E-3</v>
      </c>
      <c r="E223">
        <v>1.231E-2</v>
      </c>
      <c r="F223">
        <v>-4.0359999999999997E-3</v>
      </c>
    </row>
    <row r="224" spans="1:6" x14ac:dyDescent="0.25">
      <c r="A224">
        <v>634</v>
      </c>
      <c r="B224">
        <v>5.7421E-2</v>
      </c>
      <c r="C224">
        <v>9.5639999999999996E-3</v>
      </c>
      <c r="D224">
        <v>-2.6480000000000002E-3</v>
      </c>
      <c r="E224">
        <v>2.1486000000000002E-2</v>
      </c>
      <c r="F224">
        <v>-1.5931000000000001E-2</v>
      </c>
    </row>
    <row r="225" spans="1:6" x14ac:dyDescent="0.25">
      <c r="A225">
        <v>636</v>
      </c>
      <c r="B225">
        <v>-5.2589999999999998E-3</v>
      </c>
      <c r="C225">
        <v>-4.8779999999999997E-2</v>
      </c>
      <c r="D225">
        <v>6.3619999999999996E-3</v>
      </c>
      <c r="E225">
        <v>2.7810000000000001E-2</v>
      </c>
      <c r="F225">
        <v>3.7300000000000001E-4</v>
      </c>
    </row>
    <row r="226" spans="1:6" x14ac:dyDescent="0.25">
      <c r="A226">
        <v>638</v>
      </c>
      <c r="B226">
        <v>0.174233</v>
      </c>
      <c r="C226">
        <v>7.5729999999999999E-3</v>
      </c>
      <c r="D226">
        <v>-5.7949999999999998E-3</v>
      </c>
      <c r="E226">
        <v>3.1087E-2</v>
      </c>
      <c r="F226">
        <v>-9.4219999999999998E-3</v>
      </c>
    </row>
    <row r="227" spans="1:6" x14ac:dyDescent="0.25">
      <c r="A227">
        <v>640</v>
      </c>
      <c r="B227">
        <v>-1.8919999999999999E-2</v>
      </c>
      <c r="C227">
        <v>-1.6441999999999998E-2</v>
      </c>
      <c r="D227">
        <v>1.2262E-2</v>
      </c>
      <c r="E227">
        <v>3.0374000000000002E-2</v>
      </c>
      <c r="F227">
        <v>-4.0141999999999997E-2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F227"/>
  <sheetViews>
    <sheetView topLeftCell="A2" workbookViewId="0"/>
  </sheetViews>
  <sheetFormatPr defaultRowHeight="15" x14ac:dyDescent="0.25"/>
  <sheetData>
    <row r="1" spans="1:6" x14ac:dyDescent="0.25">
      <c r="A1" t="s">
        <v>5</v>
      </c>
      <c r="B1">
        <v>1</v>
      </c>
      <c r="C1">
        <v>2</v>
      </c>
      <c r="D1">
        <v>3</v>
      </c>
      <c r="E1">
        <v>4</v>
      </c>
      <c r="F1">
        <v>5</v>
      </c>
    </row>
    <row r="2" spans="1:6" x14ac:dyDescent="0.25">
      <c r="A2">
        <v>190</v>
      </c>
      <c r="B2">
        <v>100</v>
      </c>
      <c r="C2">
        <v>55.889392852783203</v>
      </c>
      <c r="D2">
        <v>71.868148803710938</v>
      </c>
      <c r="E2">
        <v>78.508743286132813</v>
      </c>
      <c r="F2">
        <v>100</v>
      </c>
    </row>
    <row r="3" spans="1:6" x14ac:dyDescent="0.25">
      <c r="A3">
        <v>192</v>
      </c>
      <c r="B3">
        <v>84.18011474609375</v>
      </c>
      <c r="C3">
        <v>54.661392211914063</v>
      </c>
      <c r="D3">
        <v>69.054214477539063</v>
      </c>
      <c r="E3">
        <v>89.222404479980469</v>
      </c>
      <c r="F3">
        <v>93.001480102539063</v>
      </c>
    </row>
    <row r="4" spans="1:6" x14ac:dyDescent="0.25">
      <c r="A4">
        <v>194</v>
      </c>
      <c r="B4">
        <v>70.125495910644531</v>
      </c>
      <c r="C4">
        <v>53.409122467041016</v>
      </c>
      <c r="D4">
        <v>65.788444519042969</v>
      </c>
      <c r="E4">
        <v>96.665130615234375</v>
      </c>
      <c r="F4">
        <v>84.535896301269531</v>
      </c>
    </row>
    <row r="5" spans="1:6" x14ac:dyDescent="0.25">
      <c r="A5">
        <v>196</v>
      </c>
      <c r="B5">
        <v>59.003433227539063</v>
      </c>
      <c r="C5">
        <v>52.62017822265625</v>
      </c>
      <c r="D5">
        <v>63.130088806152344</v>
      </c>
      <c r="E5">
        <v>100</v>
      </c>
      <c r="F5">
        <v>74.899444580078125</v>
      </c>
    </row>
    <row r="6" spans="1:6" x14ac:dyDescent="0.25">
      <c r="A6">
        <v>198</v>
      </c>
      <c r="B6">
        <v>51.549526214599609</v>
      </c>
      <c r="C6">
        <v>52.760089874267578</v>
      </c>
      <c r="D6">
        <v>61.789306640625</v>
      </c>
      <c r="E6">
        <v>98.496772766113281</v>
      </c>
      <c r="F6">
        <v>64.972946166992188</v>
      </c>
    </row>
    <row r="7" spans="1:6" x14ac:dyDescent="0.25">
      <c r="A7">
        <v>200</v>
      </c>
      <c r="B7">
        <v>47.429611206054688</v>
      </c>
      <c r="C7">
        <v>54.649894714355469</v>
      </c>
      <c r="D7">
        <v>62.497287750244141</v>
      </c>
      <c r="E7">
        <v>92.576194763183594</v>
      </c>
      <c r="F7">
        <v>55.269924163818359</v>
      </c>
    </row>
    <row r="8" spans="1:6" x14ac:dyDescent="0.25">
      <c r="A8">
        <v>202</v>
      </c>
      <c r="B8">
        <v>46.082263946533203</v>
      </c>
      <c r="C8">
        <v>59.084308624267578</v>
      </c>
      <c r="D8">
        <v>65.970695495605469</v>
      </c>
      <c r="E8">
        <v>82.419036865234375</v>
      </c>
      <c r="F8">
        <v>45.509670257568359</v>
      </c>
    </row>
    <row r="9" spans="1:6" x14ac:dyDescent="0.25">
      <c r="A9">
        <v>204</v>
      </c>
      <c r="B9">
        <v>47.040214538574219</v>
      </c>
      <c r="C9">
        <v>66.044105529785156</v>
      </c>
      <c r="D9">
        <v>72.044532775878906</v>
      </c>
      <c r="E9">
        <v>69.997367858886719</v>
      </c>
      <c r="F9">
        <v>37.153560638427734</v>
      </c>
    </row>
    <row r="10" spans="1:6" x14ac:dyDescent="0.25">
      <c r="A10">
        <v>206</v>
      </c>
      <c r="B10">
        <v>48.897247314453125</v>
      </c>
      <c r="C10">
        <v>74.592208862304688</v>
      </c>
      <c r="D10">
        <v>79.516525268554688</v>
      </c>
      <c r="E10">
        <v>57.360618591308594</v>
      </c>
      <c r="F10">
        <v>30.788291931152344</v>
      </c>
    </row>
    <row r="11" spans="1:6" x14ac:dyDescent="0.25">
      <c r="A11">
        <v>208</v>
      </c>
      <c r="B11">
        <v>50.815036773681641</v>
      </c>
      <c r="C11">
        <v>83.886405944824219</v>
      </c>
      <c r="D11">
        <v>87.438461303710938</v>
      </c>
      <c r="E11">
        <v>45.678024291992188</v>
      </c>
      <c r="F11">
        <v>25.957042694091797</v>
      </c>
    </row>
    <row r="12" spans="1:6" x14ac:dyDescent="0.25">
      <c r="A12">
        <v>210</v>
      </c>
      <c r="B12">
        <v>52.408370971679688</v>
      </c>
      <c r="C12">
        <v>91.923873901367188</v>
      </c>
      <c r="D12">
        <v>94.007270812988281</v>
      </c>
      <c r="E12">
        <v>36.271572113037109</v>
      </c>
      <c r="F12">
        <v>22.547538757324219</v>
      </c>
    </row>
    <row r="13" spans="1:6" x14ac:dyDescent="0.25">
      <c r="A13">
        <v>212</v>
      </c>
      <c r="B13">
        <v>53.289295196533203</v>
      </c>
      <c r="C13">
        <v>97.599861145019531</v>
      </c>
      <c r="D13">
        <v>98.375961303710938</v>
      </c>
      <c r="E13">
        <v>28.87757682800293</v>
      </c>
      <c r="F13">
        <v>20.0836181640625</v>
      </c>
    </row>
    <row r="14" spans="1:6" x14ac:dyDescent="0.25">
      <c r="A14">
        <v>214</v>
      </c>
      <c r="B14">
        <v>52.763526916503906</v>
      </c>
      <c r="C14">
        <v>99.999992370605469</v>
      </c>
      <c r="D14">
        <v>100</v>
      </c>
      <c r="E14">
        <v>22.873184204101563</v>
      </c>
      <c r="F14">
        <v>18.206733703613281</v>
      </c>
    </row>
    <row r="15" spans="1:6" x14ac:dyDescent="0.25">
      <c r="A15">
        <v>216</v>
      </c>
      <c r="B15">
        <v>50.994796752929688</v>
      </c>
      <c r="C15">
        <v>99.147613525390625</v>
      </c>
      <c r="D15">
        <v>99.113929748535156</v>
      </c>
      <c r="E15">
        <v>17.996192932128906</v>
      </c>
      <c r="F15">
        <v>16.756498336791992</v>
      </c>
    </row>
    <row r="16" spans="1:6" x14ac:dyDescent="0.25">
      <c r="A16">
        <v>218</v>
      </c>
      <c r="B16">
        <v>48.249614715576172</v>
      </c>
      <c r="C16">
        <v>96.001640319824219</v>
      </c>
      <c r="D16">
        <v>96.299201965332031</v>
      </c>
      <c r="E16">
        <v>14.437150955200195</v>
      </c>
      <c r="F16">
        <v>15.547471046447754</v>
      </c>
    </row>
    <row r="17" spans="1:6" x14ac:dyDescent="0.25">
      <c r="A17">
        <v>220</v>
      </c>
      <c r="B17">
        <v>44.738803863525391</v>
      </c>
      <c r="C17">
        <v>91.216896057128906</v>
      </c>
      <c r="D17">
        <v>91.601737976074219</v>
      </c>
      <c r="E17">
        <v>11.879470825195313</v>
      </c>
      <c r="F17">
        <v>14.544379234313965</v>
      </c>
    </row>
    <row r="18" spans="1:6" x14ac:dyDescent="0.25">
      <c r="A18">
        <v>222</v>
      </c>
      <c r="B18">
        <v>40.727088928222656</v>
      </c>
      <c r="C18">
        <v>84.376785278320313</v>
      </c>
      <c r="D18">
        <v>84.2674560546875</v>
      </c>
      <c r="E18">
        <v>10.096652030944824</v>
      </c>
      <c r="F18">
        <v>13.851762771606445</v>
      </c>
    </row>
    <row r="19" spans="1:6" x14ac:dyDescent="0.25">
      <c r="A19">
        <v>224</v>
      </c>
      <c r="B19">
        <v>36.107898712158203</v>
      </c>
      <c r="C19">
        <v>74.724876403808594</v>
      </c>
      <c r="D19">
        <v>73.912948608398438</v>
      </c>
      <c r="E19">
        <v>8.9709959030151367</v>
      </c>
      <c r="F19">
        <v>13.386196136474609</v>
      </c>
    </row>
    <row r="20" spans="1:6" x14ac:dyDescent="0.25">
      <c r="A20">
        <v>226</v>
      </c>
      <c r="B20">
        <v>31.441665649414063</v>
      </c>
      <c r="C20">
        <v>63.507514953613281</v>
      </c>
      <c r="D20">
        <v>62.142513275146484</v>
      </c>
      <c r="E20">
        <v>8.2427940368652344</v>
      </c>
      <c r="F20">
        <v>13.123076438903809</v>
      </c>
    </row>
    <row r="21" spans="1:6" x14ac:dyDescent="0.25">
      <c r="A21">
        <v>228</v>
      </c>
      <c r="B21">
        <v>27.282987594604492</v>
      </c>
      <c r="C21">
        <v>52.920326232910156</v>
      </c>
      <c r="D21">
        <v>50.984291076660156</v>
      </c>
      <c r="E21">
        <v>7.5785818099975586</v>
      </c>
      <c r="F21">
        <v>13.053892135620117</v>
      </c>
    </row>
    <row r="22" spans="1:6" x14ac:dyDescent="0.25">
      <c r="A22">
        <v>230</v>
      </c>
      <c r="B22">
        <v>24.380807876586914</v>
      </c>
      <c r="C22">
        <v>45.275135040283203</v>
      </c>
      <c r="D22">
        <v>42.551288604736328</v>
      </c>
      <c r="E22">
        <v>6.9133667945861816</v>
      </c>
      <c r="F22">
        <v>13.14442253112793</v>
      </c>
    </row>
    <row r="23" spans="1:6" x14ac:dyDescent="0.25">
      <c r="A23">
        <v>232</v>
      </c>
      <c r="B23">
        <v>22.538333892822266</v>
      </c>
      <c r="C23">
        <v>40.417812347412109</v>
      </c>
      <c r="D23">
        <v>36.802043914794922</v>
      </c>
      <c r="E23">
        <v>6.3444762229919434</v>
      </c>
      <c r="F23">
        <v>13.360411643981934</v>
      </c>
    </row>
    <row r="24" spans="1:6" x14ac:dyDescent="0.25">
      <c r="A24">
        <v>234</v>
      </c>
      <c r="B24">
        <v>21.357892990112305</v>
      </c>
      <c r="C24">
        <v>37.616847991943359</v>
      </c>
      <c r="D24">
        <v>33.191246032714844</v>
      </c>
      <c r="E24">
        <v>5.8216619491577148</v>
      </c>
      <c r="F24">
        <v>13.701543807983398</v>
      </c>
    </row>
    <row r="25" spans="1:6" x14ac:dyDescent="0.25">
      <c r="A25">
        <v>236</v>
      </c>
      <c r="B25">
        <v>20.584510803222656</v>
      </c>
      <c r="C25">
        <v>36.10894775390625</v>
      </c>
      <c r="D25">
        <v>31.246896743774414</v>
      </c>
      <c r="E25">
        <v>5.5438451766967773</v>
      </c>
      <c r="F25">
        <v>14.26203727722168</v>
      </c>
    </row>
    <row r="26" spans="1:6" x14ac:dyDescent="0.25">
      <c r="A26">
        <v>238</v>
      </c>
      <c r="B26">
        <v>19.988075256347656</v>
      </c>
      <c r="C26">
        <v>35.096569061279297</v>
      </c>
      <c r="D26">
        <v>30.252285003662109</v>
      </c>
      <c r="E26">
        <v>5.1221408843994141</v>
      </c>
      <c r="F26">
        <v>15.129234313964844</v>
      </c>
    </row>
    <row r="27" spans="1:6" x14ac:dyDescent="0.25">
      <c r="A27">
        <v>240</v>
      </c>
      <c r="B27">
        <v>19.691131591796875</v>
      </c>
      <c r="C27">
        <v>34.322574615478516</v>
      </c>
      <c r="D27">
        <v>30.002439498901367</v>
      </c>
      <c r="E27">
        <v>4.8596181869506836</v>
      </c>
      <c r="F27">
        <v>16.300426483154297</v>
      </c>
    </row>
    <row r="28" spans="1:6" x14ac:dyDescent="0.25">
      <c r="A28">
        <v>242</v>
      </c>
      <c r="B28">
        <v>19.547588348388672</v>
      </c>
      <c r="C28">
        <v>33.780612945556641</v>
      </c>
      <c r="D28">
        <v>30.456409454345703</v>
      </c>
      <c r="E28">
        <v>4.6184039115905762</v>
      </c>
      <c r="F28">
        <v>17.738327026367188</v>
      </c>
    </row>
    <row r="29" spans="1:6" x14ac:dyDescent="0.25">
      <c r="A29">
        <v>244</v>
      </c>
      <c r="B29">
        <v>19.469350814819336</v>
      </c>
      <c r="C29">
        <v>33.775867462158203</v>
      </c>
      <c r="D29">
        <v>31.541248321533203</v>
      </c>
      <c r="E29">
        <v>4.3462777137756348</v>
      </c>
      <c r="F29">
        <v>19.366632461547852</v>
      </c>
    </row>
    <row r="30" spans="1:6" x14ac:dyDescent="0.25">
      <c r="A30">
        <v>246</v>
      </c>
      <c r="B30">
        <v>19.703300476074219</v>
      </c>
      <c r="C30">
        <v>34.368484497070313</v>
      </c>
      <c r="D30">
        <v>33.105426788330078</v>
      </c>
      <c r="E30">
        <v>4.2896280288696289</v>
      </c>
      <c r="F30">
        <v>21.521835327148438</v>
      </c>
    </row>
    <row r="31" spans="1:6" x14ac:dyDescent="0.25">
      <c r="A31">
        <v>248</v>
      </c>
      <c r="B31">
        <v>19.98841667175293</v>
      </c>
      <c r="C31">
        <v>35.213302612304688</v>
      </c>
      <c r="D31">
        <v>34.652408599853516</v>
      </c>
      <c r="E31">
        <v>4.2670588493347168</v>
      </c>
      <c r="F31">
        <v>24.222984313964844</v>
      </c>
    </row>
    <row r="32" spans="1:6" x14ac:dyDescent="0.25">
      <c r="A32">
        <v>250</v>
      </c>
      <c r="B32">
        <v>20.135692596435547</v>
      </c>
      <c r="C32">
        <v>35.714405059814453</v>
      </c>
      <c r="D32">
        <v>35.602035522460938</v>
      </c>
      <c r="E32">
        <v>4.3881831169128418</v>
      </c>
      <c r="F32">
        <v>27.476787567138672</v>
      </c>
    </row>
    <row r="33" spans="1:6" x14ac:dyDescent="0.25">
      <c r="A33">
        <v>252</v>
      </c>
      <c r="B33">
        <v>20.065261840820313</v>
      </c>
      <c r="C33">
        <v>35.283885955810547</v>
      </c>
      <c r="D33">
        <v>35.424289703369141</v>
      </c>
      <c r="E33">
        <v>4.5317802429199219</v>
      </c>
      <c r="F33">
        <v>30.565223693847656</v>
      </c>
    </row>
    <row r="34" spans="1:6" x14ac:dyDescent="0.25">
      <c r="A34">
        <v>254</v>
      </c>
      <c r="B34">
        <v>19.59925651550293</v>
      </c>
      <c r="C34">
        <v>33.833145141601563</v>
      </c>
      <c r="D34">
        <v>34.066184997558594</v>
      </c>
      <c r="E34">
        <v>4.7934942245483398</v>
      </c>
      <c r="F34">
        <v>33.901214599609375</v>
      </c>
    </row>
    <row r="35" spans="1:6" x14ac:dyDescent="0.25">
      <c r="A35">
        <v>256</v>
      </c>
      <c r="B35">
        <v>18.835597991943359</v>
      </c>
      <c r="C35">
        <v>31.509349822998047</v>
      </c>
      <c r="D35">
        <v>31.735658645629883</v>
      </c>
      <c r="E35">
        <v>5.1574821472167969</v>
      </c>
      <c r="F35">
        <v>38.134654998779297</v>
      </c>
    </row>
    <row r="36" spans="1:6" x14ac:dyDescent="0.25">
      <c r="A36">
        <v>258</v>
      </c>
      <c r="B36">
        <v>17.711711883544922</v>
      </c>
      <c r="C36">
        <v>28.506931304931641</v>
      </c>
      <c r="D36">
        <v>28.772682189941406</v>
      </c>
      <c r="E36">
        <v>5.5179777145385742</v>
      </c>
      <c r="F36">
        <v>43.205596923828125</v>
      </c>
    </row>
    <row r="37" spans="1:6" x14ac:dyDescent="0.25">
      <c r="A37">
        <v>260</v>
      </c>
      <c r="B37">
        <v>16.426517486572266</v>
      </c>
      <c r="C37">
        <v>24.691051483154297</v>
      </c>
      <c r="D37">
        <v>24.95612907409668</v>
      </c>
      <c r="E37">
        <v>5.7702183723449707</v>
      </c>
      <c r="F37">
        <v>48.419986724853516</v>
      </c>
    </row>
    <row r="38" spans="1:6" x14ac:dyDescent="0.25">
      <c r="A38">
        <v>262</v>
      </c>
      <c r="B38">
        <v>15.145421981811523</v>
      </c>
      <c r="C38">
        <v>20.286096572875977</v>
      </c>
      <c r="D38">
        <v>20.314479827880859</v>
      </c>
      <c r="E38">
        <v>6.0141487121582031</v>
      </c>
      <c r="F38">
        <v>52.275840759277344</v>
      </c>
    </row>
    <row r="39" spans="1:6" x14ac:dyDescent="0.25">
      <c r="A39">
        <v>264</v>
      </c>
      <c r="B39">
        <v>13.563967704772949</v>
      </c>
      <c r="C39">
        <v>15.727624893188477</v>
      </c>
      <c r="D39">
        <v>15.330424308776855</v>
      </c>
      <c r="E39">
        <v>6.2522263526916504</v>
      </c>
      <c r="F39">
        <v>55.156440734863281</v>
      </c>
    </row>
    <row r="40" spans="1:6" x14ac:dyDescent="0.25">
      <c r="A40">
        <v>266</v>
      </c>
      <c r="B40">
        <v>12.246026992797852</v>
      </c>
      <c r="C40">
        <v>11.927992820739746</v>
      </c>
      <c r="D40">
        <v>10.899614334106445</v>
      </c>
      <c r="E40">
        <v>6.5401639938354492</v>
      </c>
      <c r="F40">
        <v>58.998973846435547</v>
      </c>
    </row>
    <row r="41" spans="1:6" x14ac:dyDescent="0.25">
      <c r="A41">
        <v>268</v>
      </c>
      <c r="B41">
        <v>11.451462745666504</v>
      </c>
      <c r="C41">
        <v>9.3046045303344727</v>
      </c>
      <c r="D41">
        <v>7.5867404937744141</v>
      </c>
      <c r="E41">
        <v>7.0484275817871094</v>
      </c>
      <c r="F41">
        <v>65.081916809082031</v>
      </c>
    </row>
    <row r="42" spans="1:6" x14ac:dyDescent="0.25">
      <c r="A42">
        <v>270</v>
      </c>
      <c r="B42">
        <v>11.229602813720703</v>
      </c>
      <c r="C42">
        <v>8.0070362091064453</v>
      </c>
      <c r="D42">
        <v>5.6774802207946777</v>
      </c>
      <c r="E42">
        <v>7.4555492401123047</v>
      </c>
      <c r="F42">
        <v>70.979278564453125</v>
      </c>
    </row>
    <row r="43" spans="1:6" x14ac:dyDescent="0.25">
      <c r="A43">
        <v>272</v>
      </c>
      <c r="B43">
        <v>11.388941764831543</v>
      </c>
      <c r="C43">
        <v>7.6428713798522949</v>
      </c>
      <c r="D43">
        <v>4.7372794151306152</v>
      </c>
      <c r="E43">
        <v>7.7100210189819336</v>
      </c>
      <c r="F43">
        <v>72.921005249023438</v>
      </c>
    </row>
    <row r="44" spans="1:6" x14ac:dyDescent="0.25">
      <c r="A44">
        <v>274</v>
      </c>
      <c r="B44">
        <v>11.870951652526855</v>
      </c>
      <c r="C44">
        <v>7.7787976264953613</v>
      </c>
      <c r="D44">
        <v>4.4183483123779297</v>
      </c>
      <c r="E44">
        <v>8.0640172958374023</v>
      </c>
      <c r="F44">
        <v>70.888587951660156</v>
      </c>
    </row>
    <row r="45" spans="1:6" x14ac:dyDescent="0.25">
      <c r="A45">
        <v>276</v>
      </c>
      <c r="B45">
        <v>12.398769378662109</v>
      </c>
      <c r="C45">
        <v>8.1862096786499023</v>
      </c>
      <c r="D45">
        <v>4.5180530548095703</v>
      </c>
      <c r="E45">
        <v>8.4316911697387695</v>
      </c>
      <c r="F45">
        <v>69.190620422363281</v>
      </c>
    </row>
    <row r="46" spans="1:6" x14ac:dyDescent="0.25">
      <c r="A46">
        <v>278</v>
      </c>
      <c r="B46">
        <v>12.665936470031738</v>
      </c>
      <c r="C46">
        <v>8.6800346374511719</v>
      </c>
      <c r="D46">
        <v>4.7450213432312012</v>
      </c>
      <c r="E46">
        <v>8.3551883697509766</v>
      </c>
      <c r="F46">
        <v>71.265052795410156</v>
      </c>
    </row>
    <row r="47" spans="1:6" x14ac:dyDescent="0.25">
      <c r="A47">
        <v>280</v>
      </c>
      <c r="B47">
        <v>13.123716354370117</v>
      </c>
      <c r="C47">
        <v>9.2260665893554688</v>
      </c>
      <c r="D47">
        <v>5.1027021408081055</v>
      </c>
      <c r="E47">
        <v>8.6611032485961914</v>
      </c>
      <c r="F47">
        <v>75.176963806152344</v>
      </c>
    </row>
    <row r="48" spans="1:6" x14ac:dyDescent="0.25">
      <c r="A48">
        <v>282</v>
      </c>
      <c r="B48">
        <v>13.52044677734375</v>
      </c>
      <c r="C48">
        <v>9.7816505432128906</v>
      </c>
      <c r="D48">
        <v>5.6141443252563477</v>
      </c>
      <c r="E48">
        <v>8.8278522491455078</v>
      </c>
      <c r="F48">
        <v>75.377738952636719</v>
      </c>
    </row>
    <row r="49" spans="1:6" x14ac:dyDescent="0.25">
      <c r="A49">
        <v>284</v>
      </c>
      <c r="B49">
        <v>13.790058135986328</v>
      </c>
      <c r="C49">
        <v>10.313471794128418</v>
      </c>
      <c r="D49">
        <v>6.1744999885559082</v>
      </c>
      <c r="E49">
        <v>8.7640886306762695</v>
      </c>
      <c r="F49">
        <v>68.704437255859375</v>
      </c>
    </row>
    <row r="50" spans="1:6" x14ac:dyDescent="0.25">
      <c r="A50">
        <v>286</v>
      </c>
      <c r="B50">
        <v>14.007555961608887</v>
      </c>
      <c r="C50">
        <v>10.774637222290039</v>
      </c>
      <c r="D50">
        <v>6.7855587005615234</v>
      </c>
      <c r="E50">
        <v>8.8342218399047852</v>
      </c>
      <c r="F50">
        <v>58.075450897216797</v>
      </c>
    </row>
    <row r="51" spans="1:6" x14ac:dyDescent="0.25">
      <c r="A51">
        <v>288</v>
      </c>
      <c r="B51">
        <v>14.115174293518066</v>
      </c>
      <c r="C51">
        <v>11.173943519592285</v>
      </c>
      <c r="D51">
        <v>7.4680280685424805</v>
      </c>
      <c r="E51">
        <v>8.7785091400146484</v>
      </c>
      <c r="F51">
        <v>49.453250885009766</v>
      </c>
    </row>
    <row r="52" spans="1:6" x14ac:dyDescent="0.25">
      <c r="A52">
        <v>290</v>
      </c>
      <c r="B52">
        <v>14.233962059020996</v>
      </c>
      <c r="C52">
        <v>11.533088684082031</v>
      </c>
      <c r="D52">
        <v>8.200282096862793</v>
      </c>
      <c r="E52">
        <v>8.3326187133789063</v>
      </c>
      <c r="F52">
        <v>45.870323181152344</v>
      </c>
    </row>
    <row r="53" spans="1:6" x14ac:dyDescent="0.25">
      <c r="A53">
        <v>292</v>
      </c>
      <c r="B53">
        <v>14.144949913024902</v>
      </c>
      <c r="C53">
        <v>11.871551513671875</v>
      </c>
      <c r="D53">
        <v>9.0006675720214844</v>
      </c>
      <c r="E53">
        <v>8.1062784194946289</v>
      </c>
      <c r="F53">
        <v>45.512241363525391</v>
      </c>
    </row>
    <row r="54" spans="1:6" x14ac:dyDescent="0.25">
      <c r="A54">
        <v>294</v>
      </c>
      <c r="B54">
        <v>13.925113677978516</v>
      </c>
      <c r="C54">
        <v>12.276987075805664</v>
      </c>
      <c r="D54">
        <v>9.8020191192626953</v>
      </c>
      <c r="E54">
        <v>8.1582393646240234</v>
      </c>
      <c r="F54">
        <v>43.960216522216797</v>
      </c>
    </row>
    <row r="55" spans="1:6" x14ac:dyDescent="0.25">
      <c r="A55">
        <v>296</v>
      </c>
      <c r="B55">
        <v>13.89478588104248</v>
      </c>
      <c r="C55">
        <v>12.740976333618164</v>
      </c>
      <c r="D55">
        <v>10.615827560424805</v>
      </c>
      <c r="E55">
        <v>8.0422239303588867</v>
      </c>
      <c r="F55">
        <v>37.801319122314453</v>
      </c>
    </row>
    <row r="56" spans="1:6" x14ac:dyDescent="0.25">
      <c r="A56">
        <v>298</v>
      </c>
      <c r="B56">
        <v>13.800413131713867</v>
      </c>
      <c r="C56">
        <v>13.216762542724609</v>
      </c>
      <c r="D56">
        <v>11.501297950744629</v>
      </c>
      <c r="E56">
        <v>7.516596794128418</v>
      </c>
      <c r="F56">
        <v>27.299959182739258</v>
      </c>
    </row>
    <row r="57" spans="1:6" x14ac:dyDescent="0.25">
      <c r="A57">
        <v>300</v>
      </c>
      <c r="B57">
        <v>13.546648979187012</v>
      </c>
      <c r="C57">
        <v>13.719448089599609</v>
      </c>
      <c r="D57">
        <v>12.281281471252441</v>
      </c>
      <c r="E57">
        <v>6.7918543815612793</v>
      </c>
      <c r="F57">
        <v>16.908658981323242</v>
      </c>
    </row>
    <row r="58" spans="1:6" x14ac:dyDescent="0.25">
      <c r="A58">
        <v>302</v>
      </c>
      <c r="B58">
        <v>13.40252685546875</v>
      </c>
      <c r="C58">
        <v>14.22400951385498</v>
      </c>
      <c r="D58">
        <v>12.969064712524414</v>
      </c>
      <c r="E58">
        <v>6.0534992218017578</v>
      </c>
      <c r="F58">
        <v>9.5513677597045898</v>
      </c>
    </row>
    <row r="59" spans="1:6" x14ac:dyDescent="0.25">
      <c r="A59">
        <v>304</v>
      </c>
      <c r="B59">
        <v>12.990133285522461</v>
      </c>
      <c r="C59">
        <v>14.646254539489746</v>
      </c>
      <c r="D59">
        <v>13.588116645812988</v>
      </c>
      <c r="E59">
        <v>5.4337468147277832</v>
      </c>
      <c r="F59">
        <v>5.5715336799621582</v>
      </c>
    </row>
    <row r="60" spans="1:6" x14ac:dyDescent="0.25">
      <c r="A60">
        <v>306</v>
      </c>
      <c r="B60">
        <v>12.532431602478027</v>
      </c>
      <c r="C60">
        <v>14.940304756164551</v>
      </c>
      <c r="D60">
        <v>14.108456611633301</v>
      </c>
      <c r="E60">
        <v>4.8528923988342285</v>
      </c>
      <c r="F60">
        <v>3.6808328628540039</v>
      </c>
    </row>
    <row r="61" spans="1:6" x14ac:dyDescent="0.25">
      <c r="A61">
        <v>308</v>
      </c>
      <c r="B61">
        <v>12.189682006835938</v>
      </c>
      <c r="C61">
        <v>15.047256469726563</v>
      </c>
      <c r="D61">
        <v>14.399998664855957</v>
      </c>
      <c r="E61">
        <v>4.3090934753417969</v>
      </c>
      <c r="F61">
        <v>2.9529707431793213</v>
      </c>
    </row>
    <row r="62" spans="1:6" x14ac:dyDescent="0.25">
      <c r="A62">
        <v>310</v>
      </c>
      <c r="B62">
        <v>11.90593147277832</v>
      </c>
      <c r="C62">
        <v>15.024728775024414</v>
      </c>
      <c r="D62">
        <v>14.455634117126465</v>
      </c>
      <c r="E62">
        <v>3.7970788478851318</v>
      </c>
      <c r="F62">
        <v>2.6658070087432861</v>
      </c>
    </row>
    <row r="63" spans="1:6" x14ac:dyDescent="0.25">
      <c r="A63">
        <v>312</v>
      </c>
      <c r="B63">
        <v>11.61529541015625</v>
      </c>
      <c r="C63">
        <v>14.844626426696777</v>
      </c>
      <c r="D63">
        <v>14.333513259887695</v>
      </c>
      <c r="E63">
        <v>3.3589160442352295</v>
      </c>
      <c r="F63">
        <v>2.484813928604126</v>
      </c>
    </row>
    <row r="64" spans="1:6" x14ac:dyDescent="0.25">
      <c r="A64">
        <v>314</v>
      </c>
      <c r="B64">
        <v>11.050370216369629</v>
      </c>
      <c r="C64">
        <v>14.484945297241211</v>
      </c>
      <c r="D64">
        <v>14.045052528381348</v>
      </c>
      <c r="E64">
        <v>3.0465338230133057</v>
      </c>
      <c r="F64">
        <v>2.4130978584289551</v>
      </c>
    </row>
    <row r="65" spans="1:6" x14ac:dyDescent="0.25">
      <c r="A65">
        <v>316</v>
      </c>
      <c r="B65">
        <v>10.438692092895508</v>
      </c>
      <c r="C65">
        <v>13.937690734863281</v>
      </c>
      <c r="D65">
        <v>13.530209541320801</v>
      </c>
      <c r="E65">
        <v>2.9795691967010498</v>
      </c>
      <c r="F65">
        <v>2.4355678558349609</v>
      </c>
    </row>
    <row r="66" spans="1:6" x14ac:dyDescent="0.25">
      <c r="A66">
        <v>318</v>
      </c>
      <c r="B66">
        <v>9.9723176956176758</v>
      </c>
      <c r="C66">
        <v>13.258457183837891</v>
      </c>
      <c r="D66">
        <v>12.758988380432129</v>
      </c>
      <c r="E66">
        <v>2.9958658218383789</v>
      </c>
      <c r="F66">
        <v>2.4376165866851807</v>
      </c>
    </row>
    <row r="67" spans="1:6" x14ac:dyDescent="0.25">
      <c r="A67">
        <v>320</v>
      </c>
      <c r="B67">
        <v>9.5816326141357422</v>
      </c>
      <c r="C67">
        <v>12.415014266967773</v>
      </c>
      <c r="D67">
        <v>11.844992637634277</v>
      </c>
      <c r="E67">
        <v>2.8568282127380371</v>
      </c>
      <c r="F67">
        <v>2.3696067333221436</v>
      </c>
    </row>
    <row r="68" spans="1:6" x14ac:dyDescent="0.25">
      <c r="A68">
        <v>322</v>
      </c>
      <c r="B68">
        <v>9.2963838577270508</v>
      </c>
      <c r="C68">
        <v>11.605366706848145</v>
      </c>
      <c r="D68">
        <v>10.873062133789063</v>
      </c>
      <c r="E68">
        <v>2.8975694179534912</v>
      </c>
      <c r="F68">
        <v>2.3065023422241211</v>
      </c>
    </row>
    <row r="69" spans="1:6" x14ac:dyDescent="0.25">
      <c r="A69">
        <v>324</v>
      </c>
      <c r="B69">
        <v>8.9581279754638672</v>
      </c>
      <c r="C69">
        <v>10.792507171630859</v>
      </c>
      <c r="D69">
        <v>9.7595548629760742</v>
      </c>
      <c r="E69">
        <v>2.9135749340057373</v>
      </c>
      <c r="F69">
        <v>2.335585355758667</v>
      </c>
    </row>
    <row r="70" spans="1:6" x14ac:dyDescent="0.25">
      <c r="A70">
        <v>326</v>
      </c>
      <c r="B70">
        <v>8.5663118362426758</v>
      </c>
      <c r="C70">
        <v>10.047019004821777</v>
      </c>
      <c r="D70">
        <v>8.6292514801025391</v>
      </c>
      <c r="E70">
        <v>2.7531964778900146</v>
      </c>
      <c r="F70">
        <v>2.3796842098236084</v>
      </c>
    </row>
    <row r="71" spans="1:6" x14ac:dyDescent="0.25">
      <c r="A71">
        <v>328</v>
      </c>
      <c r="B71">
        <v>8.3851871490478516</v>
      </c>
      <c r="C71">
        <v>9.3699922561645508</v>
      </c>
      <c r="D71">
        <v>7.4784913063049316</v>
      </c>
      <c r="E71">
        <v>2.8734157085418701</v>
      </c>
      <c r="F71">
        <v>2.3270652294158936</v>
      </c>
    </row>
    <row r="72" spans="1:6" x14ac:dyDescent="0.25">
      <c r="A72">
        <v>330</v>
      </c>
      <c r="B72">
        <v>8.1467170715332031</v>
      </c>
      <c r="C72">
        <v>8.7404031753540039</v>
      </c>
      <c r="D72">
        <v>6.4421095848083496</v>
      </c>
      <c r="E72">
        <v>3.024320125579834</v>
      </c>
      <c r="F72">
        <v>2.3201110363006592</v>
      </c>
    </row>
    <row r="73" spans="1:6" x14ac:dyDescent="0.25">
      <c r="A73">
        <v>332</v>
      </c>
      <c r="B73">
        <v>7.7838363647460938</v>
      </c>
      <c r="C73">
        <v>8.2144794464111328</v>
      </c>
      <c r="D73">
        <v>5.5594482421875</v>
      </c>
      <c r="E73">
        <v>2.9714210033416748</v>
      </c>
      <c r="F73">
        <v>2.3581218719482422</v>
      </c>
    </row>
    <row r="74" spans="1:6" x14ac:dyDescent="0.25">
      <c r="A74">
        <v>334</v>
      </c>
      <c r="B74">
        <v>7.607231616973877</v>
      </c>
      <c r="C74">
        <v>7.7318096160888672</v>
      </c>
      <c r="D74">
        <v>4.8272218704223633</v>
      </c>
      <c r="E74">
        <v>2.6614961624145508</v>
      </c>
      <c r="F74">
        <v>2.3272900581359863</v>
      </c>
    </row>
    <row r="75" spans="1:6" x14ac:dyDescent="0.25">
      <c r="A75">
        <v>336</v>
      </c>
      <c r="B75">
        <v>7.7186083793640137</v>
      </c>
      <c r="C75">
        <v>7.2463836669921875</v>
      </c>
      <c r="D75">
        <v>4.3035340309143066</v>
      </c>
      <c r="E75">
        <v>2.5613892078399658</v>
      </c>
      <c r="F75">
        <v>2.3151557445526123</v>
      </c>
    </row>
    <row r="76" spans="1:6" x14ac:dyDescent="0.25">
      <c r="A76">
        <v>338</v>
      </c>
      <c r="B76">
        <v>7.8296170234680176</v>
      </c>
      <c r="C76">
        <v>6.7560443878173828</v>
      </c>
      <c r="D76">
        <v>3.8552918434143066</v>
      </c>
      <c r="E76">
        <v>2.8494882583618164</v>
      </c>
      <c r="F76">
        <v>2.3595128059387207</v>
      </c>
    </row>
    <row r="77" spans="1:6" x14ac:dyDescent="0.25">
      <c r="A77">
        <v>340</v>
      </c>
      <c r="B77">
        <v>7.5830798149108887</v>
      </c>
      <c r="C77">
        <v>6.2866926193237305</v>
      </c>
      <c r="D77">
        <v>3.4861955642700195</v>
      </c>
      <c r="E77">
        <v>2.7613446712493896</v>
      </c>
      <c r="F77">
        <v>2.3762695789337158</v>
      </c>
    </row>
    <row r="78" spans="1:6" x14ac:dyDescent="0.25">
      <c r="A78">
        <v>342</v>
      </c>
      <c r="B78">
        <v>7.2687125205993652</v>
      </c>
      <c r="C78">
        <v>5.7770552635192871</v>
      </c>
      <c r="D78">
        <v>3.2002384662628174</v>
      </c>
      <c r="E78">
        <v>2.7143628597259521</v>
      </c>
      <c r="F78">
        <v>2.3832988739013672</v>
      </c>
    </row>
    <row r="79" spans="1:6" x14ac:dyDescent="0.25">
      <c r="A79">
        <v>344</v>
      </c>
      <c r="B79">
        <v>7.3096837997436523</v>
      </c>
      <c r="C79">
        <v>5.2717700004577637</v>
      </c>
      <c r="D79">
        <v>2.9635419845581055</v>
      </c>
      <c r="E79">
        <v>2.6857147216796875</v>
      </c>
      <c r="F79">
        <v>2.3866550922393799</v>
      </c>
    </row>
    <row r="80" spans="1:6" x14ac:dyDescent="0.25">
      <c r="A80">
        <v>346</v>
      </c>
      <c r="B80">
        <v>7.1933403015136719</v>
      </c>
      <c r="C80">
        <v>4.8368678092956543</v>
      </c>
      <c r="D80">
        <v>2.7775616645812988</v>
      </c>
      <c r="E80">
        <v>2.6946389675140381</v>
      </c>
      <c r="F80">
        <v>2.4139473438262939</v>
      </c>
    </row>
    <row r="81" spans="1:6" x14ac:dyDescent="0.25">
      <c r="A81">
        <v>348</v>
      </c>
      <c r="B81">
        <v>6.8575019836425781</v>
      </c>
      <c r="C81">
        <v>4.468226432800293</v>
      </c>
      <c r="D81">
        <v>2.6563460826873779</v>
      </c>
      <c r="E81">
        <v>2.8517839908599854</v>
      </c>
      <c r="F81">
        <v>2.3690822124481201</v>
      </c>
    </row>
    <row r="82" spans="1:6" x14ac:dyDescent="0.25">
      <c r="A82">
        <v>350</v>
      </c>
      <c r="B82">
        <v>6.6767973899841309</v>
      </c>
      <c r="C82">
        <v>4.1319141387939453</v>
      </c>
      <c r="D82">
        <v>2.5167689323425293</v>
      </c>
      <c r="E82">
        <v>2.6105048656463623</v>
      </c>
      <c r="F82">
        <v>2.3266820907592773</v>
      </c>
    </row>
    <row r="83" spans="1:6" x14ac:dyDescent="0.25">
      <c r="A83">
        <v>352</v>
      </c>
      <c r="B83">
        <v>6.616877555847168</v>
      </c>
      <c r="C83">
        <v>3.8050980567932129</v>
      </c>
      <c r="D83">
        <v>2.4136288166046143</v>
      </c>
      <c r="E83">
        <v>2.4932606220245361</v>
      </c>
      <c r="F83">
        <v>2.3785347938537598</v>
      </c>
    </row>
    <row r="84" spans="1:6" x14ac:dyDescent="0.25">
      <c r="A84">
        <v>354</v>
      </c>
      <c r="B84">
        <v>6.51690673828125</v>
      </c>
      <c r="C84">
        <v>3.6349654197692871</v>
      </c>
      <c r="D84">
        <v>2.4142887592315674</v>
      </c>
      <c r="E84">
        <v>2.9332988262176514</v>
      </c>
      <c r="F84">
        <v>2.4032869338989258</v>
      </c>
    </row>
    <row r="85" spans="1:6" x14ac:dyDescent="0.25">
      <c r="A85">
        <v>356</v>
      </c>
      <c r="B85">
        <v>6.4993777275085449</v>
      </c>
      <c r="C85">
        <v>3.4843738079071045</v>
      </c>
      <c r="D85">
        <v>2.4144315719604492</v>
      </c>
      <c r="E85">
        <v>3.2654697895050049</v>
      </c>
      <c r="F85">
        <v>2.4172036647796631</v>
      </c>
    </row>
    <row r="86" spans="1:6" x14ac:dyDescent="0.25">
      <c r="A86">
        <v>358</v>
      </c>
      <c r="B86">
        <v>6.4270534515380859</v>
      </c>
      <c r="C86">
        <v>3.2598893642425537</v>
      </c>
      <c r="D86">
        <v>2.3318977355957031</v>
      </c>
      <c r="E86">
        <v>3.1252355575561523</v>
      </c>
      <c r="F86">
        <v>2.3509345054626465</v>
      </c>
    </row>
    <row r="87" spans="1:6" x14ac:dyDescent="0.25">
      <c r="A87">
        <v>360</v>
      </c>
      <c r="B87">
        <v>6.5041871070861816</v>
      </c>
      <c r="C87">
        <v>3.1145663261413574</v>
      </c>
      <c r="D87">
        <v>2.2845895290374756</v>
      </c>
      <c r="E87">
        <v>2.9935376644134521</v>
      </c>
      <c r="F87">
        <v>2.2809758186340332</v>
      </c>
    </row>
    <row r="88" spans="1:6" x14ac:dyDescent="0.25">
      <c r="A88">
        <v>362</v>
      </c>
      <c r="B88">
        <v>6.466789722442627</v>
      </c>
      <c r="C88">
        <v>3.0484986305236816</v>
      </c>
      <c r="D88">
        <v>2.2622213363647461</v>
      </c>
      <c r="E88">
        <v>2.9573554992675781</v>
      </c>
      <c r="F88">
        <v>2.3123157024383545</v>
      </c>
    </row>
    <row r="89" spans="1:6" x14ac:dyDescent="0.25">
      <c r="A89">
        <v>364</v>
      </c>
      <c r="B89">
        <v>6.2799615859985352</v>
      </c>
      <c r="C89">
        <v>2.9224984645843506</v>
      </c>
      <c r="D89">
        <v>2.1883611679077148</v>
      </c>
      <c r="E89">
        <v>3.13315749168396</v>
      </c>
      <c r="F89">
        <v>2.3954916000366211</v>
      </c>
    </row>
    <row r="90" spans="1:6" x14ac:dyDescent="0.25">
      <c r="A90">
        <v>366</v>
      </c>
      <c r="B90">
        <v>6.2287149429321289</v>
      </c>
      <c r="C90">
        <v>2.8201980590820313</v>
      </c>
      <c r="D90">
        <v>2.2189884185791016</v>
      </c>
      <c r="E90">
        <v>3.1329958438873291</v>
      </c>
      <c r="F90">
        <v>2.4064433574676514</v>
      </c>
    </row>
    <row r="91" spans="1:6" x14ac:dyDescent="0.25">
      <c r="A91">
        <v>368</v>
      </c>
      <c r="B91">
        <v>6.3807735443115234</v>
      </c>
      <c r="C91">
        <v>2.7964670658111572</v>
      </c>
      <c r="D91">
        <v>2.2875692844390869</v>
      </c>
      <c r="E91">
        <v>2.7300450801849365</v>
      </c>
      <c r="F91">
        <v>2.356081485748291</v>
      </c>
    </row>
    <row r="92" spans="1:6" x14ac:dyDescent="0.25">
      <c r="A92">
        <v>370</v>
      </c>
      <c r="B92">
        <v>6.3785400390625</v>
      </c>
      <c r="C92">
        <v>2.7619678974151611</v>
      </c>
      <c r="D92">
        <v>2.2414653301239014</v>
      </c>
      <c r="E92">
        <v>2.5601603984832764</v>
      </c>
      <c r="F92">
        <v>2.3813333511352539</v>
      </c>
    </row>
    <row r="93" spans="1:6" x14ac:dyDescent="0.25">
      <c r="A93">
        <v>372</v>
      </c>
      <c r="B93">
        <v>6.0757884979248047</v>
      </c>
      <c r="C93">
        <v>2.6235723495483398</v>
      </c>
      <c r="D93">
        <v>2.159747838973999</v>
      </c>
      <c r="E93">
        <v>2.8167011737823486</v>
      </c>
      <c r="F93">
        <v>2.39766526222229</v>
      </c>
    </row>
    <row r="94" spans="1:6" x14ac:dyDescent="0.25">
      <c r="A94">
        <v>374</v>
      </c>
      <c r="B94">
        <v>6.2021188735961914</v>
      </c>
      <c r="C94">
        <v>2.5345280170440674</v>
      </c>
      <c r="D94">
        <v>2.0940513610839844</v>
      </c>
      <c r="E94">
        <v>2.9076254367828369</v>
      </c>
      <c r="F94">
        <v>2.3380920886993408</v>
      </c>
    </row>
    <row r="95" spans="1:6" x14ac:dyDescent="0.25">
      <c r="A95">
        <v>376</v>
      </c>
      <c r="B95">
        <v>6.5810046195983887</v>
      </c>
      <c r="C95">
        <v>2.5830998420715332</v>
      </c>
      <c r="D95">
        <v>2.1711974143981934</v>
      </c>
      <c r="E95">
        <v>2.8386886119842529</v>
      </c>
      <c r="F95">
        <v>2.3203275203704834</v>
      </c>
    </row>
    <row r="96" spans="1:6" x14ac:dyDescent="0.25">
      <c r="A96">
        <v>378</v>
      </c>
      <c r="B96">
        <v>6.9871959686279297</v>
      </c>
      <c r="C96">
        <v>2.6370713710784912</v>
      </c>
      <c r="D96">
        <v>2.2064368724822998</v>
      </c>
      <c r="E96">
        <v>2.7010087966918945</v>
      </c>
      <c r="F96">
        <v>2.3526835441589355</v>
      </c>
    </row>
    <row r="97" spans="1:6" x14ac:dyDescent="0.25">
      <c r="A97">
        <v>380</v>
      </c>
      <c r="B97">
        <v>7.187164306640625</v>
      </c>
      <c r="C97">
        <v>2.668041467666626</v>
      </c>
      <c r="D97">
        <v>2.0971739292144775</v>
      </c>
      <c r="E97">
        <v>2.4353175163269043</v>
      </c>
      <c r="F97">
        <v>2.3175625801086426</v>
      </c>
    </row>
    <row r="98" spans="1:6" x14ac:dyDescent="0.25">
      <c r="A98">
        <v>382</v>
      </c>
      <c r="B98">
        <v>6.7465720176696777</v>
      </c>
      <c r="C98">
        <v>2.6527466773986816</v>
      </c>
      <c r="D98">
        <v>2.1071403026580811</v>
      </c>
      <c r="E98">
        <v>2.1911931037902832</v>
      </c>
      <c r="F98">
        <v>2.3270401954650879</v>
      </c>
    </row>
    <row r="99" spans="1:6" x14ac:dyDescent="0.25">
      <c r="A99">
        <v>384</v>
      </c>
      <c r="B99">
        <v>6.5719904899597168</v>
      </c>
      <c r="C99">
        <v>2.6174681186676025</v>
      </c>
      <c r="D99">
        <v>2.167482852935791</v>
      </c>
      <c r="E99">
        <v>2.4287536144256592</v>
      </c>
      <c r="F99">
        <v>2.353541374206543</v>
      </c>
    </row>
    <row r="100" spans="1:6" x14ac:dyDescent="0.25">
      <c r="A100">
        <v>386</v>
      </c>
      <c r="B100">
        <v>6.5709128379821777</v>
      </c>
      <c r="C100">
        <v>2.6175241470336914</v>
      </c>
      <c r="D100">
        <v>2.1969330310821533</v>
      </c>
      <c r="E100">
        <v>2.8551144599914551</v>
      </c>
      <c r="F100">
        <v>2.3045785427093506</v>
      </c>
    </row>
    <row r="101" spans="1:6" x14ac:dyDescent="0.25">
      <c r="A101">
        <v>388</v>
      </c>
      <c r="B101">
        <v>6.5246858596801758</v>
      </c>
      <c r="C101">
        <v>2.6052098274230957</v>
      </c>
      <c r="D101">
        <v>2.126345157623291</v>
      </c>
      <c r="E101">
        <v>2.8135647773742676</v>
      </c>
      <c r="F101">
        <v>2.3253662586212158</v>
      </c>
    </row>
    <row r="102" spans="1:6" x14ac:dyDescent="0.25">
      <c r="A102">
        <v>390</v>
      </c>
      <c r="B102">
        <v>6.4251875877380371</v>
      </c>
      <c r="C102">
        <v>2.5393352508544922</v>
      </c>
      <c r="D102">
        <v>2.0740370750427246</v>
      </c>
      <c r="E102">
        <v>2.6834189891815186</v>
      </c>
      <c r="F102">
        <v>2.3822910785675049</v>
      </c>
    </row>
    <row r="103" spans="1:6" x14ac:dyDescent="0.25">
      <c r="A103">
        <v>392</v>
      </c>
      <c r="B103">
        <v>6.0945529937744141</v>
      </c>
      <c r="C103">
        <v>2.5298891067504883</v>
      </c>
      <c r="D103">
        <v>2.1790616512298584</v>
      </c>
      <c r="E103">
        <v>2.4540066719055176</v>
      </c>
      <c r="F103">
        <v>2.3963744640350342</v>
      </c>
    </row>
    <row r="104" spans="1:6" x14ac:dyDescent="0.25">
      <c r="A104">
        <v>394</v>
      </c>
      <c r="B104">
        <v>5.9875388145446777</v>
      </c>
      <c r="C104">
        <v>2.5490310192108154</v>
      </c>
      <c r="D104">
        <v>2.1813745498657227</v>
      </c>
      <c r="E104">
        <v>2.4162077903747559</v>
      </c>
      <c r="F104">
        <v>2.3914856910705566</v>
      </c>
    </row>
    <row r="105" spans="1:6" x14ac:dyDescent="0.25">
      <c r="A105">
        <v>396</v>
      </c>
      <c r="B105">
        <v>6.582240104675293</v>
      </c>
      <c r="C105">
        <v>2.5732545852661133</v>
      </c>
      <c r="D105">
        <v>2.2250702381134033</v>
      </c>
      <c r="E105">
        <v>2.6597177982330322</v>
      </c>
      <c r="F105">
        <v>2.3461124897003174</v>
      </c>
    </row>
    <row r="106" spans="1:6" x14ac:dyDescent="0.25">
      <c r="A106">
        <v>398</v>
      </c>
      <c r="B106">
        <v>6.686521053314209</v>
      </c>
      <c r="C106">
        <v>2.5853695869445801</v>
      </c>
      <c r="D106">
        <v>2.256425142288208</v>
      </c>
      <c r="E106">
        <v>2.4999215602874756</v>
      </c>
      <c r="F106">
        <v>2.3811750411987305</v>
      </c>
    </row>
    <row r="107" spans="1:6" x14ac:dyDescent="0.25">
      <c r="A107">
        <v>400</v>
      </c>
      <c r="B107">
        <v>6.5896248817443848</v>
      </c>
      <c r="C107">
        <v>2.5463624000549316</v>
      </c>
      <c r="D107">
        <v>2.1372570991516113</v>
      </c>
      <c r="E107">
        <v>2.2306408882141113</v>
      </c>
      <c r="F107">
        <v>2.3762695789337158</v>
      </c>
    </row>
    <row r="108" spans="1:6" x14ac:dyDescent="0.25">
      <c r="A108">
        <v>402</v>
      </c>
      <c r="B108">
        <v>7.0170245170593262</v>
      </c>
      <c r="C108">
        <v>2.5053598880767822</v>
      </c>
      <c r="D108">
        <v>2.0990855693817139</v>
      </c>
      <c r="E108">
        <v>2.3160684108734131</v>
      </c>
      <c r="F108">
        <v>2.3612534999847412</v>
      </c>
    </row>
    <row r="109" spans="1:6" x14ac:dyDescent="0.25">
      <c r="A109">
        <v>404</v>
      </c>
      <c r="B109">
        <v>7.148505687713623</v>
      </c>
      <c r="C109">
        <v>2.4468677043914795</v>
      </c>
      <c r="D109">
        <v>2.1283724308013916</v>
      </c>
      <c r="E109">
        <v>2.5810160636901855</v>
      </c>
      <c r="F109">
        <v>2.3542742729187012</v>
      </c>
    </row>
    <row r="110" spans="1:6" x14ac:dyDescent="0.25">
      <c r="A110">
        <v>406</v>
      </c>
      <c r="B110">
        <v>7.1421718597412109</v>
      </c>
      <c r="C110">
        <v>2.4662778377532959</v>
      </c>
      <c r="D110">
        <v>2.148883581161499</v>
      </c>
      <c r="E110">
        <v>2.8169598579406738</v>
      </c>
      <c r="F110">
        <v>2.3122823238372803</v>
      </c>
    </row>
    <row r="111" spans="1:6" x14ac:dyDescent="0.25">
      <c r="A111">
        <v>408</v>
      </c>
      <c r="B111">
        <v>7.1906332969665527</v>
      </c>
      <c r="C111">
        <v>2.5085334777832031</v>
      </c>
      <c r="D111">
        <v>2.1725919246673584</v>
      </c>
      <c r="E111">
        <v>2.7565269470214844</v>
      </c>
      <c r="F111">
        <v>2.3067688941955566</v>
      </c>
    </row>
    <row r="112" spans="1:6" x14ac:dyDescent="0.25">
      <c r="A112">
        <v>410</v>
      </c>
      <c r="B112">
        <v>7.225165843963623</v>
      </c>
      <c r="C112">
        <v>2.4699878692626953</v>
      </c>
      <c r="D112">
        <v>2.2391660213470459</v>
      </c>
      <c r="E112">
        <v>2.7584023475646973</v>
      </c>
      <c r="F112">
        <v>2.3442051410675049</v>
      </c>
    </row>
    <row r="113" spans="1:6" x14ac:dyDescent="0.25">
      <c r="A113">
        <v>412</v>
      </c>
      <c r="B113">
        <v>7.2228794097900391</v>
      </c>
      <c r="C113">
        <v>2.4389429092407227</v>
      </c>
      <c r="D113">
        <v>2.2592213153839111</v>
      </c>
      <c r="E113">
        <v>2.7902839183807373</v>
      </c>
      <c r="F113">
        <v>2.3202192783355713</v>
      </c>
    </row>
    <row r="114" spans="1:6" x14ac:dyDescent="0.25">
      <c r="A114">
        <v>414</v>
      </c>
      <c r="B114">
        <v>7.3236651420593262</v>
      </c>
      <c r="C114">
        <v>2.4799890518188477</v>
      </c>
      <c r="D114">
        <v>2.2586770057678223</v>
      </c>
      <c r="E114">
        <v>2.4509673118591309</v>
      </c>
      <c r="F114">
        <v>2.329763650894165</v>
      </c>
    </row>
    <row r="115" spans="1:6" x14ac:dyDescent="0.25">
      <c r="A115">
        <v>416</v>
      </c>
      <c r="B115">
        <v>7.2716035842895508</v>
      </c>
      <c r="C115">
        <v>2.4894413948059082</v>
      </c>
      <c r="D115">
        <v>2.2667453289031982</v>
      </c>
      <c r="E115">
        <v>2.2395329475402832</v>
      </c>
      <c r="F115">
        <v>2.3327202796936035</v>
      </c>
    </row>
    <row r="116" spans="1:6" x14ac:dyDescent="0.25">
      <c r="A116">
        <v>418</v>
      </c>
      <c r="B116">
        <v>7.1438016891479492</v>
      </c>
      <c r="C116">
        <v>2.375319242477417</v>
      </c>
      <c r="D116">
        <v>2.2689495086669922</v>
      </c>
      <c r="E116">
        <v>2.3950612545013428</v>
      </c>
      <c r="F116">
        <v>2.3119325637817383</v>
      </c>
    </row>
    <row r="117" spans="1:6" x14ac:dyDescent="0.25">
      <c r="A117">
        <v>420</v>
      </c>
      <c r="B117">
        <v>7.294677734375</v>
      </c>
      <c r="C117">
        <v>2.3582413196563721</v>
      </c>
      <c r="D117">
        <v>2.271432638168335</v>
      </c>
      <c r="E117">
        <v>2.4611849784851074</v>
      </c>
      <c r="F117">
        <v>2.2802345752716064</v>
      </c>
    </row>
    <row r="118" spans="1:6" x14ac:dyDescent="0.25">
      <c r="A118">
        <v>422</v>
      </c>
      <c r="B118">
        <v>7.3227190971374512</v>
      </c>
      <c r="C118">
        <v>2.4291350841522217</v>
      </c>
      <c r="D118">
        <v>2.1876060962677002</v>
      </c>
      <c r="E118">
        <v>2.5359096527099609</v>
      </c>
      <c r="F118">
        <v>2.304661750793457</v>
      </c>
    </row>
    <row r="119" spans="1:6" x14ac:dyDescent="0.25">
      <c r="A119">
        <v>424</v>
      </c>
      <c r="B119">
        <v>7.252655029296875</v>
      </c>
      <c r="C119">
        <v>2.3914060592651367</v>
      </c>
      <c r="D119">
        <v>2.1810071468353271</v>
      </c>
      <c r="E119">
        <v>2.3388640880584717</v>
      </c>
      <c r="F119">
        <v>2.4206767082214355</v>
      </c>
    </row>
    <row r="120" spans="1:6" x14ac:dyDescent="0.25">
      <c r="A120">
        <v>426</v>
      </c>
      <c r="B120">
        <v>7.0300593376159668</v>
      </c>
      <c r="C120">
        <v>2.3683609962463379</v>
      </c>
      <c r="D120">
        <v>2.3132915496826172</v>
      </c>
      <c r="E120">
        <v>2.3502457141876221</v>
      </c>
      <c r="F120">
        <v>2.409508228302002</v>
      </c>
    </row>
    <row r="121" spans="1:6" x14ac:dyDescent="0.25">
      <c r="A121">
        <v>428</v>
      </c>
      <c r="B121">
        <v>7.2886857986450195</v>
      </c>
      <c r="C121">
        <v>2.3919172286987305</v>
      </c>
      <c r="D121">
        <v>2.2904400825500488</v>
      </c>
      <c r="E121">
        <v>2.378570556640625</v>
      </c>
      <c r="F121">
        <v>2.365842342376709</v>
      </c>
    </row>
    <row r="122" spans="1:6" x14ac:dyDescent="0.25">
      <c r="A122">
        <v>430</v>
      </c>
      <c r="B122">
        <v>7.5180883407592773</v>
      </c>
      <c r="C122">
        <v>2.3174569606781006</v>
      </c>
      <c r="D122">
        <v>2.228294849395752</v>
      </c>
      <c r="E122">
        <v>2.3319768905639648</v>
      </c>
      <c r="F122">
        <v>2.3430142402648926</v>
      </c>
    </row>
    <row r="123" spans="1:6" x14ac:dyDescent="0.25">
      <c r="A123">
        <v>432</v>
      </c>
      <c r="B123">
        <v>6.8993139266967773</v>
      </c>
      <c r="C123">
        <v>2.32015061378479</v>
      </c>
      <c r="D123">
        <v>2.2811405658721924</v>
      </c>
      <c r="E123">
        <v>2.3057537078857422</v>
      </c>
      <c r="F123">
        <v>2.2825748920440674</v>
      </c>
    </row>
    <row r="124" spans="1:6" x14ac:dyDescent="0.25">
      <c r="A124">
        <v>434</v>
      </c>
      <c r="B124">
        <v>6.8212084770202637</v>
      </c>
      <c r="C124">
        <v>2.3784432411193848</v>
      </c>
      <c r="D124">
        <v>2.3275165557861328</v>
      </c>
      <c r="E124">
        <v>2.1523270606994629</v>
      </c>
      <c r="F124">
        <v>2.2766366004943848</v>
      </c>
    </row>
    <row r="125" spans="1:6" x14ac:dyDescent="0.25">
      <c r="A125">
        <v>436</v>
      </c>
      <c r="B125">
        <v>6.8654384613037109</v>
      </c>
      <c r="C125">
        <v>2.3131484985351563</v>
      </c>
      <c r="D125">
        <v>2.3944647312164307</v>
      </c>
      <c r="E125">
        <v>2.4326982498168945</v>
      </c>
      <c r="F125">
        <v>2.3478281497955322</v>
      </c>
    </row>
    <row r="126" spans="1:6" x14ac:dyDescent="0.25">
      <c r="A126">
        <v>438</v>
      </c>
      <c r="B126">
        <v>6.5031356811523438</v>
      </c>
      <c r="C126">
        <v>2.3196020126342773</v>
      </c>
      <c r="D126">
        <v>2.3282580375671387</v>
      </c>
      <c r="E126">
        <v>2.6300673484802246</v>
      </c>
      <c r="F126">
        <v>2.37359619140625</v>
      </c>
    </row>
    <row r="127" spans="1:6" x14ac:dyDescent="0.25">
      <c r="A127">
        <v>440</v>
      </c>
      <c r="B127">
        <v>7.1367321014404297</v>
      </c>
      <c r="C127">
        <v>2.3723077774047852</v>
      </c>
      <c r="D127">
        <v>2.2967736721038818</v>
      </c>
      <c r="E127">
        <v>2.8148257732391357</v>
      </c>
      <c r="F127">
        <v>2.3599209785461426</v>
      </c>
    </row>
    <row r="128" spans="1:6" x14ac:dyDescent="0.25">
      <c r="A128">
        <v>442</v>
      </c>
      <c r="B128">
        <v>7.721341609954834</v>
      </c>
      <c r="C128">
        <v>2.308222770690918</v>
      </c>
      <c r="D128">
        <v>2.3617899417877197</v>
      </c>
      <c r="E128">
        <v>2.7415561676025391</v>
      </c>
      <c r="F128">
        <v>2.3376674652099609</v>
      </c>
    </row>
    <row r="129" spans="1:6" x14ac:dyDescent="0.25">
      <c r="A129">
        <v>444</v>
      </c>
      <c r="B129">
        <v>7.3530206680297852</v>
      </c>
      <c r="C129">
        <v>2.3278510570526123</v>
      </c>
      <c r="D129">
        <v>2.3199174404144287</v>
      </c>
      <c r="E129">
        <v>2.4470224380493164</v>
      </c>
      <c r="F129">
        <v>2.3415234088897705</v>
      </c>
    </row>
    <row r="130" spans="1:6" x14ac:dyDescent="0.25">
      <c r="A130">
        <v>446</v>
      </c>
      <c r="B130">
        <v>6.6270480155944824</v>
      </c>
      <c r="C130">
        <v>2.345116138458252</v>
      </c>
      <c r="D130">
        <v>2.3138289451599121</v>
      </c>
      <c r="E130">
        <v>2.4801006317138672</v>
      </c>
      <c r="F130">
        <v>2.3505263328552246</v>
      </c>
    </row>
    <row r="131" spans="1:6" x14ac:dyDescent="0.25">
      <c r="A131">
        <v>448</v>
      </c>
      <c r="B131">
        <v>6.3965945243835449</v>
      </c>
      <c r="C131">
        <v>2.3201630115509033</v>
      </c>
      <c r="D131">
        <v>2.3645179271697998</v>
      </c>
      <c r="E131">
        <v>2.3837442398071289</v>
      </c>
      <c r="F131">
        <v>2.4005885124206543</v>
      </c>
    </row>
    <row r="132" spans="1:6" x14ac:dyDescent="0.25">
      <c r="A132">
        <v>450</v>
      </c>
      <c r="B132">
        <v>6.9895610809326172</v>
      </c>
      <c r="C132">
        <v>2.4213910102844238</v>
      </c>
      <c r="D132">
        <v>2.3368024826049805</v>
      </c>
      <c r="E132">
        <v>2.2277956008911133</v>
      </c>
      <c r="F132">
        <v>2.3835902214050293</v>
      </c>
    </row>
    <row r="133" spans="1:6" x14ac:dyDescent="0.25">
      <c r="A133">
        <v>452</v>
      </c>
      <c r="B133">
        <v>7.2385163307189941</v>
      </c>
      <c r="C133">
        <v>2.4254875183105469</v>
      </c>
      <c r="D133">
        <v>2.3287546634674072</v>
      </c>
      <c r="E133">
        <v>2.4001700878143311</v>
      </c>
      <c r="F133">
        <v>2.2976243495941162</v>
      </c>
    </row>
    <row r="134" spans="1:6" x14ac:dyDescent="0.25">
      <c r="A134">
        <v>454</v>
      </c>
      <c r="B134">
        <v>6.8305907249450684</v>
      </c>
      <c r="C134">
        <v>2.3706803321838379</v>
      </c>
      <c r="D134">
        <v>2.3615381717681885</v>
      </c>
      <c r="E134">
        <v>2.3644728660583496</v>
      </c>
      <c r="F134">
        <v>2.3392996788024902</v>
      </c>
    </row>
    <row r="135" spans="1:6" x14ac:dyDescent="0.25">
      <c r="A135">
        <v>456</v>
      </c>
      <c r="B135">
        <v>6.3574891090393066</v>
      </c>
      <c r="C135">
        <v>2.3558406829833984</v>
      </c>
      <c r="D135">
        <v>2.3443946838378906</v>
      </c>
      <c r="E135">
        <v>2.3694846630096436</v>
      </c>
      <c r="F135">
        <v>2.3849811553955078</v>
      </c>
    </row>
    <row r="136" spans="1:6" x14ac:dyDescent="0.25">
      <c r="A136">
        <v>458</v>
      </c>
      <c r="B136">
        <v>5.4524154663085938</v>
      </c>
      <c r="C136">
        <v>2.3766162395477295</v>
      </c>
      <c r="D136">
        <v>2.2685005664825439</v>
      </c>
      <c r="E136">
        <v>2.6135766506195068</v>
      </c>
      <c r="F136">
        <v>2.4176702499389648</v>
      </c>
    </row>
    <row r="137" spans="1:6" x14ac:dyDescent="0.25">
      <c r="A137">
        <v>460</v>
      </c>
      <c r="B137">
        <v>5.2777814865112305</v>
      </c>
      <c r="C137">
        <v>2.4555346965789795</v>
      </c>
      <c r="D137">
        <v>2.2761673927307129</v>
      </c>
      <c r="E137">
        <v>2.5967304706573486</v>
      </c>
      <c r="F137">
        <v>2.3729715347290039</v>
      </c>
    </row>
    <row r="138" spans="1:6" x14ac:dyDescent="0.25">
      <c r="A138">
        <v>462</v>
      </c>
      <c r="B138">
        <v>4.9807066917419434</v>
      </c>
      <c r="C138">
        <v>3.3306646347045898</v>
      </c>
      <c r="D138">
        <v>3.2441041469573975</v>
      </c>
      <c r="E138">
        <v>5.0553054809570313</v>
      </c>
      <c r="F138">
        <v>2.5614686012268066</v>
      </c>
    </row>
    <row r="139" spans="1:6" x14ac:dyDescent="0.25">
      <c r="A139">
        <v>464</v>
      </c>
      <c r="B139">
        <v>5.1473512649536133</v>
      </c>
      <c r="C139">
        <v>3.7435321807861328</v>
      </c>
      <c r="D139">
        <v>3.7950172424316406</v>
      </c>
      <c r="E139">
        <v>6.6924586296081543</v>
      </c>
      <c r="F139">
        <v>2.6818726062774658</v>
      </c>
    </row>
    <row r="140" spans="1:6" x14ac:dyDescent="0.25">
      <c r="A140">
        <v>466</v>
      </c>
      <c r="B140">
        <v>6.1421732902526855</v>
      </c>
      <c r="C140">
        <v>2.8816020488739014</v>
      </c>
      <c r="D140">
        <v>2.8908247947692871</v>
      </c>
      <c r="E140">
        <v>4.3241610527038574</v>
      </c>
      <c r="F140">
        <v>2.3561563491821289</v>
      </c>
    </row>
    <row r="141" spans="1:6" x14ac:dyDescent="0.25">
      <c r="A141">
        <v>468</v>
      </c>
      <c r="B141">
        <v>6.2625904083251953</v>
      </c>
      <c r="C141">
        <v>2.4287359714508057</v>
      </c>
      <c r="D141">
        <v>2.2198114395141602</v>
      </c>
      <c r="E141">
        <v>2.7764124870300293</v>
      </c>
      <c r="F141">
        <v>2.1761126518249512</v>
      </c>
    </row>
    <row r="142" spans="1:6" x14ac:dyDescent="0.25">
      <c r="A142">
        <v>470</v>
      </c>
      <c r="B142">
        <v>6.8066492080688477</v>
      </c>
      <c r="C142">
        <v>2.3726942539215088</v>
      </c>
      <c r="D142">
        <v>2.2955560684204102</v>
      </c>
      <c r="E142">
        <v>3.071237325668335</v>
      </c>
      <c r="F142">
        <v>2.221569299697876</v>
      </c>
    </row>
    <row r="143" spans="1:6" x14ac:dyDescent="0.25">
      <c r="A143">
        <v>472</v>
      </c>
      <c r="B143">
        <v>7.2889747619628906</v>
      </c>
      <c r="C143">
        <v>2.3228192329406738</v>
      </c>
      <c r="D143">
        <v>2.3019509315490723</v>
      </c>
      <c r="E143">
        <v>3.018887996673584</v>
      </c>
      <c r="F143">
        <v>2.3317959308624268</v>
      </c>
    </row>
    <row r="144" spans="1:6" x14ac:dyDescent="0.25">
      <c r="A144">
        <v>474</v>
      </c>
      <c r="B144">
        <v>6.1582040786743164</v>
      </c>
      <c r="C144">
        <v>2.3908073902130127</v>
      </c>
      <c r="D144">
        <v>2.1845719814300537</v>
      </c>
      <c r="E144">
        <v>2.7497367858886719</v>
      </c>
      <c r="F144">
        <v>2.4131810665130615</v>
      </c>
    </row>
    <row r="145" spans="1:6" x14ac:dyDescent="0.25">
      <c r="A145">
        <v>476</v>
      </c>
      <c r="B145">
        <v>5.6540918350219727</v>
      </c>
      <c r="C145">
        <v>2.3873469829559326</v>
      </c>
      <c r="D145">
        <v>2.2944674491882324</v>
      </c>
      <c r="E145">
        <v>2.7104504108428955</v>
      </c>
      <c r="F145">
        <v>2.3969573974609375</v>
      </c>
    </row>
    <row r="146" spans="1:6" x14ac:dyDescent="0.25">
      <c r="A146">
        <v>478</v>
      </c>
      <c r="B146">
        <v>6.226165771484375</v>
      </c>
      <c r="C146">
        <v>2.4212226867675781</v>
      </c>
      <c r="D146">
        <v>2.3442926406860352</v>
      </c>
      <c r="E146">
        <v>2.5912013053894043</v>
      </c>
      <c r="F146">
        <v>2.340648889541626</v>
      </c>
    </row>
    <row r="147" spans="1:6" x14ac:dyDescent="0.25">
      <c r="A147">
        <v>480</v>
      </c>
      <c r="B147">
        <v>5.5975098609924316</v>
      </c>
      <c r="C147">
        <v>2.4343287944793701</v>
      </c>
      <c r="D147">
        <v>2.1849937438964844</v>
      </c>
      <c r="E147">
        <v>2.7103533744812012</v>
      </c>
      <c r="F147">
        <v>2.4250407218933105</v>
      </c>
    </row>
    <row r="148" spans="1:6" x14ac:dyDescent="0.25">
      <c r="A148">
        <v>482</v>
      </c>
      <c r="B148">
        <v>2.2531862258911133</v>
      </c>
      <c r="C148">
        <v>2.5036826133728027</v>
      </c>
      <c r="D148">
        <v>2.2291111946105957</v>
      </c>
      <c r="E148">
        <v>3.0709786415100098</v>
      </c>
      <c r="F148">
        <v>2.5015954971313477</v>
      </c>
    </row>
    <row r="149" spans="1:6" x14ac:dyDescent="0.25">
      <c r="A149">
        <v>484</v>
      </c>
      <c r="B149">
        <v>2</v>
      </c>
      <c r="C149">
        <v>2.3834624290466309</v>
      </c>
      <c r="D149">
        <v>2.249894380569458</v>
      </c>
      <c r="E149">
        <v>2.8543705940246582</v>
      </c>
      <c r="F149">
        <v>2.377002477645874</v>
      </c>
    </row>
    <row r="150" spans="1:6" x14ac:dyDescent="0.25">
      <c r="A150">
        <v>486</v>
      </c>
      <c r="B150">
        <v>3.1076176166534424</v>
      </c>
      <c r="C150">
        <v>2.3740599155426025</v>
      </c>
      <c r="D150">
        <v>2.2205326557159424</v>
      </c>
      <c r="E150">
        <v>2.7027225494384766</v>
      </c>
      <c r="F150">
        <v>2.3608870506286621</v>
      </c>
    </row>
    <row r="151" spans="1:6" x14ac:dyDescent="0.25">
      <c r="A151">
        <v>488</v>
      </c>
      <c r="B151">
        <v>3.8820247650146484</v>
      </c>
      <c r="C151">
        <v>2.3935883045196533</v>
      </c>
      <c r="D151">
        <v>2.213416576385498</v>
      </c>
      <c r="E151">
        <v>2.8392705917358398</v>
      </c>
      <c r="F151">
        <v>2.3610868453979492</v>
      </c>
    </row>
    <row r="152" spans="1:6" x14ac:dyDescent="0.25">
      <c r="A152">
        <v>490</v>
      </c>
      <c r="B152">
        <v>5.8230752944946289</v>
      </c>
      <c r="C152">
        <v>2.319788932800293</v>
      </c>
      <c r="D152">
        <v>2.239356517791748</v>
      </c>
      <c r="E152">
        <v>3.0657727718353271</v>
      </c>
      <c r="F152">
        <v>2.2826166152954102</v>
      </c>
    </row>
    <row r="153" spans="1:6" x14ac:dyDescent="0.25">
      <c r="A153">
        <v>492</v>
      </c>
      <c r="B153">
        <v>6.1074042320251465</v>
      </c>
      <c r="C153">
        <v>2.3947107791900635</v>
      </c>
      <c r="D153">
        <v>2.3256185054779053</v>
      </c>
      <c r="E153">
        <v>2.7917068004608154</v>
      </c>
      <c r="F153">
        <v>2.238492488861084</v>
      </c>
    </row>
    <row r="154" spans="1:6" x14ac:dyDescent="0.25">
      <c r="A154">
        <v>494</v>
      </c>
      <c r="B154">
        <v>6.0666694641113281</v>
      </c>
      <c r="C154">
        <v>2.295621395111084</v>
      </c>
      <c r="D154">
        <v>2.2807052135467529</v>
      </c>
      <c r="E154">
        <v>2.6602351665496826</v>
      </c>
      <c r="F154">
        <v>2.2754373550415039</v>
      </c>
    </row>
    <row r="155" spans="1:6" x14ac:dyDescent="0.25">
      <c r="A155">
        <v>496</v>
      </c>
      <c r="B155">
        <v>5.5372753143310547</v>
      </c>
      <c r="C155">
        <v>2.3207118511199951</v>
      </c>
      <c r="D155">
        <v>2.2978215217590332</v>
      </c>
      <c r="E155">
        <v>2.8058044910430908</v>
      </c>
      <c r="F155">
        <v>2.3164799213409424</v>
      </c>
    </row>
    <row r="156" spans="1:6" x14ac:dyDescent="0.25">
      <c r="A156">
        <v>498</v>
      </c>
      <c r="B156">
        <v>5.1534748077392578</v>
      </c>
      <c r="C156">
        <v>2.3135662078857422</v>
      </c>
      <c r="D156">
        <v>2.3678786754608154</v>
      </c>
      <c r="E156">
        <v>2.8236854076385498</v>
      </c>
      <c r="F156">
        <v>2.2477121353149414</v>
      </c>
    </row>
    <row r="157" spans="1:6" x14ac:dyDescent="0.25">
      <c r="A157">
        <v>500</v>
      </c>
      <c r="B157">
        <v>5.1610174179077148</v>
      </c>
      <c r="C157">
        <v>2.3161849975585938</v>
      </c>
      <c r="D157">
        <v>2.2504794597625732</v>
      </c>
      <c r="E157">
        <v>2.5655603408813477</v>
      </c>
      <c r="F157">
        <v>2.2658181190490723</v>
      </c>
    </row>
    <row r="158" spans="1:6" x14ac:dyDescent="0.25">
      <c r="A158">
        <v>502</v>
      </c>
      <c r="B158">
        <v>5.5276041030883789</v>
      </c>
      <c r="C158">
        <v>2.3783247470855713</v>
      </c>
      <c r="D158">
        <v>2.2274715900421143</v>
      </c>
      <c r="E158">
        <v>2.3177497386932373</v>
      </c>
      <c r="F158">
        <v>2.3115577697753906</v>
      </c>
    </row>
    <row r="159" spans="1:6" x14ac:dyDescent="0.25">
      <c r="A159">
        <v>504</v>
      </c>
      <c r="B159">
        <v>5.4497346878051758</v>
      </c>
      <c r="C159">
        <v>2.4660909175872803</v>
      </c>
      <c r="D159">
        <v>2.198559045791626</v>
      </c>
      <c r="E159">
        <v>2.7253243923187256</v>
      </c>
      <c r="F159">
        <v>2.3836653232574463</v>
      </c>
    </row>
    <row r="160" spans="1:6" x14ac:dyDescent="0.25">
      <c r="A160">
        <v>506</v>
      </c>
      <c r="B160">
        <v>4.4923892021179199</v>
      </c>
      <c r="C160">
        <v>2.4160099029541016</v>
      </c>
      <c r="D160">
        <v>2.2034502029418945</v>
      </c>
      <c r="E160">
        <v>2.3548049926757813</v>
      </c>
      <c r="F160">
        <v>2.4103162288665771</v>
      </c>
    </row>
    <row r="161" spans="1:6" x14ac:dyDescent="0.25">
      <c r="A161">
        <v>508</v>
      </c>
      <c r="B161">
        <v>5.000180721282959</v>
      </c>
      <c r="C161">
        <v>2.2931337356567383</v>
      </c>
      <c r="D161">
        <v>2.3280880451202393</v>
      </c>
      <c r="E161">
        <v>2.1356425285339355</v>
      </c>
      <c r="F161">
        <v>2.3921267986297607</v>
      </c>
    </row>
    <row r="162" spans="1:6" x14ac:dyDescent="0.25">
      <c r="A162">
        <v>510</v>
      </c>
      <c r="B162">
        <v>5.7788190841674805</v>
      </c>
      <c r="C162">
        <v>2.3584718704223633</v>
      </c>
      <c r="D162">
        <v>2.2653372287750244</v>
      </c>
      <c r="E162">
        <v>2.7128109931945801</v>
      </c>
      <c r="F162">
        <v>2.4937169551849365</v>
      </c>
    </row>
    <row r="163" spans="1:6" x14ac:dyDescent="0.25">
      <c r="A163">
        <v>512</v>
      </c>
      <c r="B163">
        <v>5.3262166976928711</v>
      </c>
      <c r="C163">
        <v>2.3215723037719727</v>
      </c>
      <c r="D163">
        <v>2.2515950202941895</v>
      </c>
      <c r="E163">
        <v>2.7910923957824707</v>
      </c>
      <c r="F163">
        <v>2.487703800201416</v>
      </c>
    </row>
    <row r="164" spans="1:6" x14ac:dyDescent="0.25">
      <c r="A164">
        <v>514</v>
      </c>
      <c r="B164">
        <v>5.8426542282104492</v>
      </c>
      <c r="C164">
        <v>2.3196704387664795</v>
      </c>
      <c r="D164">
        <v>2.3107266426086426</v>
      </c>
      <c r="E164">
        <v>2.4991776943206787</v>
      </c>
      <c r="F164">
        <v>2.4658501148223877</v>
      </c>
    </row>
    <row r="165" spans="1:6" x14ac:dyDescent="0.25">
      <c r="A165">
        <v>516</v>
      </c>
      <c r="B165">
        <v>5.8981060981750488</v>
      </c>
      <c r="C165">
        <v>2.4070625305175781</v>
      </c>
      <c r="D165">
        <v>2.2805962562561035</v>
      </c>
      <c r="E165">
        <v>2.7871475219726563</v>
      </c>
      <c r="F165">
        <v>2.4056606292724609</v>
      </c>
    </row>
    <row r="166" spans="1:6" x14ac:dyDescent="0.25">
      <c r="A166">
        <v>518</v>
      </c>
      <c r="B166">
        <v>5.0324530601501465</v>
      </c>
      <c r="C166">
        <v>2.351207971572876</v>
      </c>
      <c r="D166">
        <v>2.3030052185058594</v>
      </c>
      <c r="E166">
        <v>2.8806586265563965</v>
      </c>
      <c r="F166">
        <v>2.2200367450714111</v>
      </c>
    </row>
    <row r="167" spans="1:6" x14ac:dyDescent="0.25">
      <c r="A167">
        <v>520</v>
      </c>
      <c r="B167">
        <v>5.3751506805419922</v>
      </c>
      <c r="C167">
        <v>2.3984143733978271</v>
      </c>
      <c r="D167">
        <v>2.2159066200256348</v>
      </c>
      <c r="E167">
        <v>2.3342080116271973</v>
      </c>
      <c r="F167">
        <v>2.1355867385864258</v>
      </c>
    </row>
    <row r="168" spans="1:6" x14ac:dyDescent="0.25">
      <c r="A168">
        <v>522</v>
      </c>
      <c r="B168">
        <v>4.3275318145751953</v>
      </c>
      <c r="C168">
        <v>2.3810930252075195</v>
      </c>
      <c r="D168">
        <v>2.2765076160430908</v>
      </c>
      <c r="E168">
        <v>2.6820609569549561</v>
      </c>
      <c r="F168">
        <v>2.2403414249420166</v>
      </c>
    </row>
    <row r="169" spans="1:6" x14ac:dyDescent="0.25">
      <c r="A169">
        <v>524</v>
      </c>
      <c r="B169">
        <v>5.123988151550293</v>
      </c>
      <c r="C169">
        <v>2.3183362483978271</v>
      </c>
      <c r="D169">
        <v>2.3739674091339111</v>
      </c>
      <c r="E169">
        <v>2.8826632499694824</v>
      </c>
      <c r="F169">
        <v>2.2716562747955322</v>
      </c>
    </row>
    <row r="170" spans="1:6" x14ac:dyDescent="0.25">
      <c r="A170">
        <v>526</v>
      </c>
      <c r="B170">
        <v>6.0679306983947754</v>
      </c>
      <c r="C170">
        <v>2.4377083778381348</v>
      </c>
      <c r="D170">
        <v>2.2643234729766846</v>
      </c>
      <c r="E170">
        <v>2.81107497215271</v>
      </c>
      <c r="F170">
        <v>2.2420072555541992</v>
      </c>
    </row>
    <row r="171" spans="1:6" x14ac:dyDescent="0.25">
      <c r="A171">
        <v>528</v>
      </c>
      <c r="B171">
        <v>5.445319652557373</v>
      </c>
      <c r="C171">
        <v>2.3265914916992188</v>
      </c>
      <c r="D171">
        <v>2.2619900703430176</v>
      </c>
      <c r="E171">
        <v>2.9188454151153564</v>
      </c>
      <c r="F171">
        <v>2.3016636371612549</v>
      </c>
    </row>
    <row r="172" spans="1:6" x14ac:dyDescent="0.25">
      <c r="A172">
        <v>530</v>
      </c>
      <c r="B172">
        <v>6.6300969123840332</v>
      </c>
      <c r="C172">
        <v>2.3335561752319336</v>
      </c>
      <c r="D172">
        <v>2.2522072792053223</v>
      </c>
      <c r="E172">
        <v>2.8037350177764893</v>
      </c>
      <c r="F172">
        <v>2.2443807125091553</v>
      </c>
    </row>
    <row r="173" spans="1:6" x14ac:dyDescent="0.25">
      <c r="A173">
        <v>532</v>
      </c>
      <c r="B173">
        <v>4.8713798522949219</v>
      </c>
      <c r="C173">
        <v>2.1932089328765869</v>
      </c>
      <c r="D173">
        <v>2.360238790512085</v>
      </c>
      <c r="E173">
        <v>2.4242591857910156</v>
      </c>
      <c r="F173">
        <v>2.2672755718231201</v>
      </c>
    </row>
    <row r="174" spans="1:6" x14ac:dyDescent="0.25">
      <c r="A174">
        <v>534</v>
      </c>
      <c r="B174">
        <v>4.9176335334777832</v>
      </c>
      <c r="C174">
        <v>2.213604211807251</v>
      </c>
      <c r="D174">
        <v>2.3234822750091553</v>
      </c>
      <c r="E174">
        <v>2.9044241905212402</v>
      </c>
      <c r="F174">
        <v>2.3722302913665771</v>
      </c>
    </row>
    <row r="175" spans="1:6" x14ac:dyDescent="0.25">
      <c r="A175">
        <v>536</v>
      </c>
      <c r="B175">
        <v>5.2307133674621582</v>
      </c>
      <c r="C175">
        <v>2.2903029918670654</v>
      </c>
      <c r="D175">
        <v>2.2310364246368408</v>
      </c>
      <c r="E175">
        <v>3.0205047130584717</v>
      </c>
      <c r="F175">
        <v>2.4135642051696777</v>
      </c>
    </row>
    <row r="176" spans="1:6" x14ac:dyDescent="0.25">
      <c r="A176">
        <v>538</v>
      </c>
      <c r="B176">
        <v>5.4847140312194824</v>
      </c>
      <c r="C176">
        <v>2.2184364795684814</v>
      </c>
      <c r="D176">
        <v>2.3211965560913086</v>
      </c>
      <c r="E176">
        <v>2</v>
      </c>
      <c r="F176">
        <v>2.4559807777404785</v>
      </c>
    </row>
    <row r="177" spans="1:6" x14ac:dyDescent="0.25">
      <c r="A177">
        <v>540</v>
      </c>
      <c r="B177">
        <v>5.2878208160400391</v>
      </c>
      <c r="C177">
        <v>2.2315676212310791</v>
      </c>
      <c r="D177">
        <v>2.2710244655609131</v>
      </c>
      <c r="E177">
        <v>2.2484896183013916</v>
      </c>
      <c r="F177">
        <v>2.4154796600341797</v>
      </c>
    </row>
    <row r="178" spans="1:6" x14ac:dyDescent="0.25">
      <c r="A178">
        <v>542</v>
      </c>
      <c r="B178">
        <v>5.4765410423278809</v>
      </c>
      <c r="C178">
        <v>2.3079795837402344</v>
      </c>
      <c r="D178">
        <v>2.2257301807403564</v>
      </c>
      <c r="E178">
        <v>3.2504019737243652</v>
      </c>
      <c r="F178">
        <v>2.2943429946899414</v>
      </c>
    </row>
    <row r="179" spans="1:6" x14ac:dyDescent="0.25">
      <c r="A179">
        <v>544</v>
      </c>
      <c r="B179">
        <v>6.5676279067993164</v>
      </c>
      <c r="C179">
        <v>2.360835075378418</v>
      </c>
      <c r="D179">
        <v>2.2631533145904541</v>
      </c>
      <c r="E179">
        <v>3.3356997966766357</v>
      </c>
      <c r="F179">
        <v>2.3058362007141113</v>
      </c>
    </row>
    <row r="180" spans="1:6" x14ac:dyDescent="0.25">
      <c r="A180">
        <v>546</v>
      </c>
      <c r="B180">
        <v>5.9900617599487305</v>
      </c>
      <c r="C180">
        <v>2.3662409782409668</v>
      </c>
      <c r="D180">
        <v>2.2136752605438232</v>
      </c>
      <c r="E180">
        <v>2.9134454727172852</v>
      </c>
      <c r="F180">
        <v>2.4122982025146484</v>
      </c>
    </row>
    <row r="181" spans="1:6" x14ac:dyDescent="0.25">
      <c r="A181">
        <v>548</v>
      </c>
      <c r="B181">
        <v>5.338200569152832</v>
      </c>
      <c r="C181">
        <v>2.515460729598999</v>
      </c>
      <c r="D181">
        <v>2.1983344554901123</v>
      </c>
      <c r="E181">
        <v>2.6171982288360596</v>
      </c>
      <c r="F181">
        <v>2.4680237770080566</v>
      </c>
    </row>
    <row r="182" spans="1:6" x14ac:dyDescent="0.25">
      <c r="A182">
        <v>550</v>
      </c>
      <c r="B182">
        <v>4.9910612106323242</v>
      </c>
      <c r="C182">
        <v>2.4001102447509766</v>
      </c>
      <c r="D182">
        <v>2.2575953006744385</v>
      </c>
      <c r="E182">
        <v>3.1293420791625977</v>
      </c>
      <c r="F182">
        <v>2.3996057510375977</v>
      </c>
    </row>
    <row r="183" spans="1:6" x14ac:dyDescent="0.25">
      <c r="A183">
        <v>552</v>
      </c>
      <c r="B183">
        <v>5.5374326705932617</v>
      </c>
      <c r="C183">
        <v>2.2276644706726074</v>
      </c>
      <c r="D183">
        <v>2.2544660568237305</v>
      </c>
      <c r="E183">
        <v>3.1746425628662109</v>
      </c>
      <c r="F183">
        <v>2.2750625610351563</v>
      </c>
    </row>
    <row r="184" spans="1:6" x14ac:dyDescent="0.25">
      <c r="A184">
        <v>554</v>
      </c>
      <c r="B184">
        <v>5.5608749389648438</v>
      </c>
      <c r="C184">
        <v>2.2038774490356445</v>
      </c>
      <c r="D184">
        <v>2.2360775470733643</v>
      </c>
      <c r="E184">
        <v>2.5612597465515137</v>
      </c>
      <c r="F184">
        <v>2.2914280891418457</v>
      </c>
    </row>
    <row r="185" spans="1:6" x14ac:dyDescent="0.25">
      <c r="A185">
        <v>556</v>
      </c>
      <c r="B185">
        <v>4.2474288940429688</v>
      </c>
      <c r="C185">
        <v>2.2974858283996582</v>
      </c>
      <c r="D185">
        <v>2.2049469947814941</v>
      </c>
      <c r="E185">
        <v>2.4502236843109131</v>
      </c>
      <c r="F185">
        <v>2.2476871013641357</v>
      </c>
    </row>
    <row r="186" spans="1:6" x14ac:dyDescent="0.25">
      <c r="A186">
        <v>558</v>
      </c>
      <c r="B186">
        <v>4.0272245407104492</v>
      </c>
      <c r="C186">
        <v>2.3354017734527588</v>
      </c>
      <c r="D186">
        <v>2.1682379245758057</v>
      </c>
      <c r="E186">
        <v>2.0874967575073242</v>
      </c>
      <c r="F186">
        <v>2.30422043800354</v>
      </c>
    </row>
    <row r="187" spans="1:6" x14ac:dyDescent="0.25">
      <c r="A187">
        <v>560</v>
      </c>
      <c r="B187">
        <v>5.4951739311218262</v>
      </c>
      <c r="C187">
        <v>2.4247641563415527</v>
      </c>
      <c r="D187">
        <v>2.2329413890838623</v>
      </c>
      <c r="E187">
        <v>2.2837340831756592</v>
      </c>
      <c r="F187">
        <v>2.4339854717254639</v>
      </c>
    </row>
    <row r="188" spans="1:6" x14ac:dyDescent="0.25">
      <c r="A188">
        <v>562</v>
      </c>
      <c r="B188">
        <v>6.3324174880981445</v>
      </c>
      <c r="C188">
        <v>2.4769089221954346</v>
      </c>
      <c r="D188">
        <v>2.2043347358703613</v>
      </c>
      <c r="E188">
        <v>2.7293660640716553</v>
      </c>
      <c r="F188">
        <v>2.430687427520752</v>
      </c>
    </row>
    <row r="189" spans="1:6" x14ac:dyDescent="0.25">
      <c r="A189">
        <v>564</v>
      </c>
      <c r="B189">
        <v>6.3358602523803711</v>
      </c>
      <c r="C189">
        <v>2.3450539112091064</v>
      </c>
      <c r="D189">
        <v>2.2225463390350342</v>
      </c>
      <c r="E189">
        <v>2.9839022159576416</v>
      </c>
      <c r="F189">
        <v>2.5159454345703125</v>
      </c>
    </row>
    <row r="190" spans="1:6" x14ac:dyDescent="0.25">
      <c r="A190">
        <v>566</v>
      </c>
      <c r="B190">
        <v>4.726837158203125</v>
      </c>
      <c r="C190">
        <v>2.3279197216033936</v>
      </c>
      <c r="D190">
        <v>2.3206045627593994</v>
      </c>
      <c r="E190">
        <v>2.8325450420379639</v>
      </c>
      <c r="F190">
        <v>2.4307625293731689</v>
      </c>
    </row>
    <row r="191" spans="1:6" x14ac:dyDescent="0.25">
      <c r="A191">
        <v>568</v>
      </c>
      <c r="B191">
        <v>5.592832088470459</v>
      </c>
      <c r="C191">
        <v>2.3653554916381836</v>
      </c>
      <c r="D191">
        <v>2.2050967216491699</v>
      </c>
      <c r="E191">
        <v>2.7859835624694824</v>
      </c>
      <c r="F191">
        <v>2.3583385944366455</v>
      </c>
    </row>
    <row r="192" spans="1:6" x14ac:dyDescent="0.25">
      <c r="A192">
        <v>570</v>
      </c>
      <c r="B192">
        <v>5.4644780158996582</v>
      </c>
      <c r="C192">
        <v>2.4016067981719971</v>
      </c>
      <c r="D192">
        <v>2.1845855712890625</v>
      </c>
      <c r="E192">
        <v>2.7463738918304443</v>
      </c>
      <c r="F192">
        <v>2.3205690383911133</v>
      </c>
    </row>
    <row r="193" spans="1:6" x14ac:dyDescent="0.25">
      <c r="A193">
        <v>572</v>
      </c>
      <c r="B193">
        <v>3.7108335494995117</v>
      </c>
      <c r="C193">
        <v>2.3595879077911377</v>
      </c>
      <c r="D193">
        <v>2.2375876903533936</v>
      </c>
      <c r="E193">
        <v>2.6084678173065186</v>
      </c>
      <c r="F193">
        <v>2.2639274597167969</v>
      </c>
    </row>
    <row r="194" spans="1:6" x14ac:dyDescent="0.25">
      <c r="A194">
        <v>574</v>
      </c>
      <c r="B194">
        <v>4.3872408866882324</v>
      </c>
      <c r="C194">
        <v>2.3233928680419922</v>
      </c>
      <c r="D194">
        <v>2.125420093536377</v>
      </c>
      <c r="E194">
        <v>2.6528630256652832</v>
      </c>
      <c r="F194">
        <v>2.2673420906066895</v>
      </c>
    </row>
    <row r="195" spans="1:6" x14ac:dyDescent="0.25">
      <c r="A195">
        <v>576</v>
      </c>
      <c r="B195">
        <v>4.179572582244873</v>
      </c>
      <c r="C195">
        <v>2.3322343826293945</v>
      </c>
      <c r="D195">
        <v>2.1199436187744141</v>
      </c>
      <c r="E195">
        <v>2.5768449306488037</v>
      </c>
      <c r="F195">
        <v>2.2726640701293945</v>
      </c>
    </row>
    <row r="196" spans="1:6" x14ac:dyDescent="0.25">
      <c r="A196">
        <v>578</v>
      </c>
      <c r="B196">
        <v>6.1188888549804688</v>
      </c>
      <c r="C196">
        <v>2.4334123134613037</v>
      </c>
      <c r="D196">
        <v>2.1615438461303711</v>
      </c>
      <c r="E196">
        <v>2.4618315696716309</v>
      </c>
      <c r="F196">
        <v>2.2500357627868652</v>
      </c>
    </row>
    <row r="197" spans="1:6" x14ac:dyDescent="0.25">
      <c r="A197">
        <v>580</v>
      </c>
      <c r="B197">
        <v>5.2779130935668945</v>
      </c>
      <c r="C197">
        <v>2.3404772281646729</v>
      </c>
      <c r="D197">
        <v>2.1392912864685059</v>
      </c>
      <c r="E197">
        <v>2.5357155799865723</v>
      </c>
      <c r="F197">
        <v>2.2629199028015137</v>
      </c>
    </row>
    <row r="198" spans="1:6" x14ac:dyDescent="0.25">
      <c r="A198">
        <v>582</v>
      </c>
      <c r="B198">
        <v>7.3874478340148926</v>
      </c>
      <c r="C198">
        <v>2.4862117767333984</v>
      </c>
      <c r="D198">
        <v>2.1111881732940674</v>
      </c>
      <c r="E198">
        <v>2.4424309730529785</v>
      </c>
      <c r="F198">
        <v>2.309617280960083</v>
      </c>
    </row>
    <row r="199" spans="1:6" x14ac:dyDescent="0.25">
      <c r="A199">
        <v>584</v>
      </c>
      <c r="B199">
        <v>6.6446561813354492</v>
      </c>
      <c r="C199">
        <v>2.3740661144256592</v>
      </c>
      <c r="D199">
        <v>2.1539857387542725</v>
      </c>
      <c r="E199">
        <v>2.6143527030944824</v>
      </c>
      <c r="F199">
        <v>2.3438303470611572</v>
      </c>
    </row>
    <row r="200" spans="1:6" x14ac:dyDescent="0.25">
      <c r="A200">
        <v>586</v>
      </c>
      <c r="B200">
        <v>5.5963797569274902</v>
      </c>
      <c r="C200">
        <v>2.2592394351959229</v>
      </c>
      <c r="D200">
        <v>2.1520264148712158</v>
      </c>
      <c r="E200">
        <v>2.8328037261962891</v>
      </c>
      <c r="F200">
        <v>2.3364846706390381</v>
      </c>
    </row>
    <row r="201" spans="1:6" x14ac:dyDescent="0.25">
      <c r="A201">
        <v>588</v>
      </c>
      <c r="B201">
        <v>5.5430569648742676</v>
      </c>
      <c r="C201">
        <v>2.3241848945617676</v>
      </c>
      <c r="D201">
        <v>2.1281547546386719</v>
      </c>
      <c r="E201">
        <v>2.7454040050506592</v>
      </c>
      <c r="F201">
        <v>2.3141062259674072</v>
      </c>
    </row>
    <row r="202" spans="1:6" x14ac:dyDescent="0.25">
      <c r="A202">
        <v>590</v>
      </c>
      <c r="B202">
        <v>6.4304437637329102</v>
      </c>
      <c r="C202">
        <v>2.3583970069885254</v>
      </c>
      <c r="D202">
        <v>2.1429717540740967</v>
      </c>
      <c r="E202">
        <v>2.5815980434417725</v>
      </c>
      <c r="F202">
        <v>2.2983572483062744</v>
      </c>
    </row>
    <row r="203" spans="1:6" x14ac:dyDescent="0.25">
      <c r="A203">
        <v>592</v>
      </c>
      <c r="B203">
        <v>5.8880410194396973</v>
      </c>
      <c r="C203">
        <v>2.4630169868469238</v>
      </c>
      <c r="D203">
        <v>2.0601248741149902</v>
      </c>
      <c r="E203">
        <v>2.6038117408752441</v>
      </c>
      <c r="F203">
        <v>2.3117327690124512</v>
      </c>
    </row>
    <row r="204" spans="1:6" x14ac:dyDescent="0.25">
      <c r="A204">
        <v>594</v>
      </c>
      <c r="B204">
        <v>3.3732607364654541</v>
      </c>
      <c r="C204">
        <v>2.2875657081604004</v>
      </c>
      <c r="D204">
        <v>2.1021332740783691</v>
      </c>
      <c r="E204">
        <v>2.8441853523254395</v>
      </c>
      <c r="F204">
        <v>2.3870632648468018</v>
      </c>
    </row>
    <row r="205" spans="1:6" x14ac:dyDescent="0.25">
      <c r="A205">
        <v>596</v>
      </c>
      <c r="B205">
        <v>5.5298113822937012</v>
      </c>
      <c r="C205">
        <v>2.3302888870239258</v>
      </c>
      <c r="D205">
        <v>2.1599996089935303</v>
      </c>
      <c r="E205">
        <v>2.9195568561553955</v>
      </c>
      <c r="F205">
        <v>2.3810584545135498</v>
      </c>
    </row>
    <row r="206" spans="1:6" x14ac:dyDescent="0.25">
      <c r="A206">
        <v>598</v>
      </c>
      <c r="B206">
        <v>4.8334312438964844</v>
      </c>
      <c r="C206">
        <v>2.2406210899353027</v>
      </c>
      <c r="D206">
        <v>2.1448085308074951</v>
      </c>
      <c r="E206">
        <v>2.6389591693878174</v>
      </c>
      <c r="F206">
        <v>2.2266578674316406</v>
      </c>
    </row>
    <row r="207" spans="1:6" x14ac:dyDescent="0.25">
      <c r="A207">
        <v>600</v>
      </c>
      <c r="B207">
        <v>7.0912928581237793</v>
      </c>
      <c r="C207">
        <v>2.3679368495941162</v>
      </c>
      <c r="D207">
        <v>2.1159162521362305</v>
      </c>
      <c r="E207">
        <v>2.4638364315032959</v>
      </c>
      <c r="F207">
        <v>2.2804179191589355</v>
      </c>
    </row>
    <row r="208" spans="1:6" x14ac:dyDescent="0.25">
      <c r="A208">
        <v>602</v>
      </c>
      <c r="B208">
        <v>4.6551704406738281</v>
      </c>
      <c r="C208">
        <v>2.2872600555419922</v>
      </c>
      <c r="D208">
        <v>2.1415975093841553</v>
      </c>
      <c r="E208">
        <v>2.6837747097015381</v>
      </c>
      <c r="F208">
        <v>2.3337447643280029</v>
      </c>
    </row>
    <row r="209" spans="1:6" x14ac:dyDescent="0.25">
      <c r="A209">
        <v>604</v>
      </c>
      <c r="B209">
        <v>7.4482607841491699</v>
      </c>
      <c r="C209">
        <v>2.3200445175170898</v>
      </c>
      <c r="D209">
        <v>2.1377742290496826</v>
      </c>
      <c r="E209">
        <v>2.4911589622497559</v>
      </c>
      <c r="F209">
        <v>2.2733385562896729</v>
      </c>
    </row>
    <row r="210" spans="1:6" x14ac:dyDescent="0.25">
      <c r="A210">
        <v>606</v>
      </c>
      <c r="B210">
        <v>4.9938998222351074</v>
      </c>
      <c r="C210">
        <v>2.2320663928985596</v>
      </c>
      <c r="D210">
        <v>2.1045756340026855</v>
      </c>
      <c r="E210">
        <v>2.2081038951873779</v>
      </c>
      <c r="F210">
        <v>2.2570731639862061</v>
      </c>
    </row>
    <row r="211" spans="1:6" x14ac:dyDescent="0.25">
      <c r="A211">
        <v>608</v>
      </c>
      <c r="B211">
        <v>5.2579135894775391</v>
      </c>
      <c r="C211">
        <v>2.2737672328948975</v>
      </c>
      <c r="D211">
        <v>2.1474411487579346</v>
      </c>
      <c r="E211">
        <v>2.3658633232116699</v>
      </c>
      <c r="F211">
        <v>2.2555325031280518</v>
      </c>
    </row>
    <row r="212" spans="1:6" x14ac:dyDescent="0.25">
      <c r="A212">
        <v>610</v>
      </c>
      <c r="B212">
        <v>4.8412628173828125</v>
      </c>
      <c r="C212">
        <v>2.3055479526519775</v>
      </c>
      <c r="D212">
        <v>2.1727960109710693</v>
      </c>
      <c r="E212">
        <v>2.8383975028991699</v>
      </c>
      <c r="F212">
        <v>2.2795600891113281</v>
      </c>
    </row>
    <row r="213" spans="1:6" x14ac:dyDescent="0.25">
      <c r="A213">
        <v>612</v>
      </c>
      <c r="B213">
        <v>3.2873497009277344</v>
      </c>
      <c r="C213">
        <v>2.1709556579589844</v>
      </c>
      <c r="D213">
        <v>2.1145012378692627</v>
      </c>
      <c r="E213">
        <v>2.7389693260192871</v>
      </c>
      <c r="F213">
        <v>2.3254745006561279</v>
      </c>
    </row>
    <row r="214" spans="1:6" x14ac:dyDescent="0.25">
      <c r="A214">
        <v>614</v>
      </c>
      <c r="B214">
        <v>6.448209285736084</v>
      </c>
      <c r="C214">
        <v>2.3130862712860107</v>
      </c>
      <c r="D214">
        <v>2.094813346862793</v>
      </c>
      <c r="E214">
        <v>2.4115841388702393</v>
      </c>
      <c r="F214">
        <v>2.2719061374664307</v>
      </c>
    </row>
    <row r="215" spans="1:6" x14ac:dyDescent="0.25">
      <c r="A215">
        <v>616</v>
      </c>
      <c r="B215">
        <v>4.8094897270202637</v>
      </c>
      <c r="C215">
        <v>2.275407075881958</v>
      </c>
      <c r="D215">
        <v>2.1492917537689209</v>
      </c>
      <c r="E215">
        <v>2.619138240814209</v>
      </c>
      <c r="F215">
        <v>2.3559231758117676</v>
      </c>
    </row>
    <row r="216" spans="1:6" x14ac:dyDescent="0.25">
      <c r="A216">
        <v>618</v>
      </c>
      <c r="B216">
        <v>6.7420516014099121</v>
      </c>
      <c r="C216">
        <v>2.4391798973083496</v>
      </c>
      <c r="D216">
        <v>2.1009836196899414</v>
      </c>
      <c r="E216">
        <v>2.6516342163085938</v>
      </c>
      <c r="F216">
        <v>2.4047527313232422</v>
      </c>
    </row>
    <row r="217" spans="1:6" x14ac:dyDescent="0.25">
      <c r="A217">
        <v>620</v>
      </c>
      <c r="B217">
        <v>3.6670241355895996</v>
      </c>
      <c r="C217">
        <v>2.2959394454956055</v>
      </c>
      <c r="D217">
        <v>2.1242430210113525</v>
      </c>
      <c r="E217">
        <v>2.794487476348877</v>
      </c>
      <c r="F217">
        <v>2.3413734436035156</v>
      </c>
    </row>
    <row r="218" spans="1:6" x14ac:dyDescent="0.25">
      <c r="A218">
        <v>622</v>
      </c>
      <c r="B218">
        <v>5.2522892951965332</v>
      </c>
      <c r="C218">
        <v>2.2818853855133057</v>
      </c>
      <c r="D218">
        <v>2.176619291305542</v>
      </c>
      <c r="E218">
        <v>2.4470224380493164</v>
      </c>
      <c r="F218">
        <v>2.2916779518127441</v>
      </c>
    </row>
    <row r="219" spans="1:6" x14ac:dyDescent="0.25">
      <c r="A219">
        <v>624</v>
      </c>
      <c r="B219">
        <v>5.4456348419189453</v>
      </c>
      <c r="C219">
        <v>2.3777074813842773</v>
      </c>
      <c r="D219">
        <v>2</v>
      </c>
      <c r="E219">
        <v>2.5818891525268555</v>
      </c>
      <c r="F219">
        <v>2.2280902862548828</v>
      </c>
    </row>
    <row r="220" spans="1:6" x14ac:dyDescent="0.25">
      <c r="A220">
        <v>626</v>
      </c>
      <c r="B220">
        <v>4.2843003273010254</v>
      </c>
      <c r="C220">
        <v>2.3779754638671875</v>
      </c>
      <c r="D220">
        <v>2.0182116031646729</v>
      </c>
      <c r="E220">
        <v>3.288459300994873</v>
      </c>
      <c r="F220">
        <v>2.3644847869873047</v>
      </c>
    </row>
    <row r="221" spans="1:6" x14ac:dyDescent="0.25">
      <c r="A221">
        <v>628</v>
      </c>
      <c r="B221">
        <v>7.5196914672851563</v>
      </c>
      <c r="C221">
        <v>2.6676485538482666</v>
      </c>
      <c r="D221">
        <v>2.1603736877441406</v>
      </c>
      <c r="E221">
        <v>3.4769687652587891</v>
      </c>
      <c r="F221">
        <v>2.2405414581298828</v>
      </c>
    </row>
    <row r="222" spans="1:6" x14ac:dyDescent="0.25">
      <c r="A222">
        <v>630</v>
      </c>
      <c r="B222">
        <v>3.2866401672363281</v>
      </c>
      <c r="C222">
        <v>2.4942736625671387</v>
      </c>
      <c r="D222">
        <v>2.1584620475769043</v>
      </c>
      <c r="E222">
        <v>3.0771219730377197</v>
      </c>
      <c r="F222">
        <v>2.2072360515594482</v>
      </c>
    </row>
    <row r="223" spans="1:6" x14ac:dyDescent="0.25">
      <c r="A223">
        <v>632</v>
      </c>
      <c r="B223">
        <v>7.0273261070251465</v>
      </c>
      <c r="C223">
        <v>2.4381136894226074</v>
      </c>
      <c r="D223">
        <v>2.1095690727233887</v>
      </c>
      <c r="E223">
        <v>2.9198801517486572</v>
      </c>
      <c r="F223">
        <v>2.3007059097290039</v>
      </c>
    </row>
    <row r="224" spans="1:6" x14ac:dyDescent="0.25">
      <c r="A224">
        <v>634</v>
      </c>
      <c r="B224">
        <v>4.775719165802002</v>
      </c>
      <c r="C224">
        <v>2.3637843132019043</v>
      </c>
      <c r="D224">
        <v>2.1208961009979248</v>
      </c>
      <c r="E224">
        <v>3.2165801525115967</v>
      </c>
      <c r="F224">
        <v>2.2016394138336182</v>
      </c>
    </row>
    <row r="225" spans="1:6" x14ac:dyDescent="0.25">
      <c r="A225">
        <v>636</v>
      </c>
      <c r="B225">
        <v>3.1284580230712891</v>
      </c>
      <c r="C225">
        <v>2</v>
      </c>
      <c r="D225">
        <v>2.1821908950805664</v>
      </c>
      <c r="E225">
        <v>3.421062707901001</v>
      </c>
      <c r="F225">
        <v>2.3374259471893311</v>
      </c>
    </row>
    <row r="226" spans="1:6" x14ac:dyDescent="0.25">
      <c r="A226">
        <v>638</v>
      </c>
      <c r="B226">
        <v>7.8455958366394043</v>
      </c>
      <c r="C226">
        <v>2.351370096206665</v>
      </c>
      <c r="D226">
        <v>2.0994870662689209</v>
      </c>
      <c r="E226">
        <v>3.5270223617553711</v>
      </c>
      <c r="F226">
        <v>2.2558488845825195</v>
      </c>
    </row>
    <row r="227" spans="1:6" x14ac:dyDescent="0.25">
      <c r="A227">
        <v>640</v>
      </c>
      <c r="B227">
        <v>2.7694401741027832</v>
      </c>
      <c r="C227">
        <v>2.2016327381134033</v>
      </c>
      <c r="D227">
        <v>2.2223286628723145</v>
      </c>
      <c r="E227">
        <v>3.5039680004119873</v>
      </c>
      <c r="F227">
        <v>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CZ227"/>
  <sheetViews>
    <sheetView workbookViewId="0"/>
  </sheetViews>
  <sheetFormatPr defaultColWidth="9.140625" defaultRowHeight="15" x14ac:dyDescent="0.25"/>
  <cols>
    <col min="102" max="16384" width="9.140625" style="24"/>
  </cols>
  <sheetData>
    <row r="1" spans="1:104" x14ac:dyDescent="0.25">
      <c r="B1">
        <v>1</v>
      </c>
      <c r="C1">
        <v>2</v>
      </c>
      <c r="D1">
        <v>3</v>
      </c>
      <c r="E1">
        <v>4</v>
      </c>
      <c r="F1">
        <v>5</v>
      </c>
    </row>
    <row r="2" spans="1:104" x14ac:dyDescent="0.25">
      <c r="A2">
        <v>190</v>
      </c>
      <c r="CY2" s="24">
        <v>200</v>
      </c>
      <c r="CZ2" s="24">
        <v>0</v>
      </c>
    </row>
    <row r="3" spans="1:104" x14ac:dyDescent="0.25">
      <c r="A3">
        <v>192</v>
      </c>
      <c r="CY3" s="24">
        <v>300</v>
      </c>
      <c r="CZ3" s="24">
        <v>0</v>
      </c>
    </row>
    <row r="4" spans="1:104" x14ac:dyDescent="0.25">
      <c r="A4">
        <v>194</v>
      </c>
      <c r="CY4" s="24">
        <v>400</v>
      </c>
      <c r="CZ4" s="24">
        <v>0</v>
      </c>
    </row>
    <row r="5" spans="1:104" x14ac:dyDescent="0.25">
      <c r="A5">
        <v>196</v>
      </c>
      <c r="E5">
        <v>196</v>
      </c>
      <c r="CY5" s="24">
        <v>500</v>
      </c>
      <c r="CZ5" s="24">
        <v>0</v>
      </c>
    </row>
    <row r="6" spans="1:104" x14ac:dyDescent="0.25">
      <c r="A6">
        <v>198</v>
      </c>
      <c r="CY6" s="24">
        <v>600</v>
      </c>
      <c r="CZ6" s="24">
        <v>0</v>
      </c>
    </row>
    <row r="7" spans="1:104" x14ac:dyDescent="0.25">
      <c r="A7">
        <v>200</v>
      </c>
    </row>
    <row r="8" spans="1:104" x14ac:dyDescent="0.25">
      <c r="A8">
        <v>202</v>
      </c>
    </row>
    <row r="9" spans="1:104" x14ac:dyDescent="0.25">
      <c r="A9">
        <v>204</v>
      </c>
    </row>
    <row r="10" spans="1:104" x14ac:dyDescent="0.25">
      <c r="A10">
        <v>206</v>
      </c>
    </row>
    <row r="11" spans="1:104" x14ac:dyDescent="0.25">
      <c r="A11">
        <v>208</v>
      </c>
    </row>
    <row r="12" spans="1:104" x14ac:dyDescent="0.25">
      <c r="A12">
        <v>210</v>
      </c>
    </row>
    <row r="13" spans="1:104" x14ac:dyDescent="0.25">
      <c r="A13">
        <v>212</v>
      </c>
      <c r="B13">
        <v>212</v>
      </c>
    </row>
    <row r="14" spans="1:104" x14ac:dyDescent="0.25">
      <c r="A14">
        <v>214</v>
      </c>
      <c r="C14">
        <v>214</v>
      </c>
      <c r="D14">
        <v>214</v>
      </c>
    </row>
    <row r="15" spans="1:104" x14ac:dyDescent="0.25">
      <c r="A15">
        <v>216</v>
      </c>
    </row>
    <row r="16" spans="1:104" x14ac:dyDescent="0.25">
      <c r="A16">
        <v>218</v>
      </c>
    </row>
    <row r="17" spans="1:4" x14ac:dyDescent="0.25">
      <c r="A17">
        <v>220</v>
      </c>
    </row>
    <row r="18" spans="1:4" x14ac:dyDescent="0.25">
      <c r="A18">
        <v>222</v>
      </c>
    </row>
    <row r="19" spans="1:4" x14ac:dyDescent="0.25">
      <c r="A19">
        <v>224</v>
      </c>
    </row>
    <row r="20" spans="1:4" x14ac:dyDescent="0.25">
      <c r="A20">
        <v>226</v>
      </c>
    </row>
    <row r="21" spans="1:4" x14ac:dyDescent="0.25">
      <c r="A21">
        <v>228</v>
      </c>
    </row>
    <row r="22" spans="1:4" x14ac:dyDescent="0.25">
      <c r="A22">
        <v>230</v>
      </c>
    </row>
    <row r="23" spans="1:4" x14ac:dyDescent="0.25">
      <c r="A23">
        <v>232</v>
      </c>
    </row>
    <row r="24" spans="1:4" x14ac:dyDescent="0.25">
      <c r="A24">
        <v>234</v>
      </c>
    </row>
    <row r="25" spans="1:4" x14ac:dyDescent="0.25">
      <c r="A25">
        <v>236</v>
      </c>
    </row>
    <row r="26" spans="1:4" x14ac:dyDescent="0.25">
      <c r="A26">
        <v>238</v>
      </c>
    </row>
    <row r="27" spans="1:4" x14ac:dyDescent="0.25">
      <c r="A27">
        <v>240</v>
      </c>
    </row>
    <row r="28" spans="1:4" x14ac:dyDescent="0.25">
      <c r="A28">
        <v>242</v>
      </c>
    </row>
    <row r="29" spans="1:4" x14ac:dyDescent="0.25">
      <c r="A29">
        <v>244</v>
      </c>
    </row>
    <row r="30" spans="1:4" x14ac:dyDescent="0.25">
      <c r="A30">
        <v>246</v>
      </c>
    </row>
    <row r="31" spans="1:4" x14ac:dyDescent="0.25">
      <c r="A31">
        <v>248</v>
      </c>
    </row>
    <row r="32" spans="1:4" x14ac:dyDescent="0.25">
      <c r="A32">
        <v>250</v>
      </c>
      <c r="B32">
        <v>250</v>
      </c>
      <c r="C32">
        <v>250</v>
      </c>
      <c r="D32">
        <v>250</v>
      </c>
    </row>
    <row r="33" spans="1:6" x14ac:dyDescent="0.25">
      <c r="A33">
        <v>252</v>
      </c>
    </row>
    <row r="34" spans="1:6" x14ac:dyDescent="0.25">
      <c r="A34">
        <v>254</v>
      </c>
    </row>
    <row r="35" spans="1:6" x14ac:dyDescent="0.25">
      <c r="A35">
        <v>256</v>
      </c>
    </row>
    <row r="36" spans="1:6" x14ac:dyDescent="0.25">
      <c r="A36">
        <v>258</v>
      </c>
    </row>
    <row r="37" spans="1:6" x14ac:dyDescent="0.25">
      <c r="A37">
        <v>260</v>
      </c>
    </row>
    <row r="38" spans="1:6" x14ac:dyDescent="0.25">
      <c r="A38">
        <v>262</v>
      </c>
      <c r="E38" t="s">
        <v>141</v>
      </c>
    </row>
    <row r="39" spans="1:6" x14ac:dyDescent="0.25">
      <c r="A39">
        <v>264</v>
      </c>
    </row>
    <row r="40" spans="1:6" x14ac:dyDescent="0.25">
      <c r="A40">
        <v>266</v>
      </c>
    </row>
    <row r="41" spans="1:6" x14ac:dyDescent="0.25">
      <c r="A41">
        <v>268</v>
      </c>
    </row>
    <row r="42" spans="1:6" x14ac:dyDescent="0.25">
      <c r="A42">
        <v>270</v>
      </c>
    </row>
    <row r="43" spans="1:6" x14ac:dyDescent="0.25">
      <c r="A43">
        <v>272</v>
      </c>
    </row>
    <row r="44" spans="1:6" x14ac:dyDescent="0.25">
      <c r="A44">
        <v>274</v>
      </c>
    </row>
    <row r="45" spans="1:6" x14ac:dyDescent="0.25">
      <c r="A45">
        <v>276</v>
      </c>
    </row>
    <row r="46" spans="1:6" x14ac:dyDescent="0.25">
      <c r="A46">
        <v>278</v>
      </c>
    </row>
    <row r="47" spans="1:6" x14ac:dyDescent="0.25">
      <c r="A47">
        <v>280</v>
      </c>
    </row>
    <row r="48" spans="1:6" x14ac:dyDescent="0.25">
      <c r="A48">
        <v>282</v>
      </c>
      <c r="F48">
        <v>282</v>
      </c>
    </row>
    <row r="49" spans="1:5" x14ac:dyDescent="0.25">
      <c r="A49">
        <v>284</v>
      </c>
    </row>
    <row r="50" spans="1:5" x14ac:dyDescent="0.25">
      <c r="A50">
        <v>286</v>
      </c>
      <c r="E50">
        <v>286</v>
      </c>
    </row>
    <row r="51" spans="1:5" x14ac:dyDescent="0.25">
      <c r="A51">
        <v>288</v>
      </c>
    </row>
    <row r="52" spans="1:5" x14ac:dyDescent="0.25">
      <c r="A52">
        <v>290</v>
      </c>
      <c r="B52">
        <v>290</v>
      </c>
    </row>
    <row r="53" spans="1:5" x14ac:dyDescent="0.25">
      <c r="A53">
        <v>292</v>
      </c>
    </row>
    <row r="54" spans="1:5" x14ac:dyDescent="0.25">
      <c r="A54">
        <v>294</v>
      </c>
    </row>
    <row r="55" spans="1:5" x14ac:dyDescent="0.25">
      <c r="A55">
        <v>296</v>
      </c>
      <c r="D55" t="s">
        <v>140</v>
      </c>
    </row>
    <row r="56" spans="1:5" x14ac:dyDescent="0.25">
      <c r="A56">
        <v>298</v>
      </c>
    </row>
    <row r="57" spans="1:5" x14ac:dyDescent="0.25">
      <c r="A57">
        <v>300</v>
      </c>
    </row>
    <row r="58" spans="1:5" x14ac:dyDescent="0.25">
      <c r="A58">
        <v>302</v>
      </c>
    </row>
    <row r="59" spans="1:5" x14ac:dyDescent="0.25">
      <c r="A59">
        <v>304</v>
      </c>
    </row>
    <row r="60" spans="1:5" x14ac:dyDescent="0.25">
      <c r="A60">
        <v>306</v>
      </c>
    </row>
    <row r="61" spans="1:5" x14ac:dyDescent="0.25">
      <c r="A61">
        <v>308</v>
      </c>
      <c r="C61">
        <v>308</v>
      </c>
    </row>
    <row r="62" spans="1:5" x14ac:dyDescent="0.25">
      <c r="A62">
        <v>310</v>
      </c>
      <c r="D62">
        <v>310</v>
      </c>
    </row>
    <row r="63" spans="1:5" x14ac:dyDescent="0.25">
      <c r="A63">
        <v>312</v>
      </c>
    </row>
    <row r="64" spans="1:5" x14ac:dyDescent="0.25">
      <c r="A64">
        <v>314</v>
      </c>
      <c r="B64" t="s">
        <v>138</v>
      </c>
    </row>
    <row r="65" spans="1:3" x14ac:dyDescent="0.25">
      <c r="A65">
        <v>316</v>
      </c>
    </row>
    <row r="66" spans="1:3" x14ac:dyDescent="0.25">
      <c r="A66">
        <v>318</v>
      </c>
    </row>
    <row r="67" spans="1:3" x14ac:dyDescent="0.25">
      <c r="A67">
        <v>320</v>
      </c>
    </row>
    <row r="68" spans="1:3" x14ac:dyDescent="0.25">
      <c r="A68">
        <v>322</v>
      </c>
    </row>
    <row r="69" spans="1:3" x14ac:dyDescent="0.25">
      <c r="A69">
        <v>324</v>
      </c>
    </row>
    <row r="70" spans="1:3" x14ac:dyDescent="0.25">
      <c r="A70">
        <v>326</v>
      </c>
    </row>
    <row r="71" spans="1:3" x14ac:dyDescent="0.25">
      <c r="A71">
        <v>328</v>
      </c>
    </row>
    <row r="72" spans="1:3" x14ac:dyDescent="0.25">
      <c r="A72">
        <v>330</v>
      </c>
    </row>
    <row r="73" spans="1:3" x14ac:dyDescent="0.25">
      <c r="A73">
        <v>332</v>
      </c>
      <c r="C73" t="s">
        <v>139</v>
      </c>
    </row>
    <row r="74" spans="1:3" x14ac:dyDescent="0.25">
      <c r="A74">
        <v>334</v>
      </c>
    </row>
    <row r="75" spans="1:3" x14ac:dyDescent="0.25">
      <c r="A75">
        <v>336</v>
      </c>
    </row>
    <row r="76" spans="1:3" x14ac:dyDescent="0.25">
      <c r="A76">
        <v>338</v>
      </c>
      <c r="B76">
        <v>338</v>
      </c>
    </row>
    <row r="77" spans="1:3" x14ac:dyDescent="0.25">
      <c r="A77">
        <v>340</v>
      </c>
    </row>
    <row r="78" spans="1:3" x14ac:dyDescent="0.25">
      <c r="A78">
        <v>342</v>
      </c>
    </row>
    <row r="79" spans="1:3" x14ac:dyDescent="0.25">
      <c r="A79">
        <v>344</v>
      </c>
    </row>
    <row r="80" spans="1:3" x14ac:dyDescent="0.25">
      <c r="A80">
        <v>346</v>
      </c>
    </row>
    <row r="81" spans="1:2" x14ac:dyDescent="0.25">
      <c r="A81">
        <v>348</v>
      </c>
    </row>
    <row r="82" spans="1:2" x14ac:dyDescent="0.25">
      <c r="A82">
        <v>350</v>
      </c>
    </row>
    <row r="83" spans="1:2" x14ac:dyDescent="0.25">
      <c r="A83">
        <v>352</v>
      </c>
    </row>
    <row r="84" spans="1:2" x14ac:dyDescent="0.25">
      <c r="A84">
        <v>354</v>
      </c>
    </row>
    <row r="85" spans="1:2" x14ac:dyDescent="0.25">
      <c r="A85">
        <v>356</v>
      </c>
    </row>
    <row r="86" spans="1:2" x14ac:dyDescent="0.25">
      <c r="A86">
        <v>358</v>
      </c>
    </row>
    <row r="87" spans="1:2" x14ac:dyDescent="0.25">
      <c r="A87">
        <v>360</v>
      </c>
      <c r="B87">
        <v>360</v>
      </c>
    </row>
    <row r="88" spans="1:2" x14ac:dyDescent="0.25">
      <c r="A88">
        <v>362</v>
      </c>
    </row>
    <row r="89" spans="1:2" x14ac:dyDescent="0.25">
      <c r="A89">
        <v>364</v>
      </c>
    </row>
    <row r="90" spans="1:2" x14ac:dyDescent="0.25">
      <c r="A90">
        <v>366</v>
      </c>
    </row>
    <row r="91" spans="1:2" x14ac:dyDescent="0.25">
      <c r="A91">
        <v>368</v>
      </c>
    </row>
    <row r="92" spans="1:2" x14ac:dyDescent="0.25">
      <c r="A92">
        <v>370</v>
      </c>
    </row>
    <row r="93" spans="1:2" x14ac:dyDescent="0.25">
      <c r="A93">
        <v>372</v>
      </c>
    </row>
    <row r="94" spans="1:2" x14ac:dyDescent="0.25">
      <c r="A94">
        <v>374</v>
      </c>
    </row>
    <row r="95" spans="1:2" x14ac:dyDescent="0.25">
      <c r="A95">
        <v>376</v>
      </c>
    </row>
    <row r="96" spans="1:2" x14ac:dyDescent="0.25">
      <c r="A96">
        <v>378</v>
      </c>
    </row>
    <row r="97" spans="1:2" x14ac:dyDescent="0.25">
      <c r="A97">
        <v>380</v>
      </c>
      <c r="B97">
        <v>380</v>
      </c>
    </row>
    <row r="98" spans="1:2" x14ac:dyDescent="0.25">
      <c r="A98">
        <v>382</v>
      </c>
    </row>
    <row r="99" spans="1:2" x14ac:dyDescent="0.25">
      <c r="A99">
        <v>384</v>
      </c>
    </row>
    <row r="100" spans="1:2" x14ac:dyDescent="0.25">
      <c r="A100">
        <v>386</v>
      </c>
    </row>
    <row r="101" spans="1:2" x14ac:dyDescent="0.25">
      <c r="A101">
        <v>388</v>
      </c>
    </row>
    <row r="102" spans="1:2" x14ac:dyDescent="0.25">
      <c r="A102">
        <v>390</v>
      </c>
    </row>
    <row r="103" spans="1:2" x14ac:dyDescent="0.25">
      <c r="A103">
        <v>392</v>
      </c>
    </row>
    <row r="104" spans="1:2" x14ac:dyDescent="0.25">
      <c r="A104">
        <v>394</v>
      </c>
    </row>
    <row r="105" spans="1:2" x14ac:dyDescent="0.25">
      <c r="A105">
        <v>396</v>
      </c>
    </row>
    <row r="106" spans="1:2" x14ac:dyDescent="0.25">
      <c r="A106">
        <v>398</v>
      </c>
    </row>
    <row r="107" spans="1:2" x14ac:dyDescent="0.25">
      <c r="A107">
        <v>400</v>
      </c>
    </row>
    <row r="108" spans="1:2" x14ac:dyDescent="0.25">
      <c r="A108">
        <v>402</v>
      </c>
    </row>
    <row r="109" spans="1:2" x14ac:dyDescent="0.25">
      <c r="A109">
        <v>404</v>
      </c>
    </row>
    <row r="110" spans="1:2" x14ac:dyDescent="0.25">
      <c r="A110">
        <v>406</v>
      </c>
    </row>
    <row r="111" spans="1:2" x14ac:dyDescent="0.25">
      <c r="A111">
        <v>408</v>
      </c>
    </row>
    <row r="112" spans="1:2" x14ac:dyDescent="0.25">
      <c r="A112">
        <v>410</v>
      </c>
    </row>
    <row r="113" spans="1:2" x14ac:dyDescent="0.25">
      <c r="A113">
        <v>412</v>
      </c>
    </row>
    <row r="114" spans="1:2" x14ac:dyDescent="0.25">
      <c r="A114">
        <v>414</v>
      </c>
      <c r="B114">
        <v>414</v>
      </c>
    </row>
    <row r="115" spans="1:2" x14ac:dyDescent="0.25">
      <c r="A115">
        <v>416</v>
      </c>
    </row>
    <row r="116" spans="1:2" x14ac:dyDescent="0.25">
      <c r="A116">
        <v>418</v>
      </c>
    </row>
    <row r="117" spans="1:2" x14ac:dyDescent="0.25">
      <c r="A117">
        <v>420</v>
      </c>
    </row>
    <row r="118" spans="1:2" x14ac:dyDescent="0.25">
      <c r="A118">
        <v>422</v>
      </c>
    </row>
    <row r="119" spans="1:2" x14ac:dyDescent="0.25">
      <c r="A119">
        <v>424</v>
      </c>
    </row>
    <row r="120" spans="1:2" x14ac:dyDescent="0.25">
      <c r="A120">
        <v>426</v>
      </c>
    </row>
    <row r="121" spans="1:2" x14ac:dyDescent="0.25">
      <c r="A121">
        <v>428</v>
      </c>
    </row>
    <row r="122" spans="1:2" x14ac:dyDescent="0.25">
      <c r="A122">
        <v>430</v>
      </c>
      <c r="B122">
        <v>430</v>
      </c>
    </row>
    <row r="123" spans="1:2" x14ac:dyDescent="0.25">
      <c r="A123">
        <v>432</v>
      </c>
    </row>
    <row r="124" spans="1:2" x14ac:dyDescent="0.25">
      <c r="A124">
        <v>434</v>
      </c>
    </row>
    <row r="125" spans="1:2" x14ac:dyDescent="0.25">
      <c r="A125">
        <v>436</v>
      </c>
    </row>
    <row r="126" spans="1:2" x14ac:dyDescent="0.25">
      <c r="A126">
        <v>438</v>
      </c>
    </row>
    <row r="127" spans="1:2" x14ac:dyDescent="0.25">
      <c r="A127">
        <v>440</v>
      </c>
    </row>
    <row r="128" spans="1:2" x14ac:dyDescent="0.25">
      <c r="A128">
        <v>442</v>
      </c>
      <c r="B128">
        <v>442</v>
      </c>
    </row>
    <row r="129" spans="1:5" x14ac:dyDescent="0.25">
      <c r="A129">
        <v>444</v>
      </c>
    </row>
    <row r="130" spans="1:5" x14ac:dyDescent="0.25">
      <c r="A130">
        <v>446</v>
      </c>
    </row>
    <row r="131" spans="1:5" x14ac:dyDescent="0.25">
      <c r="A131">
        <v>448</v>
      </c>
    </row>
    <row r="132" spans="1:5" x14ac:dyDescent="0.25">
      <c r="A132">
        <v>450</v>
      </c>
    </row>
    <row r="133" spans="1:5" x14ac:dyDescent="0.25">
      <c r="A133">
        <v>452</v>
      </c>
    </row>
    <row r="134" spans="1:5" x14ac:dyDescent="0.25">
      <c r="A134">
        <v>454</v>
      </c>
    </row>
    <row r="135" spans="1:5" x14ac:dyDescent="0.25">
      <c r="A135">
        <v>456</v>
      </c>
    </row>
    <row r="136" spans="1:5" x14ac:dyDescent="0.25">
      <c r="A136">
        <v>458</v>
      </c>
    </row>
    <row r="137" spans="1:5" x14ac:dyDescent="0.25">
      <c r="A137">
        <v>460</v>
      </c>
    </row>
    <row r="138" spans="1:5" x14ac:dyDescent="0.25">
      <c r="A138">
        <v>462</v>
      </c>
    </row>
    <row r="139" spans="1:5" x14ac:dyDescent="0.25">
      <c r="A139">
        <v>464</v>
      </c>
      <c r="E139">
        <v>464</v>
      </c>
    </row>
    <row r="140" spans="1:5" x14ac:dyDescent="0.25">
      <c r="A140">
        <v>466</v>
      </c>
    </row>
    <row r="141" spans="1:5" x14ac:dyDescent="0.25">
      <c r="A141">
        <v>468</v>
      </c>
    </row>
    <row r="142" spans="1:5" x14ac:dyDescent="0.25">
      <c r="A142">
        <v>470</v>
      </c>
    </row>
    <row r="143" spans="1:5" x14ac:dyDescent="0.25">
      <c r="A143">
        <v>472</v>
      </c>
      <c r="B143">
        <v>472</v>
      </c>
    </row>
    <row r="144" spans="1:5" x14ac:dyDescent="0.25">
      <c r="A144">
        <v>474</v>
      </c>
    </row>
    <row r="145" spans="1:2" x14ac:dyDescent="0.25">
      <c r="A145">
        <v>476</v>
      </c>
    </row>
    <row r="146" spans="1:2" x14ac:dyDescent="0.25">
      <c r="A146">
        <v>478</v>
      </c>
    </row>
    <row r="147" spans="1:2" x14ac:dyDescent="0.25">
      <c r="A147">
        <v>480</v>
      </c>
    </row>
    <row r="148" spans="1:2" x14ac:dyDescent="0.25">
      <c r="A148">
        <v>482</v>
      </c>
    </row>
    <row r="149" spans="1:2" x14ac:dyDescent="0.25">
      <c r="A149">
        <v>484</v>
      </c>
    </row>
    <row r="150" spans="1:2" x14ac:dyDescent="0.25">
      <c r="A150">
        <v>486</v>
      </c>
    </row>
    <row r="151" spans="1:2" x14ac:dyDescent="0.25">
      <c r="A151">
        <v>488</v>
      </c>
    </row>
    <row r="152" spans="1:2" x14ac:dyDescent="0.25">
      <c r="A152">
        <v>490</v>
      </c>
    </row>
    <row r="153" spans="1:2" x14ac:dyDescent="0.25">
      <c r="A153">
        <v>492</v>
      </c>
      <c r="B153">
        <v>492</v>
      </c>
    </row>
    <row r="154" spans="1:2" x14ac:dyDescent="0.25">
      <c r="A154">
        <v>494</v>
      </c>
    </row>
    <row r="155" spans="1:2" x14ac:dyDescent="0.25">
      <c r="A155">
        <v>496</v>
      </c>
    </row>
    <row r="156" spans="1:2" x14ac:dyDescent="0.25">
      <c r="A156">
        <v>498</v>
      </c>
    </row>
    <row r="157" spans="1:2" x14ac:dyDescent="0.25">
      <c r="A157">
        <v>500</v>
      </c>
    </row>
    <row r="158" spans="1:2" x14ac:dyDescent="0.25">
      <c r="A158">
        <v>502</v>
      </c>
    </row>
    <row r="159" spans="1:2" x14ac:dyDescent="0.25">
      <c r="A159">
        <v>504</v>
      </c>
    </row>
    <row r="160" spans="1:2" x14ac:dyDescent="0.25">
      <c r="A160">
        <v>506</v>
      </c>
    </row>
    <row r="161" spans="1:2" x14ac:dyDescent="0.25">
      <c r="A161">
        <v>508</v>
      </c>
    </row>
    <row r="162" spans="1:2" x14ac:dyDescent="0.25">
      <c r="A162">
        <v>510</v>
      </c>
    </row>
    <row r="163" spans="1:2" x14ac:dyDescent="0.25">
      <c r="A163">
        <v>512</v>
      </c>
    </row>
    <row r="164" spans="1:2" x14ac:dyDescent="0.25">
      <c r="A164">
        <v>514</v>
      </c>
    </row>
    <row r="165" spans="1:2" x14ac:dyDescent="0.25">
      <c r="A165">
        <v>516</v>
      </c>
    </row>
    <row r="166" spans="1:2" x14ac:dyDescent="0.25">
      <c r="A166">
        <v>518</v>
      </c>
    </row>
    <row r="167" spans="1:2" x14ac:dyDescent="0.25">
      <c r="A167">
        <v>520</v>
      </c>
    </row>
    <row r="168" spans="1:2" x14ac:dyDescent="0.25">
      <c r="A168">
        <v>522</v>
      </c>
    </row>
    <row r="169" spans="1:2" x14ac:dyDescent="0.25">
      <c r="A169">
        <v>524</v>
      </c>
    </row>
    <row r="170" spans="1:2" x14ac:dyDescent="0.25">
      <c r="A170">
        <v>526</v>
      </c>
    </row>
    <row r="171" spans="1:2" x14ac:dyDescent="0.25">
      <c r="A171">
        <v>528</v>
      </c>
    </row>
    <row r="172" spans="1:2" x14ac:dyDescent="0.25">
      <c r="A172">
        <v>530</v>
      </c>
      <c r="B172">
        <v>530</v>
      </c>
    </row>
    <row r="173" spans="1:2" x14ac:dyDescent="0.25">
      <c r="A173">
        <v>532</v>
      </c>
    </row>
    <row r="174" spans="1:2" x14ac:dyDescent="0.25">
      <c r="A174">
        <v>534</v>
      </c>
    </row>
    <row r="175" spans="1:2" x14ac:dyDescent="0.25">
      <c r="A175">
        <v>536</v>
      </c>
    </row>
    <row r="176" spans="1:2" x14ac:dyDescent="0.25">
      <c r="A176">
        <v>538</v>
      </c>
    </row>
    <row r="177" spans="1:2" x14ac:dyDescent="0.25">
      <c r="A177">
        <v>540</v>
      </c>
    </row>
    <row r="178" spans="1:2" x14ac:dyDescent="0.25">
      <c r="A178">
        <v>542</v>
      </c>
    </row>
    <row r="179" spans="1:2" x14ac:dyDescent="0.25">
      <c r="A179">
        <v>544</v>
      </c>
      <c r="B179">
        <v>544</v>
      </c>
    </row>
    <row r="180" spans="1:2" x14ac:dyDescent="0.25">
      <c r="A180">
        <v>546</v>
      </c>
    </row>
    <row r="181" spans="1:2" x14ac:dyDescent="0.25">
      <c r="A181">
        <v>548</v>
      </c>
    </row>
    <row r="182" spans="1:2" x14ac:dyDescent="0.25">
      <c r="A182">
        <v>550</v>
      </c>
    </row>
    <row r="183" spans="1:2" x14ac:dyDescent="0.25">
      <c r="A183">
        <v>552</v>
      </c>
    </row>
    <row r="184" spans="1:2" x14ac:dyDescent="0.25">
      <c r="A184">
        <v>554</v>
      </c>
    </row>
    <row r="185" spans="1:2" x14ac:dyDescent="0.25">
      <c r="A185">
        <v>556</v>
      </c>
    </row>
    <row r="186" spans="1:2" x14ac:dyDescent="0.25">
      <c r="A186">
        <v>558</v>
      </c>
    </row>
    <row r="187" spans="1:2" x14ac:dyDescent="0.25">
      <c r="A187">
        <v>560</v>
      </c>
    </row>
    <row r="188" spans="1:2" x14ac:dyDescent="0.25">
      <c r="A188">
        <v>562</v>
      </c>
    </row>
    <row r="189" spans="1:2" x14ac:dyDescent="0.25">
      <c r="A189">
        <v>564</v>
      </c>
      <c r="B189">
        <v>564</v>
      </c>
    </row>
    <row r="190" spans="1:2" x14ac:dyDescent="0.25">
      <c r="A190">
        <v>566</v>
      </c>
    </row>
    <row r="191" spans="1:2" x14ac:dyDescent="0.25">
      <c r="A191">
        <v>568</v>
      </c>
    </row>
    <row r="192" spans="1:2" x14ac:dyDescent="0.25">
      <c r="A192">
        <v>570</v>
      </c>
    </row>
    <row r="193" spans="1:2" x14ac:dyDescent="0.25">
      <c r="A193">
        <v>572</v>
      </c>
    </row>
    <row r="194" spans="1:2" x14ac:dyDescent="0.25">
      <c r="A194">
        <v>574</v>
      </c>
    </row>
    <row r="195" spans="1:2" x14ac:dyDescent="0.25">
      <c r="A195">
        <v>576</v>
      </c>
    </row>
    <row r="196" spans="1:2" x14ac:dyDescent="0.25">
      <c r="A196">
        <v>578</v>
      </c>
    </row>
    <row r="197" spans="1:2" x14ac:dyDescent="0.25">
      <c r="A197">
        <v>580</v>
      </c>
    </row>
    <row r="198" spans="1:2" x14ac:dyDescent="0.25">
      <c r="A198">
        <v>582</v>
      </c>
      <c r="B198">
        <v>582</v>
      </c>
    </row>
    <row r="199" spans="1:2" x14ac:dyDescent="0.25">
      <c r="A199">
        <v>584</v>
      </c>
    </row>
    <row r="200" spans="1:2" x14ac:dyDescent="0.25">
      <c r="A200">
        <v>586</v>
      </c>
    </row>
    <row r="201" spans="1:2" x14ac:dyDescent="0.25">
      <c r="A201">
        <v>588</v>
      </c>
    </row>
    <row r="202" spans="1:2" x14ac:dyDescent="0.25">
      <c r="A202">
        <v>590</v>
      </c>
    </row>
    <row r="203" spans="1:2" x14ac:dyDescent="0.25">
      <c r="A203">
        <v>592</v>
      </c>
    </row>
    <row r="204" spans="1:2" x14ac:dyDescent="0.25">
      <c r="A204">
        <v>594</v>
      </c>
    </row>
    <row r="205" spans="1:2" x14ac:dyDescent="0.25">
      <c r="A205">
        <v>596</v>
      </c>
    </row>
    <row r="206" spans="1:2" x14ac:dyDescent="0.25">
      <c r="A206">
        <v>598</v>
      </c>
    </row>
    <row r="207" spans="1:2" x14ac:dyDescent="0.25">
      <c r="A207">
        <v>600</v>
      </c>
    </row>
    <row r="208" spans="1:2" x14ac:dyDescent="0.25">
      <c r="A208">
        <v>602</v>
      </c>
    </row>
    <row r="209" spans="1:2" x14ac:dyDescent="0.25">
      <c r="A209">
        <v>604</v>
      </c>
      <c r="B209">
        <v>604</v>
      </c>
    </row>
    <row r="210" spans="1:2" x14ac:dyDescent="0.25">
      <c r="A210">
        <v>606</v>
      </c>
    </row>
    <row r="211" spans="1:2" x14ac:dyDescent="0.25">
      <c r="A211">
        <v>608</v>
      </c>
    </row>
    <row r="212" spans="1:2" x14ac:dyDescent="0.25">
      <c r="A212">
        <v>610</v>
      </c>
    </row>
    <row r="213" spans="1:2" x14ac:dyDescent="0.25">
      <c r="A213">
        <v>612</v>
      </c>
    </row>
    <row r="214" spans="1:2" x14ac:dyDescent="0.25">
      <c r="A214">
        <v>614</v>
      </c>
    </row>
    <row r="215" spans="1:2" x14ac:dyDescent="0.25">
      <c r="A215">
        <v>616</v>
      </c>
    </row>
    <row r="216" spans="1:2" x14ac:dyDescent="0.25">
      <c r="A216">
        <v>618</v>
      </c>
    </row>
    <row r="217" spans="1:2" x14ac:dyDescent="0.25">
      <c r="A217">
        <v>620</v>
      </c>
    </row>
    <row r="218" spans="1:2" x14ac:dyDescent="0.25">
      <c r="A218">
        <v>622</v>
      </c>
    </row>
    <row r="219" spans="1:2" x14ac:dyDescent="0.25">
      <c r="A219">
        <v>624</v>
      </c>
    </row>
    <row r="220" spans="1:2" x14ac:dyDescent="0.25">
      <c r="A220">
        <v>626</v>
      </c>
    </row>
    <row r="221" spans="1:2" x14ac:dyDescent="0.25">
      <c r="A221">
        <v>628</v>
      </c>
      <c r="B221">
        <v>628</v>
      </c>
    </row>
    <row r="222" spans="1:2" x14ac:dyDescent="0.25">
      <c r="A222">
        <v>630</v>
      </c>
    </row>
    <row r="223" spans="1:2" x14ac:dyDescent="0.25">
      <c r="A223">
        <v>632</v>
      </c>
    </row>
    <row r="224" spans="1:2" x14ac:dyDescent="0.25">
      <c r="A224">
        <v>634</v>
      </c>
    </row>
    <row r="225" spans="1:1" x14ac:dyDescent="0.25">
      <c r="A225">
        <v>636</v>
      </c>
    </row>
    <row r="226" spans="1:1" x14ac:dyDescent="0.25">
      <c r="A226">
        <v>638</v>
      </c>
    </row>
    <row r="227" spans="1:1" x14ac:dyDescent="0.25">
      <c r="A227">
        <v>640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
  <sheetViews>
    <sheetView workbookViewId="0"/>
  </sheetViews>
  <sheetFormatPr defaultColWidth="9.140625" defaultRowHeight="15" x14ac:dyDescent="0.25"/>
  <cols>
    <col min="1" max="16384" width="9.140625" style="3"/>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2:A902"/>
  <sheetViews>
    <sheetView workbookViewId="0"/>
  </sheetViews>
  <sheetFormatPr defaultRowHeight="15" x14ac:dyDescent="0.25"/>
  <sheetData>
    <row r="2" spans="1:1" x14ac:dyDescent="0.25">
      <c r="A2">
        <v>100</v>
      </c>
    </row>
    <row r="3" spans="1:1" x14ac:dyDescent="0.25">
      <c r="A3">
        <v>101</v>
      </c>
    </row>
    <row r="4" spans="1:1" x14ac:dyDescent="0.25">
      <c r="A4">
        <v>102</v>
      </c>
    </row>
    <row r="5" spans="1:1" x14ac:dyDescent="0.25">
      <c r="A5">
        <v>103</v>
      </c>
    </row>
    <row r="6" spans="1:1" x14ac:dyDescent="0.25">
      <c r="A6">
        <v>104</v>
      </c>
    </row>
    <row r="7" spans="1:1" x14ac:dyDescent="0.25">
      <c r="A7">
        <v>105</v>
      </c>
    </row>
    <row r="8" spans="1:1" x14ac:dyDescent="0.25">
      <c r="A8">
        <v>106</v>
      </c>
    </row>
    <row r="9" spans="1:1" x14ac:dyDescent="0.25">
      <c r="A9">
        <v>107</v>
      </c>
    </row>
    <row r="10" spans="1:1" x14ac:dyDescent="0.25">
      <c r="A10">
        <v>108</v>
      </c>
    </row>
    <row r="11" spans="1:1" x14ac:dyDescent="0.25">
      <c r="A11">
        <v>109</v>
      </c>
    </row>
    <row r="12" spans="1:1" x14ac:dyDescent="0.25">
      <c r="A12">
        <v>110</v>
      </c>
    </row>
    <row r="13" spans="1:1" x14ac:dyDescent="0.25">
      <c r="A13">
        <v>111</v>
      </c>
    </row>
    <row r="14" spans="1:1" x14ac:dyDescent="0.25">
      <c r="A14">
        <v>112</v>
      </c>
    </row>
    <row r="15" spans="1:1" x14ac:dyDescent="0.25">
      <c r="A15">
        <v>113</v>
      </c>
    </row>
    <row r="16" spans="1:1" x14ac:dyDescent="0.25">
      <c r="A16">
        <v>114</v>
      </c>
    </row>
    <row r="17" spans="1:1" x14ac:dyDescent="0.25">
      <c r="A17">
        <v>115</v>
      </c>
    </row>
    <row r="18" spans="1:1" x14ac:dyDescent="0.25">
      <c r="A18">
        <v>116</v>
      </c>
    </row>
    <row r="19" spans="1:1" x14ac:dyDescent="0.25">
      <c r="A19">
        <v>117</v>
      </c>
    </row>
    <row r="20" spans="1:1" x14ac:dyDescent="0.25">
      <c r="A20">
        <v>118</v>
      </c>
    </row>
    <row r="21" spans="1:1" x14ac:dyDescent="0.25">
      <c r="A21">
        <v>119</v>
      </c>
    </row>
    <row r="22" spans="1:1" x14ac:dyDescent="0.25">
      <c r="A22">
        <v>120</v>
      </c>
    </row>
    <row r="23" spans="1:1" x14ac:dyDescent="0.25">
      <c r="A23">
        <v>121</v>
      </c>
    </row>
    <row r="24" spans="1:1" x14ac:dyDescent="0.25">
      <c r="A24">
        <v>122</v>
      </c>
    </row>
    <row r="25" spans="1:1" x14ac:dyDescent="0.25">
      <c r="A25">
        <v>123</v>
      </c>
    </row>
    <row r="26" spans="1:1" x14ac:dyDescent="0.25">
      <c r="A26">
        <v>124</v>
      </c>
    </row>
    <row r="27" spans="1:1" x14ac:dyDescent="0.25">
      <c r="A27">
        <v>125</v>
      </c>
    </row>
    <row r="28" spans="1:1" x14ac:dyDescent="0.25">
      <c r="A28">
        <v>126</v>
      </c>
    </row>
    <row r="29" spans="1:1" x14ac:dyDescent="0.25">
      <c r="A29">
        <v>127</v>
      </c>
    </row>
    <row r="30" spans="1:1" x14ac:dyDescent="0.25">
      <c r="A30">
        <v>128</v>
      </c>
    </row>
    <row r="31" spans="1:1" x14ac:dyDescent="0.25">
      <c r="A31">
        <v>129</v>
      </c>
    </row>
    <row r="32" spans="1:1" x14ac:dyDescent="0.25">
      <c r="A32">
        <v>130</v>
      </c>
    </row>
    <row r="33" spans="1:1" x14ac:dyDescent="0.25">
      <c r="A33">
        <v>131</v>
      </c>
    </row>
    <row r="34" spans="1:1" x14ac:dyDescent="0.25">
      <c r="A34">
        <v>132</v>
      </c>
    </row>
    <row r="35" spans="1:1" x14ac:dyDescent="0.25">
      <c r="A35">
        <v>133</v>
      </c>
    </row>
    <row r="36" spans="1:1" x14ac:dyDescent="0.25">
      <c r="A36">
        <v>134</v>
      </c>
    </row>
    <row r="37" spans="1:1" x14ac:dyDescent="0.25">
      <c r="A37">
        <v>135</v>
      </c>
    </row>
    <row r="38" spans="1:1" x14ac:dyDescent="0.25">
      <c r="A38">
        <v>136</v>
      </c>
    </row>
    <row r="39" spans="1:1" x14ac:dyDescent="0.25">
      <c r="A39">
        <v>137</v>
      </c>
    </row>
    <row r="40" spans="1:1" x14ac:dyDescent="0.25">
      <c r="A40">
        <v>138</v>
      </c>
    </row>
    <row r="41" spans="1:1" x14ac:dyDescent="0.25">
      <c r="A41">
        <v>139</v>
      </c>
    </row>
    <row r="42" spans="1:1" x14ac:dyDescent="0.25">
      <c r="A42">
        <v>140</v>
      </c>
    </row>
    <row r="43" spans="1:1" x14ac:dyDescent="0.25">
      <c r="A43">
        <v>141</v>
      </c>
    </row>
    <row r="44" spans="1:1" x14ac:dyDescent="0.25">
      <c r="A44">
        <v>142</v>
      </c>
    </row>
    <row r="45" spans="1:1" x14ac:dyDescent="0.25">
      <c r="A45">
        <v>143</v>
      </c>
    </row>
    <row r="46" spans="1:1" x14ac:dyDescent="0.25">
      <c r="A46">
        <v>144</v>
      </c>
    </row>
    <row r="47" spans="1:1" x14ac:dyDescent="0.25">
      <c r="A47">
        <v>145</v>
      </c>
    </row>
    <row r="48" spans="1:1" x14ac:dyDescent="0.25">
      <c r="A48">
        <v>146</v>
      </c>
    </row>
    <row r="49" spans="1:1" x14ac:dyDescent="0.25">
      <c r="A49">
        <v>147</v>
      </c>
    </row>
    <row r="50" spans="1:1" x14ac:dyDescent="0.25">
      <c r="A50">
        <v>148</v>
      </c>
    </row>
    <row r="51" spans="1:1" x14ac:dyDescent="0.25">
      <c r="A51">
        <v>149</v>
      </c>
    </row>
    <row r="52" spans="1:1" x14ac:dyDescent="0.25">
      <c r="A52">
        <v>150</v>
      </c>
    </row>
    <row r="53" spans="1:1" x14ac:dyDescent="0.25">
      <c r="A53">
        <v>151</v>
      </c>
    </row>
    <row r="54" spans="1:1" x14ac:dyDescent="0.25">
      <c r="A54">
        <v>152</v>
      </c>
    </row>
    <row r="55" spans="1:1" x14ac:dyDescent="0.25">
      <c r="A55">
        <v>153</v>
      </c>
    </row>
    <row r="56" spans="1:1" x14ac:dyDescent="0.25">
      <c r="A56">
        <v>154</v>
      </c>
    </row>
    <row r="57" spans="1:1" x14ac:dyDescent="0.25">
      <c r="A57">
        <v>155</v>
      </c>
    </row>
    <row r="58" spans="1:1" x14ac:dyDescent="0.25">
      <c r="A58">
        <v>156</v>
      </c>
    </row>
    <row r="59" spans="1:1" x14ac:dyDescent="0.25">
      <c r="A59">
        <v>157</v>
      </c>
    </row>
    <row r="60" spans="1:1" x14ac:dyDescent="0.25">
      <c r="A60">
        <v>158</v>
      </c>
    </row>
    <row r="61" spans="1:1" x14ac:dyDescent="0.25">
      <c r="A61">
        <v>159</v>
      </c>
    </row>
    <row r="62" spans="1:1" x14ac:dyDescent="0.25">
      <c r="A62">
        <v>160</v>
      </c>
    </row>
    <row r="63" spans="1:1" x14ac:dyDescent="0.25">
      <c r="A63">
        <v>161</v>
      </c>
    </row>
    <row r="64" spans="1:1" x14ac:dyDescent="0.25">
      <c r="A64">
        <v>162</v>
      </c>
    </row>
    <row r="65" spans="1:1" x14ac:dyDescent="0.25">
      <c r="A65">
        <v>163</v>
      </c>
    </row>
    <row r="66" spans="1:1" x14ac:dyDescent="0.25">
      <c r="A66">
        <v>164</v>
      </c>
    </row>
    <row r="67" spans="1:1" x14ac:dyDescent="0.25">
      <c r="A67">
        <v>165</v>
      </c>
    </row>
    <row r="68" spans="1:1" x14ac:dyDescent="0.25">
      <c r="A68">
        <v>166</v>
      </c>
    </row>
    <row r="69" spans="1:1" x14ac:dyDescent="0.25">
      <c r="A69">
        <v>167</v>
      </c>
    </row>
    <row r="70" spans="1:1" x14ac:dyDescent="0.25">
      <c r="A70">
        <v>168</v>
      </c>
    </row>
    <row r="71" spans="1:1" x14ac:dyDescent="0.25">
      <c r="A71">
        <v>169</v>
      </c>
    </row>
    <row r="72" spans="1:1" x14ac:dyDescent="0.25">
      <c r="A72">
        <v>170</v>
      </c>
    </row>
    <row r="73" spans="1:1" x14ac:dyDescent="0.25">
      <c r="A73">
        <v>171</v>
      </c>
    </row>
    <row r="74" spans="1:1" x14ac:dyDescent="0.25">
      <c r="A74">
        <v>172</v>
      </c>
    </row>
    <row r="75" spans="1:1" x14ac:dyDescent="0.25">
      <c r="A75">
        <v>173</v>
      </c>
    </row>
    <row r="76" spans="1:1" x14ac:dyDescent="0.25">
      <c r="A76">
        <v>174</v>
      </c>
    </row>
    <row r="77" spans="1:1" x14ac:dyDescent="0.25">
      <c r="A77">
        <v>175</v>
      </c>
    </row>
    <row r="78" spans="1:1" x14ac:dyDescent="0.25">
      <c r="A78">
        <v>176</v>
      </c>
    </row>
    <row r="79" spans="1:1" x14ac:dyDescent="0.25">
      <c r="A79">
        <v>177</v>
      </c>
    </row>
    <row r="80" spans="1:1" x14ac:dyDescent="0.25">
      <c r="A80">
        <v>178</v>
      </c>
    </row>
    <row r="81" spans="1:1" x14ac:dyDescent="0.25">
      <c r="A81">
        <v>179</v>
      </c>
    </row>
    <row r="82" spans="1:1" x14ac:dyDescent="0.25">
      <c r="A82">
        <v>180</v>
      </c>
    </row>
    <row r="83" spans="1:1" x14ac:dyDescent="0.25">
      <c r="A83">
        <v>181</v>
      </c>
    </row>
    <row r="84" spans="1:1" x14ac:dyDescent="0.25">
      <c r="A84">
        <v>182</v>
      </c>
    </row>
    <row r="85" spans="1:1" x14ac:dyDescent="0.25">
      <c r="A85">
        <v>183</v>
      </c>
    </row>
    <row r="86" spans="1:1" x14ac:dyDescent="0.25">
      <c r="A86">
        <v>184</v>
      </c>
    </row>
    <row r="87" spans="1:1" x14ac:dyDescent="0.25">
      <c r="A87">
        <v>185</v>
      </c>
    </row>
    <row r="88" spans="1:1" x14ac:dyDescent="0.25">
      <c r="A88">
        <v>186</v>
      </c>
    </row>
    <row r="89" spans="1:1" x14ac:dyDescent="0.25">
      <c r="A89">
        <v>187</v>
      </c>
    </row>
    <row r="90" spans="1:1" x14ac:dyDescent="0.25">
      <c r="A90">
        <v>188</v>
      </c>
    </row>
    <row r="91" spans="1:1" x14ac:dyDescent="0.25">
      <c r="A91">
        <v>189</v>
      </c>
    </row>
    <row r="92" spans="1:1" x14ac:dyDescent="0.25">
      <c r="A92">
        <v>190</v>
      </c>
    </row>
    <row r="93" spans="1:1" x14ac:dyDescent="0.25">
      <c r="A93">
        <v>191</v>
      </c>
    </row>
    <row r="94" spans="1:1" x14ac:dyDescent="0.25">
      <c r="A94">
        <v>192</v>
      </c>
    </row>
    <row r="95" spans="1:1" x14ac:dyDescent="0.25">
      <c r="A95">
        <v>193</v>
      </c>
    </row>
    <row r="96" spans="1:1" x14ac:dyDescent="0.25">
      <c r="A96">
        <v>194</v>
      </c>
    </row>
    <row r="97" spans="1:1" x14ac:dyDescent="0.25">
      <c r="A97">
        <v>195</v>
      </c>
    </row>
    <row r="98" spans="1:1" x14ac:dyDescent="0.25">
      <c r="A98">
        <v>196</v>
      </c>
    </row>
    <row r="99" spans="1:1" x14ac:dyDescent="0.25">
      <c r="A99">
        <v>197</v>
      </c>
    </row>
    <row r="100" spans="1:1" x14ac:dyDescent="0.25">
      <c r="A100">
        <v>198</v>
      </c>
    </row>
    <row r="101" spans="1:1" x14ac:dyDescent="0.25">
      <c r="A101">
        <v>199</v>
      </c>
    </row>
    <row r="102" spans="1:1" x14ac:dyDescent="0.25">
      <c r="A102">
        <v>200</v>
      </c>
    </row>
    <row r="103" spans="1:1" x14ac:dyDescent="0.25">
      <c r="A103">
        <v>201</v>
      </c>
    </row>
    <row r="104" spans="1:1" x14ac:dyDescent="0.25">
      <c r="A104">
        <v>202</v>
      </c>
    </row>
    <row r="105" spans="1:1" x14ac:dyDescent="0.25">
      <c r="A105">
        <v>203</v>
      </c>
    </row>
    <row r="106" spans="1:1" x14ac:dyDescent="0.25">
      <c r="A106">
        <v>204</v>
      </c>
    </row>
    <row r="107" spans="1:1" x14ac:dyDescent="0.25">
      <c r="A107">
        <v>205</v>
      </c>
    </row>
    <row r="108" spans="1:1" x14ac:dyDescent="0.25">
      <c r="A108">
        <v>206</v>
      </c>
    </row>
    <row r="109" spans="1:1" x14ac:dyDescent="0.25">
      <c r="A109">
        <v>207</v>
      </c>
    </row>
    <row r="110" spans="1:1" x14ac:dyDescent="0.25">
      <c r="A110">
        <v>208</v>
      </c>
    </row>
    <row r="111" spans="1:1" x14ac:dyDescent="0.25">
      <c r="A111">
        <v>209</v>
      </c>
    </row>
    <row r="112" spans="1:1" x14ac:dyDescent="0.25">
      <c r="A112">
        <v>210</v>
      </c>
    </row>
    <row r="113" spans="1:1" x14ac:dyDescent="0.25">
      <c r="A113">
        <v>211</v>
      </c>
    </row>
    <row r="114" spans="1:1" x14ac:dyDescent="0.25">
      <c r="A114">
        <v>212</v>
      </c>
    </row>
    <row r="115" spans="1:1" x14ac:dyDescent="0.25">
      <c r="A115">
        <v>213</v>
      </c>
    </row>
    <row r="116" spans="1:1" x14ac:dyDescent="0.25">
      <c r="A116">
        <v>214</v>
      </c>
    </row>
    <row r="117" spans="1:1" x14ac:dyDescent="0.25">
      <c r="A117">
        <v>215</v>
      </c>
    </row>
    <row r="118" spans="1:1" x14ac:dyDescent="0.25">
      <c r="A118">
        <v>216</v>
      </c>
    </row>
    <row r="119" spans="1:1" x14ac:dyDescent="0.25">
      <c r="A119">
        <v>217</v>
      </c>
    </row>
    <row r="120" spans="1:1" x14ac:dyDescent="0.25">
      <c r="A120">
        <v>218</v>
      </c>
    </row>
    <row r="121" spans="1:1" x14ac:dyDescent="0.25">
      <c r="A121">
        <v>219</v>
      </c>
    </row>
    <row r="122" spans="1:1" x14ac:dyDescent="0.25">
      <c r="A122">
        <v>220</v>
      </c>
    </row>
    <row r="123" spans="1:1" x14ac:dyDescent="0.25">
      <c r="A123">
        <v>221</v>
      </c>
    </row>
    <row r="124" spans="1:1" x14ac:dyDescent="0.25">
      <c r="A124">
        <v>222</v>
      </c>
    </row>
    <row r="125" spans="1:1" x14ac:dyDescent="0.25">
      <c r="A125">
        <v>223</v>
      </c>
    </row>
    <row r="126" spans="1:1" x14ac:dyDescent="0.25">
      <c r="A126">
        <v>224</v>
      </c>
    </row>
    <row r="127" spans="1:1" x14ac:dyDescent="0.25">
      <c r="A127">
        <v>225</v>
      </c>
    </row>
    <row r="128" spans="1:1" x14ac:dyDescent="0.25">
      <c r="A128">
        <v>226</v>
      </c>
    </row>
    <row r="129" spans="1:1" x14ac:dyDescent="0.25">
      <c r="A129">
        <v>227</v>
      </c>
    </row>
    <row r="130" spans="1:1" x14ac:dyDescent="0.25">
      <c r="A130">
        <v>228</v>
      </c>
    </row>
    <row r="131" spans="1:1" x14ac:dyDescent="0.25">
      <c r="A131">
        <v>229</v>
      </c>
    </row>
    <row r="132" spans="1:1" x14ac:dyDescent="0.25">
      <c r="A132">
        <v>230</v>
      </c>
    </row>
    <row r="133" spans="1:1" x14ac:dyDescent="0.25">
      <c r="A133">
        <v>231</v>
      </c>
    </row>
    <row r="134" spans="1:1" x14ac:dyDescent="0.25">
      <c r="A134">
        <v>232</v>
      </c>
    </row>
    <row r="135" spans="1:1" x14ac:dyDescent="0.25">
      <c r="A135">
        <v>233</v>
      </c>
    </row>
    <row r="136" spans="1:1" x14ac:dyDescent="0.25">
      <c r="A136">
        <v>234</v>
      </c>
    </row>
    <row r="137" spans="1:1" x14ac:dyDescent="0.25">
      <c r="A137">
        <v>235</v>
      </c>
    </row>
    <row r="138" spans="1:1" x14ac:dyDescent="0.25">
      <c r="A138">
        <v>236</v>
      </c>
    </row>
    <row r="139" spans="1:1" x14ac:dyDescent="0.25">
      <c r="A139">
        <v>237</v>
      </c>
    </row>
    <row r="140" spans="1:1" x14ac:dyDescent="0.25">
      <c r="A140">
        <v>238</v>
      </c>
    </row>
    <row r="141" spans="1:1" x14ac:dyDescent="0.25">
      <c r="A141">
        <v>239</v>
      </c>
    </row>
    <row r="142" spans="1:1" x14ac:dyDescent="0.25">
      <c r="A142">
        <v>240</v>
      </c>
    </row>
    <row r="143" spans="1:1" x14ac:dyDescent="0.25">
      <c r="A143">
        <v>241</v>
      </c>
    </row>
    <row r="144" spans="1:1" x14ac:dyDescent="0.25">
      <c r="A144">
        <v>242</v>
      </c>
    </row>
    <row r="145" spans="1:1" x14ac:dyDescent="0.25">
      <c r="A145">
        <v>243</v>
      </c>
    </row>
    <row r="146" spans="1:1" x14ac:dyDescent="0.25">
      <c r="A146">
        <v>244</v>
      </c>
    </row>
    <row r="147" spans="1:1" x14ac:dyDescent="0.25">
      <c r="A147">
        <v>245</v>
      </c>
    </row>
    <row r="148" spans="1:1" x14ac:dyDescent="0.25">
      <c r="A148">
        <v>246</v>
      </c>
    </row>
    <row r="149" spans="1:1" x14ac:dyDescent="0.25">
      <c r="A149">
        <v>247</v>
      </c>
    </row>
    <row r="150" spans="1:1" x14ac:dyDescent="0.25">
      <c r="A150">
        <v>248</v>
      </c>
    </row>
    <row r="151" spans="1:1" x14ac:dyDescent="0.25">
      <c r="A151">
        <v>249</v>
      </c>
    </row>
    <row r="152" spans="1:1" x14ac:dyDescent="0.25">
      <c r="A152">
        <v>250</v>
      </c>
    </row>
    <row r="153" spans="1:1" x14ac:dyDescent="0.25">
      <c r="A153">
        <v>251</v>
      </c>
    </row>
    <row r="154" spans="1:1" x14ac:dyDescent="0.25">
      <c r="A154">
        <v>252</v>
      </c>
    </row>
    <row r="155" spans="1:1" x14ac:dyDescent="0.25">
      <c r="A155">
        <v>253</v>
      </c>
    </row>
    <row r="156" spans="1:1" x14ac:dyDescent="0.25">
      <c r="A156">
        <v>254</v>
      </c>
    </row>
    <row r="157" spans="1:1" x14ac:dyDescent="0.25">
      <c r="A157">
        <v>255</v>
      </c>
    </row>
    <row r="158" spans="1:1" x14ac:dyDescent="0.25">
      <c r="A158">
        <v>256</v>
      </c>
    </row>
    <row r="159" spans="1:1" x14ac:dyDescent="0.25">
      <c r="A159">
        <v>257</v>
      </c>
    </row>
    <row r="160" spans="1:1" x14ac:dyDescent="0.25">
      <c r="A160">
        <v>258</v>
      </c>
    </row>
    <row r="161" spans="1:1" x14ac:dyDescent="0.25">
      <c r="A161">
        <v>259</v>
      </c>
    </row>
    <row r="162" spans="1:1" x14ac:dyDescent="0.25">
      <c r="A162">
        <v>260</v>
      </c>
    </row>
    <row r="163" spans="1:1" x14ac:dyDescent="0.25">
      <c r="A163">
        <v>261</v>
      </c>
    </row>
    <row r="164" spans="1:1" x14ac:dyDescent="0.25">
      <c r="A164">
        <v>262</v>
      </c>
    </row>
    <row r="165" spans="1:1" x14ac:dyDescent="0.25">
      <c r="A165">
        <v>263</v>
      </c>
    </row>
    <row r="166" spans="1:1" x14ac:dyDescent="0.25">
      <c r="A166">
        <v>264</v>
      </c>
    </row>
    <row r="167" spans="1:1" x14ac:dyDescent="0.25">
      <c r="A167">
        <v>265</v>
      </c>
    </row>
    <row r="168" spans="1:1" x14ac:dyDescent="0.25">
      <c r="A168">
        <v>266</v>
      </c>
    </row>
    <row r="169" spans="1:1" x14ac:dyDescent="0.25">
      <c r="A169">
        <v>267</v>
      </c>
    </row>
    <row r="170" spans="1:1" x14ac:dyDescent="0.25">
      <c r="A170">
        <v>268</v>
      </c>
    </row>
    <row r="171" spans="1:1" x14ac:dyDescent="0.25">
      <c r="A171">
        <v>269</v>
      </c>
    </row>
    <row r="172" spans="1:1" x14ac:dyDescent="0.25">
      <c r="A172">
        <v>270</v>
      </c>
    </row>
    <row r="173" spans="1:1" x14ac:dyDescent="0.25">
      <c r="A173">
        <v>271</v>
      </c>
    </row>
    <row r="174" spans="1:1" x14ac:dyDescent="0.25">
      <c r="A174">
        <v>272</v>
      </c>
    </row>
    <row r="175" spans="1:1" x14ac:dyDescent="0.25">
      <c r="A175">
        <v>273</v>
      </c>
    </row>
    <row r="176" spans="1:1" x14ac:dyDescent="0.25">
      <c r="A176">
        <v>274</v>
      </c>
    </row>
    <row r="177" spans="1:1" x14ac:dyDescent="0.25">
      <c r="A177">
        <v>275</v>
      </c>
    </row>
    <row r="178" spans="1:1" x14ac:dyDescent="0.25">
      <c r="A178">
        <v>276</v>
      </c>
    </row>
    <row r="179" spans="1:1" x14ac:dyDescent="0.25">
      <c r="A179">
        <v>277</v>
      </c>
    </row>
    <row r="180" spans="1:1" x14ac:dyDescent="0.25">
      <c r="A180">
        <v>278</v>
      </c>
    </row>
    <row r="181" spans="1:1" x14ac:dyDescent="0.25">
      <c r="A181">
        <v>279</v>
      </c>
    </row>
    <row r="182" spans="1:1" x14ac:dyDescent="0.25">
      <c r="A182">
        <v>280</v>
      </c>
    </row>
    <row r="183" spans="1:1" x14ac:dyDescent="0.25">
      <c r="A183">
        <v>281</v>
      </c>
    </row>
    <row r="184" spans="1:1" x14ac:dyDescent="0.25">
      <c r="A184">
        <v>282</v>
      </c>
    </row>
    <row r="185" spans="1:1" x14ac:dyDescent="0.25">
      <c r="A185">
        <v>283</v>
      </c>
    </row>
    <row r="186" spans="1:1" x14ac:dyDescent="0.25">
      <c r="A186">
        <v>284</v>
      </c>
    </row>
    <row r="187" spans="1:1" x14ac:dyDescent="0.25">
      <c r="A187">
        <v>285</v>
      </c>
    </row>
    <row r="188" spans="1:1" x14ac:dyDescent="0.25">
      <c r="A188">
        <v>286</v>
      </c>
    </row>
    <row r="189" spans="1:1" x14ac:dyDescent="0.25">
      <c r="A189">
        <v>287</v>
      </c>
    </row>
    <row r="190" spans="1:1" x14ac:dyDescent="0.25">
      <c r="A190">
        <v>288</v>
      </c>
    </row>
    <row r="191" spans="1:1" x14ac:dyDescent="0.25">
      <c r="A191">
        <v>289</v>
      </c>
    </row>
    <row r="192" spans="1:1" x14ac:dyDescent="0.25">
      <c r="A192">
        <v>290</v>
      </c>
    </row>
    <row r="193" spans="1:1" x14ac:dyDescent="0.25">
      <c r="A193">
        <v>291</v>
      </c>
    </row>
    <row r="194" spans="1:1" x14ac:dyDescent="0.25">
      <c r="A194">
        <v>292</v>
      </c>
    </row>
    <row r="195" spans="1:1" x14ac:dyDescent="0.25">
      <c r="A195">
        <v>293</v>
      </c>
    </row>
    <row r="196" spans="1:1" x14ac:dyDescent="0.25">
      <c r="A196">
        <v>294</v>
      </c>
    </row>
    <row r="197" spans="1:1" x14ac:dyDescent="0.25">
      <c r="A197">
        <v>295</v>
      </c>
    </row>
    <row r="198" spans="1:1" x14ac:dyDescent="0.25">
      <c r="A198">
        <v>296</v>
      </c>
    </row>
    <row r="199" spans="1:1" x14ac:dyDescent="0.25">
      <c r="A199">
        <v>297</v>
      </c>
    </row>
    <row r="200" spans="1:1" x14ac:dyDescent="0.25">
      <c r="A200">
        <v>298</v>
      </c>
    </row>
    <row r="201" spans="1:1" x14ac:dyDescent="0.25">
      <c r="A201">
        <v>299</v>
      </c>
    </row>
    <row r="202" spans="1:1" x14ac:dyDescent="0.25">
      <c r="A202">
        <v>300</v>
      </c>
    </row>
    <row r="203" spans="1:1" x14ac:dyDescent="0.25">
      <c r="A203">
        <v>301</v>
      </c>
    </row>
    <row r="204" spans="1:1" x14ac:dyDescent="0.25">
      <c r="A204">
        <v>302</v>
      </c>
    </row>
    <row r="205" spans="1:1" x14ac:dyDescent="0.25">
      <c r="A205">
        <v>303</v>
      </c>
    </row>
    <row r="206" spans="1:1" x14ac:dyDescent="0.25">
      <c r="A206">
        <v>304</v>
      </c>
    </row>
    <row r="207" spans="1:1" x14ac:dyDescent="0.25">
      <c r="A207">
        <v>305</v>
      </c>
    </row>
    <row r="208" spans="1:1" x14ac:dyDescent="0.25">
      <c r="A208">
        <v>306</v>
      </c>
    </row>
    <row r="209" spans="1:1" x14ac:dyDescent="0.25">
      <c r="A209">
        <v>307</v>
      </c>
    </row>
    <row r="210" spans="1:1" x14ac:dyDescent="0.25">
      <c r="A210">
        <v>308</v>
      </c>
    </row>
    <row r="211" spans="1:1" x14ac:dyDescent="0.25">
      <c r="A211">
        <v>309</v>
      </c>
    </row>
    <row r="212" spans="1:1" x14ac:dyDescent="0.25">
      <c r="A212">
        <v>310</v>
      </c>
    </row>
    <row r="213" spans="1:1" x14ac:dyDescent="0.25">
      <c r="A213">
        <v>311</v>
      </c>
    </row>
    <row r="214" spans="1:1" x14ac:dyDescent="0.25">
      <c r="A214">
        <v>312</v>
      </c>
    </row>
    <row r="215" spans="1:1" x14ac:dyDescent="0.25">
      <c r="A215">
        <v>313</v>
      </c>
    </row>
    <row r="216" spans="1:1" x14ac:dyDescent="0.25">
      <c r="A216">
        <v>314</v>
      </c>
    </row>
    <row r="217" spans="1:1" x14ac:dyDescent="0.25">
      <c r="A217">
        <v>315</v>
      </c>
    </row>
    <row r="218" spans="1:1" x14ac:dyDescent="0.25">
      <c r="A218">
        <v>316</v>
      </c>
    </row>
    <row r="219" spans="1:1" x14ac:dyDescent="0.25">
      <c r="A219">
        <v>317</v>
      </c>
    </row>
    <row r="220" spans="1:1" x14ac:dyDescent="0.25">
      <c r="A220">
        <v>318</v>
      </c>
    </row>
    <row r="221" spans="1:1" x14ac:dyDescent="0.25">
      <c r="A221">
        <v>319</v>
      </c>
    </row>
    <row r="222" spans="1:1" x14ac:dyDescent="0.25">
      <c r="A222">
        <v>320</v>
      </c>
    </row>
    <row r="223" spans="1:1" x14ac:dyDescent="0.25">
      <c r="A223">
        <v>321</v>
      </c>
    </row>
    <row r="224" spans="1:1" x14ac:dyDescent="0.25">
      <c r="A224">
        <v>322</v>
      </c>
    </row>
    <row r="225" spans="1:1" x14ac:dyDescent="0.25">
      <c r="A225">
        <v>323</v>
      </c>
    </row>
    <row r="226" spans="1:1" x14ac:dyDescent="0.25">
      <c r="A226">
        <v>324</v>
      </c>
    </row>
    <row r="227" spans="1:1" x14ac:dyDescent="0.25">
      <c r="A227">
        <v>325</v>
      </c>
    </row>
    <row r="228" spans="1:1" x14ac:dyDescent="0.25">
      <c r="A228">
        <v>326</v>
      </c>
    </row>
    <row r="229" spans="1:1" x14ac:dyDescent="0.25">
      <c r="A229">
        <v>327</v>
      </c>
    </row>
    <row r="230" spans="1:1" x14ac:dyDescent="0.25">
      <c r="A230">
        <v>328</v>
      </c>
    </row>
    <row r="231" spans="1:1" x14ac:dyDescent="0.25">
      <c r="A231">
        <v>329</v>
      </c>
    </row>
    <row r="232" spans="1:1" x14ac:dyDescent="0.25">
      <c r="A232">
        <v>330</v>
      </c>
    </row>
    <row r="233" spans="1:1" x14ac:dyDescent="0.25">
      <c r="A233">
        <v>331</v>
      </c>
    </row>
    <row r="234" spans="1:1" x14ac:dyDescent="0.25">
      <c r="A234">
        <v>332</v>
      </c>
    </row>
    <row r="235" spans="1:1" x14ac:dyDescent="0.25">
      <c r="A235">
        <v>333</v>
      </c>
    </row>
    <row r="236" spans="1:1" x14ac:dyDescent="0.25">
      <c r="A236">
        <v>334</v>
      </c>
    </row>
    <row r="237" spans="1:1" x14ac:dyDescent="0.25">
      <c r="A237">
        <v>335</v>
      </c>
    </row>
    <row r="238" spans="1:1" x14ac:dyDescent="0.25">
      <c r="A238">
        <v>336</v>
      </c>
    </row>
    <row r="239" spans="1:1" x14ac:dyDescent="0.25">
      <c r="A239">
        <v>337</v>
      </c>
    </row>
    <row r="240" spans="1:1" x14ac:dyDescent="0.25">
      <c r="A240">
        <v>338</v>
      </c>
    </row>
    <row r="241" spans="1:1" x14ac:dyDescent="0.25">
      <c r="A241">
        <v>339</v>
      </c>
    </row>
    <row r="242" spans="1:1" x14ac:dyDescent="0.25">
      <c r="A242">
        <v>340</v>
      </c>
    </row>
    <row r="243" spans="1:1" x14ac:dyDescent="0.25">
      <c r="A243">
        <v>341</v>
      </c>
    </row>
    <row r="244" spans="1:1" x14ac:dyDescent="0.25">
      <c r="A244">
        <v>342</v>
      </c>
    </row>
    <row r="245" spans="1:1" x14ac:dyDescent="0.25">
      <c r="A245">
        <v>343</v>
      </c>
    </row>
    <row r="246" spans="1:1" x14ac:dyDescent="0.25">
      <c r="A246">
        <v>344</v>
      </c>
    </row>
    <row r="247" spans="1:1" x14ac:dyDescent="0.25">
      <c r="A247">
        <v>345</v>
      </c>
    </row>
    <row r="248" spans="1:1" x14ac:dyDescent="0.25">
      <c r="A248">
        <v>346</v>
      </c>
    </row>
    <row r="249" spans="1:1" x14ac:dyDescent="0.25">
      <c r="A249">
        <v>347</v>
      </c>
    </row>
    <row r="250" spans="1:1" x14ac:dyDescent="0.25">
      <c r="A250">
        <v>348</v>
      </c>
    </row>
    <row r="251" spans="1:1" x14ac:dyDescent="0.25">
      <c r="A251">
        <v>349</v>
      </c>
    </row>
    <row r="252" spans="1:1" x14ac:dyDescent="0.25">
      <c r="A252">
        <v>350</v>
      </c>
    </row>
    <row r="253" spans="1:1" x14ac:dyDescent="0.25">
      <c r="A253">
        <v>351</v>
      </c>
    </row>
    <row r="254" spans="1:1" x14ac:dyDescent="0.25">
      <c r="A254">
        <v>352</v>
      </c>
    </row>
    <row r="255" spans="1:1" x14ac:dyDescent="0.25">
      <c r="A255">
        <v>353</v>
      </c>
    </row>
    <row r="256" spans="1:1" x14ac:dyDescent="0.25">
      <c r="A256">
        <v>354</v>
      </c>
    </row>
    <row r="257" spans="1:1" x14ac:dyDescent="0.25">
      <c r="A257">
        <v>355</v>
      </c>
    </row>
    <row r="258" spans="1:1" x14ac:dyDescent="0.25">
      <c r="A258">
        <v>356</v>
      </c>
    </row>
    <row r="259" spans="1:1" x14ac:dyDescent="0.25">
      <c r="A259">
        <v>357</v>
      </c>
    </row>
    <row r="260" spans="1:1" x14ac:dyDescent="0.25">
      <c r="A260">
        <v>358</v>
      </c>
    </row>
    <row r="261" spans="1:1" x14ac:dyDescent="0.25">
      <c r="A261">
        <v>359</v>
      </c>
    </row>
    <row r="262" spans="1:1" x14ac:dyDescent="0.25">
      <c r="A262">
        <v>360</v>
      </c>
    </row>
    <row r="263" spans="1:1" x14ac:dyDescent="0.25">
      <c r="A263">
        <v>361</v>
      </c>
    </row>
    <row r="264" spans="1:1" x14ac:dyDescent="0.25">
      <c r="A264">
        <v>362</v>
      </c>
    </row>
    <row r="265" spans="1:1" x14ac:dyDescent="0.25">
      <c r="A265">
        <v>363</v>
      </c>
    </row>
    <row r="266" spans="1:1" x14ac:dyDescent="0.25">
      <c r="A266">
        <v>364</v>
      </c>
    </row>
    <row r="267" spans="1:1" x14ac:dyDescent="0.25">
      <c r="A267">
        <v>365</v>
      </c>
    </row>
    <row r="268" spans="1:1" x14ac:dyDescent="0.25">
      <c r="A268">
        <v>366</v>
      </c>
    </row>
    <row r="269" spans="1:1" x14ac:dyDescent="0.25">
      <c r="A269">
        <v>367</v>
      </c>
    </row>
    <row r="270" spans="1:1" x14ac:dyDescent="0.25">
      <c r="A270">
        <v>368</v>
      </c>
    </row>
    <row r="271" spans="1:1" x14ac:dyDescent="0.25">
      <c r="A271">
        <v>369</v>
      </c>
    </row>
    <row r="272" spans="1:1" x14ac:dyDescent="0.25">
      <c r="A272">
        <v>370</v>
      </c>
    </row>
    <row r="273" spans="1:1" x14ac:dyDescent="0.25">
      <c r="A273">
        <v>371</v>
      </c>
    </row>
    <row r="274" spans="1:1" x14ac:dyDescent="0.25">
      <c r="A274">
        <v>372</v>
      </c>
    </row>
    <row r="275" spans="1:1" x14ac:dyDescent="0.25">
      <c r="A275">
        <v>373</v>
      </c>
    </row>
    <row r="276" spans="1:1" x14ac:dyDescent="0.25">
      <c r="A276">
        <v>374</v>
      </c>
    </row>
    <row r="277" spans="1:1" x14ac:dyDescent="0.25">
      <c r="A277">
        <v>375</v>
      </c>
    </row>
    <row r="278" spans="1:1" x14ac:dyDescent="0.25">
      <c r="A278">
        <v>376</v>
      </c>
    </row>
    <row r="279" spans="1:1" x14ac:dyDescent="0.25">
      <c r="A279">
        <v>377</v>
      </c>
    </row>
    <row r="280" spans="1:1" x14ac:dyDescent="0.25">
      <c r="A280">
        <v>378</v>
      </c>
    </row>
    <row r="281" spans="1:1" x14ac:dyDescent="0.25">
      <c r="A281">
        <v>379</v>
      </c>
    </row>
    <row r="282" spans="1:1" x14ac:dyDescent="0.25">
      <c r="A282">
        <v>380</v>
      </c>
    </row>
    <row r="283" spans="1:1" x14ac:dyDescent="0.25">
      <c r="A283">
        <v>381</v>
      </c>
    </row>
    <row r="284" spans="1:1" x14ac:dyDescent="0.25">
      <c r="A284">
        <v>382</v>
      </c>
    </row>
    <row r="285" spans="1:1" x14ac:dyDescent="0.25">
      <c r="A285">
        <v>383</v>
      </c>
    </row>
    <row r="286" spans="1:1" x14ac:dyDescent="0.25">
      <c r="A286">
        <v>384</v>
      </c>
    </row>
    <row r="287" spans="1:1" x14ac:dyDescent="0.25">
      <c r="A287">
        <v>385</v>
      </c>
    </row>
    <row r="288" spans="1:1" x14ac:dyDescent="0.25">
      <c r="A288">
        <v>386</v>
      </c>
    </row>
    <row r="289" spans="1:1" x14ac:dyDescent="0.25">
      <c r="A289">
        <v>387</v>
      </c>
    </row>
    <row r="290" spans="1:1" x14ac:dyDescent="0.25">
      <c r="A290">
        <v>388</v>
      </c>
    </row>
    <row r="291" spans="1:1" x14ac:dyDescent="0.25">
      <c r="A291">
        <v>389</v>
      </c>
    </row>
    <row r="292" spans="1:1" x14ac:dyDescent="0.25">
      <c r="A292">
        <v>390</v>
      </c>
    </row>
    <row r="293" spans="1:1" x14ac:dyDescent="0.25">
      <c r="A293">
        <v>391</v>
      </c>
    </row>
    <row r="294" spans="1:1" x14ac:dyDescent="0.25">
      <c r="A294">
        <v>392</v>
      </c>
    </row>
    <row r="295" spans="1:1" x14ac:dyDescent="0.25">
      <c r="A295">
        <v>393</v>
      </c>
    </row>
    <row r="296" spans="1:1" x14ac:dyDescent="0.25">
      <c r="A296">
        <v>394</v>
      </c>
    </row>
    <row r="297" spans="1:1" x14ac:dyDescent="0.25">
      <c r="A297">
        <v>395</v>
      </c>
    </row>
    <row r="298" spans="1:1" x14ac:dyDescent="0.25">
      <c r="A298">
        <v>396</v>
      </c>
    </row>
    <row r="299" spans="1:1" x14ac:dyDescent="0.25">
      <c r="A299">
        <v>397</v>
      </c>
    </row>
    <row r="300" spans="1:1" x14ac:dyDescent="0.25">
      <c r="A300">
        <v>398</v>
      </c>
    </row>
    <row r="301" spans="1:1" x14ac:dyDescent="0.25">
      <c r="A301">
        <v>399</v>
      </c>
    </row>
    <row r="302" spans="1:1" x14ac:dyDescent="0.25">
      <c r="A302">
        <v>400</v>
      </c>
    </row>
    <row r="303" spans="1:1" x14ac:dyDescent="0.25">
      <c r="A303">
        <v>401</v>
      </c>
    </row>
    <row r="304" spans="1:1" x14ac:dyDescent="0.25">
      <c r="A304">
        <v>402</v>
      </c>
    </row>
    <row r="305" spans="1:1" x14ac:dyDescent="0.25">
      <c r="A305">
        <v>403</v>
      </c>
    </row>
    <row r="306" spans="1:1" x14ac:dyDescent="0.25">
      <c r="A306">
        <v>404</v>
      </c>
    </row>
    <row r="307" spans="1:1" x14ac:dyDescent="0.25">
      <c r="A307">
        <v>405</v>
      </c>
    </row>
    <row r="308" spans="1:1" x14ac:dyDescent="0.25">
      <c r="A308">
        <v>406</v>
      </c>
    </row>
    <row r="309" spans="1:1" x14ac:dyDescent="0.25">
      <c r="A309">
        <v>407</v>
      </c>
    </row>
    <row r="310" spans="1:1" x14ac:dyDescent="0.25">
      <c r="A310">
        <v>408</v>
      </c>
    </row>
    <row r="311" spans="1:1" x14ac:dyDescent="0.25">
      <c r="A311">
        <v>409</v>
      </c>
    </row>
    <row r="312" spans="1:1" x14ac:dyDescent="0.25">
      <c r="A312">
        <v>410</v>
      </c>
    </row>
    <row r="313" spans="1:1" x14ac:dyDescent="0.25">
      <c r="A313">
        <v>411</v>
      </c>
    </row>
    <row r="314" spans="1:1" x14ac:dyDescent="0.25">
      <c r="A314">
        <v>412</v>
      </c>
    </row>
    <row r="315" spans="1:1" x14ac:dyDescent="0.25">
      <c r="A315">
        <v>413</v>
      </c>
    </row>
    <row r="316" spans="1:1" x14ac:dyDescent="0.25">
      <c r="A316">
        <v>414</v>
      </c>
    </row>
    <row r="317" spans="1:1" x14ac:dyDescent="0.25">
      <c r="A317">
        <v>415</v>
      </c>
    </row>
    <row r="318" spans="1:1" x14ac:dyDescent="0.25">
      <c r="A318">
        <v>416</v>
      </c>
    </row>
    <row r="319" spans="1:1" x14ac:dyDescent="0.25">
      <c r="A319">
        <v>417</v>
      </c>
    </row>
    <row r="320" spans="1:1" x14ac:dyDescent="0.25">
      <c r="A320">
        <v>418</v>
      </c>
    </row>
    <row r="321" spans="1:1" x14ac:dyDescent="0.25">
      <c r="A321">
        <v>419</v>
      </c>
    </row>
    <row r="322" spans="1:1" x14ac:dyDescent="0.25">
      <c r="A322">
        <v>420</v>
      </c>
    </row>
    <row r="323" spans="1:1" x14ac:dyDescent="0.25">
      <c r="A323">
        <v>421</v>
      </c>
    </row>
    <row r="324" spans="1:1" x14ac:dyDescent="0.25">
      <c r="A324">
        <v>422</v>
      </c>
    </row>
    <row r="325" spans="1:1" x14ac:dyDescent="0.25">
      <c r="A325">
        <v>423</v>
      </c>
    </row>
    <row r="326" spans="1:1" x14ac:dyDescent="0.25">
      <c r="A326">
        <v>424</v>
      </c>
    </row>
    <row r="327" spans="1:1" x14ac:dyDescent="0.25">
      <c r="A327">
        <v>425</v>
      </c>
    </row>
    <row r="328" spans="1:1" x14ac:dyDescent="0.25">
      <c r="A328">
        <v>426</v>
      </c>
    </row>
    <row r="329" spans="1:1" x14ac:dyDescent="0.25">
      <c r="A329">
        <v>427</v>
      </c>
    </row>
    <row r="330" spans="1:1" x14ac:dyDescent="0.25">
      <c r="A330">
        <v>428</v>
      </c>
    </row>
    <row r="331" spans="1:1" x14ac:dyDescent="0.25">
      <c r="A331">
        <v>429</v>
      </c>
    </row>
    <row r="332" spans="1:1" x14ac:dyDescent="0.25">
      <c r="A332">
        <v>430</v>
      </c>
    </row>
    <row r="333" spans="1:1" x14ac:dyDescent="0.25">
      <c r="A333">
        <v>431</v>
      </c>
    </row>
    <row r="334" spans="1:1" x14ac:dyDescent="0.25">
      <c r="A334">
        <v>432</v>
      </c>
    </row>
    <row r="335" spans="1:1" x14ac:dyDescent="0.25">
      <c r="A335">
        <v>433</v>
      </c>
    </row>
    <row r="336" spans="1:1" x14ac:dyDescent="0.25">
      <c r="A336">
        <v>434</v>
      </c>
    </row>
    <row r="337" spans="1:1" x14ac:dyDescent="0.25">
      <c r="A337">
        <v>435</v>
      </c>
    </row>
    <row r="338" spans="1:1" x14ac:dyDescent="0.25">
      <c r="A338">
        <v>436</v>
      </c>
    </row>
    <row r="339" spans="1:1" x14ac:dyDescent="0.25">
      <c r="A339">
        <v>437</v>
      </c>
    </row>
    <row r="340" spans="1:1" x14ac:dyDescent="0.25">
      <c r="A340">
        <v>438</v>
      </c>
    </row>
    <row r="341" spans="1:1" x14ac:dyDescent="0.25">
      <c r="A341">
        <v>439</v>
      </c>
    </row>
    <row r="342" spans="1:1" x14ac:dyDescent="0.25">
      <c r="A342">
        <v>440</v>
      </c>
    </row>
    <row r="343" spans="1:1" x14ac:dyDescent="0.25">
      <c r="A343">
        <v>441</v>
      </c>
    </row>
    <row r="344" spans="1:1" x14ac:dyDescent="0.25">
      <c r="A344">
        <v>442</v>
      </c>
    </row>
    <row r="345" spans="1:1" x14ac:dyDescent="0.25">
      <c r="A345">
        <v>443</v>
      </c>
    </row>
    <row r="346" spans="1:1" x14ac:dyDescent="0.25">
      <c r="A346">
        <v>444</v>
      </c>
    </row>
    <row r="347" spans="1:1" x14ac:dyDescent="0.25">
      <c r="A347">
        <v>445</v>
      </c>
    </row>
    <row r="348" spans="1:1" x14ac:dyDescent="0.25">
      <c r="A348">
        <v>446</v>
      </c>
    </row>
    <row r="349" spans="1:1" x14ac:dyDescent="0.25">
      <c r="A349">
        <v>447</v>
      </c>
    </row>
    <row r="350" spans="1:1" x14ac:dyDescent="0.25">
      <c r="A350">
        <v>448</v>
      </c>
    </row>
    <row r="351" spans="1:1" x14ac:dyDescent="0.25">
      <c r="A351">
        <v>449</v>
      </c>
    </row>
    <row r="352" spans="1:1" x14ac:dyDescent="0.25">
      <c r="A352">
        <v>450</v>
      </c>
    </row>
    <row r="353" spans="1:1" x14ac:dyDescent="0.25">
      <c r="A353">
        <v>451</v>
      </c>
    </row>
    <row r="354" spans="1:1" x14ac:dyDescent="0.25">
      <c r="A354">
        <v>452</v>
      </c>
    </row>
    <row r="355" spans="1:1" x14ac:dyDescent="0.25">
      <c r="A355">
        <v>453</v>
      </c>
    </row>
    <row r="356" spans="1:1" x14ac:dyDescent="0.25">
      <c r="A356">
        <v>454</v>
      </c>
    </row>
    <row r="357" spans="1:1" x14ac:dyDescent="0.25">
      <c r="A357">
        <v>455</v>
      </c>
    </row>
    <row r="358" spans="1:1" x14ac:dyDescent="0.25">
      <c r="A358">
        <v>456</v>
      </c>
    </row>
    <row r="359" spans="1:1" x14ac:dyDescent="0.25">
      <c r="A359">
        <v>457</v>
      </c>
    </row>
    <row r="360" spans="1:1" x14ac:dyDescent="0.25">
      <c r="A360">
        <v>458</v>
      </c>
    </row>
    <row r="361" spans="1:1" x14ac:dyDescent="0.25">
      <c r="A361">
        <v>459</v>
      </c>
    </row>
    <row r="362" spans="1:1" x14ac:dyDescent="0.25">
      <c r="A362">
        <v>460</v>
      </c>
    </row>
    <row r="363" spans="1:1" x14ac:dyDescent="0.25">
      <c r="A363">
        <v>461</v>
      </c>
    </row>
    <row r="364" spans="1:1" x14ac:dyDescent="0.25">
      <c r="A364">
        <v>462</v>
      </c>
    </row>
    <row r="365" spans="1:1" x14ac:dyDescent="0.25">
      <c r="A365">
        <v>463</v>
      </c>
    </row>
    <row r="366" spans="1:1" x14ac:dyDescent="0.25">
      <c r="A366">
        <v>464</v>
      </c>
    </row>
    <row r="367" spans="1:1" x14ac:dyDescent="0.25">
      <c r="A367">
        <v>465</v>
      </c>
    </row>
    <row r="368" spans="1:1" x14ac:dyDescent="0.25">
      <c r="A368">
        <v>466</v>
      </c>
    </row>
    <row r="369" spans="1:1" x14ac:dyDescent="0.25">
      <c r="A369">
        <v>467</v>
      </c>
    </row>
    <row r="370" spans="1:1" x14ac:dyDescent="0.25">
      <c r="A370">
        <v>468</v>
      </c>
    </row>
    <row r="371" spans="1:1" x14ac:dyDescent="0.25">
      <c r="A371">
        <v>469</v>
      </c>
    </row>
    <row r="372" spans="1:1" x14ac:dyDescent="0.25">
      <c r="A372">
        <v>470</v>
      </c>
    </row>
    <row r="373" spans="1:1" x14ac:dyDescent="0.25">
      <c r="A373">
        <v>471</v>
      </c>
    </row>
    <row r="374" spans="1:1" x14ac:dyDescent="0.25">
      <c r="A374">
        <v>472</v>
      </c>
    </row>
    <row r="375" spans="1:1" x14ac:dyDescent="0.25">
      <c r="A375">
        <v>473</v>
      </c>
    </row>
    <row r="376" spans="1:1" x14ac:dyDescent="0.25">
      <c r="A376">
        <v>474</v>
      </c>
    </row>
    <row r="377" spans="1:1" x14ac:dyDescent="0.25">
      <c r="A377">
        <v>475</v>
      </c>
    </row>
    <row r="378" spans="1:1" x14ac:dyDescent="0.25">
      <c r="A378">
        <v>476</v>
      </c>
    </row>
    <row r="379" spans="1:1" x14ac:dyDescent="0.25">
      <c r="A379">
        <v>477</v>
      </c>
    </row>
    <row r="380" spans="1:1" x14ac:dyDescent="0.25">
      <c r="A380">
        <v>478</v>
      </c>
    </row>
    <row r="381" spans="1:1" x14ac:dyDescent="0.25">
      <c r="A381">
        <v>479</v>
      </c>
    </row>
    <row r="382" spans="1:1" x14ac:dyDescent="0.25">
      <c r="A382">
        <v>480</v>
      </c>
    </row>
    <row r="383" spans="1:1" x14ac:dyDescent="0.25">
      <c r="A383">
        <v>481</v>
      </c>
    </row>
    <row r="384" spans="1:1" x14ac:dyDescent="0.25">
      <c r="A384">
        <v>482</v>
      </c>
    </row>
    <row r="385" spans="1:1" x14ac:dyDescent="0.25">
      <c r="A385">
        <v>483</v>
      </c>
    </row>
    <row r="386" spans="1:1" x14ac:dyDescent="0.25">
      <c r="A386">
        <v>484</v>
      </c>
    </row>
    <row r="387" spans="1:1" x14ac:dyDescent="0.25">
      <c r="A387">
        <v>485</v>
      </c>
    </row>
    <row r="388" spans="1:1" x14ac:dyDescent="0.25">
      <c r="A388">
        <v>486</v>
      </c>
    </row>
    <row r="389" spans="1:1" x14ac:dyDescent="0.25">
      <c r="A389">
        <v>487</v>
      </c>
    </row>
    <row r="390" spans="1:1" x14ac:dyDescent="0.25">
      <c r="A390">
        <v>488</v>
      </c>
    </row>
    <row r="391" spans="1:1" x14ac:dyDescent="0.25">
      <c r="A391">
        <v>489</v>
      </c>
    </row>
    <row r="392" spans="1:1" x14ac:dyDescent="0.25">
      <c r="A392">
        <v>490</v>
      </c>
    </row>
    <row r="393" spans="1:1" x14ac:dyDescent="0.25">
      <c r="A393">
        <v>491</v>
      </c>
    </row>
    <row r="394" spans="1:1" x14ac:dyDescent="0.25">
      <c r="A394">
        <v>492</v>
      </c>
    </row>
    <row r="395" spans="1:1" x14ac:dyDescent="0.25">
      <c r="A395">
        <v>493</v>
      </c>
    </row>
    <row r="396" spans="1:1" x14ac:dyDescent="0.25">
      <c r="A396">
        <v>494</v>
      </c>
    </row>
    <row r="397" spans="1:1" x14ac:dyDescent="0.25">
      <c r="A397">
        <v>495</v>
      </c>
    </row>
    <row r="398" spans="1:1" x14ac:dyDescent="0.25">
      <c r="A398">
        <v>496</v>
      </c>
    </row>
    <row r="399" spans="1:1" x14ac:dyDescent="0.25">
      <c r="A399">
        <v>497</v>
      </c>
    </row>
    <row r="400" spans="1:1" x14ac:dyDescent="0.25">
      <c r="A400">
        <v>498</v>
      </c>
    </row>
    <row r="401" spans="1:1" x14ac:dyDescent="0.25">
      <c r="A401">
        <v>499</v>
      </c>
    </row>
    <row r="402" spans="1:1" x14ac:dyDescent="0.25">
      <c r="A402">
        <v>500</v>
      </c>
    </row>
    <row r="403" spans="1:1" x14ac:dyDescent="0.25">
      <c r="A403">
        <v>501</v>
      </c>
    </row>
    <row r="404" spans="1:1" x14ac:dyDescent="0.25">
      <c r="A404">
        <v>502</v>
      </c>
    </row>
    <row r="405" spans="1:1" x14ac:dyDescent="0.25">
      <c r="A405">
        <v>503</v>
      </c>
    </row>
    <row r="406" spans="1:1" x14ac:dyDescent="0.25">
      <c r="A406">
        <v>504</v>
      </c>
    </row>
    <row r="407" spans="1:1" x14ac:dyDescent="0.25">
      <c r="A407">
        <v>505</v>
      </c>
    </row>
    <row r="408" spans="1:1" x14ac:dyDescent="0.25">
      <c r="A408">
        <v>506</v>
      </c>
    </row>
    <row r="409" spans="1:1" x14ac:dyDescent="0.25">
      <c r="A409">
        <v>507</v>
      </c>
    </row>
    <row r="410" spans="1:1" x14ac:dyDescent="0.25">
      <c r="A410">
        <v>508</v>
      </c>
    </row>
    <row r="411" spans="1:1" x14ac:dyDescent="0.25">
      <c r="A411">
        <v>509</v>
      </c>
    </row>
    <row r="412" spans="1:1" x14ac:dyDescent="0.25">
      <c r="A412">
        <v>510</v>
      </c>
    </row>
    <row r="413" spans="1:1" x14ac:dyDescent="0.25">
      <c r="A413">
        <v>511</v>
      </c>
    </row>
    <row r="414" spans="1:1" x14ac:dyDescent="0.25">
      <c r="A414">
        <v>512</v>
      </c>
    </row>
    <row r="415" spans="1:1" x14ac:dyDescent="0.25">
      <c r="A415">
        <v>513</v>
      </c>
    </row>
    <row r="416" spans="1:1" x14ac:dyDescent="0.25">
      <c r="A416">
        <v>514</v>
      </c>
    </row>
    <row r="417" spans="1:1" x14ac:dyDescent="0.25">
      <c r="A417">
        <v>515</v>
      </c>
    </row>
    <row r="418" spans="1:1" x14ac:dyDescent="0.25">
      <c r="A418">
        <v>516</v>
      </c>
    </row>
    <row r="419" spans="1:1" x14ac:dyDescent="0.25">
      <c r="A419">
        <v>517</v>
      </c>
    </row>
    <row r="420" spans="1:1" x14ac:dyDescent="0.25">
      <c r="A420">
        <v>518</v>
      </c>
    </row>
    <row r="421" spans="1:1" x14ac:dyDescent="0.25">
      <c r="A421">
        <v>519</v>
      </c>
    </row>
    <row r="422" spans="1:1" x14ac:dyDescent="0.25">
      <c r="A422">
        <v>520</v>
      </c>
    </row>
    <row r="423" spans="1:1" x14ac:dyDescent="0.25">
      <c r="A423">
        <v>521</v>
      </c>
    </row>
    <row r="424" spans="1:1" x14ac:dyDescent="0.25">
      <c r="A424">
        <v>522</v>
      </c>
    </row>
    <row r="425" spans="1:1" x14ac:dyDescent="0.25">
      <c r="A425">
        <v>523</v>
      </c>
    </row>
    <row r="426" spans="1:1" x14ac:dyDescent="0.25">
      <c r="A426">
        <v>524</v>
      </c>
    </row>
    <row r="427" spans="1:1" x14ac:dyDescent="0.25">
      <c r="A427">
        <v>525</v>
      </c>
    </row>
    <row r="428" spans="1:1" x14ac:dyDescent="0.25">
      <c r="A428">
        <v>526</v>
      </c>
    </row>
    <row r="429" spans="1:1" x14ac:dyDescent="0.25">
      <c r="A429">
        <v>527</v>
      </c>
    </row>
    <row r="430" spans="1:1" x14ac:dyDescent="0.25">
      <c r="A430">
        <v>528</v>
      </c>
    </row>
    <row r="431" spans="1:1" x14ac:dyDescent="0.25">
      <c r="A431">
        <v>529</v>
      </c>
    </row>
    <row r="432" spans="1:1" x14ac:dyDescent="0.25">
      <c r="A432">
        <v>530</v>
      </c>
    </row>
    <row r="433" spans="1:1" x14ac:dyDescent="0.25">
      <c r="A433">
        <v>531</v>
      </c>
    </row>
    <row r="434" spans="1:1" x14ac:dyDescent="0.25">
      <c r="A434">
        <v>532</v>
      </c>
    </row>
    <row r="435" spans="1:1" x14ac:dyDescent="0.25">
      <c r="A435">
        <v>533</v>
      </c>
    </row>
    <row r="436" spans="1:1" x14ac:dyDescent="0.25">
      <c r="A436">
        <v>534</v>
      </c>
    </row>
    <row r="437" spans="1:1" x14ac:dyDescent="0.25">
      <c r="A437">
        <v>535</v>
      </c>
    </row>
    <row r="438" spans="1:1" x14ac:dyDescent="0.25">
      <c r="A438">
        <v>536</v>
      </c>
    </row>
    <row r="439" spans="1:1" x14ac:dyDescent="0.25">
      <c r="A439">
        <v>537</v>
      </c>
    </row>
    <row r="440" spans="1:1" x14ac:dyDescent="0.25">
      <c r="A440">
        <v>538</v>
      </c>
    </row>
    <row r="441" spans="1:1" x14ac:dyDescent="0.25">
      <c r="A441">
        <v>539</v>
      </c>
    </row>
    <row r="442" spans="1:1" x14ac:dyDescent="0.25">
      <c r="A442">
        <v>540</v>
      </c>
    </row>
    <row r="443" spans="1:1" x14ac:dyDescent="0.25">
      <c r="A443">
        <v>541</v>
      </c>
    </row>
    <row r="444" spans="1:1" x14ac:dyDescent="0.25">
      <c r="A444">
        <v>542</v>
      </c>
    </row>
    <row r="445" spans="1:1" x14ac:dyDescent="0.25">
      <c r="A445">
        <v>543</v>
      </c>
    </row>
    <row r="446" spans="1:1" x14ac:dyDescent="0.25">
      <c r="A446">
        <v>544</v>
      </c>
    </row>
    <row r="447" spans="1:1" x14ac:dyDescent="0.25">
      <c r="A447">
        <v>545</v>
      </c>
    </row>
    <row r="448" spans="1:1" x14ac:dyDescent="0.25">
      <c r="A448">
        <v>546</v>
      </c>
    </row>
    <row r="449" spans="1:1" x14ac:dyDescent="0.25">
      <c r="A449">
        <v>547</v>
      </c>
    </row>
    <row r="450" spans="1:1" x14ac:dyDescent="0.25">
      <c r="A450">
        <v>548</v>
      </c>
    </row>
    <row r="451" spans="1:1" x14ac:dyDescent="0.25">
      <c r="A451">
        <v>549</v>
      </c>
    </row>
    <row r="452" spans="1:1" x14ac:dyDescent="0.25">
      <c r="A452">
        <v>550</v>
      </c>
    </row>
    <row r="453" spans="1:1" x14ac:dyDescent="0.25">
      <c r="A453">
        <v>551</v>
      </c>
    </row>
    <row r="454" spans="1:1" x14ac:dyDescent="0.25">
      <c r="A454">
        <v>552</v>
      </c>
    </row>
    <row r="455" spans="1:1" x14ac:dyDescent="0.25">
      <c r="A455">
        <v>553</v>
      </c>
    </row>
    <row r="456" spans="1:1" x14ac:dyDescent="0.25">
      <c r="A456">
        <v>554</v>
      </c>
    </row>
    <row r="457" spans="1:1" x14ac:dyDescent="0.25">
      <c r="A457">
        <v>555</v>
      </c>
    </row>
    <row r="458" spans="1:1" x14ac:dyDescent="0.25">
      <c r="A458">
        <v>556</v>
      </c>
    </row>
    <row r="459" spans="1:1" x14ac:dyDescent="0.25">
      <c r="A459">
        <v>557</v>
      </c>
    </row>
    <row r="460" spans="1:1" x14ac:dyDescent="0.25">
      <c r="A460">
        <v>558</v>
      </c>
    </row>
    <row r="461" spans="1:1" x14ac:dyDescent="0.25">
      <c r="A461">
        <v>559</v>
      </c>
    </row>
    <row r="462" spans="1:1" x14ac:dyDescent="0.25">
      <c r="A462">
        <v>560</v>
      </c>
    </row>
    <row r="463" spans="1:1" x14ac:dyDescent="0.25">
      <c r="A463">
        <v>561</v>
      </c>
    </row>
    <row r="464" spans="1:1" x14ac:dyDescent="0.25">
      <c r="A464">
        <v>562</v>
      </c>
    </row>
    <row r="465" spans="1:1" x14ac:dyDescent="0.25">
      <c r="A465">
        <v>563</v>
      </c>
    </row>
    <row r="466" spans="1:1" x14ac:dyDescent="0.25">
      <c r="A466">
        <v>564</v>
      </c>
    </row>
    <row r="467" spans="1:1" x14ac:dyDescent="0.25">
      <c r="A467">
        <v>565</v>
      </c>
    </row>
    <row r="468" spans="1:1" x14ac:dyDescent="0.25">
      <c r="A468">
        <v>566</v>
      </c>
    </row>
    <row r="469" spans="1:1" x14ac:dyDescent="0.25">
      <c r="A469">
        <v>567</v>
      </c>
    </row>
    <row r="470" spans="1:1" x14ac:dyDescent="0.25">
      <c r="A470">
        <v>568</v>
      </c>
    </row>
    <row r="471" spans="1:1" x14ac:dyDescent="0.25">
      <c r="A471">
        <v>569</v>
      </c>
    </row>
    <row r="472" spans="1:1" x14ac:dyDescent="0.25">
      <c r="A472">
        <v>570</v>
      </c>
    </row>
    <row r="473" spans="1:1" x14ac:dyDescent="0.25">
      <c r="A473">
        <v>571</v>
      </c>
    </row>
    <row r="474" spans="1:1" x14ac:dyDescent="0.25">
      <c r="A474">
        <v>572</v>
      </c>
    </row>
    <row r="475" spans="1:1" x14ac:dyDescent="0.25">
      <c r="A475">
        <v>573</v>
      </c>
    </row>
    <row r="476" spans="1:1" x14ac:dyDescent="0.25">
      <c r="A476">
        <v>574</v>
      </c>
    </row>
    <row r="477" spans="1:1" x14ac:dyDescent="0.25">
      <c r="A477">
        <v>575</v>
      </c>
    </row>
    <row r="478" spans="1:1" x14ac:dyDescent="0.25">
      <c r="A478">
        <v>576</v>
      </c>
    </row>
    <row r="479" spans="1:1" x14ac:dyDescent="0.25">
      <c r="A479">
        <v>577</v>
      </c>
    </row>
    <row r="480" spans="1:1" x14ac:dyDescent="0.25">
      <c r="A480">
        <v>578</v>
      </c>
    </row>
    <row r="481" spans="1:1" x14ac:dyDescent="0.25">
      <c r="A481">
        <v>579</v>
      </c>
    </row>
    <row r="482" spans="1:1" x14ac:dyDescent="0.25">
      <c r="A482">
        <v>580</v>
      </c>
    </row>
    <row r="483" spans="1:1" x14ac:dyDescent="0.25">
      <c r="A483">
        <v>581</v>
      </c>
    </row>
    <row r="484" spans="1:1" x14ac:dyDescent="0.25">
      <c r="A484">
        <v>582</v>
      </c>
    </row>
    <row r="485" spans="1:1" x14ac:dyDescent="0.25">
      <c r="A485">
        <v>583</v>
      </c>
    </row>
    <row r="486" spans="1:1" x14ac:dyDescent="0.25">
      <c r="A486">
        <v>584</v>
      </c>
    </row>
    <row r="487" spans="1:1" x14ac:dyDescent="0.25">
      <c r="A487">
        <v>585</v>
      </c>
    </row>
    <row r="488" spans="1:1" x14ac:dyDescent="0.25">
      <c r="A488">
        <v>586</v>
      </c>
    </row>
    <row r="489" spans="1:1" x14ac:dyDescent="0.25">
      <c r="A489">
        <v>587</v>
      </c>
    </row>
    <row r="490" spans="1:1" x14ac:dyDescent="0.25">
      <c r="A490">
        <v>588</v>
      </c>
    </row>
    <row r="491" spans="1:1" x14ac:dyDescent="0.25">
      <c r="A491">
        <v>589</v>
      </c>
    </row>
    <row r="492" spans="1:1" x14ac:dyDescent="0.25">
      <c r="A492">
        <v>590</v>
      </c>
    </row>
    <row r="493" spans="1:1" x14ac:dyDescent="0.25">
      <c r="A493">
        <v>591</v>
      </c>
    </row>
    <row r="494" spans="1:1" x14ac:dyDescent="0.25">
      <c r="A494">
        <v>592</v>
      </c>
    </row>
    <row r="495" spans="1:1" x14ac:dyDescent="0.25">
      <c r="A495">
        <v>593</v>
      </c>
    </row>
    <row r="496" spans="1:1" x14ac:dyDescent="0.25">
      <c r="A496">
        <v>594</v>
      </c>
    </row>
    <row r="497" spans="1:1" x14ac:dyDescent="0.25">
      <c r="A497">
        <v>595</v>
      </c>
    </row>
    <row r="498" spans="1:1" x14ac:dyDescent="0.25">
      <c r="A498">
        <v>596</v>
      </c>
    </row>
    <row r="499" spans="1:1" x14ac:dyDescent="0.25">
      <c r="A499">
        <v>597</v>
      </c>
    </row>
    <row r="500" spans="1:1" x14ac:dyDescent="0.25">
      <c r="A500">
        <v>598</v>
      </c>
    </row>
    <row r="501" spans="1:1" x14ac:dyDescent="0.25">
      <c r="A501">
        <v>599</v>
      </c>
    </row>
    <row r="502" spans="1:1" x14ac:dyDescent="0.25">
      <c r="A502">
        <v>600</v>
      </c>
    </row>
    <row r="503" spans="1:1" x14ac:dyDescent="0.25">
      <c r="A503">
        <v>601</v>
      </c>
    </row>
    <row r="504" spans="1:1" x14ac:dyDescent="0.25">
      <c r="A504">
        <v>602</v>
      </c>
    </row>
    <row r="505" spans="1:1" x14ac:dyDescent="0.25">
      <c r="A505">
        <v>603</v>
      </c>
    </row>
    <row r="506" spans="1:1" x14ac:dyDescent="0.25">
      <c r="A506">
        <v>604</v>
      </c>
    </row>
    <row r="507" spans="1:1" x14ac:dyDescent="0.25">
      <c r="A507">
        <v>605</v>
      </c>
    </row>
    <row r="508" spans="1:1" x14ac:dyDescent="0.25">
      <c r="A508">
        <v>606</v>
      </c>
    </row>
    <row r="509" spans="1:1" x14ac:dyDescent="0.25">
      <c r="A509">
        <v>607</v>
      </c>
    </row>
    <row r="510" spans="1:1" x14ac:dyDescent="0.25">
      <c r="A510">
        <v>608</v>
      </c>
    </row>
    <row r="511" spans="1:1" x14ac:dyDescent="0.25">
      <c r="A511">
        <v>609</v>
      </c>
    </row>
    <row r="512" spans="1:1" x14ac:dyDescent="0.25">
      <c r="A512">
        <v>610</v>
      </c>
    </row>
    <row r="513" spans="1:1" x14ac:dyDescent="0.25">
      <c r="A513">
        <v>611</v>
      </c>
    </row>
    <row r="514" spans="1:1" x14ac:dyDescent="0.25">
      <c r="A514">
        <v>612</v>
      </c>
    </row>
    <row r="515" spans="1:1" x14ac:dyDescent="0.25">
      <c r="A515">
        <v>613</v>
      </c>
    </row>
    <row r="516" spans="1:1" x14ac:dyDescent="0.25">
      <c r="A516">
        <v>614</v>
      </c>
    </row>
    <row r="517" spans="1:1" x14ac:dyDescent="0.25">
      <c r="A517">
        <v>615</v>
      </c>
    </row>
    <row r="518" spans="1:1" x14ac:dyDescent="0.25">
      <c r="A518">
        <v>616</v>
      </c>
    </row>
    <row r="519" spans="1:1" x14ac:dyDescent="0.25">
      <c r="A519">
        <v>617</v>
      </c>
    </row>
    <row r="520" spans="1:1" x14ac:dyDescent="0.25">
      <c r="A520">
        <v>618</v>
      </c>
    </row>
    <row r="521" spans="1:1" x14ac:dyDescent="0.25">
      <c r="A521">
        <v>619</v>
      </c>
    </row>
    <row r="522" spans="1:1" x14ac:dyDescent="0.25">
      <c r="A522">
        <v>620</v>
      </c>
    </row>
    <row r="523" spans="1:1" x14ac:dyDescent="0.25">
      <c r="A523">
        <v>621</v>
      </c>
    </row>
    <row r="524" spans="1:1" x14ac:dyDescent="0.25">
      <c r="A524">
        <v>622</v>
      </c>
    </row>
    <row r="525" spans="1:1" x14ac:dyDescent="0.25">
      <c r="A525">
        <v>623</v>
      </c>
    </row>
    <row r="526" spans="1:1" x14ac:dyDescent="0.25">
      <c r="A526">
        <v>624</v>
      </c>
    </row>
    <row r="527" spans="1:1" x14ac:dyDescent="0.25">
      <c r="A527">
        <v>625</v>
      </c>
    </row>
    <row r="528" spans="1:1" x14ac:dyDescent="0.25">
      <c r="A528">
        <v>626</v>
      </c>
    </row>
    <row r="529" spans="1:1" x14ac:dyDescent="0.25">
      <c r="A529">
        <v>627</v>
      </c>
    </row>
    <row r="530" spans="1:1" x14ac:dyDescent="0.25">
      <c r="A530">
        <v>628</v>
      </c>
    </row>
    <row r="531" spans="1:1" x14ac:dyDescent="0.25">
      <c r="A531">
        <v>629</v>
      </c>
    </row>
    <row r="532" spans="1:1" x14ac:dyDescent="0.25">
      <c r="A532">
        <v>630</v>
      </c>
    </row>
    <row r="533" spans="1:1" x14ac:dyDescent="0.25">
      <c r="A533">
        <v>631</v>
      </c>
    </row>
    <row r="534" spans="1:1" x14ac:dyDescent="0.25">
      <c r="A534">
        <v>632</v>
      </c>
    </row>
    <row r="535" spans="1:1" x14ac:dyDescent="0.25">
      <c r="A535">
        <v>633</v>
      </c>
    </row>
    <row r="536" spans="1:1" x14ac:dyDescent="0.25">
      <c r="A536">
        <v>634</v>
      </c>
    </row>
    <row r="537" spans="1:1" x14ac:dyDescent="0.25">
      <c r="A537">
        <v>635</v>
      </c>
    </row>
    <row r="538" spans="1:1" x14ac:dyDescent="0.25">
      <c r="A538">
        <v>636</v>
      </c>
    </row>
    <row r="539" spans="1:1" x14ac:dyDescent="0.25">
      <c r="A539">
        <v>637</v>
      </c>
    </row>
    <row r="540" spans="1:1" x14ac:dyDescent="0.25">
      <c r="A540">
        <v>638</v>
      </c>
    </row>
    <row r="541" spans="1:1" x14ac:dyDescent="0.25">
      <c r="A541">
        <v>639</v>
      </c>
    </row>
    <row r="542" spans="1:1" x14ac:dyDescent="0.25">
      <c r="A542">
        <v>640</v>
      </c>
    </row>
    <row r="543" spans="1:1" x14ac:dyDescent="0.25">
      <c r="A543">
        <v>641</v>
      </c>
    </row>
    <row r="544" spans="1:1" x14ac:dyDescent="0.25">
      <c r="A544">
        <v>642</v>
      </c>
    </row>
    <row r="545" spans="1:1" x14ac:dyDescent="0.25">
      <c r="A545">
        <v>643</v>
      </c>
    </row>
    <row r="546" spans="1:1" x14ac:dyDescent="0.25">
      <c r="A546">
        <v>644</v>
      </c>
    </row>
    <row r="547" spans="1:1" x14ac:dyDescent="0.25">
      <c r="A547">
        <v>645</v>
      </c>
    </row>
    <row r="548" spans="1:1" x14ac:dyDescent="0.25">
      <c r="A548">
        <v>646</v>
      </c>
    </row>
    <row r="549" spans="1:1" x14ac:dyDescent="0.25">
      <c r="A549">
        <v>647</v>
      </c>
    </row>
    <row r="550" spans="1:1" x14ac:dyDescent="0.25">
      <c r="A550">
        <v>648</v>
      </c>
    </row>
    <row r="551" spans="1:1" x14ac:dyDescent="0.25">
      <c r="A551">
        <v>649</v>
      </c>
    </row>
    <row r="552" spans="1:1" x14ac:dyDescent="0.25">
      <c r="A552">
        <v>650</v>
      </c>
    </row>
    <row r="553" spans="1:1" x14ac:dyDescent="0.25">
      <c r="A553">
        <v>651</v>
      </c>
    </row>
    <row r="554" spans="1:1" x14ac:dyDescent="0.25">
      <c r="A554">
        <v>652</v>
      </c>
    </row>
    <row r="555" spans="1:1" x14ac:dyDescent="0.25">
      <c r="A555">
        <v>653</v>
      </c>
    </row>
    <row r="556" spans="1:1" x14ac:dyDescent="0.25">
      <c r="A556">
        <v>654</v>
      </c>
    </row>
    <row r="557" spans="1:1" x14ac:dyDescent="0.25">
      <c r="A557">
        <v>655</v>
      </c>
    </row>
    <row r="558" spans="1:1" x14ac:dyDescent="0.25">
      <c r="A558">
        <v>656</v>
      </c>
    </row>
    <row r="559" spans="1:1" x14ac:dyDescent="0.25">
      <c r="A559">
        <v>657</v>
      </c>
    </row>
    <row r="560" spans="1:1" x14ac:dyDescent="0.25">
      <c r="A560">
        <v>658</v>
      </c>
    </row>
    <row r="561" spans="1:1" x14ac:dyDescent="0.25">
      <c r="A561">
        <v>659</v>
      </c>
    </row>
    <row r="562" spans="1:1" x14ac:dyDescent="0.25">
      <c r="A562">
        <v>660</v>
      </c>
    </row>
    <row r="563" spans="1:1" x14ac:dyDescent="0.25">
      <c r="A563">
        <v>661</v>
      </c>
    </row>
    <row r="564" spans="1:1" x14ac:dyDescent="0.25">
      <c r="A564">
        <v>662</v>
      </c>
    </row>
    <row r="565" spans="1:1" x14ac:dyDescent="0.25">
      <c r="A565">
        <v>663</v>
      </c>
    </row>
    <row r="566" spans="1:1" x14ac:dyDescent="0.25">
      <c r="A566">
        <v>664</v>
      </c>
    </row>
    <row r="567" spans="1:1" x14ac:dyDescent="0.25">
      <c r="A567">
        <v>665</v>
      </c>
    </row>
    <row r="568" spans="1:1" x14ac:dyDescent="0.25">
      <c r="A568">
        <v>666</v>
      </c>
    </row>
    <row r="569" spans="1:1" x14ac:dyDescent="0.25">
      <c r="A569">
        <v>667</v>
      </c>
    </row>
    <row r="570" spans="1:1" x14ac:dyDescent="0.25">
      <c r="A570">
        <v>668</v>
      </c>
    </row>
    <row r="571" spans="1:1" x14ac:dyDescent="0.25">
      <c r="A571">
        <v>669</v>
      </c>
    </row>
    <row r="572" spans="1:1" x14ac:dyDescent="0.25">
      <c r="A572">
        <v>670</v>
      </c>
    </row>
    <row r="573" spans="1:1" x14ac:dyDescent="0.25">
      <c r="A573">
        <v>671</v>
      </c>
    </row>
    <row r="574" spans="1:1" x14ac:dyDescent="0.25">
      <c r="A574">
        <v>672</v>
      </c>
    </row>
    <row r="575" spans="1:1" x14ac:dyDescent="0.25">
      <c r="A575">
        <v>673</v>
      </c>
    </row>
    <row r="576" spans="1:1" x14ac:dyDescent="0.25">
      <c r="A576">
        <v>674</v>
      </c>
    </row>
    <row r="577" spans="1:1" x14ac:dyDescent="0.25">
      <c r="A577">
        <v>675</v>
      </c>
    </row>
    <row r="578" spans="1:1" x14ac:dyDescent="0.25">
      <c r="A578">
        <v>676</v>
      </c>
    </row>
    <row r="579" spans="1:1" x14ac:dyDescent="0.25">
      <c r="A579">
        <v>677</v>
      </c>
    </row>
    <row r="580" spans="1:1" x14ac:dyDescent="0.25">
      <c r="A580">
        <v>678</v>
      </c>
    </row>
    <row r="581" spans="1:1" x14ac:dyDescent="0.25">
      <c r="A581">
        <v>679</v>
      </c>
    </row>
    <row r="582" spans="1:1" x14ac:dyDescent="0.25">
      <c r="A582">
        <v>680</v>
      </c>
    </row>
    <row r="583" spans="1:1" x14ac:dyDescent="0.25">
      <c r="A583">
        <v>681</v>
      </c>
    </row>
    <row r="584" spans="1:1" x14ac:dyDescent="0.25">
      <c r="A584">
        <v>682</v>
      </c>
    </row>
    <row r="585" spans="1:1" x14ac:dyDescent="0.25">
      <c r="A585">
        <v>683</v>
      </c>
    </row>
    <row r="586" spans="1:1" x14ac:dyDescent="0.25">
      <c r="A586">
        <v>684</v>
      </c>
    </row>
    <row r="587" spans="1:1" x14ac:dyDescent="0.25">
      <c r="A587">
        <v>685</v>
      </c>
    </row>
    <row r="588" spans="1:1" x14ac:dyDescent="0.25">
      <c r="A588">
        <v>686</v>
      </c>
    </row>
    <row r="589" spans="1:1" x14ac:dyDescent="0.25">
      <c r="A589">
        <v>687</v>
      </c>
    </row>
    <row r="590" spans="1:1" x14ac:dyDescent="0.25">
      <c r="A590">
        <v>688</v>
      </c>
    </row>
    <row r="591" spans="1:1" x14ac:dyDescent="0.25">
      <c r="A591">
        <v>689</v>
      </c>
    </row>
    <row r="592" spans="1:1" x14ac:dyDescent="0.25">
      <c r="A592">
        <v>690</v>
      </c>
    </row>
    <row r="593" spans="1:1" x14ac:dyDescent="0.25">
      <c r="A593">
        <v>691</v>
      </c>
    </row>
    <row r="594" spans="1:1" x14ac:dyDescent="0.25">
      <c r="A594">
        <v>692</v>
      </c>
    </row>
    <row r="595" spans="1:1" x14ac:dyDescent="0.25">
      <c r="A595">
        <v>693</v>
      </c>
    </row>
    <row r="596" spans="1:1" x14ac:dyDescent="0.25">
      <c r="A596">
        <v>694</v>
      </c>
    </row>
    <row r="597" spans="1:1" x14ac:dyDescent="0.25">
      <c r="A597">
        <v>695</v>
      </c>
    </row>
    <row r="598" spans="1:1" x14ac:dyDescent="0.25">
      <c r="A598">
        <v>696</v>
      </c>
    </row>
    <row r="599" spans="1:1" x14ac:dyDescent="0.25">
      <c r="A599">
        <v>697</v>
      </c>
    </row>
    <row r="600" spans="1:1" x14ac:dyDescent="0.25">
      <c r="A600">
        <v>698</v>
      </c>
    </row>
    <row r="601" spans="1:1" x14ac:dyDescent="0.25">
      <c r="A601">
        <v>699</v>
      </c>
    </row>
    <row r="602" spans="1:1" x14ac:dyDescent="0.25">
      <c r="A602">
        <v>700</v>
      </c>
    </row>
    <row r="603" spans="1:1" x14ac:dyDescent="0.25">
      <c r="A603">
        <v>701</v>
      </c>
    </row>
    <row r="604" spans="1:1" x14ac:dyDescent="0.25">
      <c r="A604">
        <v>702</v>
      </c>
    </row>
    <row r="605" spans="1:1" x14ac:dyDescent="0.25">
      <c r="A605">
        <v>703</v>
      </c>
    </row>
    <row r="606" spans="1:1" x14ac:dyDescent="0.25">
      <c r="A606">
        <v>704</v>
      </c>
    </row>
    <row r="607" spans="1:1" x14ac:dyDescent="0.25">
      <c r="A607">
        <v>705</v>
      </c>
    </row>
    <row r="608" spans="1:1" x14ac:dyDescent="0.25">
      <c r="A608">
        <v>706</v>
      </c>
    </row>
    <row r="609" spans="1:1" x14ac:dyDescent="0.25">
      <c r="A609">
        <v>707</v>
      </c>
    </row>
    <row r="610" spans="1:1" x14ac:dyDescent="0.25">
      <c r="A610">
        <v>708</v>
      </c>
    </row>
    <row r="611" spans="1:1" x14ac:dyDescent="0.25">
      <c r="A611">
        <v>709</v>
      </c>
    </row>
    <row r="612" spans="1:1" x14ac:dyDescent="0.25">
      <c r="A612">
        <v>710</v>
      </c>
    </row>
    <row r="613" spans="1:1" x14ac:dyDescent="0.25">
      <c r="A613">
        <v>711</v>
      </c>
    </row>
    <row r="614" spans="1:1" x14ac:dyDescent="0.25">
      <c r="A614">
        <v>712</v>
      </c>
    </row>
    <row r="615" spans="1:1" x14ac:dyDescent="0.25">
      <c r="A615">
        <v>713</v>
      </c>
    </row>
    <row r="616" spans="1:1" x14ac:dyDescent="0.25">
      <c r="A616">
        <v>714</v>
      </c>
    </row>
    <row r="617" spans="1:1" x14ac:dyDescent="0.25">
      <c r="A617">
        <v>715</v>
      </c>
    </row>
    <row r="618" spans="1:1" x14ac:dyDescent="0.25">
      <c r="A618">
        <v>716</v>
      </c>
    </row>
    <row r="619" spans="1:1" x14ac:dyDescent="0.25">
      <c r="A619">
        <v>717</v>
      </c>
    </row>
    <row r="620" spans="1:1" x14ac:dyDescent="0.25">
      <c r="A620">
        <v>718</v>
      </c>
    </row>
    <row r="621" spans="1:1" x14ac:dyDescent="0.25">
      <c r="A621">
        <v>719</v>
      </c>
    </row>
    <row r="622" spans="1:1" x14ac:dyDescent="0.25">
      <c r="A622">
        <v>720</v>
      </c>
    </row>
    <row r="623" spans="1:1" x14ac:dyDescent="0.25">
      <c r="A623">
        <v>721</v>
      </c>
    </row>
    <row r="624" spans="1:1" x14ac:dyDescent="0.25">
      <c r="A624">
        <v>722</v>
      </c>
    </row>
    <row r="625" spans="1:1" x14ac:dyDescent="0.25">
      <c r="A625">
        <v>723</v>
      </c>
    </row>
    <row r="626" spans="1:1" x14ac:dyDescent="0.25">
      <c r="A626">
        <v>724</v>
      </c>
    </row>
    <row r="627" spans="1:1" x14ac:dyDescent="0.25">
      <c r="A627">
        <v>725</v>
      </c>
    </row>
    <row r="628" spans="1:1" x14ac:dyDescent="0.25">
      <c r="A628">
        <v>726</v>
      </c>
    </row>
    <row r="629" spans="1:1" x14ac:dyDescent="0.25">
      <c r="A629">
        <v>727</v>
      </c>
    </row>
    <row r="630" spans="1:1" x14ac:dyDescent="0.25">
      <c r="A630">
        <v>728</v>
      </c>
    </row>
    <row r="631" spans="1:1" x14ac:dyDescent="0.25">
      <c r="A631">
        <v>729</v>
      </c>
    </row>
    <row r="632" spans="1:1" x14ac:dyDescent="0.25">
      <c r="A632">
        <v>730</v>
      </c>
    </row>
    <row r="633" spans="1:1" x14ac:dyDescent="0.25">
      <c r="A633">
        <v>731</v>
      </c>
    </row>
    <row r="634" spans="1:1" x14ac:dyDescent="0.25">
      <c r="A634">
        <v>732</v>
      </c>
    </row>
    <row r="635" spans="1:1" x14ac:dyDescent="0.25">
      <c r="A635">
        <v>733</v>
      </c>
    </row>
    <row r="636" spans="1:1" x14ac:dyDescent="0.25">
      <c r="A636">
        <v>734</v>
      </c>
    </row>
    <row r="637" spans="1:1" x14ac:dyDescent="0.25">
      <c r="A637">
        <v>735</v>
      </c>
    </row>
    <row r="638" spans="1:1" x14ac:dyDescent="0.25">
      <c r="A638">
        <v>736</v>
      </c>
    </row>
    <row r="639" spans="1:1" x14ac:dyDescent="0.25">
      <c r="A639">
        <v>737</v>
      </c>
    </row>
    <row r="640" spans="1:1" x14ac:dyDescent="0.25">
      <c r="A640">
        <v>738</v>
      </c>
    </row>
    <row r="641" spans="1:1" x14ac:dyDescent="0.25">
      <c r="A641">
        <v>739</v>
      </c>
    </row>
    <row r="642" spans="1:1" x14ac:dyDescent="0.25">
      <c r="A642">
        <v>740</v>
      </c>
    </row>
    <row r="643" spans="1:1" x14ac:dyDescent="0.25">
      <c r="A643">
        <v>741</v>
      </c>
    </row>
    <row r="644" spans="1:1" x14ac:dyDescent="0.25">
      <c r="A644">
        <v>742</v>
      </c>
    </row>
    <row r="645" spans="1:1" x14ac:dyDescent="0.25">
      <c r="A645">
        <v>743</v>
      </c>
    </row>
    <row r="646" spans="1:1" x14ac:dyDescent="0.25">
      <c r="A646">
        <v>744</v>
      </c>
    </row>
    <row r="647" spans="1:1" x14ac:dyDescent="0.25">
      <c r="A647">
        <v>745</v>
      </c>
    </row>
    <row r="648" spans="1:1" x14ac:dyDescent="0.25">
      <c r="A648">
        <v>746</v>
      </c>
    </row>
    <row r="649" spans="1:1" x14ac:dyDescent="0.25">
      <c r="A649">
        <v>747</v>
      </c>
    </row>
    <row r="650" spans="1:1" x14ac:dyDescent="0.25">
      <c r="A650">
        <v>748</v>
      </c>
    </row>
    <row r="651" spans="1:1" x14ac:dyDescent="0.25">
      <c r="A651">
        <v>749</v>
      </c>
    </row>
    <row r="652" spans="1:1" x14ac:dyDescent="0.25">
      <c r="A652">
        <v>750</v>
      </c>
    </row>
    <row r="653" spans="1:1" x14ac:dyDescent="0.25">
      <c r="A653">
        <v>751</v>
      </c>
    </row>
    <row r="654" spans="1:1" x14ac:dyDescent="0.25">
      <c r="A654">
        <v>752</v>
      </c>
    </row>
    <row r="655" spans="1:1" x14ac:dyDescent="0.25">
      <c r="A655">
        <v>753</v>
      </c>
    </row>
    <row r="656" spans="1:1" x14ac:dyDescent="0.25">
      <c r="A656">
        <v>754</v>
      </c>
    </row>
    <row r="657" spans="1:1" x14ac:dyDescent="0.25">
      <c r="A657">
        <v>755</v>
      </c>
    </row>
    <row r="658" spans="1:1" x14ac:dyDescent="0.25">
      <c r="A658">
        <v>756</v>
      </c>
    </row>
    <row r="659" spans="1:1" x14ac:dyDescent="0.25">
      <c r="A659">
        <v>757</v>
      </c>
    </row>
    <row r="660" spans="1:1" x14ac:dyDescent="0.25">
      <c r="A660">
        <v>758</v>
      </c>
    </row>
    <row r="661" spans="1:1" x14ac:dyDescent="0.25">
      <c r="A661">
        <v>759</v>
      </c>
    </row>
    <row r="662" spans="1:1" x14ac:dyDescent="0.25">
      <c r="A662">
        <v>760</v>
      </c>
    </row>
    <row r="663" spans="1:1" x14ac:dyDescent="0.25">
      <c r="A663">
        <v>761</v>
      </c>
    </row>
    <row r="664" spans="1:1" x14ac:dyDescent="0.25">
      <c r="A664">
        <v>762</v>
      </c>
    </row>
    <row r="665" spans="1:1" x14ac:dyDescent="0.25">
      <c r="A665">
        <v>763</v>
      </c>
    </row>
    <row r="666" spans="1:1" x14ac:dyDescent="0.25">
      <c r="A666">
        <v>764</v>
      </c>
    </row>
    <row r="667" spans="1:1" x14ac:dyDescent="0.25">
      <c r="A667">
        <v>765</v>
      </c>
    </row>
    <row r="668" spans="1:1" x14ac:dyDescent="0.25">
      <c r="A668">
        <v>766</v>
      </c>
    </row>
    <row r="669" spans="1:1" x14ac:dyDescent="0.25">
      <c r="A669">
        <v>767</v>
      </c>
    </row>
    <row r="670" spans="1:1" x14ac:dyDescent="0.25">
      <c r="A670">
        <v>768</v>
      </c>
    </row>
    <row r="671" spans="1:1" x14ac:dyDescent="0.25">
      <c r="A671">
        <v>769</v>
      </c>
    </row>
    <row r="672" spans="1:1" x14ac:dyDescent="0.25">
      <c r="A672">
        <v>770</v>
      </c>
    </row>
    <row r="673" spans="1:1" x14ac:dyDescent="0.25">
      <c r="A673">
        <v>771</v>
      </c>
    </row>
    <row r="674" spans="1:1" x14ac:dyDescent="0.25">
      <c r="A674">
        <v>772</v>
      </c>
    </row>
    <row r="675" spans="1:1" x14ac:dyDescent="0.25">
      <c r="A675">
        <v>773</v>
      </c>
    </row>
    <row r="676" spans="1:1" x14ac:dyDescent="0.25">
      <c r="A676">
        <v>774</v>
      </c>
    </row>
    <row r="677" spans="1:1" x14ac:dyDescent="0.25">
      <c r="A677">
        <v>775</v>
      </c>
    </row>
    <row r="678" spans="1:1" x14ac:dyDescent="0.25">
      <c r="A678">
        <v>776</v>
      </c>
    </row>
    <row r="679" spans="1:1" x14ac:dyDescent="0.25">
      <c r="A679">
        <v>777</v>
      </c>
    </row>
    <row r="680" spans="1:1" x14ac:dyDescent="0.25">
      <c r="A680">
        <v>778</v>
      </c>
    </row>
    <row r="681" spans="1:1" x14ac:dyDescent="0.25">
      <c r="A681">
        <v>779</v>
      </c>
    </row>
    <row r="682" spans="1:1" x14ac:dyDescent="0.25">
      <c r="A682">
        <v>780</v>
      </c>
    </row>
    <row r="683" spans="1:1" x14ac:dyDescent="0.25">
      <c r="A683">
        <v>781</v>
      </c>
    </row>
    <row r="684" spans="1:1" x14ac:dyDescent="0.25">
      <c r="A684">
        <v>782</v>
      </c>
    </row>
    <row r="685" spans="1:1" x14ac:dyDescent="0.25">
      <c r="A685">
        <v>783</v>
      </c>
    </row>
    <row r="686" spans="1:1" x14ac:dyDescent="0.25">
      <c r="A686">
        <v>784</v>
      </c>
    </row>
    <row r="687" spans="1:1" x14ac:dyDescent="0.25">
      <c r="A687">
        <v>785</v>
      </c>
    </row>
    <row r="688" spans="1:1" x14ac:dyDescent="0.25">
      <c r="A688">
        <v>786</v>
      </c>
    </row>
    <row r="689" spans="1:1" x14ac:dyDescent="0.25">
      <c r="A689">
        <v>787</v>
      </c>
    </row>
    <row r="690" spans="1:1" x14ac:dyDescent="0.25">
      <c r="A690">
        <v>788</v>
      </c>
    </row>
    <row r="691" spans="1:1" x14ac:dyDescent="0.25">
      <c r="A691">
        <v>789</v>
      </c>
    </row>
    <row r="692" spans="1:1" x14ac:dyDescent="0.25">
      <c r="A692">
        <v>790</v>
      </c>
    </row>
    <row r="693" spans="1:1" x14ac:dyDescent="0.25">
      <c r="A693">
        <v>791</v>
      </c>
    </row>
    <row r="694" spans="1:1" x14ac:dyDescent="0.25">
      <c r="A694">
        <v>792</v>
      </c>
    </row>
    <row r="695" spans="1:1" x14ac:dyDescent="0.25">
      <c r="A695">
        <v>793</v>
      </c>
    </row>
    <row r="696" spans="1:1" x14ac:dyDescent="0.25">
      <c r="A696">
        <v>794</v>
      </c>
    </row>
    <row r="697" spans="1:1" x14ac:dyDescent="0.25">
      <c r="A697">
        <v>795</v>
      </c>
    </row>
    <row r="698" spans="1:1" x14ac:dyDescent="0.25">
      <c r="A698">
        <v>796</v>
      </c>
    </row>
    <row r="699" spans="1:1" x14ac:dyDescent="0.25">
      <c r="A699">
        <v>797</v>
      </c>
    </row>
    <row r="700" spans="1:1" x14ac:dyDescent="0.25">
      <c r="A700">
        <v>798</v>
      </c>
    </row>
    <row r="701" spans="1:1" x14ac:dyDescent="0.25">
      <c r="A701">
        <v>799</v>
      </c>
    </row>
    <row r="702" spans="1:1" x14ac:dyDescent="0.25">
      <c r="A702">
        <v>800</v>
      </c>
    </row>
    <row r="703" spans="1:1" x14ac:dyDescent="0.25">
      <c r="A703">
        <v>801</v>
      </c>
    </row>
    <row r="704" spans="1:1" x14ac:dyDescent="0.25">
      <c r="A704">
        <v>802</v>
      </c>
    </row>
    <row r="705" spans="1:1" x14ac:dyDescent="0.25">
      <c r="A705">
        <v>803</v>
      </c>
    </row>
    <row r="706" spans="1:1" x14ac:dyDescent="0.25">
      <c r="A706">
        <v>804</v>
      </c>
    </row>
    <row r="707" spans="1:1" x14ac:dyDescent="0.25">
      <c r="A707">
        <v>805</v>
      </c>
    </row>
    <row r="708" spans="1:1" x14ac:dyDescent="0.25">
      <c r="A708">
        <v>806</v>
      </c>
    </row>
    <row r="709" spans="1:1" x14ac:dyDescent="0.25">
      <c r="A709">
        <v>807</v>
      </c>
    </row>
    <row r="710" spans="1:1" x14ac:dyDescent="0.25">
      <c r="A710">
        <v>808</v>
      </c>
    </row>
    <row r="711" spans="1:1" x14ac:dyDescent="0.25">
      <c r="A711">
        <v>809</v>
      </c>
    </row>
    <row r="712" spans="1:1" x14ac:dyDescent="0.25">
      <c r="A712">
        <v>810</v>
      </c>
    </row>
    <row r="713" spans="1:1" x14ac:dyDescent="0.25">
      <c r="A713">
        <v>811</v>
      </c>
    </row>
    <row r="714" spans="1:1" x14ac:dyDescent="0.25">
      <c r="A714">
        <v>812</v>
      </c>
    </row>
    <row r="715" spans="1:1" x14ac:dyDescent="0.25">
      <c r="A715">
        <v>813</v>
      </c>
    </row>
    <row r="716" spans="1:1" x14ac:dyDescent="0.25">
      <c r="A716">
        <v>814</v>
      </c>
    </row>
    <row r="717" spans="1:1" x14ac:dyDescent="0.25">
      <c r="A717">
        <v>815</v>
      </c>
    </row>
    <row r="718" spans="1:1" x14ac:dyDescent="0.25">
      <c r="A718">
        <v>816</v>
      </c>
    </row>
    <row r="719" spans="1:1" x14ac:dyDescent="0.25">
      <c r="A719">
        <v>817</v>
      </c>
    </row>
    <row r="720" spans="1:1" x14ac:dyDescent="0.25">
      <c r="A720">
        <v>818</v>
      </c>
    </row>
    <row r="721" spans="1:1" x14ac:dyDescent="0.25">
      <c r="A721">
        <v>819</v>
      </c>
    </row>
    <row r="722" spans="1:1" x14ac:dyDescent="0.25">
      <c r="A722">
        <v>820</v>
      </c>
    </row>
    <row r="723" spans="1:1" x14ac:dyDescent="0.25">
      <c r="A723">
        <v>821</v>
      </c>
    </row>
    <row r="724" spans="1:1" x14ac:dyDescent="0.25">
      <c r="A724">
        <v>822</v>
      </c>
    </row>
    <row r="725" spans="1:1" x14ac:dyDescent="0.25">
      <c r="A725">
        <v>823</v>
      </c>
    </row>
    <row r="726" spans="1:1" x14ac:dyDescent="0.25">
      <c r="A726">
        <v>824</v>
      </c>
    </row>
    <row r="727" spans="1:1" x14ac:dyDescent="0.25">
      <c r="A727">
        <v>825</v>
      </c>
    </row>
    <row r="728" spans="1:1" x14ac:dyDescent="0.25">
      <c r="A728">
        <v>826</v>
      </c>
    </row>
    <row r="729" spans="1:1" x14ac:dyDescent="0.25">
      <c r="A729">
        <v>827</v>
      </c>
    </row>
    <row r="730" spans="1:1" x14ac:dyDescent="0.25">
      <c r="A730">
        <v>828</v>
      </c>
    </row>
    <row r="731" spans="1:1" x14ac:dyDescent="0.25">
      <c r="A731">
        <v>829</v>
      </c>
    </row>
    <row r="732" spans="1:1" x14ac:dyDescent="0.25">
      <c r="A732">
        <v>830</v>
      </c>
    </row>
    <row r="733" spans="1:1" x14ac:dyDescent="0.25">
      <c r="A733">
        <v>831</v>
      </c>
    </row>
    <row r="734" spans="1:1" x14ac:dyDescent="0.25">
      <c r="A734">
        <v>832</v>
      </c>
    </row>
    <row r="735" spans="1:1" x14ac:dyDescent="0.25">
      <c r="A735">
        <v>833</v>
      </c>
    </row>
    <row r="736" spans="1:1" x14ac:dyDescent="0.25">
      <c r="A736">
        <v>834</v>
      </c>
    </row>
    <row r="737" spans="1:1" x14ac:dyDescent="0.25">
      <c r="A737">
        <v>835</v>
      </c>
    </row>
    <row r="738" spans="1:1" x14ac:dyDescent="0.25">
      <c r="A738">
        <v>836</v>
      </c>
    </row>
    <row r="739" spans="1:1" x14ac:dyDescent="0.25">
      <c r="A739">
        <v>837</v>
      </c>
    </row>
    <row r="740" spans="1:1" x14ac:dyDescent="0.25">
      <c r="A740">
        <v>838</v>
      </c>
    </row>
    <row r="741" spans="1:1" x14ac:dyDescent="0.25">
      <c r="A741">
        <v>839</v>
      </c>
    </row>
    <row r="742" spans="1:1" x14ac:dyDescent="0.25">
      <c r="A742">
        <v>840</v>
      </c>
    </row>
    <row r="743" spans="1:1" x14ac:dyDescent="0.25">
      <c r="A743">
        <v>841</v>
      </c>
    </row>
    <row r="744" spans="1:1" x14ac:dyDescent="0.25">
      <c r="A744">
        <v>842</v>
      </c>
    </row>
    <row r="745" spans="1:1" x14ac:dyDescent="0.25">
      <c r="A745">
        <v>843</v>
      </c>
    </row>
    <row r="746" spans="1:1" x14ac:dyDescent="0.25">
      <c r="A746">
        <v>844</v>
      </c>
    </row>
    <row r="747" spans="1:1" x14ac:dyDescent="0.25">
      <c r="A747">
        <v>845</v>
      </c>
    </row>
    <row r="748" spans="1:1" x14ac:dyDescent="0.25">
      <c r="A748">
        <v>846</v>
      </c>
    </row>
    <row r="749" spans="1:1" x14ac:dyDescent="0.25">
      <c r="A749">
        <v>847</v>
      </c>
    </row>
    <row r="750" spans="1:1" x14ac:dyDescent="0.25">
      <c r="A750">
        <v>848</v>
      </c>
    </row>
    <row r="751" spans="1:1" x14ac:dyDescent="0.25">
      <c r="A751">
        <v>849</v>
      </c>
    </row>
    <row r="752" spans="1:1" x14ac:dyDescent="0.25">
      <c r="A752">
        <v>850</v>
      </c>
    </row>
    <row r="753" spans="1:1" x14ac:dyDescent="0.25">
      <c r="A753">
        <v>851</v>
      </c>
    </row>
    <row r="754" spans="1:1" x14ac:dyDescent="0.25">
      <c r="A754">
        <v>852</v>
      </c>
    </row>
    <row r="755" spans="1:1" x14ac:dyDescent="0.25">
      <c r="A755">
        <v>853</v>
      </c>
    </row>
    <row r="756" spans="1:1" x14ac:dyDescent="0.25">
      <c r="A756">
        <v>854</v>
      </c>
    </row>
    <row r="757" spans="1:1" x14ac:dyDescent="0.25">
      <c r="A757">
        <v>855</v>
      </c>
    </row>
    <row r="758" spans="1:1" x14ac:dyDescent="0.25">
      <c r="A758">
        <v>856</v>
      </c>
    </row>
    <row r="759" spans="1:1" x14ac:dyDescent="0.25">
      <c r="A759">
        <v>857</v>
      </c>
    </row>
    <row r="760" spans="1:1" x14ac:dyDescent="0.25">
      <c r="A760">
        <v>858</v>
      </c>
    </row>
    <row r="761" spans="1:1" x14ac:dyDescent="0.25">
      <c r="A761">
        <v>859</v>
      </c>
    </row>
    <row r="762" spans="1:1" x14ac:dyDescent="0.25">
      <c r="A762">
        <v>860</v>
      </c>
    </row>
    <row r="763" spans="1:1" x14ac:dyDescent="0.25">
      <c r="A763">
        <v>861</v>
      </c>
    </row>
    <row r="764" spans="1:1" x14ac:dyDescent="0.25">
      <c r="A764">
        <v>862</v>
      </c>
    </row>
    <row r="765" spans="1:1" x14ac:dyDescent="0.25">
      <c r="A765">
        <v>863</v>
      </c>
    </row>
    <row r="766" spans="1:1" x14ac:dyDescent="0.25">
      <c r="A766">
        <v>864</v>
      </c>
    </row>
    <row r="767" spans="1:1" x14ac:dyDescent="0.25">
      <c r="A767">
        <v>865</v>
      </c>
    </row>
    <row r="768" spans="1:1" x14ac:dyDescent="0.25">
      <c r="A768">
        <v>866</v>
      </c>
    </row>
    <row r="769" spans="1:1" x14ac:dyDescent="0.25">
      <c r="A769">
        <v>867</v>
      </c>
    </row>
    <row r="770" spans="1:1" x14ac:dyDescent="0.25">
      <c r="A770">
        <v>868</v>
      </c>
    </row>
    <row r="771" spans="1:1" x14ac:dyDescent="0.25">
      <c r="A771">
        <v>869</v>
      </c>
    </row>
    <row r="772" spans="1:1" x14ac:dyDescent="0.25">
      <c r="A772">
        <v>870</v>
      </c>
    </row>
    <row r="773" spans="1:1" x14ac:dyDescent="0.25">
      <c r="A773">
        <v>871</v>
      </c>
    </row>
    <row r="774" spans="1:1" x14ac:dyDescent="0.25">
      <c r="A774">
        <v>872</v>
      </c>
    </row>
    <row r="775" spans="1:1" x14ac:dyDescent="0.25">
      <c r="A775">
        <v>873</v>
      </c>
    </row>
    <row r="776" spans="1:1" x14ac:dyDescent="0.25">
      <c r="A776">
        <v>874</v>
      </c>
    </row>
    <row r="777" spans="1:1" x14ac:dyDescent="0.25">
      <c r="A777">
        <v>875</v>
      </c>
    </row>
    <row r="778" spans="1:1" x14ac:dyDescent="0.25">
      <c r="A778">
        <v>876</v>
      </c>
    </row>
    <row r="779" spans="1:1" x14ac:dyDescent="0.25">
      <c r="A779">
        <v>877</v>
      </c>
    </row>
    <row r="780" spans="1:1" x14ac:dyDescent="0.25">
      <c r="A780">
        <v>878</v>
      </c>
    </row>
    <row r="781" spans="1:1" x14ac:dyDescent="0.25">
      <c r="A781">
        <v>879</v>
      </c>
    </row>
    <row r="782" spans="1:1" x14ac:dyDescent="0.25">
      <c r="A782">
        <v>880</v>
      </c>
    </row>
    <row r="783" spans="1:1" x14ac:dyDescent="0.25">
      <c r="A783">
        <v>881</v>
      </c>
    </row>
    <row r="784" spans="1:1" x14ac:dyDescent="0.25">
      <c r="A784">
        <v>882</v>
      </c>
    </row>
    <row r="785" spans="1:1" x14ac:dyDescent="0.25">
      <c r="A785">
        <v>883</v>
      </c>
    </row>
    <row r="786" spans="1:1" x14ac:dyDescent="0.25">
      <c r="A786">
        <v>884</v>
      </c>
    </row>
    <row r="787" spans="1:1" x14ac:dyDescent="0.25">
      <c r="A787">
        <v>885</v>
      </c>
    </row>
    <row r="788" spans="1:1" x14ac:dyDescent="0.25">
      <c r="A788">
        <v>886</v>
      </c>
    </row>
    <row r="789" spans="1:1" x14ac:dyDescent="0.25">
      <c r="A789">
        <v>887</v>
      </c>
    </row>
    <row r="790" spans="1:1" x14ac:dyDescent="0.25">
      <c r="A790">
        <v>888</v>
      </c>
    </row>
    <row r="791" spans="1:1" x14ac:dyDescent="0.25">
      <c r="A791">
        <v>889</v>
      </c>
    </row>
    <row r="792" spans="1:1" x14ac:dyDescent="0.25">
      <c r="A792">
        <v>890</v>
      </c>
    </row>
    <row r="793" spans="1:1" x14ac:dyDescent="0.25">
      <c r="A793">
        <v>891</v>
      </c>
    </row>
    <row r="794" spans="1:1" x14ac:dyDescent="0.25">
      <c r="A794">
        <v>892</v>
      </c>
    </row>
    <row r="795" spans="1:1" x14ac:dyDescent="0.25">
      <c r="A795">
        <v>893</v>
      </c>
    </row>
    <row r="796" spans="1:1" x14ac:dyDescent="0.25">
      <c r="A796">
        <v>894</v>
      </c>
    </row>
    <row r="797" spans="1:1" x14ac:dyDescent="0.25">
      <c r="A797">
        <v>895</v>
      </c>
    </row>
    <row r="798" spans="1:1" x14ac:dyDescent="0.25">
      <c r="A798">
        <v>896</v>
      </c>
    </row>
    <row r="799" spans="1:1" x14ac:dyDescent="0.25">
      <c r="A799">
        <v>897</v>
      </c>
    </row>
    <row r="800" spans="1:1" x14ac:dyDescent="0.25">
      <c r="A800">
        <v>898</v>
      </c>
    </row>
    <row r="801" spans="1:1" x14ac:dyDescent="0.25">
      <c r="A801">
        <v>899</v>
      </c>
    </row>
    <row r="802" spans="1:1" x14ac:dyDescent="0.25">
      <c r="A802">
        <v>900</v>
      </c>
    </row>
    <row r="803" spans="1:1" x14ac:dyDescent="0.25">
      <c r="A803">
        <v>901</v>
      </c>
    </row>
    <row r="804" spans="1:1" x14ac:dyDescent="0.25">
      <c r="A804">
        <v>902</v>
      </c>
    </row>
    <row r="805" spans="1:1" x14ac:dyDescent="0.25">
      <c r="A805">
        <v>903</v>
      </c>
    </row>
    <row r="806" spans="1:1" x14ac:dyDescent="0.25">
      <c r="A806">
        <v>904</v>
      </c>
    </row>
    <row r="807" spans="1:1" x14ac:dyDescent="0.25">
      <c r="A807">
        <v>905</v>
      </c>
    </row>
    <row r="808" spans="1:1" x14ac:dyDescent="0.25">
      <c r="A808">
        <v>906</v>
      </c>
    </row>
    <row r="809" spans="1:1" x14ac:dyDescent="0.25">
      <c r="A809">
        <v>907</v>
      </c>
    </row>
    <row r="810" spans="1:1" x14ac:dyDescent="0.25">
      <c r="A810">
        <v>908</v>
      </c>
    </row>
    <row r="811" spans="1:1" x14ac:dyDescent="0.25">
      <c r="A811">
        <v>909</v>
      </c>
    </row>
    <row r="812" spans="1:1" x14ac:dyDescent="0.25">
      <c r="A812">
        <v>910</v>
      </c>
    </row>
    <row r="813" spans="1:1" x14ac:dyDescent="0.25">
      <c r="A813">
        <v>911</v>
      </c>
    </row>
    <row r="814" spans="1:1" x14ac:dyDescent="0.25">
      <c r="A814">
        <v>912</v>
      </c>
    </row>
    <row r="815" spans="1:1" x14ac:dyDescent="0.25">
      <c r="A815">
        <v>913</v>
      </c>
    </row>
    <row r="816" spans="1:1" x14ac:dyDescent="0.25">
      <c r="A816">
        <v>914</v>
      </c>
    </row>
    <row r="817" spans="1:1" x14ac:dyDescent="0.25">
      <c r="A817">
        <v>915</v>
      </c>
    </row>
    <row r="818" spans="1:1" x14ac:dyDescent="0.25">
      <c r="A818">
        <v>916</v>
      </c>
    </row>
    <row r="819" spans="1:1" x14ac:dyDescent="0.25">
      <c r="A819">
        <v>917</v>
      </c>
    </row>
    <row r="820" spans="1:1" x14ac:dyDescent="0.25">
      <c r="A820">
        <v>918</v>
      </c>
    </row>
    <row r="821" spans="1:1" x14ac:dyDescent="0.25">
      <c r="A821">
        <v>919</v>
      </c>
    </row>
    <row r="822" spans="1:1" x14ac:dyDescent="0.25">
      <c r="A822">
        <v>920</v>
      </c>
    </row>
    <row r="823" spans="1:1" x14ac:dyDescent="0.25">
      <c r="A823">
        <v>921</v>
      </c>
    </row>
    <row r="824" spans="1:1" x14ac:dyDescent="0.25">
      <c r="A824">
        <v>922</v>
      </c>
    </row>
    <row r="825" spans="1:1" x14ac:dyDescent="0.25">
      <c r="A825">
        <v>923</v>
      </c>
    </row>
    <row r="826" spans="1:1" x14ac:dyDescent="0.25">
      <c r="A826">
        <v>924</v>
      </c>
    </row>
    <row r="827" spans="1:1" x14ac:dyDescent="0.25">
      <c r="A827">
        <v>925</v>
      </c>
    </row>
    <row r="828" spans="1:1" x14ac:dyDescent="0.25">
      <c r="A828">
        <v>926</v>
      </c>
    </row>
    <row r="829" spans="1:1" x14ac:dyDescent="0.25">
      <c r="A829">
        <v>927</v>
      </c>
    </row>
    <row r="830" spans="1:1" x14ac:dyDescent="0.25">
      <c r="A830">
        <v>928</v>
      </c>
    </row>
    <row r="831" spans="1:1" x14ac:dyDescent="0.25">
      <c r="A831">
        <v>929</v>
      </c>
    </row>
    <row r="832" spans="1:1" x14ac:dyDescent="0.25">
      <c r="A832">
        <v>930</v>
      </c>
    </row>
    <row r="833" spans="1:1" x14ac:dyDescent="0.25">
      <c r="A833">
        <v>931</v>
      </c>
    </row>
    <row r="834" spans="1:1" x14ac:dyDescent="0.25">
      <c r="A834">
        <v>932</v>
      </c>
    </row>
    <row r="835" spans="1:1" x14ac:dyDescent="0.25">
      <c r="A835">
        <v>933</v>
      </c>
    </row>
    <row r="836" spans="1:1" x14ac:dyDescent="0.25">
      <c r="A836">
        <v>934</v>
      </c>
    </row>
    <row r="837" spans="1:1" x14ac:dyDescent="0.25">
      <c r="A837">
        <v>935</v>
      </c>
    </row>
    <row r="838" spans="1:1" x14ac:dyDescent="0.25">
      <c r="A838">
        <v>936</v>
      </c>
    </row>
    <row r="839" spans="1:1" x14ac:dyDescent="0.25">
      <c r="A839">
        <v>937</v>
      </c>
    </row>
    <row r="840" spans="1:1" x14ac:dyDescent="0.25">
      <c r="A840">
        <v>938</v>
      </c>
    </row>
    <row r="841" spans="1:1" x14ac:dyDescent="0.25">
      <c r="A841">
        <v>939</v>
      </c>
    </row>
    <row r="842" spans="1:1" x14ac:dyDescent="0.25">
      <c r="A842">
        <v>940</v>
      </c>
    </row>
    <row r="843" spans="1:1" x14ac:dyDescent="0.25">
      <c r="A843">
        <v>941</v>
      </c>
    </row>
    <row r="844" spans="1:1" x14ac:dyDescent="0.25">
      <c r="A844">
        <v>942</v>
      </c>
    </row>
    <row r="845" spans="1:1" x14ac:dyDescent="0.25">
      <c r="A845">
        <v>943</v>
      </c>
    </row>
    <row r="846" spans="1:1" x14ac:dyDescent="0.25">
      <c r="A846">
        <v>944</v>
      </c>
    </row>
    <row r="847" spans="1:1" x14ac:dyDescent="0.25">
      <c r="A847">
        <v>945</v>
      </c>
    </row>
    <row r="848" spans="1:1" x14ac:dyDescent="0.25">
      <c r="A848">
        <v>946</v>
      </c>
    </row>
    <row r="849" spans="1:1" x14ac:dyDescent="0.25">
      <c r="A849">
        <v>947</v>
      </c>
    </row>
    <row r="850" spans="1:1" x14ac:dyDescent="0.25">
      <c r="A850">
        <v>948</v>
      </c>
    </row>
    <row r="851" spans="1:1" x14ac:dyDescent="0.25">
      <c r="A851">
        <v>949</v>
      </c>
    </row>
    <row r="852" spans="1:1" x14ac:dyDescent="0.25">
      <c r="A852">
        <v>950</v>
      </c>
    </row>
    <row r="853" spans="1:1" x14ac:dyDescent="0.25">
      <c r="A853">
        <v>951</v>
      </c>
    </row>
    <row r="854" spans="1:1" x14ac:dyDescent="0.25">
      <c r="A854">
        <v>952</v>
      </c>
    </row>
    <row r="855" spans="1:1" x14ac:dyDescent="0.25">
      <c r="A855">
        <v>953</v>
      </c>
    </row>
    <row r="856" spans="1:1" x14ac:dyDescent="0.25">
      <c r="A856">
        <v>954</v>
      </c>
    </row>
    <row r="857" spans="1:1" x14ac:dyDescent="0.25">
      <c r="A857">
        <v>955</v>
      </c>
    </row>
    <row r="858" spans="1:1" x14ac:dyDescent="0.25">
      <c r="A858">
        <v>956</v>
      </c>
    </row>
    <row r="859" spans="1:1" x14ac:dyDescent="0.25">
      <c r="A859">
        <v>957</v>
      </c>
    </row>
    <row r="860" spans="1:1" x14ac:dyDescent="0.25">
      <c r="A860">
        <v>958</v>
      </c>
    </row>
    <row r="861" spans="1:1" x14ac:dyDescent="0.25">
      <c r="A861">
        <v>959</v>
      </c>
    </row>
    <row r="862" spans="1:1" x14ac:dyDescent="0.25">
      <c r="A862">
        <v>960</v>
      </c>
    </row>
    <row r="863" spans="1:1" x14ac:dyDescent="0.25">
      <c r="A863">
        <v>961</v>
      </c>
    </row>
    <row r="864" spans="1:1" x14ac:dyDescent="0.25">
      <c r="A864">
        <v>962</v>
      </c>
    </row>
    <row r="865" spans="1:1" x14ac:dyDescent="0.25">
      <c r="A865">
        <v>963</v>
      </c>
    </row>
    <row r="866" spans="1:1" x14ac:dyDescent="0.25">
      <c r="A866">
        <v>964</v>
      </c>
    </row>
    <row r="867" spans="1:1" x14ac:dyDescent="0.25">
      <c r="A867">
        <v>965</v>
      </c>
    </row>
    <row r="868" spans="1:1" x14ac:dyDescent="0.25">
      <c r="A868">
        <v>966</v>
      </c>
    </row>
    <row r="869" spans="1:1" x14ac:dyDescent="0.25">
      <c r="A869">
        <v>967</v>
      </c>
    </row>
    <row r="870" spans="1:1" x14ac:dyDescent="0.25">
      <c r="A870">
        <v>968</v>
      </c>
    </row>
    <row r="871" spans="1:1" x14ac:dyDescent="0.25">
      <c r="A871">
        <v>969</v>
      </c>
    </row>
    <row r="872" spans="1:1" x14ac:dyDescent="0.25">
      <c r="A872">
        <v>970</v>
      </c>
    </row>
    <row r="873" spans="1:1" x14ac:dyDescent="0.25">
      <c r="A873">
        <v>971</v>
      </c>
    </row>
    <row r="874" spans="1:1" x14ac:dyDescent="0.25">
      <c r="A874">
        <v>972</v>
      </c>
    </row>
    <row r="875" spans="1:1" x14ac:dyDescent="0.25">
      <c r="A875">
        <v>973</v>
      </c>
    </row>
    <row r="876" spans="1:1" x14ac:dyDescent="0.25">
      <c r="A876">
        <v>974</v>
      </c>
    </row>
    <row r="877" spans="1:1" x14ac:dyDescent="0.25">
      <c r="A877">
        <v>975</v>
      </c>
    </row>
    <row r="878" spans="1:1" x14ac:dyDescent="0.25">
      <c r="A878">
        <v>976</v>
      </c>
    </row>
    <row r="879" spans="1:1" x14ac:dyDescent="0.25">
      <c r="A879">
        <v>977</v>
      </c>
    </row>
    <row r="880" spans="1:1" x14ac:dyDescent="0.25">
      <c r="A880">
        <v>978</v>
      </c>
    </row>
    <row r="881" spans="1:1" x14ac:dyDescent="0.25">
      <c r="A881">
        <v>979</v>
      </c>
    </row>
    <row r="882" spans="1:1" x14ac:dyDescent="0.25">
      <c r="A882">
        <v>980</v>
      </c>
    </row>
    <row r="883" spans="1:1" x14ac:dyDescent="0.25">
      <c r="A883">
        <v>981</v>
      </c>
    </row>
    <row r="884" spans="1:1" x14ac:dyDescent="0.25">
      <c r="A884">
        <v>982</v>
      </c>
    </row>
    <row r="885" spans="1:1" x14ac:dyDescent="0.25">
      <c r="A885">
        <v>983</v>
      </c>
    </row>
    <row r="886" spans="1:1" x14ac:dyDescent="0.25">
      <c r="A886">
        <v>984</v>
      </c>
    </row>
    <row r="887" spans="1:1" x14ac:dyDescent="0.25">
      <c r="A887">
        <v>985</v>
      </c>
    </row>
    <row r="888" spans="1:1" x14ac:dyDescent="0.25">
      <c r="A888">
        <v>986</v>
      </c>
    </row>
    <row r="889" spans="1:1" x14ac:dyDescent="0.25">
      <c r="A889">
        <v>987</v>
      </c>
    </row>
    <row r="890" spans="1:1" x14ac:dyDescent="0.25">
      <c r="A890">
        <v>988</v>
      </c>
    </row>
    <row r="891" spans="1:1" x14ac:dyDescent="0.25">
      <c r="A891">
        <v>989</v>
      </c>
    </row>
    <row r="892" spans="1:1" x14ac:dyDescent="0.25">
      <c r="A892">
        <v>990</v>
      </c>
    </row>
    <row r="893" spans="1:1" x14ac:dyDescent="0.25">
      <c r="A893">
        <v>991</v>
      </c>
    </row>
    <row r="894" spans="1:1" x14ac:dyDescent="0.25">
      <c r="A894">
        <v>992</v>
      </c>
    </row>
    <row r="895" spans="1:1" x14ac:dyDescent="0.25">
      <c r="A895">
        <v>993</v>
      </c>
    </row>
    <row r="896" spans="1:1" x14ac:dyDescent="0.25">
      <c r="A896">
        <v>994</v>
      </c>
    </row>
    <row r="897" spans="1:1" x14ac:dyDescent="0.25">
      <c r="A897">
        <v>995</v>
      </c>
    </row>
    <row r="898" spans="1:1" x14ac:dyDescent="0.25">
      <c r="A898">
        <v>996</v>
      </c>
    </row>
    <row r="899" spans="1:1" x14ac:dyDescent="0.25">
      <c r="A899">
        <v>997</v>
      </c>
    </row>
    <row r="900" spans="1:1" x14ac:dyDescent="0.25">
      <c r="A900">
        <v>998</v>
      </c>
    </row>
    <row r="901" spans="1:1" x14ac:dyDescent="0.25">
      <c r="A901">
        <v>999</v>
      </c>
    </row>
    <row r="902" spans="1:1" x14ac:dyDescent="0.25">
      <c r="A902">
        <v>1000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2:A902"/>
  <sheetViews>
    <sheetView workbookViewId="0"/>
  </sheetViews>
  <sheetFormatPr defaultColWidth="9.140625" defaultRowHeight="15" x14ac:dyDescent="0.25"/>
  <cols>
    <col min="1" max="16384" width="9.140625" style="24"/>
  </cols>
  <sheetData>
    <row r="2" spans="1:1" x14ac:dyDescent="0.25">
      <c r="A2" s="24">
        <v>100</v>
      </c>
    </row>
    <row r="3" spans="1:1" x14ac:dyDescent="0.25">
      <c r="A3" s="24">
        <v>101</v>
      </c>
    </row>
    <row r="4" spans="1:1" x14ac:dyDescent="0.25">
      <c r="A4" s="24">
        <v>102</v>
      </c>
    </row>
    <row r="5" spans="1:1" x14ac:dyDescent="0.25">
      <c r="A5" s="24">
        <v>103</v>
      </c>
    </row>
    <row r="6" spans="1:1" x14ac:dyDescent="0.25">
      <c r="A6" s="24">
        <v>104</v>
      </c>
    </row>
    <row r="7" spans="1:1" x14ac:dyDescent="0.25">
      <c r="A7" s="24">
        <v>105</v>
      </c>
    </row>
    <row r="8" spans="1:1" x14ac:dyDescent="0.25">
      <c r="A8" s="24">
        <v>106</v>
      </c>
    </row>
    <row r="9" spans="1:1" x14ac:dyDescent="0.25">
      <c r="A9" s="24">
        <v>107</v>
      </c>
    </row>
    <row r="10" spans="1:1" x14ac:dyDescent="0.25">
      <c r="A10" s="24">
        <v>108</v>
      </c>
    </row>
    <row r="11" spans="1:1" x14ac:dyDescent="0.25">
      <c r="A11" s="24">
        <v>109</v>
      </c>
    </row>
    <row r="12" spans="1:1" x14ac:dyDescent="0.25">
      <c r="A12" s="24">
        <v>110</v>
      </c>
    </row>
    <row r="13" spans="1:1" x14ac:dyDescent="0.25">
      <c r="A13" s="24">
        <v>111</v>
      </c>
    </row>
    <row r="14" spans="1:1" x14ac:dyDescent="0.25">
      <c r="A14" s="24">
        <v>112</v>
      </c>
    </row>
    <row r="15" spans="1:1" x14ac:dyDescent="0.25">
      <c r="A15" s="24">
        <v>113</v>
      </c>
    </row>
    <row r="16" spans="1:1" x14ac:dyDescent="0.25">
      <c r="A16" s="24">
        <v>114</v>
      </c>
    </row>
    <row r="17" spans="1:1" x14ac:dyDescent="0.25">
      <c r="A17" s="24">
        <v>115</v>
      </c>
    </row>
    <row r="18" spans="1:1" x14ac:dyDescent="0.25">
      <c r="A18" s="24">
        <v>116</v>
      </c>
    </row>
    <row r="19" spans="1:1" x14ac:dyDescent="0.25">
      <c r="A19" s="24">
        <v>117</v>
      </c>
    </row>
    <row r="20" spans="1:1" x14ac:dyDescent="0.25">
      <c r="A20" s="24">
        <v>118</v>
      </c>
    </row>
    <row r="21" spans="1:1" x14ac:dyDescent="0.25">
      <c r="A21" s="24">
        <v>119</v>
      </c>
    </row>
    <row r="22" spans="1:1" x14ac:dyDescent="0.25">
      <c r="A22" s="24">
        <v>120</v>
      </c>
    </row>
    <row r="23" spans="1:1" x14ac:dyDescent="0.25">
      <c r="A23" s="24">
        <v>121</v>
      </c>
    </row>
    <row r="24" spans="1:1" x14ac:dyDescent="0.25">
      <c r="A24" s="24">
        <v>122</v>
      </c>
    </row>
    <row r="25" spans="1:1" x14ac:dyDescent="0.25">
      <c r="A25" s="24">
        <v>123</v>
      </c>
    </row>
    <row r="26" spans="1:1" x14ac:dyDescent="0.25">
      <c r="A26" s="24">
        <v>124</v>
      </c>
    </row>
    <row r="27" spans="1:1" x14ac:dyDescent="0.25">
      <c r="A27" s="24">
        <v>125</v>
      </c>
    </row>
    <row r="28" spans="1:1" x14ac:dyDescent="0.25">
      <c r="A28" s="24">
        <v>126</v>
      </c>
    </row>
    <row r="29" spans="1:1" x14ac:dyDescent="0.25">
      <c r="A29" s="24">
        <v>127</v>
      </c>
    </row>
    <row r="30" spans="1:1" x14ac:dyDescent="0.25">
      <c r="A30" s="24">
        <v>128</v>
      </c>
    </row>
    <row r="31" spans="1:1" x14ac:dyDescent="0.25">
      <c r="A31" s="24">
        <v>129</v>
      </c>
    </row>
    <row r="32" spans="1:1" x14ac:dyDescent="0.25">
      <c r="A32" s="24">
        <v>130</v>
      </c>
    </row>
    <row r="33" spans="1:1" x14ac:dyDescent="0.25">
      <c r="A33" s="24">
        <v>131</v>
      </c>
    </row>
    <row r="34" spans="1:1" x14ac:dyDescent="0.25">
      <c r="A34" s="24">
        <v>132</v>
      </c>
    </row>
    <row r="35" spans="1:1" x14ac:dyDescent="0.25">
      <c r="A35" s="24">
        <v>133</v>
      </c>
    </row>
    <row r="36" spans="1:1" x14ac:dyDescent="0.25">
      <c r="A36" s="24">
        <v>134</v>
      </c>
    </row>
    <row r="37" spans="1:1" x14ac:dyDescent="0.25">
      <c r="A37" s="24">
        <v>135</v>
      </c>
    </row>
    <row r="38" spans="1:1" x14ac:dyDescent="0.25">
      <c r="A38" s="24">
        <v>136</v>
      </c>
    </row>
    <row r="39" spans="1:1" x14ac:dyDescent="0.25">
      <c r="A39" s="24">
        <v>137</v>
      </c>
    </row>
    <row r="40" spans="1:1" x14ac:dyDescent="0.25">
      <c r="A40" s="24">
        <v>138</v>
      </c>
    </row>
    <row r="41" spans="1:1" x14ac:dyDescent="0.25">
      <c r="A41" s="24">
        <v>139</v>
      </c>
    </row>
    <row r="42" spans="1:1" x14ac:dyDescent="0.25">
      <c r="A42" s="24">
        <v>140</v>
      </c>
    </row>
    <row r="43" spans="1:1" x14ac:dyDescent="0.25">
      <c r="A43" s="24">
        <v>141</v>
      </c>
    </row>
    <row r="44" spans="1:1" x14ac:dyDescent="0.25">
      <c r="A44" s="24">
        <v>142</v>
      </c>
    </row>
    <row r="45" spans="1:1" x14ac:dyDescent="0.25">
      <c r="A45" s="24">
        <v>143</v>
      </c>
    </row>
    <row r="46" spans="1:1" x14ac:dyDescent="0.25">
      <c r="A46" s="24">
        <v>144</v>
      </c>
    </row>
    <row r="47" spans="1:1" x14ac:dyDescent="0.25">
      <c r="A47" s="24">
        <v>145</v>
      </c>
    </row>
    <row r="48" spans="1:1" x14ac:dyDescent="0.25">
      <c r="A48" s="24">
        <v>146</v>
      </c>
    </row>
    <row r="49" spans="1:1" x14ac:dyDescent="0.25">
      <c r="A49" s="24">
        <v>147</v>
      </c>
    </row>
    <row r="50" spans="1:1" x14ac:dyDescent="0.25">
      <c r="A50" s="24">
        <v>148</v>
      </c>
    </row>
    <row r="51" spans="1:1" x14ac:dyDescent="0.25">
      <c r="A51" s="24">
        <v>149</v>
      </c>
    </row>
    <row r="52" spans="1:1" x14ac:dyDescent="0.25">
      <c r="A52" s="24">
        <v>150</v>
      </c>
    </row>
    <row r="53" spans="1:1" x14ac:dyDescent="0.25">
      <c r="A53" s="24">
        <v>151</v>
      </c>
    </row>
    <row r="54" spans="1:1" x14ac:dyDescent="0.25">
      <c r="A54" s="24">
        <v>152</v>
      </c>
    </row>
    <row r="55" spans="1:1" x14ac:dyDescent="0.25">
      <c r="A55" s="24">
        <v>153</v>
      </c>
    </row>
    <row r="56" spans="1:1" x14ac:dyDescent="0.25">
      <c r="A56" s="24">
        <v>154</v>
      </c>
    </row>
    <row r="57" spans="1:1" x14ac:dyDescent="0.25">
      <c r="A57" s="24">
        <v>155</v>
      </c>
    </row>
    <row r="58" spans="1:1" x14ac:dyDescent="0.25">
      <c r="A58" s="24">
        <v>156</v>
      </c>
    </row>
    <row r="59" spans="1:1" x14ac:dyDescent="0.25">
      <c r="A59" s="24">
        <v>157</v>
      </c>
    </row>
    <row r="60" spans="1:1" x14ac:dyDescent="0.25">
      <c r="A60" s="24">
        <v>158</v>
      </c>
    </row>
    <row r="61" spans="1:1" x14ac:dyDescent="0.25">
      <c r="A61" s="24">
        <v>159</v>
      </c>
    </row>
    <row r="62" spans="1:1" x14ac:dyDescent="0.25">
      <c r="A62" s="24">
        <v>160</v>
      </c>
    </row>
    <row r="63" spans="1:1" x14ac:dyDescent="0.25">
      <c r="A63" s="24">
        <v>161</v>
      </c>
    </row>
    <row r="64" spans="1:1" x14ac:dyDescent="0.25">
      <c r="A64" s="24">
        <v>162</v>
      </c>
    </row>
    <row r="65" spans="1:1" x14ac:dyDescent="0.25">
      <c r="A65" s="24">
        <v>163</v>
      </c>
    </row>
    <row r="66" spans="1:1" x14ac:dyDescent="0.25">
      <c r="A66" s="24">
        <v>164</v>
      </c>
    </row>
    <row r="67" spans="1:1" x14ac:dyDescent="0.25">
      <c r="A67" s="24">
        <v>165</v>
      </c>
    </row>
    <row r="68" spans="1:1" x14ac:dyDescent="0.25">
      <c r="A68" s="24">
        <v>166</v>
      </c>
    </row>
    <row r="69" spans="1:1" x14ac:dyDescent="0.25">
      <c r="A69" s="24">
        <v>167</v>
      </c>
    </row>
    <row r="70" spans="1:1" x14ac:dyDescent="0.25">
      <c r="A70" s="24">
        <v>168</v>
      </c>
    </row>
    <row r="71" spans="1:1" x14ac:dyDescent="0.25">
      <c r="A71" s="24">
        <v>169</v>
      </c>
    </row>
    <row r="72" spans="1:1" x14ac:dyDescent="0.25">
      <c r="A72" s="24">
        <v>170</v>
      </c>
    </row>
    <row r="73" spans="1:1" x14ac:dyDescent="0.25">
      <c r="A73" s="24">
        <v>171</v>
      </c>
    </row>
    <row r="74" spans="1:1" x14ac:dyDescent="0.25">
      <c r="A74" s="24">
        <v>172</v>
      </c>
    </row>
    <row r="75" spans="1:1" x14ac:dyDescent="0.25">
      <c r="A75" s="24">
        <v>173</v>
      </c>
    </row>
    <row r="76" spans="1:1" x14ac:dyDescent="0.25">
      <c r="A76" s="24">
        <v>174</v>
      </c>
    </row>
    <row r="77" spans="1:1" x14ac:dyDescent="0.25">
      <c r="A77" s="24">
        <v>175</v>
      </c>
    </row>
    <row r="78" spans="1:1" x14ac:dyDescent="0.25">
      <c r="A78" s="24">
        <v>176</v>
      </c>
    </row>
    <row r="79" spans="1:1" x14ac:dyDescent="0.25">
      <c r="A79" s="24">
        <v>177</v>
      </c>
    </row>
    <row r="80" spans="1:1" x14ac:dyDescent="0.25">
      <c r="A80" s="24">
        <v>178</v>
      </c>
    </row>
    <row r="81" spans="1:1" x14ac:dyDescent="0.25">
      <c r="A81" s="24">
        <v>179</v>
      </c>
    </row>
    <row r="82" spans="1:1" x14ac:dyDescent="0.25">
      <c r="A82" s="24">
        <v>180</v>
      </c>
    </row>
    <row r="83" spans="1:1" x14ac:dyDescent="0.25">
      <c r="A83" s="24">
        <v>181</v>
      </c>
    </row>
    <row r="84" spans="1:1" x14ac:dyDescent="0.25">
      <c r="A84" s="24">
        <v>182</v>
      </c>
    </row>
    <row r="85" spans="1:1" x14ac:dyDescent="0.25">
      <c r="A85" s="24">
        <v>183</v>
      </c>
    </row>
    <row r="86" spans="1:1" x14ac:dyDescent="0.25">
      <c r="A86" s="24">
        <v>184</v>
      </c>
    </row>
    <row r="87" spans="1:1" x14ac:dyDescent="0.25">
      <c r="A87" s="24">
        <v>185</v>
      </c>
    </row>
    <row r="88" spans="1:1" x14ac:dyDescent="0.25">
      <c r="A88" s="24">
        <v>186</v>
      </c>
    </row>
    <row r="89" spans="1:1" x14ac:dyDescent="0.25">
      <c r="A89" s="24">
        <v>187</v>
      </c>
    </row>
    <row r="90" spans="1:1" x14ac:dyDescent="0.25">
      <c r="A90" s="24">
        <v>188</v>
      </c>
    </row>
    <row r="91" spans="1:1" x14ac:dyDescent="0.25">
      <c r="A91" s="24">
        <v>189</v>
      </c>
    </row>
    <row r="92" spans="1:1" x14ac:dyDescent="0.25">
      <c r="A92" s="24">
        <v>190</v>
      </c>
    </row>
    <row r="93" spans="1:1" x14ac:dyDescent="0.25">
      <c r="A93" s="24">
        <v>191</v>
      </c>
    </row>
    <row r="94" spans="1:1" x14ac:dyDescent="0.25">
      <c r="A94" s="24">
        <v>192</v>
      </c>
    </row>
    <row r="95" spans="1:1" x14ac:dyDescent="0.25">
      <c r="A95" s="24">
        <v>193</v>
      </c>
    </row>
    <row r="96" spans="1:1" x14ac:dyDescent="0.25">
      <c r="A96" s="24">
        <v>194</v>
      </c>
    </row>
    <row r="97" spans="1:1" x14ac:dyDescent="0.25">
      <c r="A97" s="24">
        <v>195</v>
      </c>
    </row>
    <row r="98" spans="1:1" x14ac:dyDescent="0.25">
      <c r="A98" s="24">
        <v>196</v>
      </c>
    </row>
    <row r="99" spans="1:1" x14ac:dyDescent="0.25">
      <c r="A99" s="24">
        <v>197</v>
      </c>
    </row>
    <row r="100" spans="1:1" x14ac:dyDescent="0.25">
      <c r="A100" s="24">
        <v>198</v>
      </c>
    </row>
    <row r="101" spans="1:1" x14ac:dyDescent="0.25">
      <c r="A101" s="24">
        <v>199</v>
      </c>
    </row>
    <row r="102" spans="1:1" x14ac:dyDescent="0.25">
      <c r="A102" s="24">
        <v>200</v>
      </c>
    </row>
    <row r="103" spans="1:1" x14ac:dyDescent="0.25">
      <c r="A103" s="24">
        <v>201</v>
      </c>
    </row>
    <row r="104" spans="1:1" x14ac:dyDescent="0.25">
      <c r="A104" s="24">
        <v>202</v>
      </c>
    </row>
    <row r="105" spans="1:1" x14ac:dyDescent="0.25">
      <c r="A105" s="24">
        <v>203</v>
      </c>
    </row>
    <row r="106" spans="1:1" x14ac:dyDescent="0.25">
      <c r="A106" s="24">
        <v>204</v>
      </c>
    </row>
    <row r="107" spans="1:1" x14ac:dyDescent="0.25">
      <c r="A107" s="24">
        <v>205</v>
      </c>
    </row>
    <row r="108" spans="1:1" x14ac:dyDescent="0.25">
      <c r="A108" s="24">
        <v>206</v>
      </c>
    </row>
    <row r="109" spans="1:1" x14ac:dyDescent="0.25">
      <c r="A109" s="24">
        <v>207</v>
      </c>
    </row>
    <row r="110" spans="1:1" x14ac:dyDescent="0.25">
      <c r="A110" s="24">
        <v>208</v>
      </c>
    </row>
    <row r="111" spans="1:1" x14ac:dyDescent="0.25">
      <c r="A111" s="24">
        <v>209</v>
      </c>
    </row>
    <row r="112" spans="1:1" x14ac:dyDescent="0.25">
      <c r="A112" s="24">
        <v>210</v>
      </c>
    </row>
    <row r="113" spans="1:1" x14ac:dyDescent="0.25">
      <c r="A113" s="24">
        <v>211</v>
      </c>
    </row>
    <row r="114" spans="1:1" x14ac:dyDescent="0.25">
      <c r="A114" s="24">
        <v>212</v>
      </c>
    </row>
    <row r="115" spans="1:1" x14ac:dyDescent="0.25">
      <c r="A115" s="24">
        <v>213</v>
      </c>
    </row>
    <row r="116" spans="1:1" x14ac:dyDescent="0.25">
      <c r="A116" s="24">
        <v>214</v>
      </c>
    </row>
    <row r="117" spans="1:1" x14ac:dyDescent="0.25">
      <c r="A117" s="24">
        <v>215</v>
      </c>
    </row>
    <row r="118" spans="1:1" x14ac:dyDescent="0.25">
      <c r="A118" s="24">
        <v>216</v>
      </c>
    </row>
    <row r="119" spans="1:1" x14ac:dyDescent="0.25">
      <c r="A119" s="24">
        <v>217</v>
      </c>
    </row>
    <row r="120" spans="1:1" x14ac:dyDescent="0.25">
      <c r="A120" s="24">
        <v>218</v>
      </c>
    </row>
    <row r="121" spans="1:1" x14ac:dyDescent="0.25">
      <c r="A121" s="24">
        <v>219</v>
      </c>
    </row>
    <row r="122" spans="1:1" x14ac:dyDescent="0.25">
      <c r="A122" s="24">
        <v>220</v>
      </c>
    </row>
    <row r="123" spans="1:1" x14ac:dyDescent="0.25">
      <c r="A123" s="24">
        <v>221</v>
      </c>
    </row>
    <row r="124" spans="1:1" x14ac:dyDescent="0.25">
      <c r="A124" s="24">
        <v>222</v>
      </c>
    </row>
    <row r="125" spans="1:1" x14ac:dyDescent="0.25">
      <c r="A125" s="24">
        <v>223</v>
      </c>
    </row>
    <row r="126" spans="1:1" x14ac:dyDescent="0.25">
      <c r="A126" s="24">
        <v>224</v>
      </c>
    </row>
    <row r="127" spans="1:1" x14ac:dyDescent="0.25">
      <c r="A127" s="24">
        <v>225</v>
      </c>
    </row>
    <row r="128" spans="1:1" x14ac:dyDescent="0.25">
      <c r="A128" s="24">
        <v>226</v>
      </c>
    </row>
    <row r="129" spans="1:1" x14ac:dyDescent="0.25">
      <c r="A129" s="24">
        <v>227</v>
      </c>
    </row>
    <row r="130" spans="1:1" x14ac:dyDescent="0.25">
      <c r="A130" s="24">
        <v>228</v>
      </c>
    </row>
    <row r="131" spans="1:1" x14ac:dyDescent="0.25">
      <c r="A131" s="24">
        <v>229</v>
      </c>
    </row>
    <row r="132" spans="1:1" x14ac:dyDescent="0.25">
      <c r="A132" s="24">
        <v>230</v>
      </c>
    </row>
    <row r="133" spans="1:1" x14ac:dyDescent="0.25">
      <c r="A133" s="24">
        <v>231</v>
      </c>
    </row>
    <row r="134" spans="1:1" x14ac:dyDescent="0.25">
      <c r="A134" s="24">
        <v>232</v>
      </c>
    </row>
    <row r="135" spans="1:1" x14ac:dyDescent="0.25">
      <c r="A135" s="24">
        <v>233</v>
      </c>
    </row>
    <row r="136" spans="1:1" x14ac:dyDescent="0.25">
      <c r="A136" s="24">
        <v>234</v>
      </c>
    </row>
    <row r="137" spans="1:1" x14ac:dyDescent="0.25">
      <c r="A137" s="24">
        <v>235</v>
      </c>
    </row>
    <row r="138" spans="1:1" x14ac:dyDescent="0.25">
      <c r="A138" s="24">
        <v>236</v>
      </c>
    </row>
    <row r="139" spans="1:1" x14ac:dyDescent="0.25">
      <c r="A139" s="24">
        <v>237</v>
      </c>
    </row>
    <row r="140" spans="1:1" x14ac:dyDescent="0.25">
      <c r="A140" s="24">
        <v>238</v>
      </c>
    </row>
    <row r="141" spans="1:1" x14ac:dyDescent="0.25">
      <c r="A141" s="24">
        <v>239</v>
      </c>
    </row>
    <row r="142" spans="1:1" x14ac:dyDescent="0.25">
      <c r="A142" s="24">
        <v>240</v>
      </c>
    </row>
    <row r="143" spans="1:1" x14ac:dyDescent="0.25">
      <c r="A143" s="24">
        <v>241</v>
      </c>
    </row>
    <row r="144" spans="1:1" x14ac:dyDescent="0.25">
      <c r="A144" s="24">
        <v>242</v>
      </c>
    </row>
    <row r="145" spans="1:1" x14ac:dyDescent="0.25">
      <c r="A145" s="24">
        <v>243</v>
      </c>
    </row>
    <row r="146" spans="1:1" x14ac:dyDescent="0.25">
      <c r="A146" s="24">
        <v>244</v>
      </c>
    </row>
    <row r="147" spans="1:1" x14ac:dyDescent="0.25">
      <c r="A147" s="24">
        <v>245</v>
      </c>
    </row>
    <row r="148" spans="1:1" x14ac:dyDescent="0.25">
      <c r="A148" s="24">
        <v>246</v>
      </c>
    </row>
    <row r="149" spans="1:1" x14ac:dyDescent="0.25">
      <c r="A149" s="24">
        <v>247</v>
      </c>
    </row>
    <row r="150" spans="1:1" x14ac:dyDescent="0.25">
      <c r="A150" s="24">
        <v>248</v>
      </c>
    </row>
    <row r="151" spans="1:1" x14ac:dyDescent="0.25">
      <c r="A151" s="24">
        <v>249</v>
      </c>
    </row>
    <row r="152" spans="1:1" x14ac:dyDescent="0.25">
      <c r="A152" s="24">
        <v>250</v>
      </c>
    </row>
    <row r="153" spans="1:1" x14ac:dyDescent="0.25">
      <c r="A153" s="24">
        <v>251</v>
      </c>
    </row>
    <row r="154" spans="1:1" x14ac:dyDescent="0.25">
      <c r="A154" s="24">
        <v>252</v>
      </c>
    </row>
    <row r="155" spans="1:1" x14ac:dyDescent="0.25">
      <c r="A155" s="24">
        <v>253</v>
      </c>
    </row>
    <row r="156" spans="1:1" x14ac:dyDescent="0.25">
      <c r="A156" s="24">
        <v>254</v>
      </c>
    </row>
    <row r="157" spans="1:1" x14ac:dyDescent="0.25">
      <c r="A157" s="24">
        <v>255</v>
      </c>
    </row>
    <row r="158" spans="1:1" x14ac:dyDescent="0.25">
      <c r="A158" s="24">
        <v>256</v>
      </c>
    </row>
    <row r="159" spans="1:1" x14ac:dyDescent="0.25">
      <c r="A159" s="24">
        <v>257</v>
      </c>
    </row>
    <row r="160" spans="1:1" x14ac:dyDescent="0.25">
      <c r="A160" s="24">
        <v>258</v>
      </c>
    </row>
    <row r="161" spans="1:1" x14ac:dyDescent="0.25">
      <c r="A161" s="24">
        <v>259</v>
      </c>
    </row>
    <row r="162" spans="1:1" x14ac:dyDescent="0.25">
      <c r="A162" s="24">
        <v>260</v>
      </c>
    </row>
    <row r="163" spans="1:1" x14ac:dyDescent="0.25">
      <c r="A163" s="24">
        <v>261</v>
      </c>
    </row>
    <row r="164" spans="1:1" x14ac:dyDescent="0.25">
      <c r="A164" s="24">
        <v>262</v>
      </c>
    </row>
    <row r="165" spans="1:1" x14ac:dyDescent="0.25">
      <c r="A165" s="24">
        <v>263</v>
      </c>
    </row>
    <row r="166" spans="1:1" x14ac:dyDescent="0.25">
      <c r="A166" s="24">
        <v>264</v>
      </c>
    </row>
    <row r="167" spans="1:1" x14ac:dyDescent="0.25">
      <c r="A167" s="24">
        <v>265</v>
      </c>
    </row>
    <row r="168" spans="1:1" x14ac:dyDescent="0.25">
      <c r="A168" s="24">
        <v>266</v>
      </c>
    </row>
    <row r="169" spans="1:1" x14ac:dyDescent="0.25">
      <c r="A169" s="24">
        <v>267</v>
      </c>
    </row>
    <row r="170" spans="1:1" x14ac:dyDescent="0.25">
      <c r="A170" s="24">
        <v>268</v>
      </c>
    </row>
    <row r="171" spans="1:1" x14ac:dyDescent="0.25">
      <c r="A171" s="24">
        <v>269</v>
      </c>
    </row>
    <row r="172" spans="1:1" x14ac:dyDescent="0.25">
      <c r="A172" s="24">
        <v>270</v>
      </c>
    </row>
    <row r="173" spans="1:1" x14ac:dyDescent="0.25">
      <c r="A173" s="24">
        <v>271</v>
      </c>
    </row>
    <row r="174" spans="1:1" x14ac:dyDescent="0.25">
      <c r="A174" s="24">
        <v>272</v>
      </c>
    </row>
    <row r="175" spans="1:1" x14ac:dyDescent="0.25">
      <c r="A175" s="24">
        <v>273</v>
      </c>
    </row>
    <row r="176" spans="1:1" x14ac:dyDescent="0.25">
      <c r="A176" s="24">
        <v>274</v>
      </c>
    </row>
    <row r="177" spans="1:1" x14ac:dyDescent="0.25">
      <c r="A177" s="24">
        <v>275</v>
      </c>
    </row>
    <row r="178" spans="1:1" x14ac:dyDescent="0.25">
      <c r="A178" s="24">
        <v>276</v>
      </c>
    </row>
    <row r="179" spans="1:1" x14ac:dyDescent="0.25">
      <c r="A179" s="24">
        <v>277</v>
      </c>
    </row>
    <row r="180" spans="1:1" x14ac:dyDescent="0.25">
      <c r="A180" s="24">
        <v>278</v>
      </c>
    </row>
    <row r="181" spans="1:1" x14ac:dyDescent="0.25">
      <c r="A181" s="24">
        <v>279</v>
      </c>
    </row>
    <row r="182" spans="1:1" x14ac:dyDescent="0.25">
      <c r="A182" s="24">
        <v>280</v>
      </c>
    </row>
    <row r="183" spans="1:1" x14ac:dyDescent="0.25">
      <c r="A183" s="24">
        <v>281</v>
      </c>
    </row>
    <row r="184" spans="1:1" x14ac:dyDescent="0.25">
      <c r="A184" s="24">
        <v>282</v>
      </c>
    </row>
    <row r="185" spans="1:1" x14ac:dyDescent="0.25">
      <c r="A185" s="24">
        <v>283</v>
      </c>
    </row>
    <row r="186" spans="1:1" x14ac:dyDescent="0.25">
      <c r="A186" s="24">
        <v>284</v>
      </c>
    </row>
    <row r="187" spans="1:1" x14ac:dyDescent="0.25">
      <c r="A187" s="24">
        <v>285</v>
      </c>
    </row>
    <row r="188" spans="1:1" x14ac:dyDescent="0.25">
      <c r="A188" s="24">
        <v>286</v>
      </c>
    </row>
    <row r="189" spans="1:1" x14ac:dyDescent="0.25">
      <c r="A189" s="24">
        <v>287</v>
      </c>
    </row>
    <row r="190" spans="1:1" x14ac:dyDescent="0.25">
      <c r="A190" s="24">
        <v>288</v>
      </c>
    </row>
    <row r="191" spans="1:1" x14ac:dyDescent="0.25">
      <c r="A191" s="24">
        <v>289</v>
      </c>
    </row>
    <row r="192" spans="1:1" x14ac:dyDescent="0.25">
      <c r="A192" s="24">
        <v>290</v>
      </c>
    </row>
    <row r="193" spans="1:1" x14ac:dyDescent="0.25">
      <c r="A193" s="24">
        <v>291</v>
      </c>
    </row>
    <row r="194" spans="1:1" x14ac:dyDescent="0.25">
      <c r="A194" s="24">
        <v>292</v>
      </c>
    </row>
    <row r="195" spans="1:1" x14ac:dyDescent="0.25">
      <c r="A195" s="24">
        <v>293</v>
      </c>
    </row>
    <row r="196" spans="1:1" x14ac:dyDescent="0.25">
      <c r="A196" s="24">
        <v>294</v>
      </c>
    </row>
    <row r="197" spans="1:1" x14ac:dyDescent="0.25">
      <c r="A197" s="24">
        <v>295</v>
      </c>
    </row>
    <row r="198" spans="1:1" x14ac:dyDescent="0.25">
      <c r="A198" s="24">
        <v>296</v>
      </c>
    </row>
    <row r="199" spans="1:1" x14ac:dyDescent="0.25">
      <c r="A199" s="24">
        <v>297</v>
      </c>
    </row>
    <row r="200" spans="1:1" x14ac:dyDescent="0.25">
      <c r="A200" s="24">
        <v>298</v>
      </c>
    </row>
    <row r="201" spans="1:1" x14ac:dyDescent="0.25">
      <c r="A201" s="24">
        <v>299</v>
      </c>
    </row>
    <row r="202" spans="1:1" x14ac:dyDescent="0.25">
      <c r="A202" s="24">
        <v>300</v>
      </c>
    </row>
    <row r="203" spans="1:1" x14ac:dyDescent="0.25">
      <c r="A203" s="24">
        <v>301</v>
      </c>
    </row>
    <row r="204" spans="1:1" x14ac:dyDescent="0.25">
      <c r="A204" s="24">
        <v>302</v>
      </c>
    </row>
    <row r="205" spans="1:1" x14ac:dyDescent="0.25">
      <c r="A205" s="24">
        <v>303</v>
      </c>
    </row>
    <row r="206" spans="1:1" x14ac:dyDescent="0.25">
      <c r="A206" s="24">
        <v>304</v>
      </c>
    </row>
    <row r="207" spans="1:1" x14ac:dyDescent="0.25">
      <c r="A207" s="24">
        <v>305</v>
      </c>
    </row>
    <row r="208" spans="1:1" x14ac:dyDescent="0.25">
      <c r="A208" s="24">
        <v>306</v>
      </c>
    </row>
    <row r="209" spans="1:1" x14ac:dyDescent="0.25">
      <c r="A209" s="24">
        <v>307</v>
      </c>
    </row>
    <row r="210" spans="1:1" x14ac:dyDescent="0.25">
      <c r="A210" s="24">
        <v>308</v>
      </c>
    </row>
    <row r="211" spans="1:1" x14ac:dyDescent="0.25">
      <c r="A211" s="24">
        <v>309</v>
      </c>
    </row>
    <row r="212" spans="1:1" x14ac:dyDescent="0.25">
      <c r="A212" s="24">
        <v>310</v>
      </c>
    </row>
    <row r="213" spans="1:1" x14ac:dyDescent="0.25">
      <c r="A213" s="24">
        <v>311</v>
      </c>
    </row>
    <row r="214" spans="1:1" x14ac:dyDescent="0.25">
      <c r="A214" s="24">
        <v>312</v>
      </c>
    </row>
    <row r="215" spans="1:1" x14ac:dyDescent="0.25">
      <c r="A215" s="24">
        <v>313</v>
      </c>
    </row>
    <row r="216" spans="1:1" x14ac:dyDescent="0.25">
      <c r="A216" s="24">
        <v>314</v>
      </c>
    </row>
    <row r="217" spans="1:1" x14ac:dyDescent="0.25">
      <c r="A217" s="24">
        <v>315</v>
      </c>
    </row>
    <row r="218" spans="1:1" x14ac:dyDescent="0.25">
      <c r="A218" s="24">
        <v>316</v>
      </c>
    </row>
    <row r="219" spans="1:1" x14ac:dyDescent="0.25">
      <c r="A219" s="24">
        <v>317</v>
      </c>
    </row>
    <row r="220" spans="1:1" x14ac:dyDescent="0.25">
      <c r="A220" s="24">
        <v>318</v>
      </c>
    </row>
    <row r="221" spans="1:1" x14ac:dyDescent="0.25">
      <c r="A221" s="24">
        <v>319</v>
      </c>
    </row>
    <row r="222" spans="1:1" x14ac:dyDescent="0.25">
      <c r="A222" s="24">
        <v>320</v>
      </c>
    </row>
    <row r="223" spans="1:1" x14ac:dyDescent="0.25">
      <c r="A223" s="24">
        <v>321</v>
      </c>
    </row>
    <row r="224" spans="1:1" x14ac:dyDescent="0.25">
      <c r="A224" s="24">
        <v>322</v>
      </c>
    </row>
    <row r="225" spans="1:1" x14ac:dyDescent="0.25">
      <c r="A225" s="24">
        <v>323</v>
      </c>
    </row>
    <row r="226" spans="1:1" x14ac:dyDescent="0.25">
      <c r="A226" s="24">
        <v>324</v>
      </c>
    </row>
    <row r="227" spans="1:1" x14ac:dyDescent="0.25">
      <c r="A227" s="24">
        <v>325</v>
      </c>
    </row>
    <row r="228" spans="1:1" x14ac:dyDescent="0.25">
      <c r="A228" s="24">
        <v>326</v>
      </c>
    </row>
    <row r="229" spans="1:1" x14ac:dyDescent="0.25">
      <c r="A229" s="24">
        <v>327</v>
      </c>
    </row>
    <row r="230" spans="1:1" x14ac:dyDescent="0.25">
      <c r="A230" s="24">
        <v>328</v>
      </c>
    </row>
    <row r="231" spans="1:1" x14ac:dyDescent="0.25">
      <c r="A231" s="24">
        <v>329</v>
      </c>
    </row>
    <row r="232" spans="1:1" x14ac:dyDescent="0.25">
      <c r="A232" s="24">
        <v>330</v>
      </c>
    </row>
    <row r="233" spans="1:1" x14ac:dyDescent="0.25">
      <c r="A233" s="24">
        <v>331</v>
      </c>
    </row>
    <row r="234" spans="1:1" x14ac:dyDescent="0.25">
      <c r="A234" s="24">
        <v>332</v>
      </c>
    </row>
    <row r="235" spans="1:1" x14ac:dyDescent="0.25">
      <c r="A235" s="24">
        <v>333</v>
      </c>
    </row>
    <row r="236" spans="1:1" x14ac:dyDescent="0.25">
      <c r="A236" s="24">
        <v>334</v>
      </c>
    </row>
    <row r="237" spans="1:1" x14ac:dyDescent="0.25">
      <c r="A237" s="24">
        <v>335</v>
      </c>
    </row>
    <row r="238" spans="1:1" x14ac:dyDescent="0.25">
      <c r="A238" s="24">
        <v>336</v>
      </c>
    </row>
    <row r="239" spans="1:1" x14ac:dyDescent="0.25">
      <c r="A239" s="24">
        <v>337</v>
      </c>
    </row>
    <row r="240" spans="1:1" x14ac:dyDescent="0.25">
      <c r="A240" s="24">
        <v>338</v>
      </c>
    </row>
    <row r="241" spans="1:1" x14ac:dyDescent="0.25">
      <c r="A241" s="24">
        <v>339</v>
      </c>
    </row>
    <row r="242" spans="1:1" x14ac:dyDescent="0.25">
      <c r="A242" s="24">
        <v>340</v>
      </c>
    </row>
    <row r="243" spans="1:1" x14ac:dyDescent="0.25">
      <c r="A243" s="24">
        <v>341</v>
      </c>
    </row>
    <row r="244" spans="1:1" x14ac:dyDescent="0.25">
      <c r="A244" s="24">
        <v>342</v>
      </c>
    </row>
    <row r="245" spans="1:1" x14ac:dyDescent="0.25">
      <c r="A245" s="24">
        <v>343</v>
      </c>
    </row>
    <row r="246" spans="1:1" x14ac:dyDescent="0.25">
      <c r="A246" s="24">
        <v>344</v>
      </c>
    </row>
    <row r="247" spans="1:1" x14ac:dyDescent="0.25">
      <c r="A247" s="24">
        <v>345</v>
      </c>
    </row>
    <row r="248" spans="1:1" x14ac:dyDescent="0.25">
      <c r="A248" s="24">
        <v>346</v>
      </c>
    </row>
    <row r="249" spans="1:1" x14ac:dyDescent="0.25">
      <c r="A249" s="24">
        <v>347</v>
      </c>
    </row>
    <row r="250" spans="1:1" x14ac:dyDescent="0.25">
      <c r="A250" s="24">
        <v>348</v>
      </c>
    </row>
    <row r="251" spans="1:1" x14ac:dyDescent="0.25">
      <c r="A251" s="24">
        <v>349</v>
      </c>
    </row>
    <row r="252" spans="1:1" x14ac:dyDescent="0.25">
      <c r="A252" s="24">
        <v>350</v>
      </c>
    </row>
    <row r="253" spans="1:1" x14ac:dyDescent="0.25">
      <c r="A253" s="24">
        <v>351</v>
      </c>
    </row>
    <row r="254" spans="1:1" x14ac:dyDescent="0.25">
      <c r="A254" s="24">
        <v>352</v>
      </c>
    </row>
    <row r="255" spans="1:1" x14ac:dyDescent="0.25">
      <c r="A255" s="24">
        <v>353</v>
      </c>
    </row>
    <row r="256" spans="1:1" x14ac:dyDescent="0.25">
      <c r="A256" s="24">
        <v>354</v>
      </c>
    </row>
    <row r="257" spans="1:1" x14ac:dyDescent="0.25">
      <c r="A257" s="24">
        <v>355</v>
      </c>
    </row>
    <row r="258" spans="1:1" x14ac:dyDescent="0.25">
      <c r="A258" s="24">
        <v>356</v>
      </c>
    </row>
    <row r="259" spans="1:1" x14ac:dyDescent="0.25">
      <c r="A259" s="24">
        <v>357</v>
      </c>
    </row>
    <row r="260" spans="1:1" x14ac:dyDescent="0.25">
      <c r="A260" s="24">
        <v>358</v>
      </c>
    </row>
    <row r="261" spans="1:1" x14ac:dyDescent="0.25">
      <c r="A261" s="24">
        <v>359</v>
      </c>
    </row>
    <row r="262" spans="1:1" x14ac:dyDescent="0.25">
      <c r="A262" s="24">
        <v>360</v>
      </c>
    </row>
    <row r="263" spans="1:1" x14ac:dyDescent="0.25">
      <c r="A263" s="24">
        <v>361</v>
      </c>
    </row>
    <row r="264" spans="1:1" x14ac:dyDescent="0.25">
      <c r="A264" s="24">
        <v>362</v>
      </c>
    </row>
    <row r="265" spans="1:1" x14ac:dyDescent="0.25">
      <c r="A265" s="24">
        <v>363</v>
      </c>
    </row>
    <row r="266" spans="1:1" x14ac:dyDescent="0.25">
      <c r="A266" s="24">
        <v>364</v>
      </c>
    </row>
    <row r="267" spans="1:1" x14ac:dyDescent="0.25">
      <c r="A267" s="24">
        <v>365</v>
      </c>
    </row>
    <row r="268" spans="1:1" x14ac:dyDescent="0.25">
      <c r="A268" s="24">
        <v>366</v>
      </c>
    </row>
    <row r="269" spans="1:1" x14ac:dyDescent="0.25">
      <c r="A269" s="24">
        <v>367</v>
      </c>
    </row>
    <row r="270" spans="1:1" x14ac:dyDescent="0.25">
      <c r="A270" s="24">
        <v>368</v>
      </c>
    </row>
    <row r="271" spans="1:1" x14ac:dyDescent="0.25">
      <c r="A271" s="24">
        <v>369</v>
      </c>
    </row>
    <row r="272" spans="1:1" x14ac:dyDescent="0.25">
      <c r="A272" s="24">
        <v>370</v>
      </c>
    </row>
    <row r="273" spans="1:1" x14ac:dyDescent="0.25">
      <c r="A273" s="24">
        <v>371</v>
      </c>
    </row>
    <row r="274" spans="1:1" x14ac:dyDescent="0.25">
      <c r="A274" s="24">
        <v>372</v>
      </c>
    </row>
    <row r="275" spans="1:1" x14ac:dyDescent="0.25">
      <c r="A275" s="24">
        <v>373</v>
      </c>
    </row>
    <row r="276" spans="1:1" x14ac:dyDescent="0.25">
      <c r="A276" s="24">
        <v>374</v>
      </c>
    </row>
    <row r="277" spans="1:1" x14ac:dyDescent="0.25">
      <c r="A277" s="24">
        <v>375</v>
      </c>
    </row>
    <row r="278" spans="1:1" x14ac:dyDescent="0.25">
      <c r="A278" s="24">
        <v>376</v>
      </c>
    </row>
    <row r="279" spans="1:1" x14ac:dyDescent="0.25">
      <c r="A279" s="24">
        <v>377</v>
      </c>
    </row>
    <row r="280" spans="1:1" x14ac:dyDescent="0.25">
      <c r="A280" s="24">
        <v>378</v>
      </c>
    </row>
    <row r="281" spans="1:1" x14ac:dyDescent="0.25">
      <c r="A281" s="24">
        <v>379</v>
      </c>
    </row>
    <row r="282" spans="1:1" x14ac:dyDescent="0.25">
      <c r="A282" s="24">
        <v>380</v>
      </c>
    </row>
    <row r="283" spans="1:1" x14ac:dyDescent="0.25">
      <c r="A283" s="24">
        <v>381</v>
      </c>
    </row>
    <row r="284" spans="1:1" x14ac:dyDescent="0.25">
      <c r="A284" s="24">
        <v>382</v>
      </c>
    </row>
    <row r="285" spans="1:1" x14ac:dyDescent="0.25">
      <c r="A285" s="24">
        <v>383</v>
      </c>
    </row>
    <row r="286" spans="1:1" x14ac:dyDescent="0.25">
      <c r="A286" s="24">
        <v>384</v>
      </c>
    </row>
    <row r="287" spans="1:1" x14ac:dyDescent="0.25">
      <c r="A287" s="24">
        <v>385</v>
      </c>
    </row>
    <row r="288" spans="1:1" x14ac:dyDescent="0.25">
      <c r="A288" s="24">
        <v>386</v>
      </c>
    </row>
    <row r="289" spans="1:1" x14ac:dyDescent="0.25">
      <c r="A289" s="24">
        <v>387</v>
      </c>
    </row>
    <row r="290" spans="1:1" x14ac:dyDescent="0.25">
      <c r="A290" s="24">
        <v>388</v>
      </c>
    </row>
    <row r="291" spans="1:1" x14ac:dyDescent="0.25">
      <c r="A291" s="24">
        <v>389</v>
      </c>
    </row>
    <row r="292" spans="1:1" x14ac:dyDescent="0.25">
      <c r="A292" s="24">
        <v>390</v>
      </c>
    </row>
    <row r="293" spans="1:1" x14ac:dyDescent="0.25">
      <c r="A293" s="24">
        <v>391</v>
      </c>
    </row>
    <row r="294" spans="1:1" x14ac:dyDescent="0.25">
      <c r="A294" s="24">
        <v>392</v>
      </c>
    </row>
    <row r="295" spans="1:1" x14ac:dyDescent="0.25">
      <c r="A295" s="24">
        <v>393</v>
      </c>
    </row>
    <row r="296" spans="1:1" x14ac:dyDescent="0.25">
      <c r="A296" s="24">
        <v>394</v>
      </c>
    </row>
    <row r="297" spans="1:1" x14ac:dyDescent="0.25">
      <c r="A297" s="24">
        <v>395</v>
      </c>
    </row>
    <row r="298" spans="1:1" x14ac:dyDescent="0.25">
      <c r="A298" s="24">
        <v>396</v>
      </c>
    </row>
    <row r="299" spans="1:1" x14ac:dyDescent="0.25">
      <c r="A299" s="24">
        <v>397</v>
      </c>
    </row>
    <row r="300" spans="1:1" x14ac:dyDescent="0.25">
      <c r="A300" s="24">
        <v>398</v>
      </c>
    </row>
    <row r="301" spans="1:1" x14ac:dyDescent="0.25">
      <c r="A301" s="24">
        <v>399</v>
      </c>
    </row>
    <row r="302" spans="1:1" x14ac:dyDescent="0.25">
      <c r="A302" s="24">
        <v>400</v>
      </c>
    </row>
    <row r="303" spans="1:1" x14ac:dyDescent="0.25">
      <c r="A303" s="24">
        <v>401</v>
      </c>
    </row>
    <row r="304" spans="1:1" x14ac:dyDescent="0.25">
      <c r="A304" s="24">
        <v>402</v>
      </c>
    </row>
    <row r="305" spans="1:1" x14ac:dyDescent="0.25">
      <c r="A305" s="24">
        <v>403</v>
      </c>
    </row>
    <row r="306" spans="1:1" x14ac:dyDescent="0.25">
      <c r="A306" s="24">
        <v>404</v>
      </c>
    </row>
    <row r="307" spans="1:1" x14ac:dyDescent="0.25">
      <c r="A307" s="24">
        <v>405</v>
      </c>
    </row>
    <row r="308" spans="1:1" x14ac:dyDescent="0.25">
      <c r="A308" s="24">
        <v>406</v>
      </c>
    </row>
    <row r="309" spans="1:1" x14ac:dyDescent="0.25">
      <c r="A309" s="24">
        <v>407</v>
      </c>
    </row>
    <row r="310" spans="1:1" x14ac:dyDescent="0.25">
      <c r="A310" s="24">
        <v>408</v>
      </c>
    </row>
    <row r="311" spans="1:1" x14ac:dyDescent="0.25">
      <c r="A311" s="24">
        <v>409</v>
      </c>
    </row>
    <row r="312" spans="1:1" x14ac:dyDescent="0.25">
      <c r="A312" s="24">
        <v>410</v>
      </c>
    </row>
    <row r="313" spans="1:1" x14ac:dyDescent="0.25">
      <c r="A313" s="24">
        <v>411</v>
      </c>
    </row>
    <row r="314" spans="1:1" x14ac:dyDescent="0.25">
      <c r="A314" s="24">
        <v>412</v>
      </c>
    </row>
    <row r="315" spans="1:1" x14ac:dyDescent="0.25">
      <c r="A315" s="24">
        <v>413</v>
      </c>
    </row>
    <row r="316" spans="1:1" x14ac:dyDescent="0.25">
      <c r="A316" s="24">
        <v>414</v>
      </c>
    </row>
    <row r="317" spans="1:1" x14ac:dyDescent="0.25">
      <c r="A317" s="24">
        <v>415</v>
      </c>
    </row>
    <row r="318" spans="1:1" x14ac:dyDescent="0.25">
      <c r="A318" s="24">
        <v>416</v>
      </c>
    </row>
    <row r="319" spans="1:1" x14ac:dyDescent="0.25">
      <c r="A319" s="24">
        <v>417</v>
      </c>
    </row>
    <row r="320" spans="1:1" x14ac:dyDescent="0.25">
      <c r="A320" s="24">
        <v>418</v>
      </c>
    </row>
    <row r="321" spans="1:1" x14ac:dyDescent="0.25">
      <c r="A321" s="24">
        <v>419</v>
      </c>
    </row>
    <row r="322" spans="1:1" x14ac:dyDescent="0.25">
      <c r="A322" s="24">
        <v>420</v>
      </c>
    </row>
    <row r="323" spans="1:1" x14ac:dyDescent="0.25">
      <c r="A323" s="24">
        <v>421</v>
      </c>
    </row>
    <row r="324" spans="1:1" x14ac:dyDescent="0.25">
      <c r="A324" s="24">
        <v>422</v>
      </c>
    </row>
    <row r="325" spans="1:1" x14ac:dyDescent="0.25">
      <c r="A325" s="24">
        <v>423</v>
      </c>
    </row>
    <row r="326" spans="1:1" x14ac:dyDescent="0.25">
      <c r="A326" s="24">
        <v>424</v>
      </c>
    </row>
    <row r="327" spans="1:1" x14ac:dyDescent="0.25">
      <c r="A327" s="24">
        <v>425</v>
      </c>
    </row>
    <row r="328" spans="1:1" x14ac:dyDescent="0.25">
      <c r="A328" s="24">
        <v>426</v>
      </c>
    </row>
    <row r="329" spans="1:1" x14ac:dyDescent="0.25">
      <c r="A329" s="24">
        <v>427</v>
      </c>
    </row>
    <row r="330" spans="1:1" x14ac:dyDescent="0.25">
      <c r="A330" s="24">
        <v>428</v>
      </c>
    </row>
    <row r="331" spans="1:1" x14ac:dyDescent="0.25">
      <c r="A331" s="24">
        <v>429</v>
      </c>
    </row>
    <row r="332" spans="1:1" x14ac:dyDescent="0.25">
      <c r="A332" s="24">
        <v>430</v>
      </c>
    </row>
    <row r="333" spans="1:1" x14ac:dyDescent="0.25">
      <c r="A333" s="24">
        <v>431</v>
      </c>
    </row>
    <row r="334" spans="1:1" x14ac:dyDescent="0.25">
      <c r="A334" s="24">
        <v>432</v>
      </c>
    </row>
    <row r="335" spans="1:1" x14ac:dyDescent="0.25">
      <c r="A335" s="24">
        <v>433</v>
      </c>
    </row>
    <row r="336" spans="1:1" x14ac:dyDescent="0.25">
      <c r="A336" s="24">
        <v>434</v>
      </c>
    </row>
    <row r="337" spans="1:1" x14ac:dyDescent="0.25">
      <c r="A337" s="24">
        <v>435</v>
      </c>
    </row>
    <row r="338" spans="1:1" x14ac:dyDescent="0.25">
      <c r="A338" s="24">
        <v>436</v>
      </c>
    </row>
    <row r="339" spans="1:1" x14ac:dyDescent="0.25">
      <c r="A339" s="24">
        <v>437</v>
      </c>
    </row>
    <row r="340" spans="1:1" x14ac:dyDescent="0.25">
      <c r="A340" s="24">
        <v>438</v>
      </c>
    </row>
    <row r="341" spans="1:1" x14ac:dyDescent="0.25">
      <c r="A341" s="24">
        <v>439</v>
      </c>
    </row>
    <row r="342" spans="1:1" x14ac:dyDescent="0.25">
      <c r="A342" s="24">
        <v>440</v>
      </c>
    </row>
    <row r="343" spans="1:1" x14ac:dyDescent="0.25">
      <c r="A343" s="24">
        <v>441</v>
      </c>
    </row>
    <row r="344" spans="1:1" x14ac:dyDescent="0.25">
      <c r="A344" s="24">
        <v>442</v>
      </c>
    </row>
    <row r="345" spans="1:1" x14ac:dyDescent="0.25">
      <c r="A345" s="24">
        <v>443</v>
      </c>
    </row>
    <row r="346" spans="1:1" x14ac:dyDescent="0.25">
      <c r="A346" s="24">
        <v>444</v>
      </c>
    </row>
    <row r="347" spans="1:1" x14ac:dyDescent="0.25">
      <c r="A347" s="24">
        <v>445</v>
      </c>
    </row>
    <row r="348" spans="1:1" x14ac:dyDescent="0.25">
      <c r="A348" s="24">
        <v>446</v>
      </c>
    </row>
    <row r="349" spans="1:1" x14ac:dyDescent="0.25">
      <c r="A349" s="24">
        <v>447</v>
      </c>
    </row>
    <row r="350" spans="1:1" x14ac:dyDescent="0.25">
      <c r="A350" s="24">
        <v>448</v>
      </c>
    </row>
    <row r="351" spans="1:1" x14ac:dyDescent="0.25">
      <c r="A351" s="24">
        <v>449</v>
      </c>
    </row>
    <row r="352" spans="1:1" x14ac:dyDescent="0.25">
      <c r="A352" s="24">
        <v>450</v>
      </c>
    </row>
    <row r="353" spans="1:1" x14ac:dyDescent="0.25">
      <c r="A353" s="24">
        <v>451</v>
      </c>
    </row>
    <row r="354" spans="1:1" x14ac:dyDescent="0.25">
      <c r="A354" s="24">
        <v>452</v>
      </c>
    </row>
    <row r="355" spans="1:1" x14ac:dyDescent="0.25">
      <c r="A355" s="24">
        <v>453</v>
      </c>
    </row>
    <row r="356" spans="1:1" x14ac:dyDescent="0.25">
      <c r="A356" s="24">
        <v>454</v>
      </c>
    </row>
    <row r="357" spans="1:1" x14ac:dyDescent="0.25">
      <c r="A357" s="24">
        <v>455</v>
      </c>
    </row>
    <row r="358" spans="1:1" x14ac:dyDescent="0.25">
      <c r="A358" s="24">
        <v>456</v>
      </c>
    </row>
    <row r="359" spans="1:1" x14ac:dyDescent="0.25">
      <c r="A359" s="24">
        <v>457</v>
      </c>
    </row>
    <row r="360" spans="1:1" x14ac:dyDescent="0.25">
      <c r="A360" s="24">
        <v>458</v>
      </c>
    </row>
    <row r="361" spans="1:1" x14ac:dyDescent="0.25">
      <c r="A361" s="24">
        <v>459</v>
      </c>
    </row>
    <row r="362" spans="1:1" x14ac:dyDescent="0.25">
      <c r="A362" s="24">
        <v>460</v>
      </c>
    </row>
    <row r="363" spans="1:1" x14ac:dyDescent="0.25">
      <c r="A363" s="24">
        <v>461</v>
      </c>
    </row>
    <row r="364" spans="1:1" x14ac:dyDescent="0.25">
      <c r="A364" s="24">
        <v>462</v>
      </c>
    </row>
    <row r="365" spans="1:1" x14ac:dyDescent="0.25">
      <c r="A365" s="24">
        <v>463</v>
      </c>
    </row>
    <row r="366" spans="1:1" x14ac:dyDescent="0.25">
      <c r="A366" s="24">
        <v>464</v>
      </c>
    </row>
    <row r="367" spans="1:1" x14ac:dyDescent="0.25">
      <c r="A367" s="24">
        <v>465</v>
      </c>
    </row>
    <row r="368" spans="1:1" x14ac:dyDescent="0.25">
      <c r="A368" s="24">
        <v>466</v>
      </c>
    </row>
    <row r="369" spans="1:1" x14ac:dyDescent="0.25">
      <c r="A369" s="24">
        <v>467</v>
      </c>
    </row>
    <row r="370" spans="1:1" x14ac:dyDescent="0.25">
      <c r="A370" s="24">
        <v>468</v>
      </c>
    </row>
    <row r="371" spans="1:1" x14ac:dyDescent="0.25">
      <c r="A371" s="24">
        <v>469</v>
      </c>
    </row>
    <row r="372" spans="1:1" x14ac:dyDescent="0.25">
      <c r="A372" s="24">
        <v>470</v>
      </c>
    </row>
    <row r="373" spans="1:1" x14ac:dyDescent="0.25">
      <c r="A373" s="24">
        <v>471</v>
      </c>
    </row>
    <row r="374" spans="1:1" x14ac:dyDescent="0.25">
      <c r="A374" s="24">
        <v>472</v>
      </c>
    </row>
    <row r="375" spans="1:1" x14ac:dyDescent="0.25">
      <c r="A375" s="24">
        <v>473</v>
      </c>
    </row>
    <row r="376" spans="1:1" x14ac:dyDescent="0.25">
      <c r="A376" s="24">
        <v>474</v>
      </c>
    </row>
    <row r="377" spans="1:1" x14ac:dyDescent="0.25">
      <c r="A377" s="24">
        <v>475</v>
      </c>
    </row>
    <row r="378" spans="1:1" x14ac:dyDescent="0.25">
      <c r="A378" s="24">
        <v>476</v>
      </c>
    </row>
    <row r="379" spans="1:1" x14ac:dyDescent="0.25">
      <c r="A379" s="24">
        <v>477</v>
      </c>
    </row>
    <row r="380" spans="1:1" x14ac:dyDescent="0.25">
      <c r="A380" s="24">
        <v>478</v>
      </c>
    </row>
    <row r="381" spans="1:1" x14ac:dyDescent="0.25">
      <c r="A381" s="24">
        <v>479</v>
      </c>
    </row>
    <row r="382" spans="1:1" x14ac:dyDescent="0.25">
      <c r="A382" s="24">
        <v>480</v>
      </c>
    </row>
    <row r="383" spans="1:1" x14ac:dyDescent="0.25">
      <c r="A383" s="24">
        <v>481</v>
      </c>
    </row>
    <row r="384" spans="1:1" x14ac:dyDescent="0.25">
      <c r="A384" s="24">
        <v>482</v>
      </c>
    </row>
    <row r="385" spans="1:1" x14ac:dyDescent="0.25">
      <c r="A385" s="24">
        <v>483</v>
      </c>
    </row>
    <row r="386" spans="1:1" x14ac:dyDescent="0.25">
      <c r="A386" s="24">
        <v>484</v>
      </c>
    </row>
    <row r="387" spans="1:1" x14ac:dyDescent="0.25">
      <c r="A387" s="24">
        <v>485</v>
      </c>
    </row>
    <row r="388" spans="1:1" x14ac:dyDescent="0.25">
      <c r="A388" s="24">
        <v>486</v>
      </c>
    </row>
    <row r="389" spans="1:1" x14ac:dyDescent="0.25">
      <c r="A389" s="24">
        <v>487</v>
      </c>
    </row>
    <row r="390" spans="1:1" x14ac:dyDescent="0.25">
      <c r="A390" s="24">
        <v>488</v>
      </c>
    </row>
    <row r="391" spans="1:1" x14ac:dyDescent="0.25">
      <c r="A391" s="24">
        <v>489</v>
      </c>
    </row>
    <row r="392" spans="1:1" x14ac:dyDescent="0.25">
      <c r="A392" s="24">
        <v>490</v>
      </c>
    </row>
    <row r="393" spans="1:1" x14ac:dyDescent="0.25">
      <c r="A393" s="24">
        <v>491</v>
      </c>
    </row>
    <row r="394" spans="1:1" x14ac:dyDescent="0.25">
      <c r="A394" s="24">
        <v>492</v>
      </c>
    </row>
    <row r="395" spans="1:1" x14ac:dyDescent="0.25">
      <c r="A395" s="24">
        <v>493</v>
      </c>
    </row>
    <row r="396" spans="1:1" x14ac:dyDescent="0.25">
      <c r="A396" s="24">
        <v>494</v>
      </c>
    </row>
    <row r="397" spans="1:1" x14ac:dyDescent="0.25">
      <c r="A397" s="24">
        <v>495</v>
      </c>
    </row>
    <row r="398" spans="1:1" x14ac:dyDescent="0.25">
      <c r="A398" s="24">
        <v>496</v>
      </c>
    </row>
    <row r="399" spans="1:1" x14ac:dyDescent="0.25">
      <c r="A399" s="24">
        <v>497</v>
      </c>
    </row>
    <row r="400" spans="1:1" x14ac:dyDescent="0.25">
      <c r="A400" s="24">
        <v>498</v>
      </c>
    </row>
    <row r="401" spans="1:1" x14ac:dyDescent="0.25">
      <c r="A401" s="24">
        <v>499</v>
      </c>
    </row>
    <row r="402" spans="1:1" x14ac:dyDescent="0.25">
      <c r="A402" s="24">
        <v>500</v>
      </c>
    </row>
    <row r="403" spans="1:1" x14ac:dyDescent="0.25">
      <c r="A403" s="24">
        <v>501</v>
      </c>
    </row>
    <row r="404" spans="1:1" x14ac:dyDescent="0.25">
      <c r="A404" s="24">
        <v>502</v>
      </c>
    </row>
    <row r="405" spans="1:1" x14ac:dyDescent="0.25">
      <c r="A405" s="24">
        <v>503</v>
      </c>
    </row>
    <row r="406" spans="1:1" x14ac:dyDescent="0.25">
      <c r="A406" s="24">
        <v>504</v>
      </c>
    </row>
    <row r="407" spans="1:1" x14ac:dyDescent="0.25">
      <c r="A407" s="24">
        <v>505</v>
      </c>
    </row>
    <row r="408" spans="1:1" x14ac:dyDescent="0.25">
      <c r="A408" s="24">
        <v>506</v>
      </c>
    </row>
    <row r="409" spans="1:1" x14ac:dyDescent="0.25">
      <c r="A409" s="24">
        <v>507</v>
      </c>
    </row>
    <row r="410" spans="1:1" x14ac:dyDescent="0.25">
      <c r="A410" s="24">
        <v>508</v>
      </c>
    </row>
    <row r="411" spans="1:1" x14ac:dyDescent="0.25">
      <c r="A411" s="24">
        <v>509</v>
      </c>
    </row>
    <row r="412" spans="1:1" x14ac:dyDescent="0.25">
      <c r="A412" s="24">
        <v>510</v>
      </c>
    </row>
    <row r="413" spans="1:1" x14ac:dyDescent="0.25">
      <c r="A413" s="24">
        <v>511</v>
      </c>
    </row>
    <row r="414" spans="1:1" x14ac:dyDescent="0.25">
      <c r="A414" s="24">
        <v>512</v>
      </c>
    </row>
    <row r="415" spans="1:1" x14ac:dyDescent="0.25">
      <c r="A415" s="24">
        <v>513</v>
      </c>
    </row>
    <row r="416" spans="1:1" x14ac:dyDescent="0.25">
      <c r="A416" s="24">
        <v>514</v>
      </c>
    </row>
    <row r="417" spans="1:1" x14ac:dyDescent="0.25">
      <c r="A417" s="24">
        <v>515</v>
      </c>
    </row>
    <row r="418" spans="1:1" x14ac:dyDescent="0.25">
      <c r="A418" s="24">
        <v>516</v>
      </c>
    </row>
    <row r="419" spans="1:1" x14ac:dyDescent="0.25">
      <c r="A419" s="24">
        <v>517</v>
      </c>
    </row>
    <row r="420" spans="1:1" x14ac:dyDescent="0.25">
      <c r="A420" s="24">
        <v>518</v>
      </c>
    </row>
    <row r="421" spans="1:1" x14ac:dyDescent="0.25">
      <c r="A421" s="24">
        <v>519</v>
      </c>
    </row>
    <row r="422" spans="1:1" x14ac:dyDescent="0.25">
      <c r="A422" s="24">
        <v>520</v>
      </c>
    </row>
    <row r="423" spans="1:1" x14ac:dyDescent="0.25">
      <c r="A423" s="24">
        <v>521</v>
      </c>
    </row>
    <row r="424" spans="1:1" x14ac:dyDescent="0.25">
      <c r="A424" s="24">
        <v>522</v>
      </c>
    </row>
    <row r="425" spans="1:1" x14ac:dyDescent="0.25">
      <c r="A425" s="24">
        <v>523</v>
      </c>
    </row>
    <row r="426" spans="1:1" x14ac:dyDescent="0.25">
      <c r="A426" s="24">
        <v>524</v>
      </c>
    </row>
    <row r="427" spans="1:1" x14ac:dyDescent="0.25">
      <c r="A427" s="24">
        <v>525</v>
      </c>
    </row>
    <row r="428" spans="1:1" x14ac:dyDescent="0.25">
      <c r="A428" s="24">
        <v>526</v>
      </c>
    </row>
    <row r="429" spans="1:1" x14ac:dyDescent="0.25">
      <c r="A429" s="24">
        <v>527</v>
      </c>
    </row>
    <row r="430" spans="1:1" x14ac:dyDescent="0.25">
      <c r="A430" s="24">
        <v>528</v>
      </c>
    </row>
    <row r="431" spans="1:1" x14ac:dyDescent="0.25">
      <c r="A431" s="24">
        <v>529</v>
      </c>
    </row>
    <row r="432" spans="1:1" x14ac:dyDescent="0.25">
      <c r="A432" s="24">
        <v>530</v>
      </c>
    </row>
    <row r="433" spans="1:1" x14ac:dyDescent="0.25">
      <c r="A433" s="24">
        <v>531</v>
      </c>
    </row>
    <row r="434" spans="1:1" x14ac:dyDescent="0.25">
      <c r="A434" s="24">
        <v>532</v>
      </c>
    </row>
    <row r="435" spans="1:1" x14ac:dyDescent="0.25">
      <c r="A435" s="24">
        <v>533</v>
      </c>
    </row>
    <row r="436" spans="1:1" x14ac:dyDescent="0.25">
      <c r="A436" s="24">
        <v>534</v>
      </c>
    </row>
    <row r="437" spans="1:1" x14ac:dyDescent="0.25">
      <c r="A437" s="24">
        <v>535</v>
      </c>
    </row>
    <row r="438" spans="1:1" x14ac:dyDescent="0.25">
      <c r="A438" s="24">
        <v>536</v>
      </c>
    </row>
    <row r="439" spans="1:1" x14ac:dyDescent="0.25">
      <c r="A439" s="24">
        <v>537</v>
      </c>
    </row>
    <row r="440" spans="1:1" x14ac:dyDescent="0.25">
      <c r="A440" s="24">
        <v>538</v>
      </c>
    </row>
    <row r="441" spans="1:1" x14ac:dyDescent="0.25">
      <c r="A441" s="24">
        <v>539</v>
      </c>
    </row>
    <row r="442" spans="1:1" x14ac:dyDescent="0.25">
      <c r="A442" s="24">
        <v>540</v>
      </c>
    </row>
    <row r="443" spans="1:1" x14ac:dyDescent="0.25">
      <c r="A443" s="24">
        <v>541</v>
      </c>
    </row>
    <row r="444" spans="1:1" x14ac:dyDescent="0.25">
      <c r="A444" s="24">
        <v>542</v>
      </c>
    </row>
    <row r="445" spans="1:1" x14ac:dyDescent="0.25">
      <c r="A445" s="24">
        <v>543</v>
      </c>
    </row>
    <row r="446" spans="1:1" x14ac:dyDescent="0.25">
      <c r="A446" s="24">
        <v>544</v>
      </c>
    </row>
    <row r="447" spans="1:1" x14ac:dyDescent="0.25">
      <c r="A447" s="24">
        <v>545</v>
      </c>
    </row>
    <row r="448" spans="1:1" x14ac:dyDescent="0.25">
      <c r="A448" s="24">
        <v>546</v>
      </c>
    </row>
    <row r="449" spans="1:1" x14ac:dyDescent="0.25">
      <c r="A449" s="24">
        <v>547</v>
      </c>
    </row>
    <row r="450" spans="1:1" x14ac:dyDescent="0.25">
      <c r="A450" s="24">
        <v>548</v>
      </c>
    </row>
    <row r="451" spans="1:1" x14ac:dyDescent="0.25">
      <c r="A451" s="24">
        <v>549</v>
      </c>
    </row>
    <row r="452" spans="1:1" x14ac:dyDescent="0.25">
      <c r="A452" s="24">
        <v>550</v>
      </c>
    </row>
    <row r="453" spans="1:1" x14ac:dyDescent="0.25">
      <c r="A453" s="24">
        <v>551</v>
      </c>
    </row>
    <row r="454" spans="1:1" x14ac:dyDescent="0.25">
      <c r="A454" s="24">
        <v>552</v>
      </c>
    </row>
    <row r="455" spans="1:1" x14ac:dyDescent="0.25">
      <c r="A455" s="24">
        <v>553</v>
      </c>
    </row>
    <row r="456" spans="1:1" x14ac:dyDescent="0.25">
      <c r="A456" s="24">
        <v>554</v>
      </c>
    </row>
    <row r="457" spans="1:1" x14ac:dyDescent="0.25">
      <c r="A457" s="24">
        <v>555</v>
      </c>
    </row>
    <row r="458" spans="1:1" x14ac:dyDescent="0.25">
      <c r="A458" s="24">
        <v>556</v>
      </c>
    </row>
    <row r="459" spans="1:1" x14ac:dyDescent="0.25">
      <c r="A459" s="24">
        <v>557</v>
      </c>
    </row>
    <row r="460" spans="1:1" x14ac:dyDescent="0.25">
      <c r="A460" s="24">
        <v>558</v>
      </c>
    </row>
    <row r="461" spans="1:1" x14ac:dyDescent="0.25">
      <c r="A461" s="24">
        <v>559</v>
      </c>
    </row>
    <row r="462" spans="1:1" x14ac:dyDescent="0.25">
      <c r="A462" s="24">
        <v>560</v>
      </c>
    </row>
    <row r="463" spans="1:1" x14ac:dyDescent="0.25">
      <c r="A463" s="24">
        <v>561</v>
      </c>
    </row>
    <row r="464" spans="1:1" x14ac:dyDescent="0.25">
      <c r="A464" s="24">
        <v>562</v>
      </c>
    </row>
    <row r="465" spans="1:1" x14ac:dyDescent="0.25">
      <c r="A465" s="24">
        <v>563</v>
      </c>
    </row>
    <row r="466" spans="1:1" x14ac:dyDescent="0.25">
      <c r="A466" s="24">
        <v>564</v>
      </c>
    </row>
    <row r="467" spans="1:1" x14ac:dyDescent="0.25">
      <c r="A467" s="24">
        <v>565</v>
      </c>
    </row>
    <row r="468" spans="1:1" x14ac:dyDescent="0.25">
      <c r="A468" s="24">
        <v>566</v>
      </c>
    </row>
    <row r="469" spans="1:1" x14ac:dyDescent="0.25">
      <c r="A469" s="24">
        <v>567</v>
      </c>
    </row>
    <row r="470" spans="1:1" x14ac:dyDescent="0.25">
      <c r="A470" s="24">
        <v>568</v>
      </c>
    </row>
    <row r="471" spans="1:1" x14ac:dyDescent="0.25">
      <c r="A471" s="24">
        <v>569</v>
      </c>
    </row>
    <row r="472" spans="1:1" x14ac:dyDescent="0.25">
      <c r="A472" s="24">
        <v>570</v>
      </c>
    </row>
    <row r="473" spans="1:1" x14ac:dyDescent="0.25">
      <c r="A473" s="24">
        <v>571</v>
      </c>
    </row>
    <row r="474" spans="1:1" x14ac:dyDescent="0.25">
      <c r="A474" s="24">
        <v>572</v>
      </c>
    </row>
    <row r="475" spans="1:1" x14ac:dyDescent="0.25">
      <c r="A475" s="24">
        <v>573</v>
      </c>
    </row>
    <row r="476" spans="1:1" x14ac:dyDescent="0.25">
      <c r="A476" s="24">
        <v>574</v>
      </c>
    </row>
    <row r="477" spans="1:1" x14ac:dyDescent="0.25">
      <c r="A477" s="24">
        <v>575</v>
      </c>
    </row>
    <row r="478" spans="1:1" x14ac:dyDescent="0.25">
      <c r="A478" s="24">
        <v>576</v>
      </c>
    </row>
    <row r="479" spans="1:1" x14ac:dyDescent="0.25">
      <c r="A479" s="24">
        <v>577</v>
      </c>
    </row>
    <row r="480" spans="1:1" x14ac:dyDescent="0.25">
      <c r="A480" s="24">
        <v>578</v>
      </c>
    </row>
    <row r="481" spans="1:1" x14ac:dyDescent="0.25">
      <c r="A481" s="24">
        <v>579</v>
      </c>
    </row>
    <row r="482" spans="1:1" x14ac:dyDescent="0.25">
      <c r="A482" s="24">
        <v>580</v>
      </c>
    </row>
    <row r="483" spans="1:1" x14ac:dyDescent="0.25">
      <c r="A483" s="24">
        <v>581</v>
      </c>
    </row>
    <row r="484" spans="1:1" x14ac:dyDescent="0.25">
      <c r="A484" s="24">
        <v>582</v>
      </c>
    </row>
    <row r="485" spans="1:1" x14ac:dyDescent="0.25">
      <c r="A485" s="24">
        <v>583</v>
      </c>
    </row>
    <row r="486" spans="1:1" x14ac:dyDescent="0.25">
      <c r="A486" s="24">
        <v>584</v>
      </c>
    </row>
    <row r="487" spans="1:1" x14ac:dyDescent="0.25">
      <c r="A487" s="24">
        <v>585</v>
      </c>
    </row>
    <row r="488" spans="1:1" x14ac:dyDescent="0.25">
      <c r="A488" s="24">
        <v>586</v>
      </c>
    </row>
    <row r="489" spans="1:1" x14ac:dyDescent="0.25">
      <c r="A489" s="24">
        <v>587</v>
      </c>
    </row>
    <row r="490" spans="1:1" x14ac:dyDescent="0.25">
      <c r="A490" s="24">
        <v>588</v>
      </c>
    </row>
    <row r="491" spans="1:1" x14ac:dyDescent="0.25">
      <c r="A491" s="24">
        <v>589</v>
      </c>
    </row>
    <row r="492" spans="1:1" x14ac:dyDescent="0.25">
      <c r="A492" s="24">
        <v>590</v>
      </c>
    </row>
    <row r="493" spans="1:1" x14ac:dyDescent="0.25">
      <c r="A493" s="24">
        <v>591</v>
      </c>
    </row>
    <row r="494" spans="1:1" x14ac:dyDescent="0.25">
      <c r="A494" s="24">
        <v>592</v>
      </c>
    </row>
    <row r="495" spans="1:1" x14ac:dyDescent="0.25">
      <c r="A495" s="24">
        <v>593</v>
      </c>
    </row>
    <row r="496" spans="1:1" x14ac:dyDescent="0.25">
      <c r="A496" s="24">
        <v>594</v>
      </c>
    </row>
    <row r="497" spans="1:1" x14ac:dyDescent="0.25">
      <c r="A497" s="24">
        <v>595</v>
      </c>
    </row>
    <row r="498" spans="1:1" x14ac:dyDescent="0.25">
      <c r="A498" s="24">
        <v>596</v>
      </c>
    </row>
    <row r="499" spans="1:1" x14ac:dyDescent="0.25">
      <c r="A499" s="24">
        <v>597</v>
      </c>
    </row>
    <row r="500" spans="1:1" x14ac:dyDescent="0.25">
      <c r="A500" s="24">
        <v>598</v>
      </c>
    </row>
    <row r="501" spans="1:1" x14ac:dyDescent="0.25">
      <c r="A501" s="24">
        <v>599</v>
      </c>
    </row>
    <row r="502" spans="1:1" x14ac:dyDescent="0.25">
      <c r="A502" s="24">
        <v>600</v>
      </c>
    </row>
    <row r="503" spans="1:1" x14ac:dyDescent="0.25">
      <c r="A503" s="24">
        <v>601</v>
      </c>
    </row>
    <row r="504" spans="1:1" x14ac:dyDescent="0.25">
      <c r="A504" s="24">
        <v>602</v>
      </c>
    </row>
    <row r="505" spans="1:1" x14ac:dyDescent="0.25">
      <c r="A505" s="24">
        <v>603</v>
      </c>
    </row>
    <row r="506" spans="1:1" x14ac:dyDescent="0.25">
      <c r="A506" s="24">
        <v>604</v>
      </c>
    </row>
    <row r="507" spans="1:1" x14ac:dyDescent="0.25">
      <c r="A507" s="24">
        <v>605</v>
      </c>
    </row>
    <row r="508" spans="1:1" x14ac:dyDescent="0.25">
      <c r="A508" s="24">
        <v>606</v>
      </c>
    </row>
    <row r="509" spans="1:1" x14ac:dyDescent="0.25">
      <c r="A509" s="24">
        <v>607</v>
      </c>
    </row>
    <row r="510" spans="1:1" x14ac:dyDescent="0.25">
      <c r="A510" s="24">
        <v>608</v>
      </c>
    </row>
    <row r="511" spans="1:1" x14ac:dyDescent="0.25">
      <c r="A511" s="24">
        <v>609</v>
      </c>
    </row>
    <row r="512" spans="1:1" x14ac:dyDescent="0.25">
      <c r="A512" s="24">
        <v>610</v>
      </c>
    </row>
    <row r="513" spans="1:1" x14ac:dyDescent="0.25">
      <c r="A513" s="24">
        <v>611</v>
      </c>
    </row>
    <row r="514" spans="1:1" x14ac:dyDescent="0.25">
      <c r="A514" s="24">
        <v>612</v>
      </c>
    </row>
    <row r="515" spans="1:1" x14ac:dyDescent="0.25">
      <c r="A515" s="24">
        <v>613</v>
      </c>
    </row>
    <row r="516" spans="1:1" x14ac:dyDescent="0.25">
      <c r="A516" s="24">
        <v>614</v>
      </c>
    </row>
    <row r="517" spans="1:1" x14ac:dyDescent="0.25">
      <c r="A517" s="24">
        <v>615</v>
      </c>
    </row>
    <row r="518" spans="1:1" x14ac:dyDescent="0.25">
      <c r="A518" s="24">
        <v>616</v>
      </c>
    </row>
    <row r="519" spans="1:1" x14ac:dyDescent="0.25">
      <c r="A519" s="24">
        <v>617</v>
      </c>
    </row>
    <row r="520" spans="1:1" x14ac:dyDescent="0.25">
      <c r="A520" s="24">
        <v>618</v>
      </c>
    </row>
    <row r="521" spans="1:1" x14ac:dyDescent="0.25">
      <c r="A521" s="24">
        <v>619</v>
      </c>
    </row>
    <row r="522" spans="1:1" x14ac:dyDescent="0.25">
      <c r="A522" s="24">
        <v>620</v>
      </c>
    </row>
    <row r="523" spans="1:1" x14ac:dyDescent="0.25">
      <c r="A523" s="24">
        <v>621</v>
      </c>
    </row>
    <row r="524" spans="1:1" x14ac:dyDescent="0.25">
      <c r="A524" s="24">
        <v>622</v>
      </c>
    </row>
    <row r="525" spans="1:1" x14ac:dyDescent="0.25">
      <c r="A525" s="24">
        <v>623</v>
      </c>
    </row>
    <row r="526" spans="1:1" x14ac:dyDescent="0.25">
      <c r="A526" s="24">
        <v>624</v>
      </c>
    </row>
    <row r="527" spans="1:1" x14ac:dyDescent="0.25">
      <c r="A527" s="24">
        <v>625</v>
      </c>
    </row>
    <row r="528" spans="1:1" x14ac:dyDescent="0.25">
      <c r="A528" s="24">
        <v>626</v>
      </c>
    </row>
    <row r="529" spans="1:1" x14ac:dyDescent="0.25">
      <c r="A529" s="24">
        <v>627</v>
      </c>
    </row>
    <row r="530" spans="1:1" x14ac:dyDescent="0.25">
      <c r="A530" s="24">
        <v>628</v>
      </c>
    </row>
    <row r="531" spans="1:1" x14ac:dyDescent="0.25">
      <c r="A531" s="24">
        <v>629</v>
      </c>
    </row>
    <row r="532" spans="1:1" x14ac:dyDescent="0.25">
      <c r="A532" s="24">
        <v>630</v>
      </c>
    </row>
    <row r="533" spans="1:1" x14ac:dyDescent="0.25">
      <c r="A533" s="24">
        <v>631</v>
      </c>
    </row>
    <row r="534" spans="1:1" x14ac:dyDescent="0.25">
      <c r="A534" s="24">
        <v>632</v>
      </c>
    </row>
    <row r="535" spans="1:1" x14ac:dyDescent="0.25">
      <c r="A535" s="24">
        <v>633</v>
      </c>
    </row>
    <row r="536" spans="1:1" x14ac:dyDescent="0.25">
      <c r="A536" s="24">
        <v>634</v>
      </c>
    </row>
    <row r="537" spans="1:1" x14ac:dyDescent="0.25">
      <c r="A537" s="24">
        <v>635</v>
      </c>
    </row>
    <row r="538" spans="1:1" x14ac:dyDescent="0.25">
      <c r="A538" s="24">
        <v>636</v>
      </c>
    </row>
    <row r="539" spans="1:1" x14ac:dyDescent="0.25">
      <c r="A539" s="24">
        <v>637</v>
      </c>
    </row>
    <row r="540" spans="1:1" x14ac:dyDescent="0.25">
      <c r="A540" s="24">
        <v>638</v>
      </c>
    </row>
    <row r="541" spans="1:1" x14ac:dyDescent="0.25">
      <c r="A541" s="24">
        <v>639</v>
      </c>
    </row>
    <row r="542" spans="1:1" x14ac:dyDescent="0.25">
      <c r="A542" s="24">
        <v>640</v>
      </c>
    </row>
    <row r="543" spans="1:1" x14ac:dyDescent="0.25">
      <c r="A543" s="24">
        <v>641</v>
      </c>
    </row>
    <row r="544" spans="1:1" x14ac:dyDescent="0.25">
      <c r="A544" s="24">
        <v>642</v>
      </c>
    </row>
    <row r="545" spans="1:1" x14ac:dyDescent="0.25">
      <c r="A545" s="24">
        <v>643</v>
      </c>
    </row>
    <row r="546" spans="1:1" x14ac:dyDescent="0.25">
      <c r="A546" s="24">
        <v>644</v>
      </c>
    </row>
    <row r="547" spans="1:1" x14ac:dyDescent="0.25">
      <c r="A547" s="24">
        <v>645</v>
      </c>
    </row>
    <row r="548" spans="1:1" x14ac:dyDescent="0.25">
      <c r="A548" s="24">
        <v>646</v>
      </c>
    </row>
    <row r="549" spans="1:1" x14ac:dyDescent="0.25">
      <c r="A549" s="24">
        <v>647</v>
      </c>
    </row>
    <row r="550" spans="1:1" x14ac:dyDescent="0.25">
      <c r="A550" s="24">
        <v>648</v>
      </c>
    </row>
    <row r="551" spans="1:1" x14ac:dyDescent="0.25">
      <c r="A551" s="24">
        <v>649</v>
      </c>
    </row>
    <row r="552" spans="1:1" x14ac:dyDescent="0.25">
      <c r="A552" s="24">
        <v>650</v>
      </c>
    </row>
    <row r="553" spans="1:1" x14ac:dyDescent="0.25">
      <c r="A553" s="24">
        <v>651</v>
      </c>
    </row>
    <row r="554" spans="1:1" x14ac:dyDescent="0.25">
      <c r="A554" s="24">
        <v>652</v>
      </c>
    </row>
    <row r="555" spans="1:1" x14ac:dyDescent="0.25">
      <c r="A555" s="24">
        <v>653</v>
      </c>
    </row>
    <row r="556" spans="1:1" x14ac:dyDescent="0.25">
      <c r="A556" s="24">
        <v>654</v>
      </c>
    </row>
    <row r="557" spans="1:1" x14ac:dyDescent="0.25">
      <c r="A557" s="24">
        <v>655</v>
      </c>
    </row>
    <row r="558" spans="1:1" x14ac:dyDescent="0.25">
      <c r="A558" s="24">
        <v>656</v>
      </c>
    </row>
    <row r="559" spans="1:1" x14ac:dyDescent="0.25">
      <c r="A559" s="24">
        <v>657</v>
      </c>
    </row>
    <row r="560" spans="1:1" x14ac:dyDescent="0.25">
      <c r="A560" s="24">
        <v>658</v>
      </c>
    </row>
    <row r="561" spans="1:1" x14ac:dyDescent="0.25">
      <c r="A561" s="24">
        <v>659</v>
      </c>
    </row>
    <row r="562" spans="1:1" x14ac:dyDescent="0.25">
      <c r="A562" s="24">
        <v>660</v>
      </c>
    </row>
    <row r="563" spans="1:1" x14ac:dyDescent="0.25">
      <c r="A563" s="24">
        <v>661</v>
      </c>
    </row>
    <row r="564" spans="1:1" x14ac:dyDescent="0.25">
      <c r="A564" s="24">
        <v>662</v>
      </c>
    </row>
    <row r="565" spans="1:1" x14ac:dyDescent="0.25">
      <c r="A565" s="24">
        <v>663</v>
      </c>
    </row>
    <row r="566" spans="1:1" x14ac:dyDescent="0.25">
      <c r="A566" s="24">
        <v>664</v>
      </c>
    </row>
    <row r="567" spans="1:1" x14ac:dyDescent="0.25">
      <c r="A567" s="24">
        <v>665</v>
      </c>
    </row>
    <row r="568" spans="1:1" x14ac:dyDescent="0.25">
      <c r="A568" s="24">
        <v>666</v>
      </c>
    </row>
    <row r="569" spans="1:1" x14ac:dyDescent="0.25">
      <c r="A569" s="24">
        <v>667</v>
      </c>
    </row>
    <row r="570" spans="1:1" x14ac:dyDescent="0.25">
      <c r="A570" s="24">
        <v>668</v>
      </c>
    </row>
    <row r="571" spans="1:1" x14ac:dyDescent="0.25">
      <c r="A571" s="24">
        <v>669</v>
      </c>
    </row>
    <row r="572" spans="1:1" x14ac:dyDescent="0.25">
      <c r="A572" s="24">
        <v>670</v>
      </c>
    </row>
    <row r="573" spans="1:1" x14ac:dyDescent="0.25">
      <c r="A573" s="24">
        <v>671</v>
      </c>
    </row>
    <row r="574" spans="1:1" x14ac:dyDescent="0.25">
      <c r="A574" s="24">
        <v>672</v>
      </c>
    </row>
    <row r="575" spans="1:1" x14ac:dyDescent="0.25">
      <c r="A575" s="24">
        <v>673</v>
      </c>
    </row>
    <row r="576" spans="1:1" x14ac:dyDescent="0.25">
      <c r="A576" s="24">
        <v>674</v>
      </c>
    </row>
    <row r="577" spans="1:1" x14ac:dyDescent="0.25">
      <c r="A577" s="24">
        <v>675</v>
      </c>
    </row>
    <row r="578" spans="1:1" x14ac:dyDescent="0.25">
      <c r="A578" s="24">
        <v>676</v>
      </c>
    </row>
    <row r="579" spans="1:1" x14ac:dyDescent="0.25">
      <c r="A579" s="24">
        <v>677</v>
      </c>
    </row>
    <row r="580" spans="1:1" x14ac:dyDescent="0.25">
      <c r="A580" s="24">
        <v>678</v>
      </c>
    </row>
    <row r="581" spans="1:1" x14ac:dyDescent="0.25">
      <c r="A581" s="24">
        <v>679</v>
      </c>
    </row>
    <row r="582" spans="1:1" x14ac:dyDescent="0.25">
      <c r="A582" s="24">
        <v>680</v>
      </c>
    </row>
    <row r="583" spans="1:1" x14ac:dyDescent="0.25">
      <c r="A583" s="24">
        <v>681</v>
      </c>
    </row>
    <row r="584" spans="1:1" x14ac:dyDescent="0.25">
      <c r="A584" s="24">
        <v>682</v>
      </c>
    </row>
    <row r="585" spans="1:1" x14ac:dyDescent="0.25">
      <c r="A585" s="24">
        <v>683</v>
      </c>
    </row>
    <row r="586" spans="1:1" x14ac:dyDescent="0.25">
      <c r="A586" s="24">
        <v>684</v>
      </c>
    </row>
    <row r="587" spans="1:1" x14ac:dyDescent="0.25">
      <c r="A587" s="24">
        <v>685</v>
      </c>
    </row>
    <row r="588" spans="1:1" x14ac:dyDescent="0.25">
      <c r="A588" s="24">
        <v>686</v>
      </c>
    </row>
    <row r="589" spans="1:1" x14ac:dyDescent="0.25">
      <c r="A589" s="24">
        <v>687</v>
      </c>
    </row>
    <row r="590" spans="1:1" x14ac:dyDescent="0.25">
      <c r="A590" s="24">
        <v>688</v>
      </c>
    </row>
    <row r="591" spans="1:1" x14ac:dyDescent="0.25">
      <c r="A591" s="24">
        <v>689</v>
      </c>
    </row>
    <row r="592" spans="1:1" x14ac:dyDescent="0.25">
      <c r="A592" s="24">
        <v>690</v>
      </c>
    </row>
    <row r="593" spans="1:1" x14ac:dyDescent="0.25">
      <c r="A593" s="24">
        <v>691</v>
      </c>
    </row>
    <row r="594" spans="1:1" x14ac:dyDescent="0.25">
      <c r="A594" s="24">
        <v>692</v>
      </c>
    </row>
    <row r="595" spans="1:1" x14ac:dyDescent="0.25">
      <c r="A595" s="24">
        <v>693</v>
      </c>
    </row>
    <row r="596" spans="1:1" x14ac:dyDescent="0.25">
      <c r="A596" s="24">
        <v>694</v>
      </c>
    </row>
    <row r="597" spans="1:1" x14ac:dyDescent="0.25">
      <c r="A597" s="24">
        <v>695</v>
      </c>
    </row>
    <row r="598" spans="1:1" x14ac:dyDescent="0.25">
      <c r="A598" s="24">
        <v>696</v>
      </c>
    </row>
    <row r="599" spans="1:1" x14ac:dyDescent="0.25">
      <c r="A599" s="24">
        <v>697</v>
      </c>
    </row>
    <row r="600" spans="1:1" x14ac:dyDescent="0.25">
      <c r="A600" s="24">
        <v>698</v>
      </c>
    </row>
    <row r="601" spans="1:1" x14ac:dyDescent="0.25">
      <c r="A601" s="24">
        <v>699</v>
      </c>
    </row>
    <row r="602" spans="1:1" x14ac:dyDescent="0.25">
      <c r="A602" s="24">
        <v>700</v>
      </c>
    </row>
    <row r="603" spans="1:1" x14ac:dyDescent="0.25">
      <c r="A603" s="24">
        <v>701</v>
      </c>
    </row>
    <row r="604" spans="1:1" x14ac:dyDescent="0.25">
      <c r="A604" s="24">
        <v>702</v>
      </c>
    </row>
    <row r="605" spans="1:1" x14ac:dyDescent="0.25">
      <c r="A605" s="24">
        <v>703</v>
      </c>
    </row>
    <row r="606" spans="1:1" x14ac:dyDescent="0.25">
      <c r="A606" s="24">
        <v>704</v>
      </c>
    </row>
    <row r="607" spans="1:1" x14ac:dyDescent="0.25">
      <c r="A607" s="24">
        <v>705</v>
      </c>
    </row>
    <row r="608" spans="1:1" x14ac:dyDescent="0.25">
      <c r="A608" s="24">
        <v>706</v>
      </c>
    </row>
    <row r="609" spans="1:1" x14ac:dyDescent="0.25">
      <c r="A609" s="24">
        <v>707</v>
      </c>
    </row>
    <row r="610" spans="1:1" x14ac:dyDescent="0.25">
      <c r="A610" s="24">
        <v>708</v>
      </c>
    </row>
    <row r="611" spans="1:1" x14ac:dyDescent="0.25">
      <c r="A611" s="24">
        <v>709</v>
      </c>
    </row>
    <row r="612" spans="1:1" x14ac:dyDescent="0.25">
      <c r="A612" s="24">
        <v>710</v>
      </c>
    </row>
    <row r="613" spans="1:1" x14ac:dyDescent="0.25">
      <c r="A613" s="24">
        <v>711</v>
      </c>
    </row>
    <row r="614" spans="1:1" x14ac:dyDescent="0.25">
      <c r="A614" s="24">
        <v>712</v>
      </c>
    </row>
    <row r="615" spans="1:1" x14ac:dyDescent="0.25">
      <c r="A615" s="24">
        <v>713</v>
      </c>
    </row>
    <row r="616" spans="1:1" x14ac:dyDescent="0.25">
      <c r="A616" s="24">
        <v>714</v>
      </c>
    </row>
    <row r="617" spans="1:1" x14ac:dyDescent="0.25">
      <c r="A617" s="24">
        <v>715</v>
      </c>
    </row>
    <row r="618" spans="1:1" x14ac:dyDescent="0.25">
      <c r="A618" s="24">
        <v>716</v>
      </c>
    </row>
    <row r="619" spans="1:1" x14ac:dyDescent="0.25">
      <c r="A619" s="24">
        <v>717</v>
      </c>
    </row>
    <row r="620" spans="1:1" x14ac:dyDescent="0.25">
      <c r="A620" s="24">
        <v>718</v>
      </c>
    </row>
    <row r="621" spans="1:1" x14ac:dyDescent="0.25">
      <c r="A621" s="24">
        <v>719</v>
      </c>
    </row>
    <row r="622" spans="1:1" x14ac:dyDescent="0.25">
      <c r="A622" s="24">
        <v>720</v>
      </c>
    </row>
    <row r="623" spans="1:1" x14ac:dyDescent="0.25">
      <c r="A623" s="24">
        <v>721</v>
      </c>
    </row>
    <row r="624" spans="1:1" x14ac:dyDescent="0.25">
      <c r="A624" s="24">
        <v>722</v>
      </c>
    </row>
    <row r="625" spans="1:1" x14ac:dyDescent="0.25">
      <c r="A625" s="24">
        <v>723</v>
      </c>
    </row>
    <row r="626" spans="1:1" x14ac:dyDescent="0.25">
      <c r="A626" s="24">
        <v>724</v>
      </c>
    </row>
    <row r="627" spans="1:1" x14ac:dyDescent="0.25">
      <c r="A627" s="24">
        <v>725</v>
      </c>
    </row>
    <row r="628" spans="1:1" x14ac:dyDescent="0.25">
      <c r="A628" s="24">
        <v>726</v>
      </c>
    </row>
    <row r="629" spans="1:1" x14ac:dyDescent="0.25">
      <c r="A629" s="24">
        <v>727</v>
      </c>
    </row>
    <row r="630" spans="1:1" x14ac:dyDescent="0.25">
      <c r="A630" s="24">
        <v>728</v>
      </c>
    </row>
    <row r="631" spans="1:1" x14ac:dyDescent="0.25">
      <c r="A631" s="24">
        <v>729</v>
      </c>
    </row>
    <row r="632" spans="1:1" x14ac:dyDescent="0.25">
      <c r="A632" s="24">
        <v>730</v>
      </c>
    </row>
    <row r="633" spans="1:1" x14ac:dyDescent="0.25">
      <c r="A633" s="24">
        <v>731</v>
      </c>
    </row>
    <row r="634" spans="1:1" x14ac:dyDescent="0.25">
      <c r="A634" s="24">
        <v>732</v>
      </c>
    </row>
    <row r="635" spans="1:1" x14ac:dyDescent="0.25">
      <c r="A635" s="24">
        <v>733</v>
      </c>
    </row>
    <row r="636" spans="1:1" x14ac:dyDescent="0.25">
      <c r="A636" s="24">
        <v>734</v>
      </c>
    </row>
    <row r="637" spans="1:1" x14ac:dyDescent="0.25">
      <c r="A637" s="24">
        <v>735</v>
      </c>
    </row>
    <row r="638" spans="1:1" x14ac:dyDescent="0.25">
      <c r="A638" s="24">
        <v>736</v>
      </c>
    </row>
    <row r="639" spans="1:1" x14ac:dyDescent="0.25">
      <c r="A639" s="24">
        <v>737</v>
      </c>
    </row>
    <row r="640" spans="1:1" x14ac:dyDescent="0.25">
      <c r="A640" s="24">
        <v>738</v>
      </c>
    </row>
    <row r="641" spans="1:1" x14ac:dyDescent="0.25">
      <c r="A641" s="24">
        <v>739</v>
      </c>
    </row>
    <row r="642" spans="1:1" x14ac:dyDescent="0.25">
      <c r="A642" s="24">
        <v>740</v>
      </c>
    </row>
    <row r="643" spans="1:1" x14ac:dyDescent="0.25">
      <c r="A643" s="24">
        <v>741</v>
      </c>
    </row>
    <row r="644" spans="1:1" x14ac:dyDescent="0.25">
      <c r="A644" s="24">
        <v>742</v>
      </c>
    </row>
    <row r="645" spans="1:1" x14ac:dyDescent="0.25">
      <c r="A645" s="24">
        <v>743</v>
      </c>
    </row>
    <row r="646" spans="1:1" x14ac:dyDescent="0.25">
      <c r="A646" s="24">
        <v>744</v>
      </c>
    </row>
    <row r="647" spans="1:1" x14ac:dyDescent="0.25">
      <c r="A647" s="24">
        <v>745</v>
      </c>
    </row>
    <row r="648" spans="1:1" x14ac:dyDescent="0.25">
      <c r="A648" s="24">
        <v>746</v>
      </c>
    </row>
    <row r="649" spans="1:1" x14ac:dyDescent="0.25">
      <c r="A649" s="24">
        <v>747</v>
      </c>
    </row>
    <row r="650" spans="1:1" x14ac:dyDescent="0.25">
      <c r="A650" s="24">
        <v>748</v>
      </c>
    </row>
    <row r="651" spans="1:1" x14ac:dyDescent="0.25">
      <c r="A651" s="24">
        <v>749</v>
      </c>
    </row>
    <row r="652" spans="1:1" x14ac:dyDescent="0.25">
      <c r="A652" s="24">
        <v>750</v>
      </c>
    </row>
    <row r="653" spans="1:1" x14ac:dyDescent="0.25">
      <c r="A653" s="24">
        <v>751</v>
      </c>
    </row>
    <row r="654" spans="1:1" x14ac:dyDescent="0.25">
      <c r="A654" s="24">
        <v>752</v>
      </c>
    </row>
    <row r="655" spans="1:1" x14ac:dyDescent="0.25">
      <c r="A655" s="24">
        <v>753</v>
      </c>
    </row>
    <row r="656" spans="1:1" x14ac:dyDescent="0.25">
      <c r="A656" s="24">
        <v>754</v>
      </c>
    </row>
    <row r="657" spans="1:1" x14ac:dyDescent="0.25">
      <c r="A657" s="24">
        <v>755</v>
      </c>
    </row>
    <row r="658" spans="1:1" x14ac:dyDescent="0.25">
      <c r="A658" s="24">
        <v>756</v>
      </c>
    </row>
    <row r="659" spans="1:1" x14ac:dyDescent="0.25">
      <c r="A659" s="24">
        <v>757</v>
      </c>
    </row>
    <row r="660" spans="1:1" x14ac:dyDescent="0.25">
      <c r="A660" s="24">
        <v>758</v>
      </c>
    </row>
    <row r="661" spans="1:1" x14ac:dyDescent="0.25">
      <c r="A661" s="24">
        <v>759</v>
      </c>
    </row>
    <row r="662" spans="1:1" x14ac:dyDescent="0.25">
      <c r="A662" s="24">
        <v>760</v>
      </c>
    </row>
    <row r="663" spans="1:1" x14ac:dyDescent="0.25">
      <c r="A663" s="24">
        <v>761</v>
      </c>
    </row>
    <row r="664" spans="1:1" x14ac:dyDescent="0.25">
      <c r="A664" s="24">
        <v>762</v>
      </c>
    </row>
    <row r="665" spans="1:1" x14ac:dyDescent="0.25">
      <c r="A665" s="24">
        <v>763</v>
      </c>
    </row>
    <row r="666" spans="1:1" x14ac:dyDescent="0.25">
      <c r="A666" s="24">
        <v>764</v>
      </c>
    </row>
    <row r="667" spans="1:1" x14ac:dyDescent="0.25">
      <c r="A667" s="24">
        <v>765</v>
      </c>
    </row>
    <row r="668" spans="1:1" x14ac:dyDescent="0.25">
      <c r="A668" s="24">
        <v>766</v>
      </c>
    </row>
    <row r="669" spans="1:1" x14ac:dyDescent="0.25">
      <c r="A669" s="24">
        <v>767</v>
      </c>
    </row>
    <row r="670" spans="1:1" x14ac:dyDescent="0.25">
      <c r="A670" s="24">
        <v>768</v>
      </c>
    </row>
    <row r="671" spans="1:1" x14ac:dyDescent="0.25">
      <c r="A671" s="24">
        <v>769</v>
      </c>
    </row>
    <row r="672" spans="1:1" x14ac:dyDescent="0.25">
      <c r="A672" s="24">
        <v>770</v>
      </c>
    </row>
    <row r="673" spans="1:1" x14ac:dyDescent="0.25">
      <c r="A673" s="24">
        <v>771</v>
      </c>
    </row>
    <row r="674" spans="1:1" x14ac:dyDescent="0.25">
      <c r="A674" s="24">
        <v>772</v>
      </c>
    </row>
    <row r="675" spans="1:1" x14ac:dyDescent="0.25">
      <c r="A675" s="24">
        <v>773</v>
      </c>
    </row>
    <row r="676" spans="1:1" x14ac:dyDescent="0.25">
      <c r="A676" s="24">
        <v>774</v>
      </c>
    </row>
    <row r="677" spans="1:1" x14ac:dyDescent="0.25">
      <c r="A677" s="24">
        <v>775</v>
      </c>
    </row>
    <row r="678" spans="1:1" x14ac:dyDescent="0.25">
      <c r="A678" s="24">
        <v>776</v>
      </c>
    </row>
    <row r="679" spans="1:1" x14ac:dyDescent="0.25">
      <c r="A679" s="24">
        <v>777</v>
      </c>
    </row>
    <row r="680" spans="1:1" x14ac:dyDescent="0.25">
      <c r="A680" s="24">
        <v>778</v>
      </c>
    </row>
    <row r="681" spans="1:1" x14ac:dyDescent="0.25">
      <c r="A681" s="24">
        <v>779</v>
      </c>
    </row>
    <row r="682" spans="1:1" x14ac:dyDescent="0.25">
      <c r="A682" s="24">
        <v>780</v>
      </c>
    </row>
    <row r="683" spans="1:1" x14ac:dyDescent="0.25">
      <c r="A683" s="24">
        <v>781</v>
      </c>
    </row>
    <row r="684" spans="1:1" x14ac:dyDescent="0.25">
      <c r="A684" s="24">
        <v>782</v>
      </c>
    </row>
    <row r="685" spans="1:1" x14ac:dyDescent="0.25">
      <c r="A685" s="24">
        <v>783</v>
      </c>
    </row>
    <row r="686" spans="1:1" x14ac:dyDescent="0.25">
      <c r="A686" s="24">
        <v>784</v>
      </c>
    </row>
    <row r="687" spans="1:1" x14ac:dyDescent="0.25">
      <c r="A687" s="24">
        <v>785</v>
      </c>
    </row>
    <row r="688" spans="1:1" x14ac:dyDescent="0.25">
      <c r="A688" s="24">
        <v>786</v>
      </c>
    </row>
    <row r="689" spans="1:1" x14ac:dyDescent="0.25">
      <c r="A689" s="24">
        <v>787</v>
      </c>
    </row>
    <row r="690" spans="1:1" x14ac:dyDescent="0.25">
      <c r="A690" s="24">
        <v>788</v>
      </c>
    </row>
    <row r="691" spans="1:1" x14ac:dyDescent="0.25">
      <c r="A691" s="24">
        <v>789</v>
      </c>
    </row>
    <row r="692" spans="1:1" x14ac:dyDescent="0.25">
      <c r="A692" s="24">
        <v>790</v>
      </c>
    </row>
    <row r="693" spans="1:1" x14ac:dyDescent="0.25">
      <c r="A693" s="24">
        <v>791</v>
      </c>
    </row>
    <row r="694" spans="1:1" x14ac:dyDescent="0.25">
      <c r="A694" s="24">
        <v>792</v>
      </c>
    </row>
    <row r="695" spans="1:1" x14ac:dyDescent="0.25">
      <c r="A695" s="24">
        <v>793</v>
      </c>
    </row>
    <row r="696" spans="1:1" x14ac:dyDescent="0.25">
      <c r="A696" s="24">
        <v>794</v>
      </c>
    </row>
    <row r="697" spans="1:1" x14ac:dyDescent="0.25">
      <c r="A697" s="24">
        <v>795</v>
      </c>
    </row>
    <row r="698" spans="1:1" x14ac:dyDescent="0.25">
      <c r="A698" s="24">
        <v>796</v>
      </c>
    </row>
    <row r="699" spans="1:1" x14ac:dyDescent="0.25">
      <c r="A699" s="24">
        <v>797</v>
      </c>
    </row>
    <row r="700" spans="1:1" x14ac:dyDescent="0.25">
      <c r="A700" s="24">
        <v>798</v>
      </c>
    </row>
    <row r="701" spans="1:1" x14ac:dyDescent="0.25">
      <c r="A701" s="24">
        <v>799</v>
      </c>
    </row>
    <row r="702" spans="1:1" x14ac:dyDescent="0.25">
      <c r="A702" s="24">
        <v>800</v>
      </c>
    </row>
    <row r="703" spans="1:1" x14ac:dyDescent="0.25">
      <c r="A703" s="24">
        <v>801</v>
      </c>
    </row>
    <row r="704" spans="1:1" x14ac:dyDescent="0.25">
      <c r="A704" s="24">
        <v>802</v>
      </c>
    </row>
    <row r="705" spans="1:1" x14ac:dyDescent="0.25">
      <c r="A705" s="24">
        <v>803</v>
      </c>
    </row>
    <row r="706" spans="1:1" x14ac:dyDescent="0.25">
      <c r="A706" s="24">
        <v>804</v>
      </c>
    </row>
    <row r="707" spans="1:1" x14ac:dyDescent="0.25">
      <c r="A707" s="24">
        <v>805</v>
      </c>
    </row>
    <row r="708" spans="1:1" x14ac:dyDescent="0.25">
      <c r="A708" s="24">
        <v>806</v>
      </c>
    </row>
    <row r="709" spans="1:1" x14ac:dyDescent="0.25">
      <c r="A709" s="24">
        <v>807</v>
      </c>
    </row>
    <row r="710" spans="1:1" x14ac:dyDescent="0.25">
      <c r="A710" s="24">
        <v>808</v>
      </c>
    </row>
    <row r="711" spans="1:1" x14ac:dyDescent="0.25">
      <c r="A711" s="24">
        <v>809</v>
      </c>
    </row>
    <row r="712" spans="1:1" x14ac:dyDescent="0.25">
      <c r="A712" s="24">
        <v>810</v>
      </c>
    </row>
    <row r="713" spans="1:1" x14ac:dyDescent="0.25">
      <c r="A713" s="24">
        <v>811</v>
      </c>
    </row>
    <row r="714" spans="1:1" x14ac:dyDescent="0.25">
      <c r="A714" s="24">
        <v>812</v>
      </c>
    </row>
    <row r="715" spans="1:1" x14ac:dyDescent="0.25">
      <c r="A715" s="24">
        <v>813</v>
      </c>
    </row>
    <row r="716" spans="1:1" x14ac:dyDescent="0.25">
      <c r="A716" s="24">
        <v>814</v>
      </c>
    </row>
    <row r="717" spans="1:1" x14ac:dyDescent="0.25">
      <c r="A717" s="24">
        <v>815</v>
      </c>
    </row>
    <row r="718" spans="1:1" x14ac:dyDescent="0.25">
      <c r="A718" s="24">
        <v>816</v>
      </c>
    </row>
    <row r="719" spans="1:1" x14ac:dyDescent="0.25">
      <c r="A719" s="24">
        <v>817</v>
      </c>
    </row>
    <row r="720" spans="1:1" x14ac:dyDescent="0.25">
      <c r="A720" s="24">
        <v>818</v>
      </c>
    </row>
    <row r="721" spans="1:1" x14ac:dyDescent="0.25">
      <c r="A721" s="24">
        <v>819</v>
      </c>
    </row>
    <row r="722" spans="1:1" x14ac:dyDescent="0.25">
      <c r="A722" s="24">
        <v>820</v>
      </c>
    </row>
    <row r="723" spans="1:1" x14ac:dyDescent="0.25">
      <c r="A723" s="24">
        <v>821</v>
      </c>
    </row>
    <row r="724" spans="1:1" x14ac:dyDescent="0.25">
      <c r="A724" s="24">
        <v>822</v>
      </c>
    </row>
    <row r="725" spans="1:1" x14ac:dyDescent="0.25">
      <c r="A725" s="24">
        <v>823</v>
      </c>
    </row>
    <row r="726" spans="1:1" x14ac:dyDescent="0.25">
      <c r="A726" s="24">
        <v>824</v>
      </c>
    </row>
    <row r="727" spans="1:1" x14ac:dyDescent="0.25">
      <c r="A727" s="24">
        <v>825</v>
      </c>
    </row>
    <row r="728" spans="1:1" x14ac:dyDescent="0.25">
      <c r="A728" s="24">
        <v>826</v>
      </c>
    </row>
    <row r="729" spans="1:1" x14ac:dyDescent="0.25">
      <c r="A729" s="24">
        <v>827</v>
      </c>
    </row>
    <row r="730" spans="1:1" x14ac:dyDescent="0.25">
      <c r="A730" s="24">
        <v>828</v>
      </c>
    </row>
    <row r="731" spans="1:1" x14ac:dyDescent="0.25">
      <c r="A731" s="24">
        <v>829</v>
      </c>
    </row>
    <row r="732" spans="1:1" x14ac:dyDescent="0.25">
      <c r="A732" s="24">
        <v>830</v>
      </c>
    </row>
    <row r="733" spans="1:1" x14ac:dyDescent="0.25">
      <c r="A733" s="24">
        <v>831</v>
      </c>
    </row>
    <row r="734" spans="1:1" x14ac:dyDescent="0.25">
      <c r="A734" s="24">
        <v>832</v>
      </c>
    </row>
    <row r="735" spans="1:1" x14ac:dyDescent="0.25">
      <c r="A735" s="24">
        <v>833</v>
      </c>
    </row>
    <row r="736" spans="1:1" x14ac:dyDescent="0.25">
      <c r="A736" s="24">
        <v>834</v>
      </c>
    </row>
    <row r="737" spans="1:1" x14ac:dyDescent="0.25">
      <c r="A737" s="24">
        <v>835</v>
      </c>
    </row>
    <row r="738" spans="1:1" x14ac:dyDescent="0.25">
      <c r="A738" s="24">
        <v>836</v>
      </c>
    </row>
    <row r="739" spans="1:1" x14ac:dyDescent="0.25">
      <c r="A739" s="24">
        <v>837</v>
      </c>
    </row>
    <row r="740" spans="1:1" x14ac:dyDescent="0.25">
      <c r="A740" s="24">
        <v>838</v>
      </c>
    </row>
    <row r="741" spans="1:1" x14ac:dyDescent="0.25">
      <c r="A741" s="24">
        <v>839</v>
      </c>
    </row>
    <row r="742" spans="1:1" x14ac:dyDescent="0.25">
      <c r="A742" s="24">
        <v>840</v>
      </c>
    </row>
    <row r="743" spans="1:1" x14ac:dyDescent="0.25">
      <c r="A743" s="24">
        <v>841</v>
      </c>
    </row>
    <row r="744" spans="1:1" x14ac:dyDescent="0.25">
      <c r="A744" s="24">
        <v>842</v>
      </c>
    </row>
    <row r="745" spans="1:1" x14ac:dyDescent="0.25">
      <c r="A745" s="24">
        <v>843</v>
      </c>
    </row>
    <row r="746" spans="1:1" x14ac:dyDescent="0.25">
      <c r="A746" s="24">
        <v>844</v>
      </c>
    </row>
    <row r="747" spans="1:1" x14ac:dyDescent="0.25">
      <c r="A747" s="24">
        <v>845</v>
      </c>
    </row>
    <row r="748" spans="1:1" x14ac:dyDescent="0.25">
      <c r="A748" s="24">
        <v>846</v>
      </c>
    </row>
    <row r="749" spans="1:1" x14ac:dyDescent="0.25">
      <c r="A749" s="24">
        <v>847</v>
      </c>
    </row>
    <row r="750" spans="1:1" x14ac:dyDescent="0.25">
      <c r="A750" s="24">
        <v>848</v>
      </c>
    </row>
    <row r="751" spans="1:1" x14ac:dyDescent="0.25">
      <c r="A751" s="24">
        <v>849</v>
      </c>
    </row>
    <row r="752" spans="1:1" x14ac:dyDescent="0.25">
      <c r="A752" s="24">
        <v>850</v>
      </c>
    </row>
    <row r="753" spans="1:1" x14ac:dyDescent="0.25">
      <c r="A753" s="24">
        <v>851</v>
      </c>
    </row>
    <row r="754" spans="1:1" x14ac:dyDescent="0.25">
      <c r="A754" s="24">
        <v>852</v>
      </c>
    </row>
    <row r="755" spans="1:1" x14ac:dyDescent="0.25">
      <c r="A755" s="24">
        <v>853</v>
      </c>
    </row>
    <row r="756" spans="1:1" x14ac:dyDescent="0.25">
      <c r="A756" s="24">
        <v>854</v>
      </c>
    </row>
    <row r="757" spans="1:1" x14ac:dyDescent="0.25">
      <c r="A757" s="24">
        <v>855</v>
      </c>
    </row>
    <row r="758" spans="1:1" x14ac:dyDescent="0.25">
      <c r="A758" s="24">
        <v>856</v>
      </c>
    </row>
    <row r="759" spans="1:1" x14ac:dyDescent="0.25">
      <c r="A759" s="24">
        <v>857</v>
      </c>
    </row>
    <row r="760" spans="1:1" x14ac:dyDescent="0.25">
      <c r="A760" s="24">
        <v>858</v>
      </c>
    </row>
    <row r="761" spans="1:1" x14ac:dyDescent="0.25">
      <c r="A761" s="24">
        <v>859</v>
      </c>
    </row>
    <row r="762" spans="1:1" x14ac:dyDescent="0.25">
      <c r="A762" s="24">
        <v>860</v>
      </c>
    </row>
    <row r="763" spans="1:1" x14ac:dyDescent="0.25">
      <c r="A763" s="24">
        <v>861</v>
      </c>
    </row>
    <row r="764" spans="1:1" x14ac:dyDescent="0.25">
      <c r="A764" s="24">
        <v>862</v>
      </c>
    </row>
    <row r="765" spans="1:1" x14ac:dyDescent="0.25">
      <c r="A765" s="24">
        <v>863</v>
      </c>
    </row>
    <row r="766" spans="1:1" x14ac:dyDescent="0.25">
      <c r="A766" s="24">
        <v>864</v>
      </c>
    </row>
    <row r="767" spans="1:1" x14ac:dyDescent="0.25">
      <c r="A767" s="24">
        <v>865</v>
      </c>
    </row>
    <row r="768" spans="1:1" x14ac:dyDescent="0.25">
      <c r="A768" s="24">
        <v>866</v>
      </c>
    </row>
    <row r="769" spans="1:1" x14ac:dyDescent="0.25">
      <c r="A769" s="24">
        <v>867</v>
      </c>
    </row>
    <row r="770" spans="1:1" x14ac:dyDescent="0.25">
      <c r="A770" s="24">
        <v>868</v>
      </c>
    </row>
    <row r="771" spans="1:1" x14ac:dyDescent="0.25">
      <c r="A771" s="24">
        <v>869</v>
      </c>
    </row>
    <row r="772" spans="1:1" x14ac:dyDescent="0.25">
      <c r="A772" s="24">
        <v>870</v>
      </c>
    </row>
    <row r="773" spans="1:1" x14ac:dyDescent="0.25">
      <c r="A773" s="24">
        <v>871</v>
      </c>
    </row>
    <row r="774" spans="1:1" x14ac:dyDescent="0.25">
      <c r="A774" s="24">
        <v>872</v>
      </c>
    </row>
    <row r="775" spans="1:1" x14ac:dyDescent="0.25">
      <c r="A775" s="24">
        <v>873</v>
      </c>
    </row>
    <row r="776" spans="1:1" x14ac:dyDescent="0.25">
      <c r="A776" s="24">
        <v>874</v>
      </c>
    </row>
    <row r="777" spans="1:1" x14ac:dyDescent="0.25">
      <c r="A777" s="24">
        <v>875</v>
      </c>
    </row>
    <row r="778" spans="1:1" x14ac:dyDescent="0.25">
      <c r="A778" s="24">
        <v>876</v>
      </c>
    </row>
    <row r="779" spans="1:1" x14ac:dyDescent="0.25">
      <c r="A779" s="24">
        <v>877</v>
      </c>
    </row>
    <row r="780" spans="1:1" x14ac:dyDescent="0.25">
      <c r="A780" s="24">
        <v>878</v>
      </c>
    </row>
    <row r="781" spans="1:1" x14ac:dyDescent="0.25">
      <c r="A781" s="24">
        <v>879</v>
      </c>
    </row>
    <row r="782" spans="1:1" x14ac:dyDescent="0.25">
      <c r="A782" s="24">
        <v>880</v>
      </c>
    </row>
    <row r="783" spans="1:1" x14ac:dyDescent="0.25">
      <c r="A783" s="24">
        <v>881</v>
      </c>
    </row>
    <row r="784" spans="1:1" x14ac:dyDescent="0.25">
      <c r="A784" s="24">
        <v>882</v>
      </c>
    </row>
    <row r="785" spans="1:1" x14ac:dyDescent="0.25">
      <c r="A785" s="24">
        <v>883</v>
      </c>
    </row>
    <row r="786" spans="1:1" x14ac:dyDescent="0.25">
      <c r="A786" s="24">
        <v>884</v>
      </c>
    </row>
    <row r="787" spans="1:1" x14ac:dyDescent="0.25">
      <c r="A787" s="24">
        <v>885</v>
      </c>
    </row>
    <row r="788" spans="1:1" x14ac:dyDescent="0.25">
      <c r="A788" s="24">
        <v>886</v>
      </c>
    </row>
    <row r="789" spans="1:1" x14ac:dyDescent="0.25">
      <c r="A789" s="24">
        <v>887</v>
      </c>
    </row>
    <row r="790" spans="1:1" x14ac:dyDescent="0.25">
      <c r="A790" s="24">
        <v>888</v>
      </c>
    </row>
    <row r="791" spans="1:1" x14ac:dyDescent="0.25">
      <c r="A791" s="24">
        <v>889</v>
      </c>
    </row>
    <row r="792" spans="1:1" x14ac:dyDescent="0.25">
      <c r="A792" s="24">
        <v>890</v>
      </c>
    </row>
    <row r="793" spans="1:1" x14ac:dyDescent="0.25">
      <c r="A793" s="24">
        <v>891</v>
      </c>
    </row>
    <row r="794" spans="1:1" x14ac:dyDescent="0.25">
      <c r="A794" s="24">
        <v>892</v>
      </c>
    </row>
    <row r="795" spans="1:1" x14ac:dyDescent="0.25">
      <c r="A795" s="24">
        <v>893</v>
      </c>
    </row>
    <row r="796" spans="1:1" x14ac:dyDescent="0.25">
      <c r="A796" s="24">
        <v>894</v>
      </c>
    </row>
    <row r="797" spans="1:1" x14ac:dyDescent="0.25">
      <c r="A797" s="24">
        <v>895</v>
      </c>
    </row>
    <row r="798" spans="1:1" x14ac:dyDescent="0.25">
      <c r="A798" s="24">
        <v>896</v>
      </c>
    </row>
    <row r="799" spans="1:1" x14ac:dyDescent="0.25">
      <c r="A799" s="24">
        <v>897</v>
      </c>
    </row>
    <row r="800" spans="1:1" x14ac:dyDescent="0.25">
      <c r="A800" s="24">
        <v>898</v>
      </c>
    </row>
    <row r="801" spans="1:1" x14ac:dyDescent="0.25">
      <c r="A801" s="24">
        <v>899</v>
      </c>
    </row>
    <row r="802" spans="1:1" x14ac:dyDescent="0.25">
      <c r="A802" s="24">
        <v>900</v>
      </c>
    </row>
    <row r="803" spans="1:1" x14ac:dyDescent="0.25">
      <c r="A803" s="24">
        <v>901</v>
      </c>
    </row>
    <row r="804" spans="1:1" x14ac:dyDescent="0.25">
      <c r="A804" s="24">
        <v>902</v>
      </c>
    </row>
    <row r="805" spans="1:1" x14ac:dyDescent="0.25">
      <c r="A805" s="24">
        <v>903</v>
      </c>
    </row>
    <row r="806" spans="1:1" x14ac:dyDescent="0.25">
      <c r="A806" s="24">
        <v>904</v>
      </c>
    </row>
    <row r="807" spans="1:1" x14ac:dyDescent="0.25">
      <c r="A807" s="24">
        <v>905</v>
      </c>
    </row>
    <row r="808" spans="1:1" x14ac:dyDescent="0.25">
      <c r="A808" s="24">
        <v>906</v>
      </c>
    </row>
    <row r="809" spans="1:1" x14ac:dyDescent="0.25">
      <c r="A809" s="24">
        <v>907</v>
      </c>
    </row>
    <row r="810" spans="1:1" x14ac:dyDescent="0.25">
      <c r="A810" s="24">
        <v>908</v>
      </c>
    </row>
    <row r="811" spans="1:1" x14ac:dyDescent="0.25">
      <c r="A811" s="24">
        <v>909</v>
      </c>
    </row>
    <row r="812" spans="1:1" x14ac:dyDescent="0.25">
      <c r="A812" s="24">
        <v>910</v>
      </c>
    </row>
    <row r="813" spans="1:1" x14ac:dyDescent="0.25">
      <c r="A813" s="24">
        <v>911</v>
      </c>
    </row>
    <row r="814" spans="1:1" x14ac:dyDescent="0.25">
      <c r="A814" s="24">
        <v>912</v>
      </c>
    </row>
    <row r="815" spans="1:1" x14ac:dyDescent="0.25">
      <c r="A815" s="24">
        <v>913</v>
      </c>
    </row>
    <row r="816" spans="1:1" x14ac:dyDescent="0.25">
      <c r="A816" s="24">
        <v>914</v>
      </c>
    </row>
    <row r="817" spans="1:1" x14ac:dyDescent="0.25">
      <c r="A817" s="24">
        <v>915</v>
      </c>
    </row>
    <row r="818" spans="1:1" x14ac:dyDescent="0.25">
      <c r="A818" s="24">
        <v>916</v>
      </c>
    </row>
    <row r="819" spans="1:1" x14ac:dyDescent="0.25">
      <c r="A819" s="24">
        <v>917</v>
      </c>
    </row>
    <row r="820" spans="1:1" x14ac:dyDescent="0.25">
      <c r="A820" s="24">
        <v>918</v>
      </c>
    </row>
    <row r="821" spans="1:1" x14ac:dyDescent="0.25">
      <c r="A821" s="24">
        <v>919</v>
      </c>
    </row>
    <row r="822" spans="1:1" x14ac:dyDescent="0.25">
      <c r="A822" s="24">
        <v>920</v>
      </c>
    </row>
    <row r="823" spans="1:1" x14ac:dyDescent="0.25">
      <c r="A823" s="24">
        <v>921</v>
      </c>
    </row>
    <row r="824" spans="1:1" x14ac:dyDescent="0.25">
      <c r="A824" s="24">
        <v>922</v>
      </c>
    </row>
    <row r="825" spans="1:1" x14ac:dyDescent="0.25">
      <c r="A825" s="24">
        <v>923</v>
      </c>
    </row>
    <row r="826" spans="1:1" x14ac:dyDescent="0.25">
      <c r="A826" s="24">
        <v>924</v>
      </c>
    </row>
    <row r="827" spans="1:1" x14ac:dyDescent="0.25">
      <c r="A827" s="24">
        <v>925</v>
      </c>
    </row>
    <row r="828" spans="1:1" x14ac:dyDescent="0.25">
      <c r="A828" s="24">
        <v>926</v>
      </c>
    </row>
    <row r="829" spans="1:1" x14ac:dyDescent="0.25">
      <c r="A829" s="24">
        <v>927</v>
      </c>
    </row>
    <row r="830" spans="1:1" x14ac:dyDescent="0.25">
      <c r="A830" s="24">
        <v>928</v>
      </c>
    </row>
    <row r="831" spans="1:1" x14ac:dyDescent="0.25">
      <c r="A831" s="24">
        <v>929</v>
      </c>
    </row>
    <row r="832" spans="1:1" x14ac:dyDescent="0.25">
      <c r="A832" s="24">
        <v>930</v>
      </c>
    </row>
    <row r="833" spans="1:1" x14ac:dyDescent="0.25">
      <c r="A833" s="24">
        <v>931</v>
      </c>
    </row>
    <row r="834" spans="1:1" x14ac:dyDescent="0.25">
      <c r="A834" s="24">
        <v>932</v>
      </c>
    </row>
    <row r="835" spans="1:1" x14ac:dyDescent="0.25">
      <c r="A835" s="24">
        <v>933</v>
      </c>
    </row>
    <row r="836" spans="1:1" x14ac:dyDescent="0.25">
      <c r="A836" s="24">
        <v>934</v>
      </c>
    </row>
    <row r="837" spans="1:1" x14ac:dyDescent="0.25">
      <c r="A837" s="24">
        <v>935</v>
      </c>
    </row>
    <row r="838" spans="1:1" x14ac:dyDescent="0.25">
      <c r="A838" s="24">
        <v>936</v>
      </c>
    </row>
    <row r="839" spans="1:1" x14ac:dyDescent="0.25">
      <c r="A839" s="24">
        <v>937</v>
      </c>
    </row>
    <row r="840" spans="1:1" x14ac:dyDescent="0.25">
      <c r="A840" s="24">
        <v>938</v>
      </c>
    </row>
    <row r="841" spans="1:1" x14ac:dyDescent="0.25">
      <c r="A841" s="24">
        <v>939</v>
      </c>
    </row>
    <row r="842" spans="1:1" x14ac:dyDescent="0.25">
      <c r="A842" s="24">
        <v>940</v>
      </c>
    </row>
    <row r="843" spans="1:1" x14ac:dyDescent="0.25">
      <c r="A843" s="24">
        <v>941</v>
      </c>
    </row>
    <row r="844" spans="1:1" x14ac:dyDescent="0.25">
      <c r="A844" s="24">
        <v>942</v>
      </c>
    </row>
    <row r="845" spans="1:1" x14ac:dyDescent="0.25">
      <c r="A845" s="24">
        <v>943</v>
      </c>
    </row>
    <row r="846" spans="1:1" x14ac:dyDescent="0.25">
      <c r="A846" s="24">
        <v>944</v>
      </c>
    </row>
    <row r="847" spans="1:1" x14ac:dyDescent="0.25">
      <c r="A847" s="24">
        <v>945</v>
      </c>
    </row>
    <row r="848" spans="1:1" x14ac:dyDescent="0.25">
      <c r="A848" s="24">
        <v>946</v>
      </c>
    </row>
    <row r="849" spans="1:1" x14ac:dyDescent="0.25">
      <c r="A849" s="24">
        <v>947</v>
      </c>
    </row>
    <row r="850" spans="1:1" x14ac:dyDescent="0.25">
      <c r="A850" s="24">
        <v>948</v>
      </c>
    </row>
    <row r="851" spans="1:1" x14ac:dyDescent="0.25">
      <c r="A851" s="24">
        <v>949</v>
      </c>
    </row>
    <row r="852" spans="1:1" x14ac:dyDescent="0.25">
      <c r="A852" s="24">
        <v>950</v>
      </c>
    </row>
    <row r="853" spans="1:1" x14ac:dyDescent="0.25">
      <c r="A853" s="24">
        <v>951</v>
      </c>
    </row>
    <row r="854" spans="1:1" x14ac:dyDescent="0.25">
      <c r="A854" s="24">
        <v>952</v>
      </c>
    </row>
    <row r="855" spans="1:1" x14ac:dyDescent="0.25">
      <c r="A855" s="24">
        <v>953</v>
      </c>
    </row>
    <row r="856" spans="1:1" x14ac:dyDescent="0.25">
      <c r="A856" s="24">
        <v>954</v>
      </c>
    </row>
    <row r="857" spans="1:1" x14ac:dyDescent="0.25">
      <c r="A857" s="24">
        <v>955</v>
      </c>
    </row>
    <row r="858" spans="1:1" x14ac:dyDescent="0.25">
      <c r="A858" s="24">
        <v>956</v>
      </c>
    </row>
    <row r="859" spans="1:1" x14ac:dyDescent="0.25">
      <c r="A859" s="24">
        <v>957</v>
      </c>
    </row>
    <row r="860" spans="1:1" x14ac:dyDescent="0.25">
      <c r="A860" s="24">
        <v>958</v>
      </c>
    </row>
    <row r="861" spans="1:1" x14ac:dyDescent="0.25">
      <c r="A861" s="24">
        <v>959</v>
      </c>
    </row>
    <row r="862" spans="1:1" x14ac:dyDescent="0.25">
      <c r="A862" s="24">
        <v>960</v>
      </c>
    </row>
    <row r="863" spans="1:1" x14ac:dyDescent="0.25">
      <c r="A863" s="24">
        <v>961</v>
      </c>
    </row>
    <row r="864" spans="1:1" x14ac:dyDescent="0.25">
      <c r="A864" s="24">
        <v>962</v>
      </c>
    </row>
    <row r="865" spans="1:1" x14ac:dyDescent="0.25">
      <c r="A865" s="24">
        <v>963</v>
      </c>
    </row>
    <row r="866" spans="1:1" x14ac:dyDescent="0.25">
      <c r="A866" s="24">
        <v>964</v>
      </c>
    </row>
    <row r="867" spans="1:1" x14ac:dyDescent="0.25">
      <c r="A867" s="24">
        <v>965</v>
      </c>
    </row>
    <row r="868" spans="1:1" x14ac:dyDescent="0.25">
      <c r="A868" s="24">
        <v>966</v>
      </c>
    </row>
    <row r="869" spans="1:1" x14ac:dyDescent="0.25">
      <c r="A869" s="24">
        <v>967</v>
      </c>
    </row>
    <row r="870" spans="1:1" x14ac:dyDescent="0.25">
      <c r="A870" s="24">
        <v>968</v>
      </c>
    </row>
    <row r="871" spans="1:1" x14ac:dyDescent="0.25">
      <c r="A871" s="24">
        <v>969</v>
      </c>
    </row>
    <row r="872" spans="1:1" x14ac:dyDescent="0.25">
      <c r="A872" s="24">
        <v>970</v>
      </c>
    </row>
    <row r="873" spans="1:1" x14ac:dyDescent="0.25">
      <c r="A873" s="24">
        <v>971</v>
      </c>
    </row>
    <row r="874" spans="1:1" x14ac:dyDescent="0.25">
      <c r="A874" s="24">
        <v>972</v>
      </c>
    </row>
    <row r="875" spans="1:1" x14ac:dyDescent="0.25">
      <c r="A875" s="24">
        <v>973</v>
      </c>
    </row>
    <row r="876" spans="1:1" x14ac:dyDescent="0.25">
      <c r="A876" s="24">
        <v>974</v>
      </c>
    </row>
    <row r="877" spans="1:1" x14ac:dyDescent="0.25">
      <c r="A877" s="24">
        <v>975</v>
      </c>
    </row>
    <row r="878" spans="1:1" x14ac:dyDescent="0.25">
      <c r="A878" s="24">
        <v>976</v>
      </c>
    </row>
    <row r="879" spans="1:1" x14ac:dyDescent="0.25">
      <c r="A879" s="24">
        <v>977</v>
      </c>
    </row>
    <row r="880" spans="1:1" x14ac:dyDescent="0.25">
      <c r="A880" s="24">
        <v>978</v>
      </c>
    </row>
    <row r="881" spans="1:1" x14ac:dyDescent="0.25">
      <c r="A881" s="24">
        <v>979</v>
      </c>
    </row>
    <row r="882" spans="1:1" x14ac:dyDescent="0.25">
      <c r="A882" s="24">
        <v>980</v>
      </c>
    </row>
    <row r="883" spans="1:1" x14ac:dyDescent="0.25">
      <c r="A883" s="24">
        <v>981</v>
      </c>
    </row>
    <row r="884" spans="1:1" x14ac:dyDescent="0.25">
      <c r="A884" s="24">
        <v>982</v>
      </c>
    </row>
    <row r="885" spans="1:1" x14ac:dyDescent="0.25">
      <c r="A885" s="24">
        <v>983</v>
      </c>
    </row>
    <row r="886" spans="1:1" x14ac:dyDescent="0.25">
      <c r="A886" s="24">
        <v>984</v>
      </c>
    </row>
    <row r="887" spans="1:1" x14ac:dyDescent="0.25">
      <c r="A887" s="24">
        <v>985</v>
      </c>
    </row>
    <row r="888" spans="1:1" x14ac:dyDescent="0.25">
      <c r="A888" s="24">
        <v>986</v>
      </c>
    </row>
    <row r="889" spans="1:1" x14ac:dyDescent="0.25">
      <c r="A889" s="24">
        <v>987</v>
      </c>
    </row>
    <row r="890" spans="1:1" x14ac:dyDescent="0.25">
      <c r="A890" s="24">
        <v>988</v>
      </c>
    </row>
    <row r="891" spans="1:1" x14ac:dyDescent="0.25">
      <c r="A891" s="24">
        <v>989</v>
      </c>
    </row>
    <row r="892" spans="1:1" x14ac:dyDescent="0.25">
      <c r="A892" s="24">
        <v>990</v>
      </c>
    </row>
    <row r="893" spans="1:1" x14ac:dyDescent="0.25">
      <c r="A893" s="24">
        <v>991</v>
      </c>
    </row>
    <row r="894" spans="1:1" x14ac:dyDescent="0.25">
      <c r="A894" s="24">
        <v>992</v>
      </c>
    </row>
    <row r="895" spans="1:1" x14ac:dyDescent="0.25">
      <c r="A895" s="24">
        <v>993</v>
      </c>
    </row>
    <row r="896" spans="1:1" x14ac:dyDescent="0.25">
      <c r="A896" s="24">
        <v>994</v>
      </c>
    </row>
    <row r="897" spans="1:1" x14ac:dyDescent="0.25">
      <c r="A897" s="24">
        <v>995</v>
      </c>
    </row>
    <row r="898" spans="1:1" x14ac:dyDescent="0.25">
      <c r="A898" s="24">
        <v>996</v>
      </c>
    </row>
    <row r="899" spans="1:1" x14ac:dyDescent="0.25">
      <c r="A899" s="24">
        <v>997</v>
      </c>
    </row>
    <row r="900" spans="1:1" x14ac:dyDescent="0.25">
      <c r="A900" s="24">
        <v>998</v>
      </c>
    </row>
    <row r="901" spans="1:1" x14ac:dyDescent="0.25">
      <c r="A901" s="24">
        <v>999</v>
      </c>
    </row>
    <row r="902" spans="1:1" x14ac:dyDescent="0.25">
      <c r="A902" s="24">
        <v>1000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K358"/>
  <sheetViews>
    <sheetView workbookViewId="0"/>
  </sheetViews>
  <sheetFormatPr defaultRowHeight="15" x14ac:dyDescent="0.25"/>
  <sheetData>
    <row r="1" spans="1:11" x14ac:dyDescent="0.25">
      <c r="A1" s="5" t="s">
        <v>29</v>
      </c>
      <c r="B1" s="5" t="s">
        <v>33</v>
      </c>
      <c r="C1" s="5" t="s">
        <v>34</v>
      </c>
      <c r="D1" s="5" t="s">
        <v>29</v>
      </c>
      <c r="E1" s="5" t="s">
        <v>35</v>
      </c>
      <c r="F1" s="5" t="s">
        <v>36</v>
      </c>
      <c r="H1" s="5" t="s">
        <v>37</v>
      </c>
      <c r="I1" s="5" t="s">
        <v>38</v>
      </c>
      <c r="J1" s="5" t="s">
        <v>39</v>
      </c>
      <c r="K1" s="5" t="s">
        <v>40</v>
      </c>
    </row>
    <row r="2" spans="1:11" x14ac:dyDescent="0.25">
      <c r="A2">
        <v>0.51300000000000001</v>
      </c>
      <c r="B2">
        <v>57.963095374155643</v>
      </c>
      <c r="C2">
        <v>10.108794512521959</v>
      </c>
      <c r="H2">
        <v>6.8460000000000001</v>
      </c>
      <c r="I2">
        <v>2.593</v>
      </c>
    </row>
    <row r="3" spans="1:11" x14ac:dyDescent="0.25">
      <c r="A3">
        <v>0.54</v>
      </c>
      <c r="B3">
        <v>56.725137089530065</v>
      </c>
      <c r="C3">
        <v>7.4483584157521099</v>
      </c>
      <c r="H3">
        <v>6.4770000000000003</v>
      </c>
      <c r="I3">
        <v>1.8</v>
      </c>
    </row>
    <row r="4" spans="1:11" x14ac:dyDescent="0.25">
      <c r="A4">
        <v>0.56699999999999995</v>
      </c>
      <c r="B4">
        <v>52.353701737586668</v>
      </c>
      <c r="C4">
        <v>5.6232925435669934</v>
      </c>
      <c r="H4">
        <v>5.1740000000000004</v>
      </c>
      <c r="I4">
        <v>1.256</v>
      </c>
    </row>
    <row r="5" spans="1:11" x14ac:dyDescent="0.25">
      <c r="A5">
        <v>0.59299999999999997</v>
      </c>
      <c r="B5">
        <v>48.975316933744011</v>
      </c>
      <c r="C5">
        <v>5.2710279910312625</v>
      </c>
      <c r="H5">
        <v>4.1669999999999998</v>
      </c>
      <c r="I5">
        <v>1.151</v>
      </c>
    </row>
    <row r="6" spans="1:11" x14ac:dyDescent="0.25">
      <c r="A6">
        <v>0.62</v>
      </c>
      <c r="B6">
        <v>46.781212006521464</v>
      </c>
      <c r="C6">
        <v>5.311286797035347</v>
      </c>
      <c r="H6">
        <v>3.5129999999999999</v>
      </c>
      <c r="I6">
        <v>1.163</v>
      </c>
    </row>
    <row r="7" spans="1:11" x14ac:dyDescent="0.25">
      <c r="A7">
        <v>0.64700000000000002</v>
      </c>
      <c r="B7">
        <v>44.667624691307076</v>
      </c>
      <c r="C7">
        <v>5.0529594585091449</v>
      </c>
      <c r="H7">
        <v>2.883</v>
      </c>
      <c r="I7">
        <v>1.0860000000000001</v>
      </c>
    </row>
    <row r="8" spans="1:11" x14ac:dyDescent="0.25">
      <c r="A8">
        <v>0.67300000000000004</v>
      </c>
      <c r="B8">
        <v>42.792235311616857</v>
      </c>
      <c r="C8">
        <v>4.4222381644451705</v>
      </c>
      <c r="H8">
        <v>2.3239999999999998</v>
      </c>
      <c r="I8">
        <v>0.89800000000000002</v>
      </c>
    </row>
    <row r="9" spans="1:11" x14ac:dyDescent="0.25">
      <c r="A9">
        <v>0.7</v>
      </c>
      <c r="B9">
        <v>41.547567225990605</v>
      </c>
      <c r="C9">
        <v>3.7915168703811961</v>
      </c>
      <c r="H9">
        <v>1.9530000000000001</v>
      </c>
      <c r="I9">
        <v>0.71</v>
      </c>
    </row>
    <row r="10" spans="1:11" x14ac:dyDescent="0.25">
      <c r="A10">
        <v>0.72699999999999998</v>
      </c>
      <c r="B10">
        <v>40.950394936930039</v>
      </c>
      <c r="C10">
        <v>3.415768014343084</v>
      </c>
      <c r="H10">
        <v>1.7749999999999999</v>
      </c>
      <c r="I10">
        <v>0.59799999999999998</v>
      </c>
    </row>
    <row r="11" spans="1:11" x14ac:dyDescent="0.25">
      <c r="A11">
        <v>0.753</v>
      </c>
      <c r="B11">
        <v>40.85645772292051</v>
      </c>
      <c r="C11">
        <v>3.3453151038359374</v>
      </c>
      <c r="H11">
        <v>1.7470000000000001</v>
      </c>
      <c r="I11">
        <v>0.57699999999999996</v>
      </c>
    </row>
    <row r="12" spans="1:11" x14ac:dyDescent="0.25">
      <c r="A12">
        <v>0.78</v>
      </c>
      <c r="B12">
        <v>40.977234140932758</v>
      </c>
      <c r="C12">
        <v>3.3922837108407018</v>
      </c>
      <c r="H12">
        <v>1.7829999999999999</v>
      </c>
      <c r="I12">
        <v>0.59099999999999997</v>
      </c>
    </row>
    <row r="13" spans="1:11" x14ac:dyDescent="0.25">
      <c r="A13">
        <v>0.80700000000000005</v>
      </c>
      <c r="B13">
        <v>41.074526255442628</v>
      </c>
      <c r="C13">
        <v>3.4627366213478479</v>
      </c>
      <c r="H13">
        <v>1.8120000000000001</v>
      </c>
      <c r="I13">
        <v>0.61199999999999999</v>
      </c>
    </row>
    <row r="14" spans="1:11" x14ac:dyDescent="0.25">
      <c r="A14">
        <v>0.83299999999999996</v>
      </c>
      <c r="B14">
        <v>40.95710473793072</v>
      </c>
      <c r="C14">
        <v>3.4761562233492089</v>
      </c>
      <c r="H14">
        <v>1.7769999999999999</v>
      </c>
      <c r="I14">
        <v>0.61599999999999999</v>
      </c>
    </row>
    <row r="15" spans="1:11" x14ac:dyDescent="0.25">
      <c r="A15">
        <v>0.86</v>
      </c>
      <c r="B15">
        <v>40.554516677889886</v>
      </c>
      <c r="C15">
        <v>3.385573909840021</v>
      </c>
      <c r="H15">
        <v>1.657</v>
      </c>
      <c r="I15">
        <v>0.58899999999999997</v>
      </c>
    </row>
    <row r="16" spans="1:11" x14ac:dyDescent="0.25">
      <c r="A16">
        <v>0.88700000000000001</v>
      </c>
      <c r="B16">
        <v>39.930505184826593</v>
      </c>
      <c r="C16">
        <v>3.237958287825049</v>
      </c>
      <c r="H16">
        <v>1.4710000000000001</v>
      </c>
      <c r="I16">
        <v>0.54500000000000004</v>
      </c>
    </row>
    <row r="17" spans="1:9" x14ac:dyDescent="0.25">
      <c r="A17">
        <v>0.91300000000000003</v>
      </c>
      <c r="B17">
        <v>39.360172099768739</v>
      </c>
      <c r="C17">
        <v>3.1071171683117775</v>
      </c>
      <c r="H17">
        <v>1.3009999999999999</v>
      </c>
      <c r="I17">
        <v>0.50600000000000001</v>
      </c>
    </row>
    <row r="18" spans="1:9" x14ac:dyDescent="0.25">
      <c r="A18">
        <v>0.94</v>
      </c>
      <c r="B18">
        <v>38.991133044731313</v>
      </c>
      <c r="C18">
        <v>3.0232446558032704</v>
      </c>
      <c r="H18">
        <v>1.1910000000000001</v>
      </c>
      <c r="I18">
        <v>0.48099999999999998</v>
      </c>
    </row>
    <row r="19" spans="1:9" x14ac:dyDescent="0.25">
      <c r="A19">
        <v>0.96699999999999997</v>
      </c>
      <c r="B19">
        <v>38.695901800701364</v>
      </c>
      <c r="C19">
        <v>2.9293074417937421</v>
      </c>
      <c r="H19">
        <v>1.103</v>
      </c>
      <c r="I19">
        <v>0.45300000000000001</v>
      </c>
    </row>
    <row r="20" spans="1:9" x14ac:dyDescent="0.25">
      <c r="A20">
        <v>0.99299999999999999</v>
      </c>
      <c r="B20">
        <v>38.467768566678231</v>
      </c>
      <c r="C20">
        <v>2.8521447302859153</v>
      </c>
      <c r="H20">
        <v>1.0349999999999999</v>
      </c>
      <c r="I20">
        <v>0.43</v>
      </c>
    </row>
    <row r="21" spans="1:9" x14ac:dyDescent="0.25">
      <c r="A21">
        <v>1.02</v>
      </c>
      <c r="B21">
        <v>38.320152944663249</v>
      </c>
      <c r="C21">
        <v>2.7816918197787692</v>
      </c>
      <c r="H21">
        <v>0.99099999999999999</v>
      </c>
      <c r="I21">
        <v>0.40899999999999997</v>
      </c>
    </row>
    <row r="22" spans="1:9" x14ac:dyDescent="0.25">
      <c r="A22">
        <v>1.0469999999999999</v>
      </c>
      <c r="B22">
        <v>38.128923616143851</v>
      </c>
      <c r="C22">
        <v>2.7112389092716236</v>
      </c>
      <c r="H22">
        <v>0.93400000000000005</v>
      </c>
      <c r="I22">
        <v>0.38800000000000001</v>
      </c>
    </row>
    <row r="23" spans="1:9" x14ac:dyDescent="0.25">
      <c r="A23">
        <v>1.073</v>
      </c>
      <c r="B23">
        <v>37.894080581120043</v>
      </c>
      <c r="C23">
        <v>2.6508507002654982</v>
      </c>
      <c r="H23">
        <v>0.86399999999999999</v>
      </c>
      <c r="I23">
        <v>0.37</v>
      </c>
    </row>
    <row r="24" spans="1:9" x14ac:dyDescent="0.25">
      <c r="A24">
        <v>1.1000000000000001</v>
      </c>
      <c r="B24">
        <v>37.679366949098259</v>
      </c>
      <c r="C24">
        <v>2.5904624912593732</v>
      </c>
      <c r="H24">
        <v>0.8</v>
      </c>
      <c r="I24">
        <v>0.35199999999999998</v>
      </c>
    </row>
    <row r="25" spans="1:9" x14ac:dyDescent="0.25">
      <c r="A25">
        <v>1.127</v>
      </c>
      <c r="B25">
        <v>37.494847421579543</v>
      </c>
      <c r="C25">
        <v>2.5434938842546089</v>
      </c>
      <c r="H25">
        <v>0.745</v>
      </c>
      <c r="I25">
        <v>0.33800000000000002</v>
      </c>
    </row>
    <row r="26" spans="1:9" x14ac:dyDescent="0.25">
      <c r="A26">
        <v>1.153</v>
      </c>
      <c r="B26">
        <v>37.364006302066272</v>
      </c>
      <c r="C26">
        <v>2.5367840832539286</v>
      </c>
      <c r="H26">
        <v>0.70599999999999996</v>
      </c>
      <c r="I26">
        <v>0.33600000000000002</v>
      </c>
    </row>
    <row r="27" spans="1:9" x14ac:dyDescent="0.25">
      <c r="A27">
        <v>1.18</v>
      </c>
      <c r="B27">
        <v>37.260004386555721</v>
      </c>
      <c r="C27">
        <v>2.5468487847549497</v>
      </c>
      <c r="H27">
        <v>0.67500000000000004</v>
      </c>
      <c r="I27">
        <v>0.33900000000000002</v>
      </c>
    </row>
    <row r="28" spans="1:9" x14ac:dyDescent="0.25">
      <c r="A28">
        <v>1.2070000000000001</v>
      </c>
      <c r="B28">
        <v>37.162712272045859</v>
      </c>
      <c r="C28">
        <v>2.5300742822532478</v>
      </c>
      <c r="H28">
        <v>0.64600000000000002</v>
      </c>
      <c r="I28">
        <v>0.33400000000000002</v>
      </c>
    </row>
    <row r="29" spans="1:9" x14ac:dyDescent="0.25">
      <c r="A29">
        <v>1.2330000000000001</v>
      </c>
      <c r="B29">
        <v>37.092259361538709</v>
      </c>
      <c r="C29">
        <v>2.5132997797515464</v>
      </c>
      <c r="H29">
        <v>0.625</v>
      </c>
      <c r="I29">
        <v>0.32900000000000001</v>
      </c>
    </row>
    <row r="30" spans="1:9" x14ac:dyDescent="0.25">
      <c r="A30">
        <v>1.26</v>
      </c>
      <c r="B30">
        <v>37.041935854033603</v>
      </c>
      <c r="C30">
        <v>2.509944879251206</v>
      </c>
      <c r="H30">
        <v>0.61</v>
      </c>
      <c r="I30">
        <v>0.32800000000000001</v>
      </c>
    </row>
    <row r="31" spans="1:9" x14ac:dyDescent="0.25">
      <c r="A31">
        <v>1.2869999999999999</v>
      </c>
      <c r="B31">
        <v>36.981547645027476</v>
      </c>
      <c r="C31">
        <v>2.4831056752484839</v>
      </c>
      <c r="H31">
        <v>0.59199999999999997</v>
      </c>
      <c r="I31">
        <v>0.32</v>
      </c>
    </row>
    <row r="32" spans="1:9" x14ac:dyDescent="0.25">
      <c r="A32">
        <v>1.3129999999999999</v>
      </c>
      <c r="B32">
        <v>36.921159436021355</v>
      </c>
      <c r="C32">
        <v>2.4596213717461017</v>
      </c>
      <c r="H32">
        <v>0.57399999999999995</v>
      </c>
      <c r="I32">
        <v>0.313</v>
      </c>
    </row>
    <row r="33" spans="1:9" x14ac:dyDescent="0.25">
      <c r="A33">
        <v>1.34</v>
      </c>
      <c r="B33">
        <v>36.874190829016591</v>
      </c>
      <c r="C33">
        <v>2.4193625657420186</v>
      </c>
      <c r="H33">
        <v>0.56000000000000005</v>
      </c>
      <c r="I33">
        <v>0.30099999999999999</v>
      </c>
    </row>
    <row r="34" spans="1:9" x14ac:dyDescent="0.25">
      <c r="A34">
        <v>1.367</v>
      </c>
      <c r="B34">
        <v>36.773543814006374</v>
      </c>
      <c r="C34">
        <v>2.3522645557352129</v>
      </c>
      <c r="H34">
        <v>0.53</v>
      </c>
      <c r="I34">
        <v>0.28100000000000003</v>
      </c>
    </row>
    <row r="35" spans="1:9" x14ac:dyDescent="0.25">
      <c r="A35">
        <v>1.393</v>
      </c>
      <c r="B35">
        <v>36.656122296494466</v>
      </c>
      <c r="C35">
        <v>2.2818116452280668</v>
      </c>
      <c r="H35">
        <v>0.495</v>
      </c>
      <c r="I35">
        <v>0.26</v>
      </c>
    </row>
    <row r="36" spans="1:9" x14ac:dyDescent="0.25">
      <c r="A36">
        <v>1.42</v>
      </c>
      <c r="B36">
        <v>36.535345878482218</v>
      </c>
      <c r="C36">
        <v>2.2113587347209207</v>
      </c>
      <c r="H36">
        <v>0.45900000000000002</v>
      </c>
      <c r="I36">
        <v>0.23899999999999999</v>
      </c>
    </row>
    <row r="37" spans="1:9" x14ac:dyDescent="0.25">
      <c r="A37">
        <v>1.4470000000000001</v>
      </c>
      <c r="B37">
        <v>36.397794957968266</v>
      </c>
      <c r="C37">
        <v>2.1308411227127535</v>
      </c>
      <c r="H37">
        <v>0.41799999999999998</v>
      </c>
      <c r="I37">
        <v>0.215</v>
      </c>
    </row>
    <row r="38" spans="1:9" x14ac:dyDescent="0.25">
      <c r="A38">
        <v>1.4730000000000001</v>
      </c>
      <c r="B38">
        <v>36.327342047461123</v>
      </c>
      <c r="C38">
        <v>2.0771627147073093</v>
      </c>
      <c r="H38">
        <v>0.39700000000000002</v>
      </c>
      <c r="I38">
        <v>0.19900000000000001</v>
      </c>
    </row>
    <row r="39" spans="1:9" x14ac:dyDescent="0.25">
      <c r="A39">
        <v>1.5</v>
      </c>
      <c r="B39">
        <v>36.260244037454321</v>
      </c>
      <c r="C39">
        <v>2.0603882122056079</v>
      </c>
      <c r="H39">
        <v>0.377</v>
      </c>
      <c r="I39">
        <v>0.19400000000000001</v>
      </c>
    </row>
    <row r="40" spans="1:9" x14ac:dyDescent="0.25">
      <c r="A40">
        <v>1.5269999999999999</v>
      </c>
      <c r="B40">
        <v>36.199855828448186</v>
      </c>
      <c r="C40">
        <v>2.0469686102042464</v>
      </c>
      <c r="H40">
        <v>0.35899999999999999</v>
      </c>
      <c r="I40">
        <v>0.19</v>
      </c>
    </row>
    <row r="41" spans="1:9" x14ac:dyDescent="0.25">
      <c r="A41">
        <v>1.5529999999999999</v>
      </c>
      <c r="B41">
        <v>36.15624212194377</v>
      </c>
      <c r="C41">
        <v>2.0100647047005031</v>
      </c>
      <c r="H41">
        <v>0.34599999999999997</v>
      </c>
      <c r="I41">
        <v>0.17899999999999999</v>
      </c>
    </row>
    <row r="42" spans="1:9" x14ac:dyDescent="0.25">
      <c r="A42">
        <v>1.58</v>
      </c>
      <c r="B42">
        <v>36.115983315939687</v>
      </c>
      <c r="C42">
        <v>2.0000000031994825</v>
      </c>
      <c r="H42">
        <v>0.33400000000000002</v>
      </c>
      <c r="I42">
        <v>0.17599999999999999</v>
      </c>
    </row>
    <row r="43" spans="1:9" x14ac:dyDescent="0.25">
      <c r="A43">
        <v>1.607</v>
      </c>
      <c r="B43">
        <v>36.149532320943081</v>
      </c>
      <c r="C43">
        <v>2.0100647047005031</v>
      </c>
      <c r="H43">
        <v>0.34399999999999997</v>
      </c>
      <c r="I43">
        <v>0.17899999999999999</v>
      </c>
    </row>
    <row r="44" spans="1:9" x14ac:dyDescent="0.25">
      <c r="A44">
        <v>1.633</v>
      </c>
      <c r="B44">
        <v>36.213275430449549</v>
      </c>
      <c r="C44">
        <v>2.0301941077025449</v>
      </c>
      <c r="H44">
        <v>0.36299999999999999</v>
      </c>
      <c r="I44">
        <v>0.185</v>
      </c>
    </row>
    <row r="45" spans="1:9" x14ac:dyDescent="0.25">
      <c r="A45">
        <v>1.66</v>
      </c>
      <c r="B45">
        <v>36.293793042457722</v>
      </c>
      <c r="C45">
        <v>2.0503235107045867</v>
      </c>
      <c r="H45">
        <v>0.38700000000000001</v>
      </c>
      <c r="I45">
        <v>0.191</v>
      </c>
    </row>
    <row r="46" spans="1:9" x14ac:dyDescent="0.25">
      <c r="A46">
        <v>1.6870000000000001</v>
      </c>
      <c r="B46">
        <v>36.421279261470652</v>
      </c>
      <c r="C46">
        <v>2.0972921177093506</v>
      </c>
      <c r="H46">
        <v>0.42499999999999999</v>
      </c>
      <c r="I46">
        <v>0.20499999999999999</v>
      </c>
    </row>
    <row r="47" spans="1:9" x14ac:dyDescent="0.25">
      <c r="A47">
        <v>1.7130000000000001</v>
      </c>
      <c r="B47">
        <v>36.555475281484263</v>
      </c>
      <c r="C47">
        <v>2.1509705257147953</v>
      </c>
      <c r="H47">
        <v>0.46500000000000002</v>
      </c>
      <c r="I47">
        <v>0.221</v>
      </c>
    </row>
    <row r="48" spans="1:9" x14ac:dyDescent="0.25">
      <c r="A48">
        <v>1.74</v>
      </c>
      <c r="B48">
        <v>36.71315560500026</v>
      </c>
      <c r="C48">
        <v>2.2080038342205803</v>
      </c>
      <c r="H48">
        <v>0.51200000000000001</v>
      </c>
      <c r="I48">
        <v>0.23799999999999999</v>
      </c>
    </row>
    <row r="49" spans="1:9" x14ac:dyDescent="0.25">
      <c r="A49">
        <v>1.7669999999999999</v>
      </c>
      <c r="B49">
        <v>36.907739834019992</v>
      </c>
      <c r="C49">
        <v>2.2683920432267053</v>
      </c>
      <c r="H49">
        <v>0.56999999999999995</v>
      </c>
      <c r="I49">
        <v>0.25600000000000001</v>
      </c>
    </row>
    <row r="50" spans="1:9" x14ac:dyDescent="0.25">
      <c r="A50">
        <v>1.7929999999999999</v>
      </c>
      <c r="B50">
        <v>37.119098565541428</v>
      </c>
      <c r="C50">
        <v>2.31871555073181</v>
      </c>
      <c r="H50">
        <v>0.63300000000000001</v>
      </c>
      <c r="I50">
        <v>0.27100000000000002</v>
      </c>
    </row>
    <row r="51" spans="1:9" x14ac:dyDescent="0.25">
      <c r="A51">
        <v>1.82</v>
      </c>
      <c r="B51">
        <v>37.357296501065591</v>
      </c>
      <c r="C51">
        <v>2.3958782622396364</v>
      </c>
      <c r="H51">
        <v>0.70399999999999996</v>
      </c>
      <c r="I51">
        <v>0.29399999999999998</v>
      </c>
    </row>
    <row r="52" spans="1:9" x14ac:dyDescent="0.25">
      <c r="A52">
        <v>1.847</v>
      </c>
      <c r="B52">
        <v>37.618978740092132</v>
      </c>
      <c r="C52">
        <v>2.4797507747481435</v>
      </c>
      <c r="H52">
        <v>0.78200000000000003</v>
      </c>
      <c r="I52">
        <v>0.31900000000000001</v>
      </c>
    </row>
    <row r="53" spans="1:9" x14ac:dyDescent="0.25">
      <c r="A53">
        <v>1.873</v>
      </c>
      <c r="B53">
        <v>37.924274685623097</v>
      </c>
      <c r="C53">
        <v>2.566978187756991</v>
      </c>
      <c r="H53">
        <v>0.873</v>
      </c>
      <c r="I53">
        <v>0.34499999999999997</v>
      </c>
    </row>
    <row r="54" spans="1:9" x14ac:dyDescent="0.25">
      <c r="A54">
        <v>1.9</v>
      </c>
      <c r="B54">
        <v>38.263119636157469</v>
      </c>
      <c r="C54">
        <v>2.6508507002654982</v>
      </c>
      <c r="H54">
        <v>0.97399999999999998</v>
      </c>
      <c r="I54">
        <v>0.37</v>
      </c>
    </row>
    <row r="55" spans="1:9" x14ac:dyDescent="0.25">
      <c r="A55">
        <v>1.927</v>
      </c>
      <c r="B55">
        <v>38.628803790694562</v>
      </c>
      <c r="C55">
        <v>2.7414330137746861</v>
      </c>
      <c r="H55">
        <v>1.083</v>
      </c>
      <c r="I55">
        <v>0.39700000000000002</v>
      </c>
    </row>
    <row r="56" spans="1:9" x14ac:dyDescent="0.25">
      <c r="A56">
        <v>1.9530000000000001</v>
      </c>
      <c r="B56">
        <v>38.994487945231647</v>
      </c>
      <c r="C56">
        <v>2.8420800287848946</v>
      </c>
      <c r="H56">
        <v>1.1919999999999999</v>
      </c>
      <c r="I56">
        <v>0.42699999999999999</v>
      </c>
    </row>
    <row r="57" spans="1:9" x14ac:dyDescent="0.25">
      <c r="A57">
        <v>1.98</v>
      </c>
      <c r="B57">
        <v>39.413850507774185</v>
      </c>
      <c r="C57">
        <v>2.962856446797145</v>
      </c>
      <c r="H57">
        <v>1.3169999999999999</v>
      </c>
      <c r="I57">
        <v>0.46300000000000002</v>
      </c>
    </row>
    <row r="58" spans="1:9" x14ac:dyDescent="0.25">
      <c r="A58">
        <v>2.0070000000000001</v>
      </c>
      <c r="B58">
        <v>39.839922871317398</v>
      </c>
      <c r="C58">
        <v>3.080277964309055</v>
      </c>
      <c r="H58">
        <v>1.444</v>
      </c>
      <c r="I58">
        <v>0.498</v>
      </c>
    </row>
    <row r="59" spans="1:9" x14ac:dyDescent="0.25">
      <c r="A59">
        <v>2.0329999999999999</v>
      </c>
      <c r="B59">
        <v>40.306254040864701</v>
      </c>
      <c r="C59">
        <v>3.1909896808202847</v>
      </c>
      <c r="H59">
        <v>1.583</v>
      </c>
      <c r="I59">
        <v>0.53100000000000003</v>
      </c>
    </row>
    <row r="60" spans="1:9" x14ac:dyDescent="0.25">
      <c r="A60">
        <v>2.06</v>
      </c>
      <c r="B60">
        <v>40.775940110912344</v>
      </c>
      <c r="C60">
        <v>3.3184758998332153</v>
      </c>
      <c r="H60">
        <v>1.7230000000000001</v>
      </c>
      <c r="I60">
        <v>0.56899999999999995</v>
      </c>
    </row>
    <row r="61" spans="1:9" x14ac:dyDescent="0.25">
      <c r="A61">
        <v>2.0870000000000002</v>
      </c>
      <c r="B61">
        <v>41.215432076456921</v>
      </c>
      <c r="C61">
        <v>3.4459621188461464</v>
      </c>
      <c r="H61">
        <v>1.8540000000000001</v>
      </c>
      <c r="I61">
        <v>0.60699999999999998</v>
      </c>
    </row>
    <row r="62" spans="1:9" x14ac:dyDescent="0.25">
      <c r="A62">
        <v>2.113</v>
      </c>
      <c r="B62">
        <v>41.614665235997421</v>
      </c>
      <c r="C62">
        <v>3.5734483378590776</v>
      </c>
      <c r="H62">
        <v>1.9730000000000001</v>
      </c>
      <c r="I62">
        <v>0.64500000000000002</v>
      </c>
    </row>
    <row r="63" spans="1:9" x14ac:dyDescent="0.25">
      <c r="A63">
        <v>2.14</v>
      </c>
      <c r="B63">
        <v>41.970284689033484</v>
      </c>
      <c r="C63">
        <v>3.6841600543703072</v>
      </c>
      <c r="H63">
        <v>2.0790000000000002</v>
      </c>
      <c r="I63">
        <v>0.67800000000000005</v>
      </c>
    </row>
    <row r="64" spans="1:9" x14ac:dyDescent="0.25">
      <c r="A64">
        <v>2.1669999999999998</v>
      </c>
      <c r="B64">
        <v>42.25209633106207</v>
      </c>
      <c r="C64">
        <v>3.7814521688801754</v>
      </c>
      <c r="H64">
        <v>2.1629999999999998</v>
      </c>
      <c r="I64">
        <v>0.70699999999999996</v>
      </c>
    </row>
    <row r="65" spans="1:9" x14ac:dyDescent="0.25">
      <c r="A65">
        <v>2.1930000000000001</v>
      </c>
      <c r="B65">
        <v>42.543972674591672</v>
      </c>
      <c r="C65">
        <v>3.8586148803880018</v>
      </c>
      <c r="H65">
        <v>2.25</v>
      </c>
      <c r="I65">
        <v>0.73</v>
      </c>
    </row>
    <row r="66" spans="1:9" x14ac:dyDescent="0.25">
      <c r="A66">
        <v>2.2200000000000002</v>
      </c>
      <c r="B66">
        <v>42.869398023124681</v>
      </c>
      <c r="C66">
        <v>3.942487392896509</v>
      </c>
      <c r="H66">
        <v>2.347</v>
      </c>
      <c r="I66">
        <v>0.755</v>
      </c>
    </row>
    <row r="67" spans="1:9" x14ac:dyDescent="0.25">
      <c r="A67">
        <v>2.2469999999999999</v>
      </c>
      <c r="B67">
        <v>43.251856680163478</v>
      </c>
      <c r="C67">
        <v>4.0632638109087598</v>
      </c>
      <c r="H67">
        <v>2.4609999999999999</v>
      </c>
      <c r="I67">
        <v>0.79100000000000004</v>
      </c>
    </row>
    <row r="68" spans="1:9" x14ac:dyDescent="0.25">
      <c r="A68">
        <v>2.2730000000000001</v>
      </c>
      <c r="B68">
        <v>43.684638844707372</v>
      </c>
      <c r="C68">
        <v>4.1672657264193083</v>
      </c>
      <c r="H68">
        <v>2.59</v>
      </c>
      <c r="I68">
        <v>0.82199999999999995</v>
      </c>
    </row>
    <row r="69" spans="1:9" x14ac:dyDescent="0.25">
      <c r="A69">
        <v>2.2999999999999998</v>
      </c>
      <c r="B69">
        <v>44.157679815255356</v>
      </c>
      <c r="C69">
        <v>4.2846872439312182</v>
      </c>
      <c r="H69">
        <v>2.7309999999999999</v>
      </c>
      <c r="I69">
        <v>0.85699999999999998</v>
      </c>
    </row>
    <row r="70" spans="1:9" x14ac:dyDescent="0.25">
      <c r="A70">
        <v>2.327</v>
      </c>
      <c r="B70">
        <v>44.677689392808098</v>
      </c>
      <c r="C70">
        <v>4.4222381644451705</v>
      </c>
      <c r="H70">
        <v>2.8860000000000001</v>
      </c>
      <c r="I70">
        <v>0.89800000000000002</v>
      </c>
    </row>
    <row r="71" spans="1:9" x14ac:dyDescent="0.25">
      <c r="A71">
        <v>2.3530000000000002</v>
      </c>
      <c r="B71">
        <v>45.197698970360847</v>
      </c>
      <c r="C71">
        <v>4.5564341844587819</v>
      </c>
      <c r="H71">
        <v>3.0409999999999999</v>
      </c>
      <c r="I71">
        <v>0.93799999999999994</v>
      </c>
    </row>
    <row r="72" spans="1:9" x14ac:dyDescent="0.25">
      <c r="A72">
        <v>2.38</v>
      </c>
      <c r="B72">
        <v>45.664030139908142</v>
      </c>
      <c r="C72">
        <v>4.6671459009700111</v>
      </c>
      <c r="H72">
        <v>3.18</v>
      </c>
      <c r="I72">
        <v>0.97099999999999997</v>
      </c>
    </row>
    <row r="73" spans="1:9" x14ac:dyDescent="0.25">
      <c r="A73">
        <v>2.407</v>
      </c>
      <c r="B73">
        <v>46.096812304452044</v>
      </c>
      <c r="C73">
        <v>4.7812125179815812</v>
      </c>
      <c r="H73">
        <v>3.3090000000000002</v>
      </c>
      <c r="I73">
        <v>1.0049999999999999</v>
      </c>
    </row>
    <row r="74" spans="1:9" x14ac:dyDescent="0.25">
      <c r="A74">
        <v>2.4329999999999998</v>
      </c>
      <c r="B74">
        <v>46.573208175500362</v>
      </c>
      <c r="C74">
        <v>4.932183040496894</v>
      </c>
      <c r="H74">
        <v>3.4510000000000001</v>
      </c>
      <c r="I74">
        <v>1.05</v>
      </c>
    </row>
    <row r="75" spans="1:9" x14ac:dyDescent="0.25">
      <c r="A75">
        <v>2.46</v>
      </c>
      <c r="B75">
        <v>47.163670663560247</v>
      </c>
      <c r="C75">
        <v>5.1267672695166304</v>
      </c>
      <c r="H75">
        <v>3.6269999999999998</v>
      </c>
      <c r="I75">
        <v>1.1080000000000001</v>
      </c>
    </row>
    <row r="76" spans="1:9" x14ac:dyDescent="0.25">
      <c r="A76">
        <v>2.4870000000000001</v>
      </c>
      <c r="B76">
        <v>48.616342580207593</v>
      </c>
      <c r="C76">
        <v>5.5796788370625698</v>
      </c>
      <c r="H76">
        <v>4.0599999999999996</v>
      </c>
      <c r="I76">
        <v>1.2430000000000001</v>
      </c>
    </row>
    <row r="77" spans="1:9" x14ac:dyDescent="0.25">
      <c r="A77">
        <v>2.5129999999999999</v>
      </c>
      <c r="B77">
        <v>51.098968950459415</v>
      </c>
      <c r="C77">
        <v>6.4251137631483219</v>
      </c>
      <c r="H77">
        <v>4.8</v>
      </c>
      <c r="I77">
        <v>1.4950000000000001</v>
      </c>
    </row>
    <row r="78" spans="1:9" x14ac:dyDescent="0.25">
      <c r="A78">
        <v>2.54</v>
      </c>
      <c r="B78">
        <v>52.417444847093137</v>
      </c>
      <c r="C78">
        <v>6.9015096341966427</v>
      </c>
      <c r="H78">
        <v>5.1929999999999996</v>
      </c>
      <c r="I78">
        <v>1.637</v>
      </c>
    </row>
    <row r="79" spans="1:9" x14ac:dyDescent="0.25">
      <c r="A79">
        <v>2.5670000000000002</v>
      </c>
      <c r="B79">
        <v>51.400909995490039</v>
      </c>
      <c r="C79">
        <v>6.5291156786588704</v>
      </c>
      <c r="H79">
        <v>4.8899999999999997</v>
      </c>
      <c r="I79">
        <v>1.526</v>
      </c>
    </row>
    <row r="80" spans="1:9" x14ac:dyDescent="0.25">
      <c r="A80">
        <v>2.593</v>
      </c>
      <c r="B80">
        <v>49.793912655827036</v>
      </c>
      <c r="C80">
        <v>5.9654923946017027</v>
      </c>
      <c r="H80">
        <v>4.4109999999999996</v>
      </c>
      <c r="I80">
        <v>1.3580000000000001</v>
      </c>
    </row>
    <row r="81" spans="1:9" x14ac:dyDescent="0.25">
      <c r="A81">
        <v>2.62</v>
      </c>
      <c r="B81">
        <v>49.042414943750813</v>
      </c>
      <c r="C81">
        <v>5.7105199565758404</v>
      </c>
      <c r="H81">
        <v>4.1870000000000003</v>
      </c>
      <c r="I81">
        <v>1.282</v>
      </c>
    </row>
    <row r="82" spans="1:9" x14ac:dyDescent="0.25">
      <c r="A82">
        <v>2.6469999999999998</v>
      </c>
      <c r="B82">
        <v>48.834411112729718</v>
      </c>
      <c r="C82">
        <v>5.6132278420659718</v>
      </c>
      <c r="H82">
        <v>4.125</v>
      </c>
      <c r="I82">
        <v>1.2529999999999999</v>
      </c>
    </row>
    <row r="83" spans="1:9" x14ac:dyDescent="0.25">
      <c r="A83">
        <v>2.673</v>
      </c>
      <c r="B83">
        <v>48.794152306725628</v>
      </c>
      <c r="C83">
        <v>5.5796788370625698</v>
      </c>
      <c r="H83">
        <v>4.1130000000000004</v>
      </c>
      <c r="I83">
        <v>1.2430000000000001</v>
      </c>
    </row>
    <row r="84" spans="1:9" x14ac:dyDescent="0.25">
      <c r="A84">
        <v>2.7</v>
      </c>
      <c r="B84">
        <v>48.720344495718152</v>
      </c>
      <c r="C84">
        <v>5.5561945335601877</v>
      </c>
      <c r="H84">
        <v>4.0910000000000002</v>
      </c>
      <c r="I84">
        <v>1.236</v>
      </c>
    </row>
    <row r="85" spans="1:9" x14ac:dyDescent="0.25">
      <c r="A85">
        <v>2.7269999999999999</v>
      </c>
      <c r="B85">
        <v>48.646536684710661</v>
      </c>
      <c r="C85">
        <v>5.5260004290571256</v>
      </c>
      <c r="H85">
        <v>4.069</v>
      </c>
      <c r="I85">
        <v>1.2270000000000001</v>
      </c>
    </row>
    <row r="86" spans="1:9" x14ac:dyDescent="0.25">
      <c r="A86">
        <v>2.7530000000000001</v>
      </c>
      <c r="B86">
        <v>48.653246485711342</v>
      </c>
      <c r="C86">
        <v>5.5025161255547435</v>
      </c>
      <c r="H86">
        <v>4.0709999999999997</v>
      </c>
      <c r="I86">
        <v>1.22</v>
      </c>
    </row>
    <row r="87" spans="1:9" x14ac:dyDescent="0.25">
      <c r="A87">
        <v>2.78</v>
      </c>
      <c r="B87">
        <v>48.743828799220523</v>
      </c>
      <c r="C87">
        <v>5.5125808270557641</v>
      </c>
      <c r="H87">
        <v>4.0979999999999999</v>
      </c>
      <c r="I87">
        <v>1.2230000000000001</v>
      </c>
    </row>
    <row r="88" spans="1:9" x14ac:dyDescent="0.25">
      <c r="A88">
        <v>2.8069999999999999</v>
      </c>
      <c r="B88">
        <v>48.787442505724954</v>
      </c>
      <c r="C88">
        <v>5.5528396330598477</v>
      </c>
      <c r="H88">
        <v>4.1109999999999998</v>
      </c>
      <c r="I88">
        <v>1.2350000000000001</v>
      </c>
    </row>
    <row r="89" spans="1:9" x14ac:dyDescent="0.25">
      <c r="A89">
        <v>2.8330000000000002</v>
      </c>
      <c r="B89">
        <v>48.827701311729037</v>
      </c>
      <c r="C89">
        <v>5.5930984390639313</v>
      </c>
      <c r="H89">
        <v>4.1230000000000002</v>
      </c>
      <c r="I89">
        <v>1.2470000000000001</v>
      </c>
    </row>
    <row r="90" spans="1:9" x14ac:dyDescent="0.25">
      <c r="A90">
        <v>2.86</v>
      </c>
      <c r="B90">
        <v>49.0994482522566</v>
      </c>
      <c r="C90">
        <v>5.6769709515724376</v>
      </c>
      <c r="H90">
        <v>4.2039999999999997</v>
      </c>
      <c r="I90">
        <v>1.272</v>
      </c>
    </row>
    <row r="91" spans="1:9" x14ac:dyDescent="0.25">
      <c r="A91">
        <v>2.887</v>
      </c>
      <c r="B91">
        <v>49.736879347321256</v>
      </c>
      <c r="C91">
        <v>5.8749100810925148</v>
      </c>
      <c r="H91">
        <v>4.3940000000000001</v>
      </c>
      <c r="I91">
        <v>1.331</v>
      </c>
    </row>
    <row r="92" spans="1:9" x14ac:dyDescent="0.25">
      <c r="A92">
        <v>2.9129999999999998</v>
      </c>
      <c r="B92">
        <v>50.219985019370256</v>
      </c>
      <c r="C92">
        <v>6.0292355041081684</v>
      </c>
      <c r="H92">
        <v>4.5380000000000003</v>
      </c>
      <c r="I92">
        <v>1.377</v>
      </c>
    </row>
    <row r="93" spans="1:9" x14ac:dyDescent="0.25">
      <c r="A93">
        <v>2.94</v>
      </c>
      <c r="B93">
        <v>50.370955541885564</v>
      </c>
      <c r="C93">
        <v>6.0527198076105497</v>
      </c>
      <c r="H93">
        <v>4.5830000000000002</v>
      </c>
      <c r="I93">
        <v>1.3839999999999999</v>
      </c>
    </row>
    <row r="94" spans="1:9" x14ac:dyDescent="0.25">
      <c r="A94">
        <v>2.9670000000000001</v>
      </c>
      <c r="B94">
        <v>50.411214347889647</v>
      </c>
      <c r="C94">
        <v>6.0426551061095291</v>
      </c>
      <c r="H94">
        <v>4.5949999999999998</v>
      </c>
      <c r="I94">
        <v>1.381</v>
      </c>
    </row>
    <row r="95" spans="1:9" x14ac:dyDescent="0.25">
      <c r="A95">
        <v>2.9929999999999999</v>
      </c>
      <c r="B95">
        <v>50.944643527443752</v>
      </c>
      <c r="C95">
        <v>6.220464832627564</v>
      </c>
      <c r="H95">
        <v>4.7539999999999996</v>
      </c>
      <c r="I95">
        <v>1.4339999999999999</v>
      </c>
    </row>
    <row r="96" spans="1:9" x14ac:dyDescent="0.25">
      <c r="A96">
        <v>3.02</v>
      </c>
      <c r="B96">
        <v>52.544931066106066</v>
      </c>
      <c r="C96">
        <v>6.7807332161843927</v>
      </c>
      <c r="H96">
        <v>5.2309999999999999</v>
      </c>
      <c r="I96">
        <v>1.601</v>
      </c>
    </row>
    <row r="97" spans="1:9" x14ac:dyDescent="0.25">
      <c r="A97">
        <v>3.0470000000000002</v>
      </c>
      <c r="B97">
        <v>53.316558181184341</v>
      </c>
      <c r="C97">
        <v>7.0189311517085526</v>
      </c>
      <c r="H97">
        <v>5.4610000000000003</v>
      </c>
      <c r="I97">
        <v>1.6719999999999999</v>
      </c>
    </row>
    <row r="98" spans="1:9" x14ac:dyDescent="0.25">
      <c r="A98">
        <v>3.073</v>
      </c>
      <c r="B98">
        <v>52.568415369608452</v>
      </c>
      <c r="C98">
        <v>6.7840881166847335</v>
      </c>
      <c r="H98">
        <v>5.2380000000000004</v>
      </c>
      <c r="I98">
        <v>1.6020000000000001</v>
      </c>
    </row>
    <row r="99" spans="1:9" x14ac:dyDescent="0.25">
      <c r="A99">
        <v>3.1</v>
      </c>
      <c r="B99">
        <v>52.377186041089061</v>
      </c>
      <c r="C99">
        <v>6.8075724201871148</v>
      </c>
      <c r="H99">
        <v>5.181</v>
      </c>
      <c r="I99">
        <v>1.609</v>
      </c>
    </row>
    <row r="100" spans="1:9" x14ac:dyDescent="0.25">
      <c r="A100">
        <v>3.1269999999999998</v>
      </c>
      <c r="B100">
        <v>53.26958957417957</v>
      </c>
      <c r="C100">
        <v>7.1564820722225058</v>
      </c>
      <c r="H100">
        <v>5.4470000000000001</v>
      </c>
      <c r="I100">
        <v>1.7130000000000001</v>
      </c>
    </row>
    <row r="101" spans="1:9" x14ac:dyDescent="0.25">
      <c r="A101">
        <v>3.153</v>
      </c>
      <c r="B101">
        <v>53.78624425123197</v>
      </c>
      <c r="C101">
        <v>7.3074525947378177</v>
      </c>
      <c r="H101">
        <v>5.601</v>
      </c>
      <c r="I101">
        <v>1.758</v>
      </c>
    </row>
    <row r="102" spans="1:9" x14ac:dyDescent="0.25">
      <c r="A102">
        <v>3.18</v>
      </c>
      <c r="B102">
        <v>54.420320445796293</v>
      </c>
      <c r="C102">
        <v>7.5490054307623193</v>
      </c>
      <c r="H102">
        <v>5.79</v>
      </c>
      <c r="I102">
        <v>1.83</v>
      </c>
    </row>
    <row r="103" spans="1:9" x14ac:dyDescent="0.25">
      <c r="A103">
        <v>3.2069999999999999</v>
      </c>
      <c r="B103">
        <v>54.111669599764987</v>
      </c>
      <c r="C103">
        <v>7.4684878187541521</v>
      </c>
      <c r="H103">
        <v>5.6980000000000004</v>
      </c>
      <c r="I103">
        <v>1.806</v>
      </c>
    </row>
    <row r="104" spans="1:9" x14ac:dyDescent="0.25">
      <c r="A104">
        <v>3.2330000000000001</v>
      </c>
      <c r="B104">
        <v>52.404025245091781</v>
      </c>
      <c r="C104">
        <v>6.8780253306942605</v>
      </c>
      <c r="H104">
        <v>5.1890000000000001</v>
      </c>
      <c r="I104">
        <v>1.63</v>
      </c>
    </row>
    <row r="105" spans="1:9" x14ac:dyDescent="0.25">
      <c r="A105">
        <v>3.26</v>
      </c>
      <c r="B105">
        <v>50.817157308430829</v>
      </c>
      <c r="C105">
        <v>6.2875628426343706</v>
      </c>
      <c r="H105">
        <v>4.7160000000000002</v>
      </c>
      <c r="I105">
        <v>1.454</v>
      </c>
    </row>
    <row r="106" spans="1:9" x14ac:dyDescent="0.25">
      <c r="A106">
        <v>3.2869999999999999</v>
      </c>
      <c r="B106">
        <v>50.434698651392033</v>
      </c>
      <c r="C106">
        <v>6.1231727181176963</v>
      </c>
      <c r="H106">
        <v>4.6020000000000003</v>
      </c>
      <c r="I106">
        <v>1.405</v>
      </c>
    </row>
    <row r="107" spans="1:9" x14ac:dyDescent="0.25">
      <c r="A107">
        <v>3.3130000000000002</v>
      </c>
      <c r="B107">
        <v>50.458182954894419</v>
      </c>
      <c r="C107">
        <v>6.0829139121136127</v>
      </c>
      <c r="H107">
        <v>4.609</v>
      </c>
      <c r="I107">
        <v>1.393</v>
      </c>
    </row>
    <row r="108" spans="1:9" x14ac:dyDescent="0.25">
      <c r="A108">
        <v>3.34</v>
      </c>
      <c r="B108">
        <v>51.441168801494122</v>
      </c>
      <c r="C108">
        <v>6.0795590116132727</v>
      </c>
      <c r="H108">
        <v>4.9020000000000001</v>
      </c>
      <c r="I108">
        <v>1.3919999999999999</v>
      </c>
    </row>
    <row r="109" spans="1:9" x14ac:dyDescent="0.25">
      <c r="A109">
        <v>3.367</v>
      </c>
      <c r="B109">
        <v>52.323507633083608</v>
      </c>
      <c r="C109">
        <v>6.1332374196187169</v>
      </c>
      <c r="H109">
        <v>5.165</v>
      </c>
      <c r="I109">
        <v>1.4079999999999999</v>
      </c>
    </row>
    <row r="110" spans="1:9" x14ac:dyDescent="0.25">
      <c r="A110">
        <v>3.3929999999999998</v>
      </c>
      <c r="B110">
        <v>52.296668429080896</v>
      </c>
      <c r="C110">
        <v>6.1365923201190569</v>
      </c>
      <c r="H110">
        <v>5.157</v>
      </c>
      <c r="I110">
        <v>1.409</v>
      </c>
    </row>
    <row r="111" spans="1:9" x14ac:dyDescent="0.25">
      <c r="A111">
        <v>3.42</v>
      </c>
      <c r="B111">
        <v>51.249939472974717</v>
      </c>
      <c r="C111">
        <v>6.1164629171170155</v>
      </c>
      <c r="H111">
        <v>4.8449999999999998</v>
      </c>
      <c r="I111">
        <v>1.403</v>
      </c>
    </row>
    <row r="112" spans="1:9" x14ac:dyDescent="0.25">
      <c r="A112">
        <v>3.4470000000000001</v>
      </c>
      <c r="B112">
        <v>50.971482731446478</v>
      </c>
      <c r="C112">
        <v>6.2372393351292663</v>
      </c>
      <c r="H112">
        <v>4.7619999999999996</v>
      </c>
      <c r="I112">
        <v>1.4390000000000001</v>
      </c>
    </row>
    <row r="113" spans="1:9" x14ac:dyDescent="0.25">
      <c r="A113">
        <v>3.4729999999999999</v>
      </c>
      <c r="B113">
        <v>51.256649273975405</v>
      </c>
      <c r="C113">
        <v>6.421758862647982</v>
      </c>
      <c r="H113">
        <v>4.8470000000000004</v>
      </c>
      <c r="I113">
        <v>1.494</v>
      </c>
    </row>
    <row r="114" spans="1:9" x14ac:dyDescent="0.25">
      <c r="A114">
        <v>3.5</v>
      </c>
      <c r="B114">
        <v>51.32039238348186</v>
      </c>
      <c r="C114">
        <v>6.4687274696527455</v>
      </c>
      <c r="H114">
        <v>4.8659999999999997</v>
      </c>
      <c r="I114">
        <v>1.508</v>
      </c>
    </row>
    <row r="115" spans="1:9" x14ac:dyDescent="0.25">
      <c r="A115">
        <v>3.5270000000000001</v>
      </c>
      <c r="B115">
        <v>51.092259149458727</v>
      </c>
      <c r="C115">
        <v>6.3747902556432177</v>
      </c>
      <c r="H115">
        <v>4.798</v>
      </c>
      <c r="I115">
        <v>1.48</v>
      </c>
    </row>
    <row r="116" spans="1:9" x14ac:dyDescent="0.25">
      <c r="A116">
        <v>3.5529999999999999</v>
      </c>
      <c r="B116">
        <v>50.773543601926406</v>
      </c>
      <c r="C116">
        <v>6.2607236386316476</v>
      </c>
      <c r="H116">
        <v>4.7030000000000003</v>
      </c>
      <c r="I116">
        <v>1.446</v>
      </c>
    </row>
    <row r="117" spans="1:9" x14ac:dyDescent="0.25">
      <c r="A117">
        <v>3.58</v>
      </c>
      <c r="B117">
        <v>50.52192606440088</v>
      </c>
      <c r="C117">
        <v>6.2070452306262034</v>
      </c>
      <c r="H117">
        <v>4.6280000000000001</v>
      </c>
      <c r="I117">
        <v>1.43</v>
      </c>
    </row>
    <row r="118" spans="1:9" x14ac:dyDescent="0.25">
      <c r="A118">
        <v>3.6070000000000002</v>
      </c>
      <c r="B118">
        <v>50.471602556895775</v>
      </c>
      <c r="C118">
        <v>6.2003354296255226</v>
      </c>
      <c r="H118">
        <v>4.6130000000000004</v>
      </c>
      <c r="I118">
        <v>1.4279999999999999</v>
      </c>
    </row>
    <row r="119" spans="1:9" x14ac:dyDescent="0.25">
      <c r="A119">
        <v>3.633</v>
      </c>
      <c r="B119">
        <v>50.65276718391415</v>
      </c>
      <c r="C119">
        <v>6.2540138376309669</v>
      </c>
      <c r="H119">
        <v>4.6669999999999998</v>
      </c>
      <c r="I119">
        <v>1.444</v>
      </c>
    </row>
    <row r="120" spans="1:9" x14ac:dyDescent="0.25">
      <c r="A120">
        <v>3.66</v>
      </c>
      <c r="B120">
        <v>50.793673004928444</v>
      </c>
      <c r="C120">
        <v>6.4083392606466205</v>
      </c>
      <c r="H120">
        <v>4.7089999999999996</v>
      </c>
      <c r="I120">
        <v>1.49</v>
      </c>
    </row>
    <row r="121" spans="1:9" x14ac:dyDescent="0.25">
      <c r="A121">
        <v>3.6869999999999998</v>
      </c>
      <c r="B121">
        <v>50.847351412933889</v>
      </c>
      <c r="C121">
        <v>6.8746704301939205</v>
      </c>
      <c r="H121">
        <v>4.7249999999999996</v>
      </c>
      <c r="I121">
        <v>1.629</v>
      </c>
    </row>
    <row r="122" spans="1:9" x14ac:dyDescent="0.25">
      <c r="A122">
        <v>3.7130000000000001</v>
      </c>
      <c r="B122">
        <v>50.823867109431511</v>
      </c>
      <c r="C122">
        <v>7.1464173707214833</v>
      </c>
      <c r="H122">
        <v>4.718</v>
      </c>
      <c r="I122">
        <v>1.71</v>
      </c>
    </row>
    <row r="123" spans="1:9" x14ac:dyDescent="0.25">
      <c r="A123">
        <v>3.74</v>
      </c>
      <c r="B123">
        <v>51.206325766470293</v>
      </c>
      <c r="C123">
        <v>7.1531271717221649</v>
      </c>
      <c r="H123">
        <v>4.8319999999999999</v>
      </c>
      <c r="I123">
        <v>1.712</v>
      </c>
    </row>
    <row r="124" spans="1:9" x14ac:dyDescent="0.25">
      <c r="A124">
        <v>3.7669999999999999</v>
      </c>
      <c r="B124">
        <v>52.357056638087023</v>
      </c>
      <c r="C124">
        <v>7.0960938632163799</v>
      </c>
      <c r="H124">
        <v>5.1749999999999998</v>
      </c>
      <c r="I124">
        <v>1.6950000000000001</v>
      </c>
    </row>
    <row r="125" spans="1:9" x14ac:dyDescent="0.25">
      <c r="A125">
        <v>3.7930000000000001</v>
      </c>
      <c r="B125">
        <v>52.474478155598931</v>
      </c>
      <c r="C125">
        <v>6.891444932695622</v>
      </c>
      <c r="H125">
        <v>5.21</v>
      </c>
      <c r="I125">
        <v>1.6339999999999999</v>
      </c>
    </row>
    <row r="126" spans="1:9" x14ac:dyDescent="0.25">
      <c r="A126">
        <v>3.82</v>
      </c>
      <c r="B126">
        <v>51.729690244523383</v>
      </c>
      <c r="C126">
        <v>6.5895038876649963</v>
      </c>
      <c r="H126">
        <v>4.9880000000000004</v>
      </c>
      <c r="I126">
        <v>1.544</v>
      </c>
    </row>
    <row r="127" spans="1:9" x14ac:dyDescent="0.25">
      <c r="A127">
        <v>3.847</v>
      </c>
      <c r="B127">
        <v>51.400909995490039</v>
      </c>
      <c r="C127">
        <v>6.4787921711537662</v>
      </c>
      <c r="H127">
        <v>4.8899999999999997</v>
      </c>
      <c r="I127">
        <v>1.5109999999999999</v>
      </c>
    </row>
    <row r="128" spans="1:9" x14ac:dyDescent="0.25">
      <c r="A128">
        <v>3.8730000000000002</v>
      </c>
      <c r="B128">
        <v>51.508266811500931</v>
      </c>
      <c r="C128">
        <v>6.5559548826615934</v>
      </c>
      <c r="H128">
        <v>4.9219999999999997</v>
      </c>
      <c r="I128">
        <v>1.534</v>
      </c>
    </row>
    <row r="129" spans="1:9" x14ac:dyDescent="0.25">
      <c r="A129">
        <v>3.9</v>
      </c>
      <c r="B129">
        <v>51.709560841521345</v>
      </c>
      <c r="C129">
        <v>6.6532469971714612</v>
      </c>
      <c r="H129">
        <v>4.9820000000000002</v>
      </c>
      <c r="I129">
        <v>1.5629999999999999</v>
      </c>
    </row>
    <row r="130" spans="1:9" x14ac:dyDescent="0.25">
      <c r="A130">
        <v>3.927</v>
      </c>
      <c r="B130">
        <v>51.961178379046871</v>
      </c>
      <c r="C130">
        <v>6.686796002174864</v>
      </c>
      <c r="H130">
        <v>5.0570000000000004</v>
      </c>
      <c r="I130">
        <v>1.573</v>
      </c>
    </row>
    <row r="131" spans="1:9" x14ac:dyDescent="0.25">
      <c r="A131">
        <v>3.9529999999999998</v>
      </c>
      <c r="B131">
        <v>52.145697906565573</v>
      </c>
      <c r="C131">
        <v>6.6532469971714612</v>
      </c>
      <c r="H131">
        <v>5.1120000000000001</v>
      </c>
      <c r="I131">
        <v>1.5629999999999999</v>
      </c>
    </row>
    <row r="132" spans="1:9" x14ac:dyDescent="0.25">
      <c r="A132">
        <v>3.98</v>
      </c>
      <c r="B132">
        <v>52.105439100561497</v>
      </c>
      <c r="C132">
        <v>6.6196979921680583</v>
      </c>
      <c r="H132">
        <v>5.0999999999999996</v>
      </c>
      <c r="I132">
        <v>1.5529999999999999</v>
      </c>
    </row>
    <row r="133" spans="1:9" x14ac:dyDescent="0.25">
      <c r="A133">
        <v>4.0069999999999997</v>
      </c>
      <c r="B133">
        <v>52.118858702562854</v>
      </c>
      <c r="C133">
        <v>6.6264077931687391</v>
      </c>
      <c r="H133">
        <v>5.1040000000000001</v>
      </c>
      <c r="I133">
        <v>1.5549999999999999</v>
      </c>
    </row>
    <row r="134" spans="1:9" x14ac:dyDescent="0.25">
      <c r="A134">
        <v>4.0330000000000004</v>
      </c>
      <c r="B134">
        <v>52.038341090554688</v>
      </c>
      <c r="C134">
        <v>6.6364724946697606</v>
      </c>
      <c r="H134">
        <v>5.08</v>
      </c>
      <c r="I134">
        <v>1.5580000000000001</v>
      </c>
    </row>
    <row r="135" spans="1:9" x14ac:dyDescent="0.25">
      <c r="A135">
        <v>4.0599999999999996</v>
      </c>
      <c r="B135">
        <v>51.773303951027813</v>
      </c>
      <c r="C135">
        <v>6.5794391861639756</v>
      </c>
      <c r="H135">
        <v>5.0010000000000003</v>
      </c>
      <c r="I135">
        <v>1.5409999999999999</v>
      </c>
    </row>
    <row r="136" spans="1:9" x14ac:dyDescent="0.25">
      <c r="A136">
        <v>4.0869999999999997</v>
      </c>
      <c r="B136">
        <v>51.36400608998629</v>
      </c>
      <c r="C136">
        <v>6.4418882656500234</v>
      </c>
      <c r="H136">
        <v>4.8789999999999996</v>
      </c>
      <c r="I136">
        <v>1.5</v>
      </c>
    </row>
    <row r="137" spans="1:9" x14ac:dyDescent="0.25">
      <c r="A137">
        <v>4.1130000000000004</v>
      </c>
      <c r="B137">
        <v>51.008386636950227</v>
      </c>
      <c r="C137">
        <v>6.304337345136072</v>
      </c>
      <c r="H137">
        <v>4.7729999999999997</v>
      </c>
      <c r="I137">
        <v>1.4590000000000001</v>
      </c>
    </row>
    <row r="138" spans="1:9" x14ac:dyDescent="0.25">
      <c r="A138">
        <v>4.1399999999999997</v>
      </c>
      <c r="B138">
        <v>50.904384721439676</v>
      </c>
      <c r="C138">
        <v>6.2774981411333499</v>
      </c>
      <c r="H138">
        <v>4.742</v>
      </c>
      <c r="I138">
        <v>1.4510000000000001</v>
      </c>
    </row>
    <row r="139" spans="1:9" x14ac:dyDescent="0.25">
      <c r="A139">
        <v>4.1669999999999998</v>
      </c>
      <c r="B139">
        <v>51.092259149458727</v>
      </c>
      <c r="C139">
        <v>6.4016294596459398</v>
      </c>
      <c r="H139">
        <v>4.798</v>
      </c>
      <c r="I139">
        <v>1.488</v>
      </c>
    </row>
    <row r="140" spans="1:9" x14ac:dyDescent="0.25">
      <c r="A140">
        <v>4.1929999999999996</v>
      </c>
      <c r="B140">
        <v>51.350586487984934</v>
      </c>
      <c r="C140">
        <v>6.5257607781585305</v>
      </c>
      <c r="H140">
        <v>4.875</v>
      </c>
      <c r="I140">
        <v>1.5249999999999999</v>
      </c>
    </row>
    <row r="141" spans="1:9" x14ac:dyDescent="0.25">
      <c r="A141">
        <v>4.22</v>
      </c>
      <c r="B141">
        <v>51.454588403495478</v>
      </c>
      <c r="C141">
        <v>6.5525999821612526</v>
      </c>
      <c r="H141">
        <v>4.9059999999999997</v>
      </c>
      <c r="I141">
        <v>1.5329999999999999</v>
      </c>
    </row>
    <row r="142" spans="1:9" x14ac:dyDescent="0.25">
      <c r="A142">
        <v>4.2469999999999999</v>
      </c>
      <c r="B142">
        <v>51.471362905997175</v>
      </c>
      <c r="C142">
        <v>6.5257607781585305</v>
      </c>
      <c r="H142">
        <v>4.9109999999999996</v>
      </c>
      <c r="I142">
        <v>1.5249999999999999</v>
      </c>
    </row>
    <row r="143" spans="1:9" x14ac:dyDescent="0.25">
      <c r="A143">
        <v>4.2729999999999997</v>
      </c>
      <c r="B143">
        <v>51.384135492988328</v>
      </c>
      <c r="C143">
        <v>6.4653725691524047</v>
      </c>
      <c r="H143">
        <v>4.8849999999999998</v>
      </c>
      <c r="I143">
        <v>1.5069999999999999</v>
      </c>
    </row>
    <row r="144" spans="1:9" x14ac:dyDescent="0.25">
      <c r="A144">
        <v>4.3</v>
      </c>
      <c r="B144">
        <v>51.471362905997175</v>
      </c>
      <c r="C144">
        <v>6.4754372706534262</v>
      </c>
      <c r="H144">
        <v>4.9109999999999996</v>
      </c>
      <c r="I144">
        <v>1.51</v>
      </c>
    </row>
    <row r="145" spans="1:9" x14ac:dyDescent="0.25">
      <c r="A145">
        <v>4.327</v>
      </c>
      <c r="B145">
        <v>57.359213284094395</v>
      </c>
      <c r="C145">
        <v>8.6225735908712089</v>
      </c>
      <c r="H145">
        <v>6.6660000000000004</v>
      </c>
      <c r="I145">
        <v>2.15</v>
      </c>
    </row>
    <row r="146" spans="1:9" x14ac:dyDescent="0.25">
      <c r="A146">
        <v>4.3529999999999998</v>
      </c>
      <c r="B146">
        <v>78.622572655251119</v>
      </c>
      <c r="C146">
        <v>16.137550711633452</v>
      </c>
      <c r="H146">
        <v>13.004</v>
      </c>
      <c r="I146">
        <v>4.3899999999999997</v>
      </c>
    </row>
    <row r="147" spans="1:9" x14ac:dyDescent="0.25">
      <c r="A147">
        <v>4.38</v>
      </c>
      <c r="B147">
        <v>96.725615755087318</v>
      </c>
      <c r="C147">
        <v>22.317277433260266</v>
      </c>
      <c r="H147">
        <v>18.399999999999999</v>
      </c>
      <c r="I147">
        <v>6.2320000000000002</v>
      </c>
    </row>
    <row r="148" spans="1:9" x14ac:dyDescent="0.25">
      <c r="A148">
        <v>4.407</v>
      </c>
      <c r="B148">
        <v>98.393001303756449</v>
      </c>
      <c r="C148">
        <v>22.703090990799399</v>
      </c>
      <c r="H148">
        <v>18.896999999999998</v>
      </c>
      <c r="I148">
        <v>6.3470000000000004</v>
      </c>
    </row>
    <row r="149" spans="1:9" x14ac:dyDescent="0.25">
      <c r="A149">
        <v>4.4329999999999998</v>
      </c>
      <c r="B149">
        <v>85.513538282950094</v>
      </c>
      <c r="C149">
        <v>18.143781210836949</v>
      </c>
      <c r="H149">
        <v>15.058</v>
      </c>
      <c r="I149">
        <v>4.9880000000000004</v>
      </c>
    </row>
    <row r="150" spans="1:9" x14ac:dyDescent="0.25">
      <c r="A150">
        <v>4.46</v>
      </c>
      <c r="B150">
        <v>72.234842102603224</v>
      </c>
      <c r="C150">
        <v>13.574406729373475</v>
      </c>
      <c r="H150">
        <v>11.1</v>
      </c>
      <c r="I150">
        <v>3.6259999999999999</v>
      </c>
    </row>
    <row r="151" spans="1:9" x14ac:dyDescent="0.25">
      <c r="A151">
        <v>4.4870000000000001</v>
      </c>
      <c r="B151">
        <v>64.266953414295045</v>
      </c>
      <c r="C151">
        <v>10.863647125098524</v>
      </c>
      <c r="H151">
        <v>8.7249999999999996</v>
      </c>
      <c r="I151">
        <v>2.8180000000000001</v>
      </c>
    </row>
    <row r="152" spans="1:9" x14ac:dyDescent="0.25">
      <c r="A152">
        <v>4.5129999999999999</v>
      </c>
      <c r="B152">
        <v>60.925472515956109</v>
      </c>
      <c r="C152">
        <v>9.6256888404729555</v>
      </c>
      <c r="H152">
        <v>7.7290000000000001</v>
      </c>
      <c r="I152">
        <v>2.4489999999999998</v>
      </c>
    </row>
    <row r="153" spans="1:9" x14ac:dyDescent="0.25">
      <c r="A153">
        <v>4.54</v>
      </c>
      <c r="B153">
        <v>59.40570258930196</v>
      </c>
      <c r="C153">
        <v>9.0117420489106834</v>
      </c>
      <c r="H153">
        <v>7.2759999999999998</v>
      </c>
      <c r="I153">
        <v>2.266</v>
      </c>
    </row>
    <row r="154" spans="1:9" x14ac:dyDescent="0.25">
      <c r="A154">
        <v>4.5670000000000002</v>
      </c>
      <c r="B154">
        <v>58.432781444203286</v>
      </c>
      <c r="C154">
        <v>8.7366402078827807</v>
      </c>
      <c r="H154">
        <v>6.9859999999999998</v>
      </c>
      <c r="I154">
        <v>2.1840000000000002</v>
      </c>
    </row>
    <row r="155" spans="1:9" x14ac:dyDescent="0.25">
      <c r="A155">
        <v>4.593</v>
      </c>
      <c r="B155">
        <v>57.406181891099152</v>
      </c>
      <c r="C155">
        <v>8.5454108793633825</v>
      </c>
      <c r="H155">
        <v>6.68</v>
      </c>
      <c r="I155">
        <v>2.1269999999999998</v>
      </c>
    </row>
    <row r="156" spans="1:9" x14ac:dyDescent="0.25">
      <c r="A156">
        <v>4.62</v>
      </c>
      <c r="B156">
        <v>56.433260746000471</v>
      </c>
      <c r="C156">
        <v>8.2535345358337793</v>
      </c>
      <c r="H156">
        <v>6.39</v>
      </c>
      <c r="I156">
        <v>2.04</v>
      </c>
    </row>
    <row r="157" spans="1:9" x14ac:dyDescent="0.25">
      <c r="A157">
        <v>4.6470000000000002</v>
      </c>
      <c r="B157">
        <v>55.9031864669467</v>
      </c>
      <c r="C157">
        <v>8.1025640133184673</v>
      </c>
      <c r="H157">
        <v>6.2320000000000002</v>
      </c>
      <c r="I157">
        <v>1.9950000000000001</v>
      </c>
    </row>
    <row r="158" spans="1:9" x14ac:dyDescent="0.25">
      <c r="A158">
        <v>4.673</v>
      </c>
      <c r="B158">
        <v>55.906541367447041</v>
      </c>
      <c r="C158">
        <v>8.2367600333320787</v>
      </c>
      <c r="H158">
        <v>6.2329999999999997</v>
      </c>
      <c r="I158">
        <v>2.0350000000000001</v>
      </c>
    </row>
    <row r="159" spans="1:9" x14ac:dyDescent="0.25">
      <c r="A159">
        <v>4.7</v>
      </c>
      <c r="B159">
        <v>55.987058979455206</v>
      </c>
      <c r="C159">
        <v>8.3306972473416074</v>
      </c>
      <c r="H159">
        <v>6.2569999999999997</v>
      </c>
      <c r="I159">
        <v>2.0630000000000002</v>
      </c>
    </row>
    <row r="160" spans="1:9" x14ac:dyDescent="0.25">
      <c r="A160">
        <v>4.7270000000000003</v>
      </c>
      <c r="B160">
        <v>55.554276814911319</v>
      </c>
      <c r="C160">
        <v>8.0924993118174449</v>
      </c>
      <c r="H160">
        <v>6.1280000000000001</v>
      </c>
      <c r="I160">
        <v>1.992</v>
      </c>
    </row>
    <row r="161" spans="1:9" x14ac:dyDescent="0.25">
      <c r="A161">
        <v>4.7530000000000001</v>
      </c>
      <c r="B161">
        <v>55.014137834356518</v>
      </c>
      <c r="C161">
        <v>7.7872033662864792</v>
      </c>
      <c r="H161">
        <v>5.9669999999999996</v>
      </c>
      <c r="I161">
        <v>1.901</v>
      </c>
    </row>
    <row r="162" spans="1:9" x14ac:dyDescent="0.25">
      <c r="A162">
        <v>4.78</v>
      </c>
      <c r="B162">
        <v>54.661873281820796</v>
      </c>
      <c r="C162">
        <v>7.5724897342647006</v>
      </c>
      <c r="H162">
        <v>5.8620000000000001</v>
      </c>
      <c r="I162">
        <v>1.837</v>
      </c>
    </row>
    <row r="163" spans="1:9" x14ac:dyDescent="0.25">
      <c r="A163">
        <v>4.8070000000000004</v>
      </c>
      <c r="B163">
        <v>54.433740047797663</v>
      </c>
      <c r="C163">
        <v>7.4282290127500685</v>
      </c>
      <c r="H163">
        <v>5.7939999999999996</v>
      </c>
      <c r="I163">
        <v>1.794</v>
      </c>
    </row>
    <row r="164" spans="1:9" x14ac:dyDescent="0.25">
      <c r="A164">
        <v>4.8330000000000002</v>
      </c>
      <c r="B164">
        <v>54.319673430786082</v>
      </c>
      <c r="C164">
        <v>7.357776102242922</v>
      </c>
      <c r="H164">
        <v>5.76</v>
      </c>
      <c r="I164">
        <v>1.7729999999999999</v>
      </c>
    </row>
    <row r="165" spans="1:9" x14ac:dyDescent="0.25">
      <c r="A165">
        <v>4.8600000000000003</v>
      </c>
      <c r="B165">
        <v>54.299544027784044</v>
      </c>
      <c r="C165">
        <v>7.3376466992408806</v>
      </c>
      <c r="H165">
        <v>5.7539999999999996</v>
      </c>
      <c r="I165">
        <v>1.7669999999999999</v>
      </c>
    </row>
    <row r="166" spans="1:9" x14ac:dyDescent="0.25">
      <c r="A166">
        <v>4.8869999999999996</v>
      </c>
      <c r="B166">
        <v>54.752455595329984</v>
      </c>
      <c r="C166">
        <v>7.4416486147514291</v>
      </c>
      <c r="H166">
        <v>5.8890000000000002</v>
      </c>
      <c r="I166">
        <v>1.798</v>
      </c>
    </row>
    <row r="167" spans="1:9" x14ac:dyDescent="0.25">
      <c r="A167">
        <v>4.9130000000000003</v>
      </c>
      <c r="B167">
        <v>55.34962788439055</v>
      </c>
      <c r="C167">
        <v>7.5121015252585748</v>
      </c>
      <c r="H167">
        <v>6.0670000000000002</v>
      </c>
      <c r="I167">
        <v>1.819</v>
      </c>
    </row>
    <row r="168" spans="1:9" x14ac:dyDescent="0.25">
      <c r="A168">
        <v>4.9400000000000004</v>
      </c>
      <c r="B168">
        <v>55.497243506405532</v>
      </c>
      <c r="C168">
        <v>7.5188113262592555</v>
      </c>
      <c r="H168">
        <v>6.1109999999999998</v>
      </c>
      <c r="I168">
        <v>1.821</v>
      </c>
    </row>
    <row r="169" spans="1:9" x14ac:dyDescent="0.25">
      <c r="A169">
        <v>4.9669999999999996</v>
      </c>
      <c r="B169">
        <v>55.178527958873197</v>
      </c>
      <c r="C169">
        <v>7.4953270227568742</v>
      </c>
      <c r="H169">
        <v>6.016</v>
      </c>
      <c r="I169">
        <v>1.8140000000000001</v>
      </c>
    </row>
    <row r="170" spans="1:9" x14ac:dyDescent="0.25">
      <c r="A170">
        <v>4.9930000000000003</v>
      </c>
      <c r="B170">
        <v>54.950394724850064</v>
      </c>
      <c r="C170">
        <v>7.4684878187541521</v>
      </c>
      <c r="H170">
        <v>5.9480000000000004</v>
      </c>
      <c r="I170">
        <v>1.806</v>
      </c>
    </row>
    <row r="171" spans="1:9" x14ac:dyDescent="0.25">
      <c r="A171">
        <v>5.0199999999999996</v>
      </c>
      <c r="B171">
        <v>55.175173058372856</v>
      </c>
      <c r="C171">
        <v>7.4684878187541521</v>
      </c>
      <c r="H171">
        <v>6.0149999999999997</v>
      </c>
      <c r="I171">
        <v>1.806</v>
      </c>
    </row>
    <row r="172" spans="1:9" x14ac:dyDescent="0.25">
      <c r="A172">
        <v>5.0469999999999997</v>
      </c>
      <c r="B172">
        <v>55.309369078386474</v>
      </c>
      <c r="C172">
        <v>7.4349388137507484</v>
      </c>
      <c r="H172">
        <v>6.0549999999999997</v>
      </c>
      <c r="I172">
        <v>1.796</v>
      </c>
    </row>
    <row r="173" spans="1:9" x14ac:dyDescent="0.25">
      <c r="A173">
        <v>5.0730000000000004</v>
      </c>
      <c r="B173">
        <v>55.165108356871848</v>
      </c>
      <c r="C173">
        <v>7.3812604057453042</v>
      </c>
      <c r="H173">
        <v>6.0119999999999996</v>
      </c>
      <c r="I173">
        <v>1.78</v>
      </c>
    </row>
    <row r="174" spans="1:9" x14ac:dyDescent="0.25">
      <c r="A174">
        <v>5.0999999999999996</v>
      </c>
      <c r="B174">
        <v>54.890006515843929</v>
      </c>
      <c r="C174">
        <v>7.330936898240199</v>
      </c>
      <c r="H174">
        <v>5.93</v>
      </c>
      <c r="I174">
        <v>1.7649999999999999</v>
      </c>
    </row>
    <row r="175" spans="1:9" x14ac:dyDescent="0.25">
      <c r="A175">
        <v>5.1269999999999998</v>
      </c>
      <c r="B175">
        <v>54.863167311841217</v>
      </c>
      <c r="C175">
        <v>7.3208721967391792</v>
      </c>
      <c r="H175">
        <v>5.9219999999999997</v>
      </c>
      <c r="I175">
        <v>1.762</v>
      </c>
    </row>
    <row r="176" spans="1:9" x14ac:dyDescent="0.25">
      <c r="A176">
        <v>5.1529999999999996</v>
      </c>
      <c r="B176">
        <v>54.950394724850064</v>
      </c>
      <c r="C176">
        <v>7.3342917987405398</v>
      </c>
      <c r="H176">
        <v>5.9480000000000004</v>
      </c>
      <c r="I176">
        <v>1.766</v>
      </c>
    </row>
    <row r="177" spans="1:9" x14ac:dyDescent="0.25">
      <c r="A177">
        <v>5.18</v>
      </c>
      <c r="B177">
        <v>55.037622137858911</v>
      </c>
      <c r="C177">
        <v>7.32758199773986</v>
      </c>
      <c r="H177">
        <v>5.9740000000000002</v>
      </c>
      <c r="I177">
        <v>1.764</v>
      </c>
    </row>
    <row r="178" spans="1:9" x14ac:dyDescent="0.25">
      <c r="A178">
        <v>5.2069999999999999</v>
      </c>
      <c r="B178">
        <v>55.00407313285551</v>
      </c>
      <c r="C178">
        <v>7.3175172962388384</v>
      </c>
      <c r="H178">
        <v>5.9640000000000004</v>
      </c>
      <c r="I178">
        <v>1.7609999999999999</v>
      </c>
    </row>
    <row r="179" spans="1:9" x14ac:dyDescent="0.25">
      <c r="A179">
        <v>5.2329999999999997</v>
      </c>
      <c r="B179">
        <v>54.86652221234155</v>
      </c>
      <c r="C179">
        <v>7.297387893236797</v>
      </c>
      <c r="H179">
        <v>5.923</v>
      </c>
      <c r="I179">
        <v>1.7549999999999999</v>
      </c>
    </row>
    <row r="180" spans="1:9" x14ac:dyDescent="0.25">
      <c r="A180">
        <v>5.26</v>
      </c>
      <c r="B180">
        <v>54.728971291827605</v>
      </c>
      <c r="C180">
        <v>7.2638388882333942</v>
      </c>
      <c r="H180">
        <v>5.8819999999999997</v>
      </c>
      <c r="I180">
        <v>1.7450000000000001</v>
      </c>
    </row>
    <row r="181" spans="1:9" x14ac:dyDescent="0.25">
      <c r="A181">
        <v>5.2869999999999999</v>
      </c>
      <c r="B181">
        <v>54.749100694829643</v>
      </c>
      <c r="C181">
        <v>7.2437094852313528</v>
      </c>
      <c r="H181">
        <v>5.8879999999999999</v>
      </c>
      <c r="I181">
        <v>1.7390000000000001</v>
      </c>
    </row>
    <row r="182" spans="1:9" x14ac:dyDescent="0.25">
      <c r="A182">
        <v>5.3129999999999997</v>
      </c>
      <c r="B182">
        <v>57.661154329125019</v>
      </c>
      <c r="C182">
        <v>8.2434698343327568</v>
      </c>
      <c r="H182">
        <v>6.7560000000000002</v>
      </c>
      <c r="I182">
        <v>2.0369999999999999</v>
      </c>
    </row>
    <row r="183" spans="1:9" x14ac:dyDescent="0.25">
      <c r="A183">
        <v>5.34</v>
      </c>
      <c r="B183">
        <v>73.479510188229469</v>
      </c>
      <c r="C183">
        <v>13.725377251888787</v>
      </c>
      <c r="H183">
        <v>11.471</v>
      </c>
      <c r="I183">
        <v>3.6709999999999998</v>
      </c>
    </row>
    <row r="184" spans="1:9" x14ac:dyDescent="0.25">
      <c r="A184">
        <v>5.367</v>
      </c>
      <c r="B184">
        <v>91.01893000400851</v>
      </c>
      <c r="C184">
        <v>19.727294246997566</v>
      </c>
      <c r="H184">
        <v>16.699000000000002</v>
      </c>
      <c r="I184">
        <v>5.46</v>
      </c>
    </row>
    <row r="185" spans="1:9" x14ac:dyDescent="0.25">
      <c r="A185">
        <v>5.3929999999999998</v>
      </c>
      <c r="B185">
        <v>99.999998643419445</v>
      </c>
      <c r="C185">
        <v>22.780253702307224</v>
      </c>
      <c r="H185">
        <v>19.376000000000001</v>
      </c>
      <c r="I185">
        <v>6.37</v>
      </c>
    </row>
    <row r="186" spans="1:9" x14ac:dyDescent="0.25">
      <c r="A186">
        <v>5.42</v>
      </c>
      <c r="B186">
        <v>95.880180829001574</v>
      </c>
      <c r="C186">
        <v>21.327581785659881</v>
      </c>
      <c r="H186">
        <v>18.148</v>
      </c>
      <c r="I186">
        <v>5.9370000000000003</v>
      </c>
    </row>
    <row r="187" spans="1:9" x14ac:dyDescent="0.25">
      <c r="A187">
        <v>5.4470000000000001</v>
      </c>
      <c r="B187">
        <v>84.48693872984596</v>
      </c>
      <c r="C187">
        <v>17.429187404264468</v>
      </c>
      <c r="H187">
        <v>14.752000000000001</v>
      </c>
      <c r="I187">
        <v>4.7750000000000004</v>
      </c>
    </row>
    <row r="188" spans="1:9" x14ac:dyDescent="0.25">
      <c r="A188">
        <v>5.4729999999999999</v>
      </c>
      <c r="B188">
        <v>73.066857426687605</v>
      </c>
      <c r="C188">
        <v>13.460340112361905</v>
      </c>
      <c r="H188">
        <v>11.348000000000001</v>
      </c>
      <c r="I188">
        <v>3.5920000000000001</v>
      </c>
    </row>
    <row r="189" spans="1:9" x14ac:dyDescent="0.25">
      <c r="A189">
        <v>5.5</v>
      </c>
      <c r="B189">
        <v>65.521686201422312</v>
      </c>
      <c r="C189">
        <v>10.786484413590696</v>
      </c>
      <c r="H189">
        <v>9.0990000000000002</v>
      </c>
      <c r="I189">
        <v>2.7949999999999999</v>
      </c>
    </row>
    <row r="190" spans="1:9" x14ac:dyDescent="0.25">
      <c r="A190">
        <v>5.5270000000000001</v>
      </c>
      <c r="B190">
        <v>61.281091968992186</v>
      </c>
      <c r="C190">
        <v>9.3170379944416517</v>
      </c>
      <c r="H190">
        <v>7.835</v>
      </c>
      <c r="I190">
        <v>2.3570000000000002</v>
      </c>
    </row>
    <row r="191" spans="1:9" x14ac:dyDescent="0.25">
      <c r="A191">
        <v>5.5529999999999999</v>
      </c>
      <c r="B191">
        <v>58.848789106245476</v>
      </c>
      <c r="C191">
        <v>8.5319912773620246</v>
      </c>
      <c r="H191">
        <v>7.11</v>
      </c>
      <c r="I191">
        <v>2.1230000000000002</v>
      </c>
    </row>
    <row r="192" spans="1:9" x14ac:dyDescent="0.25">
      <c r="A192">
        <v>5.58</v>
      </c>
      <c r="B192">
        <v>57.446440697103235</v>
      </c>
      <c r="C192">
        <v>8.1193385158201679</v>
      </c>
      <c r="H192">
        <v>6.6920000000000002</v>
      </c>
      <c r="I192">
        <v>2</v>
      </c>
    </row>
    <row r="193" spans="1:9" x14ac:dyDescent="0.25">
      <c r="A193">
        <v>5.6070000000000002</v>
      </c>
      <c r="B193">
        <v>56.715072388029057</v>
      </c>
      <c r="C193">
        <v>7.8442366747922634</v>
      </c>
      <c r="H193">
        <v>6.4740000000000002</v>
      </c>
      <c r="I193">
        <v>1.9179999999999999</v>
      </c>
    </row>
    <row r="194" spans="1:9" x14ac:dyDescent="0.25">
      <c r="A194">
        <v>5.633</v>
      </c>
      <c r="B194">
        <v>56.403066641497404</v>
      </c>
      <c r="C194">
        <v>7.67649164977525</v>
      </c>
      <c r="H194">
        <v>6.3810000000000002</v>
      </c>
      <c r="I194">
        <v>1.8680000000000001</v>
      </c>
    </row>
    <row r="195" spans="1:9" x14ac:dyDescent="0.25">
      <c r="A195">
        <v>5.66</v>
      </c>
      <c r="B195">
        <v>56.138029501970514</v>
      </c>
      <c r="C195">
        <v>7.5456505302619785</v>
      </c>
      <c r="H195">
        <v>6.3019999999999996</v>
      </c>
      <c r="I195">
        <v>1.829</v>
      </c>
    </row>
    <row r="196" spans="1:9" x14ac:dyDescent="0.25">
      <c r="A196">
        <v>5.6870000000000003</v>
      </c>
      <c r="B196">
        <v>55.923315869948738</v>
      </c>
      <c r="C196">
        <v>7.4584231172531306</v>
      </c>
      <c r="H196">
        <v>6.2380000000000004</v>
      </c>
      <c r="I196">
        <v>1.8029999999999999</v>
      </c>
    </row>
    <row r="197" spans="1:9" x14ac:dyDescent="0.25">
      <c r="A197">
        <v>5.7130000000000001</v>
      </c>
      <c r="B197">
        <v>55.802539451936489</v>
      </c>
      <c r="C197">
        <v>7.4483584157521099</v>
      </c>
      <c r="H197">
        <v>6.202</v>
      </c>
      <c r="I197">
        <v>1.8</v>
      </c>
    </row>
    <row r="198" spans="1:9" x14ac:dyDescent="0.25">
      <c r="A198">
        <v>5.74</v>
      </c>
      <c r="B198">
        <v>55.799184551436156</v>
      </c>
      <c r="C198">
        <v>7.4684878187541521</v>
      </c>
      <c r="H198">
        <v>6.2009999999999996</v>
      </c>
      <c r="I198">
        <v>1.806</v>
      </c>
    </row>
    <row r="199" spans="1:9" x14ac:dyDescent="0.25">
      <c r="A199">
        <v>5.7670000000000003</v>
      </c>
      <c r="B199">
        <v>55.869637461943306</v>
      </c>
      <c r="C199">
        <v>7.5355858287609578</v>
      </c>
      <c r="H199">
        <v>6.2220000000000004</v>
      </c>
      <c r="I199">
        <v>1.8260000000000001</v>
      </c>
    </row>
    <row r="200" spans="1:9" x14ac:dyDescent="0.25">
      <c r="A200">
        <v>5.7930000000000001</v>
      </c>
      <c r="B200">
        <v>55.893121765445677</v>
      </c>
      <c r="C200">
        <v>7.5389407292612969</v>
      </c>
      <c r="H200">
        <v>6.2290000000000001</v>
      </c>
      <c r="I200">
        <v>1.827</v>
      </c>
    </row>
    <row r="201" spans="1:9" x14ac:dyDescent="0.25">
      <c r="A201">
        <v>5.82</v>
      </c>
      <c r="B201">
        <v>55.906541367447041</v>
      </c>
      <c r="C201">
        <v>7.5221662267595963</v>
      </c>
      <c r="H201">
        <v>6.2329999999999997</v>
      </c>
      <c r="I201">
        <v>1.8220000000000001</v>
      </c>
    </row>
    <row r="202" spans="1:9" x14ac:dyDescent="0.25">
      <c r="A202">
        <v>5.8470000000000004</v>
      </c>
      <c r="B202">
        <v>55.883057063944662</v>
      </c>
      <c r="C202">
        <v>7.4517133162524498</v>
      </c>
      <c r="H202">
        <v>6.226</v>
      </c>
      <c r="I202">
        <v>1.8009999999999999</v>
      </c>
    </row>
    <row r="203" spans="1:9" x14ac:dyDescent="0.25">
      <c r="A203">
        <v>5.8730000000000002</v>
      </c>
      <c r="B203">
        <v>55.919960969448404</v>
      </c>
      <c r="C203">
        <v>7.414809410748707</v>
      </c>
      <c r="H203">
        <v>6.2370000000000001</v>
      </c>
      <c r="I203">
        <v>1.79</v>
      </c>
    </row>
    <row r="204" spans="1:9" x14ac:dyDescent="0.25">
      <c r="A204">
        <v>5.9</v>
      </c>
      <c r="B204">
        <v>56.087705994465416</v>
      </c>
      <c r="C204">
        <v>7.5590701322633391</v>
      </c>
      <c r="H204">
        <v>6.2869999999999999</v>
      </c>
      <c r="I204">
        <v>1.833</v>
      </c>
    </row>
    <row r="205" spans="1:9" x14ac:dyDescent="0.25">
      <c r="A205">
        <v>5.9269999999999996</v>
      </c>
      <c r="B205">
        <v>56.215192213478346</v>
      </c>
      <c r="C205">
        <v>7.6530073462728678</v>
      </c>
      <c r="H205">
        <v>6.3250000000000002</v>
      </c>
      <c r="I205">
        <v>1.861</v>
      </c>
    </row>
    <row r="206" spans="1:9" x14ac:dyDescent="0.25">
      <c r="A206">
        <v>5.9530000000000003</v>
      </c>
      <c r="B206">
        <v>56.319194128988904</v>
      </c>
      <c r="C206">
        <v>7.6530073462728678</v>
      </c>
      <c r="H206">
        <v>6.3559999999999999</v>
      </c>
      <c r="I206">
        <v>1.861</v>
      </c>
    </row>
    <row r="207" spans="1:9" x14ac:dyDescent="0.25">
      <c r="A207">
        <v>5.98</v>
      </c>
      <c r="B207">
        <v>56.292354924986171</v>
      </c>
      <c r="C207">
        <v>7.5188113262592555</v>
      </c>
      <c r="H207">
        <v>6.3479999999999999</v>
      </c>
      <c r="I207">
        <v>1.821</v>
      </c>
    </row>
    <row r="208" spans="1:9" x14ac:dyDescent="0.25">
      <c r="A208">
        <v>6.0069999999999997</v>
      </c>
      <c r="B208">
        <v>56.295709825486512</v>
      </c>
      <c r="C208">
        <v>7.4114545102483662</v>
      </c>
      <c r="H208">
        <v>6.3490000000000002</v>
      </c>
      <c r="I208">
        <v>1.7889999999999999</v>
      </c>
    </row>
    <row r="209" spans="1:9" x14ac:dyDescent="0.25">
      <c r="A209">
        <v>6.0330000000000004</v>
      </c>
      <c r="B209">
        <v>56.349388233491965</v>
      </c>
      <c r="C209">
        <v>7.3477114007419013</v>
      </c>
      <c r="H209">
        <v>6.3650000000000002</v>
      </c>
      <c r="I209">
        <v>1.77</v>
      </c>
    </row>
    <row r="210" spans="1:9" x14ac:dyDescent="0.25">
      <c r="A210">
        <v>6.06</v>
      </c>
      <c r="B210">
        <v>56.439970547001153</v>
      </c>
      <c r="C210">
        <v>7.3342917987405398</v>
      </c>
      <c r="H210">
        <v>6.3920000000000003</v>
      </c>
      <c r="I210">
        <v>1.766</v>
      </c>
    </row>
    <row r="211" spans="1:9" x14ac:dyDescent="0.25">
      <c r="A211">
        <v>6.0869999999999997</v>
      </c>
      <c r="B211">
        <v>56.51713325850897</v>
      </c>
      <c r="C211">
        <v>7.32758199773986</v>
      </c>
      <c r="H211">
        <v>6.415</v>
      </c>
      <c r="I211">
        <v>1.764</v>
      </c>
    </row>
    <row r="212" spans="1:9" x14ac:dyDescent="0.25">
      <c r="A212">
        <v>6.1130000000000004</v>
      </c>
      <c r="B212">
        <v>56.584231268515779</v>
      </c>
      <c r="C212">
        <v>7.3108074952381576</v>
      </c>
      <c r="H212">
        <v>6.4349999999999996</v>
      </c>
      <c r="I212">
        <v>1.7589999999999999</v>
      </c>
    </row>
    <row r="213" spans="1:9" x14ac:dyDescent="0.25">
      <c r="A213">
        <v>6.14</v>
      </c>
      <c r="B213">
        <v>56.644619477521907</v>
      </c>
      <c r="C213">
        <v>7.2940329927364562</v>
      </c>
      <c r="H213">
        <v>6.4530000000000003</v>
      </c>
      <c r="I213">
        <v>1.754</v>
      </c>
    </row>
    <row r="214" spans="1:9" x14ac:dyDescent="0.25">
      <c r="A214">
        <v>6.1669999999999998</v>
      </c>
      <c r="B214">
        <v>56.654684179022922</v>
      </c>
      <c r="C214">
        <v>7.2772584902347557</v>
      </c>
      <c r="H214">
        <v>6.4560000000000004</v>
      </c>
      <c r="I214">
        <v>1.7490000000000001</v>
      </c>
    </row>
    <row r="215" spans="1:9" x14ac:dyDescent="0.25">
      <c r="A215">
        <v>6.1929999999999996</v>
      </c>
      <c r="B215">
        <v>56.62784497502021</v>
      </c>
      <c r="C215">
        <v>7.2806133907350956</v>
      </c>
      <c r="H215">
        <v>6.4480000000000004</v>
      </c>
      <c r="I215">
        <v>1.75</v>
      </c>
    </row>
    <row r="216" spans="1:9" x14ac:dyDescent="0.25">
      <c r="A216">
        <v>6.22</v>
      </c>
      <c r="B216">
        <v>56.604360671517817</v>
      </c>
      <c r="C216">
        <v>7.2739035897344149</v>
      </c>
      <c r="H216">
        <v>6.4409999999999998</v>
      </c>
      <c r="I216">
        <v>1.748</v>
      </c>
    </row>
    <row r="217" spans="1:9" x14ac:dyDescent="0.25">
      <c r="A217">
        <v>6.2469999999999999</v>
      </c>
      <c r="B217">
        <v>56.577521467515098</v>
      </c>
      <c r="C217">
        <v>7.2671937887337341</v>
      </c>
      <c r="H217">
        <v>6.4329999999999998</v>
      </c>
      <c r="I217">
        <v>1.746</v>
      </c>
    </row>
    <row r="218" spans="1:9" x14ac:dyDescent="0.25">
      <c r="A218">
        <v>6.2729999999999997</v>
      </c>
      <c r="B218">
        <v>56.580876368015439</v>
      </c>
      <c r="C218">
        <v>7.2638388882333942</v>
      </c>
      <c r="H218">
        <v>6.4340000000000002</v>
      </c>
      <c r="I218">
        <v>1.7450000000000001</v>
      </c>
    </row>
    <row r="219" spans="1:9" x14ac:dyDescent="0.25">
      <c r="A219">
        <v>6.3</v>
      </c>
      <c r="B219">
        <v>56.691588084526664</v>
      </c>
      <c r="C219">
        <v>7.2705486892340749</v>
      </c>
      <c r="H219">
        <v>6.4669999999999996</v>
      </c>
      <c r="I219">
        <v>1.7470000000000001</v>
      </c>
    </row>
    <row r="220" spans="1:9" x14ac:dyDescent="0.25">
      <c r="A220">
        <v>6.327</v>
      </c>
      <c r="B220">
        <v>56.785525298536207</v>
      </c>
      <c r="C220">
        <v>7.2873231917357764</v>
      </c>
      <c r="H220">
        <v>6.4950000000000001</v>
      </c>
      <c r="I220">
        <v>1.752</v>
      </c>
    </row>
    <row r="221" spans="1:9" x14ac:dyDescent="0.25">
      <c r="A221">
        <v>6.3529999999999998</v>
      </c>
      <c r="B221">
        <v>56.798944900537563</v>
      </c>
      <c r="C221">
        <v>7.3040976942374769</v>
      </c>
      <c r="H221">
        <v>6.4989999999999997</v>
      </c>
      <c r="I221">
        <v>1.7569999999999999</v>
      </c>
    </row>
    <row r="222" spans="1:9" x14ac:dyDescent="0.25">
      <c r="A222">
        <v>6.38</v>
      </c>
      <c r="B222">
        <v>56.798944900537563</v>
      </c>
      <c r="C222">
        <v>7.3040976942374769</v>
      </c>
      <c r="H222">
        <v>6.4989999999999997</v>
      </c>
      <c r="I222">
        <v>1.7569999999999999</v>
      </c>
    </row>
    <row r="223" spans="1:9" x14ac:dyDescent="0.25">
      <c r="A223">
        <v>6.407</v>
      </c>
      <c r="B223">
        <v>56.829139005040624</v>
      </c>
      <c r="C223">
        <v>7.3074525947378177</v>
      </c>
      <c r="H223">
        <v>6.508</v>
      </c>
      <c r="I223">
        <v>1.758</v>
      </c>
    </row>
    <row r="224" spans="1:9" x14ac:dyDescent="0.25">
      <c r="A224">
        <v>6.4329999999999998</v>
      </c>
      <c r="B224">
        <v>56.939850721551849</v>
      </c>
      <c r="C224">
        <v>7.3175172962388384</v>
      </c>
      <c r="H224">
        <v>6.5410000000000004</v>
      </c>
      <c r="I224">
        <v>1.7609999999999999</v>
      </c>
    </row>
    <row r="225" spans="1:9" x14ac:dyDescent="0.25">
      <c r="A225">
        <v>6.46</v>
      </c>
      <c r="B225">
        <v>57.053917338563416</v>
      </c>
      <c r="C225">
        <v>7.3510663012422413</v>
      </c>
      <c r="H225">
        <v>6.5750000000000002</v>
      </c>
      <c r="I225">
        <v>1.7709999999999999</v>
      </c>
    </row>
    <row r="226" spans="1:9" x14ac:dyDescent="0.25">
      <c r="A226">
        <v>6.4870000000000001</v>
      </c>
      <c r="B226">
        <v>57.080756542566135</v>
      </c>
      <c r="C226">
        <v>7.3946800077466648</v>
      </c>
      <c r="H226">
        <v>6.5830000000000002</v>
      </c>
      <c r="I226">
        <v>1.784</v>
      </c>
    </row>
    <row r="227" spans="1:9" x14ac:dyDescent="0.25">
      <c r="A227">
        <v>6.5129999999999999</v>
      </c>
      <c r="B227">
        <v>57.037142836061719</v>
      </c>
      <c r="C227">
        <v>7.414809410748707</v>
      </c>
      <c r="H227">
        <v>6.57</v>
      </c>
      <c r="I227">
        <v>1.79</v>
      </c>
    </row>
    <row r="228" spans="1:9" x14ac:dyDescent="0.25">
      <c r="A228">
        <v>6.54</v>
      </c>
      <c r="B228">
        <v>56.976754627055591</v>
      </c>
      <c r="C228">
        <v>7.4349388137507484</v>
      </c>
      <c r="H228">
        <v>6.5519999999999996</v>
      </c>
      <c r="I228">
        <v>1.796</v>
      </c>
    </row>
    <row r="229" spans="1:9" x14ac:dyDescent="0.25">
      <c r="A229">
        <v>6.5670000000000002</v>
      </c>
      <c r="B229">
        <v>57.027078134560696</v>
      </c>
      <c r="C229">
        <v>7.4282290127500685</v>
      </c>
      <c r="H229">
        <v>6.5670000000000002</v>
      </c>
      <c r="I229">
        <v>1.794</v>
      </c>
    </row>
    <row r="230" spans="1:9" x14ac:dyDescent="0.25">
      <c r="A230">
        <v>6.593</v>
      </c>
      <c r="B230">
        <v>57.097531045067846</v>
      </c>
      <c r="C230">
        <v>7.4080996097480263</v>
      </c>
      <c r="H230">
        <v>6.5880000000000001</v>
      </c>
      <c r="I230">
        <v>1.788</v>
      </c>
    </row>
    <row r="231" spans="1:9" x14ac:dyDescent="0.25">
      <c r="A231">
        <v>6.62</v>
      </c>
      <c r="B231">
        <v>57.191468259077375</v>
      </c>
      <c r="C231">
        <v>7.4047447092476864</v>
      </c>
      <c r="H231">
        <v>6.6159999999999997</v>
      </c>
      <c r="I231">
        <v>1.7869999999999999</v>
      </c>
    </row>
    <row r="232" spans="1:9" x14ac:dyDescent="0.25">
      <c r="A232">
        <v>6.6470000000000002</v>
      </c>
      <c r="B232">
        <v>57.275340771585874</v>
      </c>
      <c r="C232">
        <v>7.4080996097480263</v>
      </c>
      <c r="H232">
        <v>6.641</v>
      </c>
      <c r="I232">
        <v>1.788</v>
      </c>
    </row>
    <row r="233" spans="1:9" x14ac:dyDescent="0.25">
      <c r="A233">
        <v>6.673</v>
      </c>
      <c r="B233">
        <v>57.339083881092343</v>
      </c>
      <c r="C233">
        <v>7.4114545102483662</v>
      </c>
      <c r="H233">
        <v>6.66</v>
      </c>
      <c r="I233">
        <v>1.7889999999999999</v>
      </c>
    </row>
    <row r="234" spans="1:9" x14ac:dyDescent="0.25">
      <c r="A234">
        <v>6.7</v>
      </c>
      <c r="B234">
        <v>57.402826990598818</v>
      </c>
      <c r="C234">
        <v>7.4282290127500685</v>
      </c>
      <c r="H234">
        <v>6.6790000000000003</v>
      </c>
      <c r="I234">
        <v>1.794</v>
      </c>
    </row>
    <row r="235" spans="1:9" x14ac:dyDescent="0.25">
      <c r="A235">
        <v>6.7270000000000003</v>
      </c>
      <c r="B235">
        <v>57.446440697103235</v>
      </c>
      <c r="C235">
        <v>7.418164311249047</v>
      </c>
      <c r="H235">
        <v>6.6920000000000002</v>
      </c>
      <c r="I235">
        <v>1.7909999999999999</v>
      </c>
    </row>
    <row r="236" spans="1:9" x14ac:dyDescent="0.25">
      <c r="A236">
        <v>6.7530000000000001</v>
      </c>
      <c r="B236">
        <v>57.459860299104591</v>
      </c>
      <c r="C236">
        <v>7.4114545102483662</v>
      </c>
      <c r="H236">
        <v>6.6959999999999997</v>
      </c>
      <c r="I236">
        <v>1.7889999999999999</v>
      </c>
    </row>
    <row r="237" spans="1:9" x14ac:dyDescent="0.25">
      <c r="A237">
        <v>6.78</v>
      </c>
      <c r="B237">
        <v>57.449795597603568</v>
      </c>
      <c r="C237">
        <v>7.418164311249047</v>
      </c>
      <c r="H237">
        <v>6.6929999999999996</v>
      </c>
      <c r="I237">
        <v>1.7909999999999999</v>
      </c>
    </row>
    <row r="238" spans="1:9" x14ac:dyDescent="0.25">
      <c r="A238">
        <v>6.8070000000000004</v>
      </c>
      <c r="B238">
        <v>57.459860299104591</v>
      </c>
      <c r="C238">
        <v>7.4315839132504085</v>
      </c>
      <c r="H238">
        <v>6.6959999999999997</v>
      </c>
      <c r="I238">
        <v>1.7949999999999999</v>
      </c>
    </row>
    <row r="239" spans="1:9" x14ac:dyDescent="0.25">
      <c r="A239">
        <v>6.8330000000000002</v>
      </c>
      <c r="B239">
        <v>57.486699503107324</v>
      </c>
      <c r="C239">
        <v>7.4282290127500685</v>
      </c>
      <c r="H239">
        <v>6.7039999999999997</v>
      </c>
      <c r="I239">
        <v>1.794</v>
      </c>
    </row>
    <row r="240" spans="1:9" x14ac:dyDescent="0.25">
      <c r="A240">
        <v>6.86</v>
      </c>
      <c r="B240">
        <v>57.513538707110037</v>
      </c>
      <c r="C240">
        <v>7.4550682167527906</v>
      </c>
      <c r="H240">
        <v>6.7119999999999997</v>
      </c>
      <c r="I240">
        <v>1.802</v>
      </c>
    </row>
    <row r="241" spans="1:9" x14ac:dyDescent="0.25">
      <c r="A241">
        <v>6.8869999999999996</v>
      </c>
      <c r="B241">
        <v>57.654444528124323</v>
      </c>
      <c r="C241">
        <v>7.4986819232572133</v>
      </c>
      <c r="H241">
        <v>6.7539999999999996</v>
      </c>
      <c r="I241">
        <v>1.8149999999999999</v>
      </c>
    </row>
    <row r="242" spans="1:9" x14ac:dyDescent="0.25">
      <c r="A242">
        <v>6.9130000000000003</v>
      </c>
      <c r="B242">
        <v>57.916126767150885</v>
      </c>
      <c r="C242">
        <v>7.5422956297616377</v>
      </c>
      <c r="H242">
        <v>6.8319999999999999</v>
      </c>
      <c r="I242">
        <v>1.8280000000000001</v>
      </c>
    </row>
    <row r="243" spans="1:9" x14ac:dyDescent="0.25">
      <c r="A243">
        <v>6.94</v>
      </c>
      <c r="B243">
        <v>58.157679603175374</v>
      </c>
      <c r="C243">
        <v>7.5993289382674227</v>
      </c>
      <c r="H243">
        <v>6.9039999999999999</v>
      </c>
      <c r="I243">
        <v>1.845</v>
      </c>
    </row>
    <row r="244" spans="1:9" x14ac:dyDescent="0.25">
      <c r="A244">
        <v>6.9669999999999996</v>
      </c>
      <c r="B244">
        <v>58.312005026191024</v>
      </c>
      <c r="C244">
        <v>7.6328779432708256</v>
      </c>
      <c r="H244">
        <v>6.95</v>
      </c>
      <c r="I244">
        <v>1.855</v>
      </c>
    </row>
    <row r="245" spans="1:9" x14ac:dyDescent="0.25">
      <c r="A245">
        <v>6.9930000000000003</v>
      </c>
      <c r="B245">
        <v>58.399232439199871</v>
      </c>
      <c r="C245">
        <v>7.6429426447718471</v>
      </c>
      <c r="H245">
        <v>6.976</v>
      </c>
      <c r="I245">
        <v>1.8580000000000001</v>
      </c>
    </row>
    <row r="246" spans="1:9" x14ac:dyDescent="0.25">
      <c r="A246">
        <v>7.02</v>
      </c>
      <c r="B246">
        <v>58.657559777726078</v>
      </c>
      <c r="C246">
        <v>7.6597171472735477</v>
      </c>
      <c r="H246">
        <v>7.0529999999999999</v>
      </c>
      <c r="I246">
        <v>1.863</v>
      </c>
    </row>
    <row r="247" spans="1:9" x14ac:dyDescent="0.25">
      <c r="A247">
        <v>7.0469999999999997</v>
      </c>
      <c r="B247">
        <v>58.707883285231176</v>
      </c>
      <c r="C247">
        <v>7.6630720477738885</v>
      </c>
      <c r="H247">
        <v>7.0679999999999996</v>
      </c>
      <c r="I247">
        <v>1.8640000000000001</v>
      </c>
    </row>
    <row r="248" spans="1:9" x14ac:dyDescent="0.25">
      <c r="A248">
        <v>7.0730000000000004</v>
      </c>
      <c r="B248">
        <v>58.650849976725404</v>
      </c>
      <c r="C248">
        <v>7.6630720477738885</v>
      </c>
      <c r="H248">
        <v>7.0510000000000002</v>
      </c>
      <c r="I248">
        <v>1.8640000000000001</v>
      </c>
    </row>
    <row r="249" spans="1:9" x14ac:dyDescent="0.25">
      <c r="A249">
        <v>7.1</v>
      </c>
      <c r="B249">
        <v>58.258326618185585</v>
      </c>
      <c r="C249">
        <v>7.5758446347650414</v>
      </c>
      <c r="H249">
        <v>6.9340000000000002</v>
      </c>
      <c r="I249">
        <v>1.8380000000000001</v>
      </c>
    </row>
    <row r="250" spans="1:9" x14ac:dyDescent="0.25">
      <c r="A250">
        <v>7.1269999999999998</v>
      </c>
      <c r="B250">
        <v>57.956385573154961</v>
      </c>
      <c r="C250">
        <v>7.5389407292612969</v>
      </c>
      <c r="H250">
        <v>6.8440000000000003</v>
      </c>
      <c r="I250">
        <v>1.827</v>
      </c>
    </row>
    <row r="251" spans="1:9" x14ac:dyDescent="0.25">
      <c r="A251">
        <v>7.1529999999999996</v>
      </c>
      <c r="B251">
        <v>57.88257776214747</v>
      </c>
      <c r="C251">
        <v>7.5422956297616377</v>
      </c>
      <c r="H251">
        <v>6.8220000000000001</v>
      </c>
      <c r="I251">
        <v>1.8280000000000001</v>
      </c>
    </row>
    <row r="252" spans="1:9" x14ac:dyDescent="0.25">
      <c r="A252">
        <v>7.18</v>
      </c>
      <c r="B252">
        <v>58.107356095670269</v>
      </c>
      <c r="C252">
        <v>7.5691348337643607</v>
      </c>
      <c r="H252">
        <v>6.8890000000000002</v>
      </c>
      <c r="I252">
        <v>1.8360000000000001</v>
      </c>
    </row>
    <row r="253" spans="1:9" x14ac:dyDescent="0.25">
      <c r="A253">
        <v>7.2069999999999999</v>
      </c>
      <c r="B253">
        <v>58.399232439199871</v>
      </c>
      <c r="C253">
        <v>7.5959740377670828</v>
      </c>
      <c r="H253">
        <v>6.976</v>
      </c>
      <c r="I253">
        <v>1.8440000000000001</v>
      </c>
    </row>
    <row r="254" spans="1:9" x14ac:dyDescent="0.25">
      <c r="A254">
        <v>7.2329999999999997</v>
      </c>
      <c r="B254">
        <v>58.644140175724715</v>
      </c>
      <c r="C254">
        <v>7.6194583412694641</v>
      </c>
      <c r="H254">
        <v>7.0490000000000004</v>
      </c>
      <c r="I254">
        <v>1.851</v>
      </c>
    </row>
    <row r="255" spans="1:9" x14ac:dyDescent="0.25">
      <c r="A255">
        <v>7.26</v>
      </c>
      <c r="B255">
        <v>58.724657787732887</v>
      </c>
      <c r="C255">
        <v>7.6194583412694641</v>
      </c>
      <c r="H255">
        <v>7.0730000000000004</v>
      </c>
      <c r="I255">
        <v>1.851</v>
      </c>
    </row>
    <row r="256" spans="1:9" x14ac:dyDescent="0.25">
      <c r="A256">
        <v>7.2869999999999999</v>
      </c>
      <c r="B256">
        <v>58.684398981728798</v>
      </c>
      <c r="C256">
        <v>7.6261681422701448</v>
      </c>
      <c r="H256">
        <v>7.0609999999999999</v>
      </c>
      <c r="I256">
        <v>1.853</v>
      </c>
    </row>
    <row r="257" spans="1:9" x14ac:dyDescent="0.25">
      <c r="A257">
        <v>7.3129999999999997</v>
      </c>
      <c r="B257">
        <v>58.580397066218254</v>
      </c>
      <c r="C257">
        <v>7.6127485402687842</v>
      </c>
      <c r="H257">
        <v>7.03</v>
      </c>
      <c r="I257">
        <v>1.849</v>
      </c>
    </row>
    <row r="258" spans="1:9" x14ac:dyDescent="0.25">
      <c r="A258">
        <v>7.34</v>
      </c>
      <c r="B258">
        <v>58.479750051208043</v>
      </c>
      <c r="C258">
        <v>7.6194583412694641</v>
      </c>
      <c r="H258">
        <v>7</v>
      </c>
      <c r="I258">
        <v>1.851</v>
      </c>
    </row>
    <row r="259" spans="1:9" x14ac:dyDescent="0.25">
      <c r="A259">
        <v>7.367</v>
      </c>
      <c r="B259">
        <v>58.389167737698848</v>
      </c>
      <c r="C259">
        <v>7.6395877442715063</v>
      </c>
      <c r="H259">
        <v>6.9729999999999999</v>
      </c>
      <c r="I259">
        <v>1.857</v>
      </c>
    </row>
    <row r="260" spans="1:9" x14ac:dyDescent="0.25">
      <c r="A260">
        <v>7.3929999999999998</v>
      </c>
      <c r="B260">
        <v>58.318714827191705</v>
      </c>
      <c r="C260">
        <v>7.6530073462728678</v>
      </c>
      <c r="H260">
        <v>6.952</v>
      </c>
      <c r="I260">
        <v>1.861</v>
      </c>
    </row>
    <row r="261" spans="1:9" x14ac:dyDescent="0.25">
      <c r="A261">
        <v>7.42</v>
      </c>
      <c r="B261">
        <v>58.241552115683888</v>
      </c>
      <c r="C261">
        <v>7.6697818487745693</v>
      </c>
      <c r="H261">
        <v>6.9290000000000003</v>
      </c>
      <c r="I261">
        <v>1.8660000000000001</v>
      </c>
    </row>
    <row r="262" spans="1:9" x14ac:dyDescent="0.25">
      <c r="A262">
        <v>7.4470000000000001</v>
      </c>
      <c r="B262">
        <v>58.184518807178094</v>
      </c>
      <c r="C262">
        <v>7.67649164977525</v>
      </c>
      <c r="H262">
        <v>6.9119999999999999</v>
      </c>
      <c r="I262">
        <v>1.8680000000000001</v>
      </c>
    </row>
    <row r="263" spans="1:9" x14ac:dyDescent="0.25">
      <c r="A263">
        <v>7.4729999999999999</v>
      </c>
      <c r="B263">
        <v>58.117420797171292</v>
      </c>
      <c r="C263">
        <v>7.67649164977525</v>
      </c>
      <c r="H263">
        <v>6.8920000000000003</v>
      </c>
      <c r="I263">
        <v>1.8680000000000001</v>
      </c>
    </row>
    <row r="264" spans="1:9" x14ac:dyDescent="0.25">
      <c r="A264">
        <v>7.5</v>
      </c>
      <c r="B264">
        <v>58.124130598171966</v>
      </c>
      <c r="C264">
        <v>7.6832014507759299</v>
      </c>
      <c r="H264">
        <v>6.8940000000000001</v>
      </c>
      <c r="I264">
        <v>1.87</v>
      </c>
    </row>
    <row r="265" spans="1:9" x14ac:dyDescent="0.25">
      <c r="A265">
        <v>7.5270000000000001</v>
      </c>
      <c r="B265">
        <v>58.214712911681154</v>
      </c>
      <c r="C265">
        <v>7.706685754278312</v>
      </c>
      <c r="H265">
        <v>6.9210000000000003</v>
      </c>
      <c r="I265">
        <v>1.877</v>
      </c>
    </row>
    <row r="266" spans="1:9" x14ac:dyDescent="0.25">
      <c r="A266">
        <v>7.5529999999999999</v>
      </c>
      <c r="B266">
        <v>58.305295225190356</v>
      </c>
      <c r="C266">
        <v>7.7435896597820548</v>
      </c>
      <c r="H266">
        <v>6.9480000000000004</v>
      </c>
      <c r="I266">
        <v>1.8879999999999999</v>
      </c>
    </row>
    <row r="267" spans="1:9" x14ac:dyDescent="0.25">
      <c r="A267">
        <v>7.58</v>
      </c>
      <c r="B267">
        <v>58.375748135697499</v>
      </c>
      <c r="C267">
        <v>7.7502994607827356</v>
      </c>
      <c r="H267">
        <v>6.9690000000000003</v>
      </c>
      <c r="I267">
        <v>1.89</v>
      </c>
    </row>
    <row r="268" spans="1:9" x14ac:dyDescent="0.25">
      <c r="A268">
        <v>7.6070000000000002</v>
      </c>
      <c r="B268">
        <v>58.416006941701582</v>
      </c>
      <c r="C268">
        <v>7.767073963284437</v>
      </c>
      <c r="H268">
        <v>6.9809999999999999</v>
      </c>
      <c r="I268">
        <v>1.895</v>
      </c>
    </row>
    <row r="269" spans="1:9" x14ac:dyDescent="0.25">
      <c r="A269">
        <v>7.633</v>
      </c>
      <c r="B269">
        <v>58.452910847205324</v>
      </c>
      <c r="C269">
        <v>7.767073963284437</v>
      </c>
      <c r="H269">
        <v>6.992</v>
      </c>
      <c r="I269">
        <v>1.895</v>
      </c>
    </row>
    <row r="270" spans="1:9" x14ac:dyDescent="0.25">
      <c r="A270">
        <v>7.66</v>
      </c>
      <c r="B270">
        <v>58.439491245203961</v>
      </c>
      <c r="C270">
        <v>7.7637190627840962</v>
      </c>
      <c r="H270">
        <v>6.9880000000000004</v>
      </c>
      <c r="I270">
        <v>1.8939999999999999</v>
      </c>
    </row>
    <row r="271" spans="1:9" x14ac:dyDescent="0.25">
      <c r="A271">
        <v>7.6870000000000003</v>
      </c>
      <c r="B271">
        <v>58.365683434196477</v>
      </c>
      <c r="C271">
        <v>7.7704288637847769</v>
      </c>
      <c r="H271">
        <v>6.9660000000000002</v>
      </c>
      <c r="I271">
        <v>1.8959999999999999</v>
      </c>
    </row>
    <row r="272" spans="1:9" x14ac:dyDescent="0.25">
      <c r="A272">
        <v>7.7130000000000001</v>
      </c>
      <c r="B272">
        <v>58.25161681718491</v>
      </c>
      <c r="C272">
        <v>7.7737837642851177</v>
      </c>
      <c r="H272">
        <v>6.9320000000000004</v>
      </c>
      <c r="I272">
        <v>1.897</v>
      </c>
    </row>
    <row r="273" spans="1:9" x14ac:dyDescent="0.25">
      <c r="A273">
        <v>7.74</v>
      </c>
      <c r="B273">
        <v>58.077161991167209</v>
      </c>
      <c r="C273">
        <v>7.7704288637847769</v>
      </c>
      <c r="H273">
        <v>6.88</v>
      </c>
      <c r="I273">
        <v>1.8959999999999999</v>
      </c>
    </row>
    <row r="274" spans="1:9" x14ac:dyDescent="0.25">
      <c r="A274">
        <v>7.7670000000000003</v>
      </c>
      <c r="B274">
        <v>57.959740473655302</v>
      </c>
      <c r="C274">
        <v>7.7838484657861384</v>
      </c>
      <c r="H274">
        <v>6.8449999999999998</v>
      </c>
      <c r="I274">
        <v>1.9</v>
      </c>
    </row>
    <row r="275" spans="1:9" x14ac:dyDescent="0.25">
      <c r="A275">
        <v>7.7930000000000001</v>
      </c>
      <c r="B275">
        <v>57.902707165149515</v>
      </c>
      <c r="C275">
        <v>7.79391316728716</v>
      </c>
      <c r="H275">
        <v>6.8280000000000003</v>
      </c>
      <c r="I275">
        <v>1.903</v>
      </c>
    </row>
    <row r="276" spans="1:9" x14ac:dyDescent="0.25">
      <c r="A276">
        <v>7.82</v>
      </c>
      <c r="B276">
        <v>57.875867961146795</v>
      </c>
      <c r="C276">
        <v>7.8073327692885206</v>
      </c>
      <c r="H276">
        <v>6.82</v>
      </c>
      <c r="I276">
        <v>1.907</v>
      </c>
    </row>
    <row r="277" spans="1:9" x14ac:dyDescent="0.25">
      <c r="A277">
        <v>7.8470000000000004</v>
      </c>
      <c r="B277">
        <v>57.865803259645773</v>
      </c>
      <c r="C277">
        <v>7.8475915752926042</v>
      </c>
      <c r="H277">
        <v>6.8170000000000002</v>
      </c>
      <c r="I277">
        <v>1.919</v>
      </c>
    </row>
    <row r="278" spans="1:9" x14ac:dyDescent="0.25">
      <c r="A278">
        <v>7.8730000000000002</v>
      </c>
      <c r="B278">
        <v>57.698058234628753</v>
      </c>
      <c r="C278">
        <v>7.8475915752926042</v>
      </c>
      <c r="H278">
        <v>6.7670000000000003</v>
      </c>
      <c r="I278">
        <v>1.919</v>
      </c>
    </row>
    <row r="279" spans="1:9" x14ac:dyDescent="0.25">
      <c r="A279">
        <v>7.9</v>
      </c>
      <c r="B279">
        <v>57.523603408611059</v>
      </c>
      <c r="C279">
        <v>7.8375268737915835</v>
      </c>
      <c r="H279">
        <v>6.7149999999999999</v>
      </c>
      <c r="I279">
        <v>1.9159999999999999</v>
      </c>
    </row>
    <row r="280" spans="1:9" x14ac:dyDescent="0.25">
      <c r="A280">
        <v>7.9269999999999996</v>
      </c>
      <c r="B280">
        <v>57.221662363580435</v>
      </c>
      <c r="C280">
        <v>7.827462172290562</v>
      </c>
      <c r="H280">
        <v>6.625</v>
      </c>
      <c r="I280">
        <v>1.913</v>
      </c>
    </row>
    <row r="281" spans="1:9" x14ac:dyDescent="0.25">
      <c r="A281">
        <v>7.9530000000000003</v>
      </c>
      <c r="B281">
        <v>56.923076219050152</v>
      </c>
      <c r="C281">
        <v>7.8106876697888605</v>
      </c>
      <c r="H281">
        <v>6.5359999999999996</v>
      </c>
      <c r="I281">
        <v>1.9079999999999999</v>
      </c>
    </row>
    <row r="282" spans="1:9" x14ac:dyDescent="0.25">
      <c r="A282">
        <v>7.98</v>
      </c>
      <c r="B282">
        <v>56.711717487528702</v>
      </c>
      <c r="C282">
        <v>7.8207523712898821</v>
      </c>
      <c r="H282">
        <v>6.4729999999999999</v>
      </c>
      <c r="I282">
        <v>1.911</v>
      </c>
    </row>
    <row r="283" spans="1:9" x14ac:dyDescent="0.25">
      <c r="A283">
        <v>8.0069999999999997</v>
      </c>
      <c r="B283">
        <v>56.644619477521907</v>
      </c>
      <c r="C283">
        <v>7.8475915752926042</v>
      </c>
      <c r="H283">
        <v>6.4530000000000003</v>
      </c>
      <c r="I283">
        <v>1.919</v>
      </c>
    </row>
    <row r="284" spans="1:9" x14ac:dyDescent="0.25">
      <c r="A284">
        <v>8.0329999999999995</v>
      </c>
      <c r="B284">
        <v>56.651329278522581</v>
      </c>
      <c r="C284">
        <v>7.8744307792953263</v>
      </c>
      <c r="H284">
        <v>6.4550000000000001</v>
      </c>
      <c r="I284">
        <v>1.927</v>
      </c>
    </row>
    <row r="285" spans="1:9" x14ac:dyDescent="0.25">
      <c r="A285">
        <v>8.06</v>
      </c>
      <c r="B285">
        <v>56.738556691531436</v>
      </c>
      <c r="C285">
        <v>7.9046248837983892</v>
      </c>
      <c r="H285">
        <v>6.4809999999999999</v>
      </c>
      <c r="I285">
        <v>1.9359999999999999</v>
      </c>
    </row>
    <row r="286" spans="1:9" x14ac:dyDescent="0.25">
      <c r="A286">
        <v>8.0869999999999997</v>
      </c>
      <c r="B286">
        <v>56.855978209043329</v>
      </c>
      <c r="C286">
        <v>7.9549483913034935</v>
      </c>
      <c r="H286">
        <v>6.516</v>
      </c>
      <c r="I286">
        <v>1.9510000000000001</v>
      </c>
    </row>
    <row r="287" spans="1:9" x14ac:dyDescent="0.25">
      <c r="A287">
        <v>8.1129999999999995</v>
      </c>
      <c r="B287">
        <v>56.970044826054924</v>
      </c>
      <c r="C287">
        <v>8.001916998308257</v>
      </c>
      <c r="H287">
        <v>6.55</v>
      </c>
      <c r="I287">
        <v>1.9650000000000001</v>
      </c>
    </row>
    <row r="288" spans="1:9" x14ac:dyDescent="0.25">
      <c r="A288">
        <v>8.14</v>
      </c>
      <c r="B288">
        <v>57.047207537562741</v>
      </c>
      <c r="C288">
        <v>8.0421758043123415</v>
      </c>
      <c r="H288">
        <v>6.5730000000000004</v>
      </c>
      <c r="I288">
        <v>1.9770000000000001</v>
      </c>
    </row>
    <row r="289" spans="1:9" x14ac:dyDescent="0.25">
      <c r="A289">
        <v>8.1669999999999998</v>
      </c>
      <c r="B289">
        <v>57.020368333560022</v>
      </c>
      <c r="C289">
        <v>8.0723699088154035</v>
      </c>
      <c r="H289">
        <v>6.5650000000000004</v>
      </c>
      <c r="I289">
        <v>1.986</v>
      </c>
    </row>
    <row r="290" spans="1:9" x14ac:dyDescent="0.25">
      <c r="A290">
        <v>8.1929999999999996</v>
      </c>
      <c r="B290">
        <v>56.866042910544358</v>
      </c>
      <c r="C290">
        <v>8.085789510816765</v>
      </c>
      <c r="H290">
        <v>6.5190000000000001</v>
      </c>
      <c r="I290">
        <v>1.99</v>
      </c>
    </row>
    <row r="291" spans="1:9" x14ac:dyDescent="0.25">
      <c r="A291">
        <v>8.2200000000000006</v>
      </c>
      <c r="B291">
        <v>56.58758616901612</v>
      </c>
      <c r="C291">
        <v>8.1025640133184673</v>
      </c>
      <c r="H291">
        <v>6.4359999999999999</v>
      </c>
      <c r="I291">
        <v>1.9950000000000001</v>
      </c>
    </row>
    <row r="292" spans="1:9" x14ac:dyDescent="0.25">
      <c r="A292">
        <v>8.2469999999999999</v>
      </c>
      <c r="B292">
        <v>56.215192213478346</v>
      </c>
      <c r="C292">
        <v>8.0924993118174449</v>
      </c>
      <c r="H292">
        <v>6.3250000000000002</v>
      </c>
      <c r="I292">
        <v>1.992</v>
      </c>
    </row>
    <row r="293" spans="1:9" x14ac:dyDescent="0.25">
      <c r="A293">
        <v>8.2729999999999997</v>
      </c>
      <c r="B293">
        <v>55.799184551436156</v>
      </c>
      <c r="C293">
        <v>8.0824346103164242</v>
      </c>
      <c r="H293">
        <v>6.2009999999999996</v>
      </c>
      <c r="I293">
        <v>1.9890000000000001</v>
      </c>
    </row>
    <row r="294" spans="1:9" x14ac:dyDescent="0.25">
      <c r="A294">
        <v>8.3000000000000007</v>
      </c>
      <c r="B294">
        <v>55.336208282389194</v>
      </c>
      <c r="C294">
        <v>8.0757248093157443</v>
      </c>
      <c r="H294">
        <v>6.0629999999999997</v>
      </c>
      <c r="I294">
        <v>1.9870000000000001</v>
      </c>
    </row>
    <row r="295" spans="1:9" x14ac:dyDescent="0.25">
      <c r="A295">
        <v>8.327</v>
      </c>
      <c r="B295">
        <v>54.9369751228487</v>
      </c>
      <c r="C295">
        <v>8.1394679188222092</v>
      </c>
      <c r="H295">
        <v>5.944</v>
      </c>
      <c r="I295">
        <v>2.0059999999999998</v>
      </c>
    </row>
    <row r="296" spans="1:9" x14ac:dyDescent="0.25">
      <c r="A296">
        <v>8.3529999999999998</v>
      </c>
      <c r="B296">
        <v>54.655163480820114</v>
      </c>
      <c r="C296">
        <v>8.347471749843308</v>
      </c>
      <c r="H296">
        <v>5.86</v>
      </c>
      <c r="I296">
        <v>2.0680000000000001</v>
      </c>
    </row>
    <row r="297" spans="1:9" x14ac:dyDescent="0.25">
      <c r="A297">
        <v>8.3800000000000008</v>
      </c>
      <c r="B297">
        <v>54.319673430786082</v>
      </c>
      <c r="C297">
        <v>8.3977952573484131</v>
      </c>
      <c r="H297">
        <v>5.76</v>
      </c>
      <c r="I297">
        <v>2.0830000000000002</v>
      </c>
    </row>
    <row r="298" spans="1:9" x14ac:dyDescent="0.25">
      <c r="A298">
        <v>8.407</v>
      </c>
      <c r="B298">
        <v>54.051281390758867</v>
      </c>
      <c r="C298">
        <v>8.5152167748603205</v>
      </c>
      <c r="H298">
        <v>5.68</v>
      </c>
      <c r="I298">
        <v>2.1179999999999999</v>
      </c>
    </row>
    <row r="299" spans="1:9" x14ac:dyDescent="0.25">
      <c r="A299">
        <v>8.4329999999999998</v>
      </c>
      <c r="B299">
        <v>53.766114848229932</v>
      </c>
      <c r="C299">
        <v>8.5722500833661055</v>
      </c>
      <c r="H299">
        <v>5.5949999999999998</v>
      </c>
      <c r="I299">
        <v>2.1349999999999998</v>
      </c>
    </row>
    <row r="300" spans="1:9" x14ac:dyDescent="0.25">
      <c r="A300">
        <v>8.4600000000000009</v>
      </c>
      <c r="B300">
        <v>53.329977783185704</v>
      </c>
      <c r="C300">
        <v>8.3709560533456902</v>
      </c>
      <c r="H300">
        <v>5.4649999999999999</v>
      </c>
      <c r="I300">
        <v>2.0750000000000002</v>
      </c>
    </row>
    <row r="301" spans="1:9" x14ac:dyDescent="0.25">
      <c r="A301">
        <v>8.4870000000000001</v>
      </c>
      <c r="B301">
        <v>53.098489648662216</v>
      </c>
      <c r="C301">
        <v>8.2703090383354798</v>
      </c>
      <c r="H301">
        <v>5.3959999999999999</v>
      </c>
      <c r="I301">
        <v>2.0449999999999999</v>
      </c>
    </row>
    <row r="302" spans="1:9" x14ac:dyDescent="0.25">
      <c r="A302">
        <v>8.5129999999999999</v>
      </c>
      <c r="B302">
        <v>53.78624425123197</v>
      </c>
      <c r="C302">
        <v>8.2434698343327568</v>
      </c>
      <c r="H302">
        <v>5.601</v>
      </c>
      <c r="I302">
        <v>2.0369999999999999</v>
      </c>
    </row>
    <row r="303" spans="1:9" x14ac:dyDescent="0.25">
      <c r="A303">
        <v>8.5399999999999991</v>
      </c>
      <c r="B303">
        <v>53.943924574747967</v>
      </c>
      <c r="C303">
        <v>8.2568894363341183</v>
      </c>
      <c r="H303">
        <v>5.6479999999999997</v>
      </c>
      <c r="I303">
        <v>2.0409999999999999</v>
      </c>
    </row>
    <row r="304" spans="1:9" x14ac:dyDescent="0.25">
      <c r="A304">
        <v>8.5670000000000002</v>
      </c>
      <c r="B304">
        <v>53.930504972746611</v>
      </c>
      <c r="C304">
        <v>8.2803737398365005</v>
      </c>
      <c r="H304">
        <v>5.6440000000000001</v>
      </c>
      <c r="I304">
        <v>2.048</v>
      </c>
    </row>
    <row r="305" spans="1:9" x14ac:dyDescent="0.25">
      <c r="A305">
        <v>8.593</v>
      </c>
      <c r="B305">
        <v>52.960938728148271</v>
      </c>
      <c r="C305">
        <v>8.3239874463409258</v>
      </c>
      <c r="H305">
        <v>5.3550000000000004</v>
      </c>
      <c r="I305">
        <v>2.0609999999999999</v>
      </c>
    </row>
    <row r="306" spans="1:9" x14ac:dyDescent="0.25">
      <c r="A306">
        <v>8.6199999999999992</v>
      </c>
      <c r="B306">
        <v>51.645817732014876</v>
      </c>
      <c r="C306">
        <v>8.4179246603504527</v>
      </c>
      <c r="H306">
        <v>4.9630000000000001</v>
      </c>
      <c r="I306">
        <v>2.089</v>
      </c>
    </row>
    <row r="307" spans="1:9" x14ac:dyDescent="0.25">
      <c r="A307">
        <v>8.6470000000000002</v>
      </c>
      <c r="B307">
        <v>50.827222009931852</v>
      </c>
      <c r="C307">
        <v>8.4783128693565786</v>
      </c>
      <c r="H307">
        <v>4.7190000000000003</v>
      </c>
      <c r="I307">
        <v>2.1070000000000002</v>
      </c>
    </row>
    <row r="308" spans="1:9" x14ac:dyDescent="0.25">
      <c r="A308">
        <v>8.673</v>
      </c>
      <c r="B308">
        <v>50.233404621371612</v>
      </c>
      <c r="C308">
        <v>8.5017971728589607</v>
      </c>
      <c r="H308">
        <v>4.5419999999999998</v>
      </c>
      <c r="I308">
        <v>2.1139999999999999</v>
      </c>
    </row>
    <row r="309" spans="1:9" x14ac:dyDescent="0.25">
      <c r="A309">
        <v>8.6999999999999993</v>
      </c>
      <c r="B309">
        <v>49.679846038815462</v>
      </c>
      <c r="C309">
        <v>8.5789598843667871</v>
      </c>
      <c r="H309">
        <v>4.3769999999999998</v>
      </c>
      <c r="I309">
        <v>2.137</v>
      </c>
    </row>
    <row r="310" spans="1:9" x14ac:dyDescent="0.25">
      <c r="A310">
        <v>8.7270000000000003</v>
      </c>
      <c r="B310">
        <v>49.0994482522566</v>
      </c>
      <c r="C310">
        <v>8.5789598843667871</v>
      </c>
      <c r="H310">
        <v>4.2039999999999997</v>
      </c>
      <c r="I310">
        <v>2.137</v>
      </c>
    </row>
    <row r="311" spans="1:9" x14ac:dyDescent="0.25">
      <c r="A311">
        <v>8.7530000000000001</v>
      </c>
      <c r="B311">
        <v>48.559309271701814</v>
      </c>
      <c r="C311">
        <v>8.558830481364744</v>
      </c>
      <c r="H311">
        <v>4.0430000000000001</v>
      </c>
      <c r="I311">
        <v>2.1309999999999998</v>
      </c>
    </row>
    <row r="312" spans="1:9" x14ac:dyDescent="0.25">
      <c r="A312">
        <v>8.7799999999999994</v>
      </c>
      <c r="B312">
        <v>48.106397704155867</v>
      </c>
      <c r="C312">
        <v>8.5789598843667871</v>
      </c>
      <c r="H312">
        <v>3.9079999999999999</v>
      </c>
      <c r="I312">
        <v>2.137</v>
      </c>
    </row>
    <row r="313" spans="1:9" x14ac:dyDescent="0.25">
      <c r="A313">
        <v>8.8070000000000004</v>
      </c>
      <c r="B313">
        <v>47.713874345616063</v>
      </c>
      <c r="C313">
        <v>8.61250888937019</v>
      </c>
      <c r="H313">
        <v>3.7909999999999999</v>
      </c>
      <c r="I313">
        <v>2.1469999999999998</v>
      </c>
    </row>
    <row r="314" spans="1:9" x14ac:dyDescent="0.25">
      <c r="A314">
        <v>8.8330000000000002</v>
      </c>
      <c r="B314">
        <v>47.385094096582712</v>
      </c>
      <c r="C314">
        <v>8.7030912028793779</v>
      </c>
      <c r="H314">
        <v>3.6930000000000001</v>
      </c>
      <c r="I314">
        <v>2.1739999999999999</v>
      </c>
    </row>
    <row r="315" spans="1:9" x14ac:dyDescent="0.25">
      <c r="A315">
        <v>8.86</v>
      </c>
      <c r="B315">
        <v>47.002635439543923</v>
      </c>
      <c r="C315">
        <v>8.8406421233933283</v>
      </c>
      <c r="H315">
        <v>3.5790000000000002</v>
      </c>
      <c r="I315">
        <v>2.2149999999999999</v>
      </c>
    </row>
    <row r="316" spans="1:9" x14ac:dyDescent="0.25">
      <c r="A316">
        <v>8.8870000000000005</v>
      </c>
      <c r="B316">
        <v>46.536304269996613</v>
      </c>
      <c r="C316">
        <v>8.8809009293974128</v>
      </c>
      <c r="H316">
        <v>3.44</v>
      </c>
      <c r="I316">
        <v>2.2269999999999999</v>
      </c>
    </row>
    <row r="317" spans="1:9" x14ac:dyDescent="0.25">
      <c r="A317">
        <v>8.9130000000000003</v>
      </c>
      <c r="B317">
        <v>45.992810388941493</v>
      </c>
      <c r="C317">
        <v>8.9513538399045594</v>
      </c>
      <c r="H317">
        <v>3.278</v>
      </c>
      <c r="I317">
        <v>2.2480000000000002</v>
      </c>
    </row>
    <row r="318" spans="1:9" x14ac:dyDescent="0.25">
      <c r="A318">
        <v>8.94</v>
      </c>
      <c r="B318">
        <v>45.271506781368331</v>
      </c>
      <c r="C318">
        <v>8.9614185414055783</v>
      </c>
      <c r="H318">
        <v>3.0630000000000002</v>
      </c>
      <c r="I318">
        <v>2.2509999999999999</v>
      </c>
    </row>
    <row r="319" spans="1:9" x14ac:dyDescent="0.25">
      <c r="A319">
        <v>8.9670000000000005</v>
      </c>
      <c r="B319">
        <v>44.483105163788359</v>
      </c>
      <c r="C319">
        <v>8.904385232899795</v>
      </c>
      <c r="H319">
        <v>2.8279999999999998</v>
      </c>
      <c r="I319">
        <v>2.234</v>
      </c>
    </row>
    <row r="320" spans="1:9" x14ac:dyDescent="0.25">
      <c r="A320">
        <v>8.9930000000000003</v>
      </c>
      <c r="B320">
        <v>43.751736854714181</v>
      </c>
      <c r="C320">
        <v>8.8943205313987725</v>
      </c>
      <c r="H320">
        <v>2.61</v>
      </c>
      <c r="I320">
        <v>2.2309999999999999</v>
      </c>
    </row>
    <row r="321" spans="1:9" x14ac:dyDescent="0.25">
      <c r="A321">
        <v>9.02</v>
      </c>
      <c r="B321">
        <v>43.174693968655646</v>
      </c>
      <c r="C321">
        <v>8.9245146359018364</v>
      </c>
      <c r="H321">
        <v>2.4380000000000002</v>
      </c>
      <c r="I321">
        <v>2.2400000000000002</v>
      </c>
    </row>
    <row r="322" spans="1:9" x14ac:dyDescent="0.25">
      <c r="A322">
        <v>9.0470000000000006</v>
      </c>
      <c r="B322">
        <v>42.678168694605283</v>
      </c>
      <c r="C322">
        <v>8.9949675464089829</v>
      </c>
      <c r="H322">
        <v>2.29</v>
      </c>
      <c r="I322">
        <v>2.2610000000000001</v>
      </c>
    </row>
    <row r="323" spans="1:9" x14ac:dyDescent="0.25">
      <c r="A323">
        <v>9.0730000000000004</v>
      </c>
      <c r="B323">
        <v>42.205127724057306</v>
      </c>
      <c r="C323">
        <v>9.0821949594178299</v>
      </c>
      <c r="H323">
        <v>2.149</v>
      </c>
      <c r="I323">
        <v>2.2869999999999999</v>
      </c>
    </row>
    <row r="324" spans="1:9" x14ac:dyDescent="0.25">
      <c r="A324">
        <v>9.1</v>
      </c>
      <c r="B324">
        <v>41.6381495394998</v>
      </c>
      <c r="C324">
        <v>9.1325184669229351</v>
      </c>
      <c r="H324">
        <v>1.98</v>
      </c>
      <c r="I324">
        <v>2.302</v>
      </c>
    </row>
    <row r="325" spans="1:9" x14ac:dyDescent="0.25">
      <c r="A325">
        <v>9.1270000000000007</v>
      </c>
      <c r="B325">
        <v>40.947040036429705</v>
      </c>
      <c r="C325">
        <v>9.1861968749283793</v>
      </c>
      <c r="H325">
        <v>1.774</v>
      </c>
      <c r="I325">
        <v>2.3180000000000001</v>
      </c>
    </row>
    <row r="326" spans="1:9" x14ac:dyDescent="0.25">
      <c r="A326">
        <v>9.1530000000000005</v>
      </c>
      <c r="B326">
        <v>40.14521881684837</v>
      </c>
      <c r="C326">
        <v>9.2163909794314414</v>
      </c>
      <c r="H326">
        <v>1.5349999999999999</v>
      </c>
      <c r="I326">
        <v>2.327</v>
      </c>
    </row>
    <row r="327" spans="1:9" x14ac:dyDescent="0.25">
      <c r="A327">
        <v>9.18</v>
      </c>
      <c r="B327">
        <v>39.172297671749689</v>
      </c>
      <c r="C327">
        <v>9.2197458799317822</v>
      </c>
      <c r="H327">
        <v>1.2450000000000001</v>
      </c>
      <c r="I327">
        <v>2.3279999999999998</v>
      </c>
    </row>
    <row r="328" spans="1:9" x14ac:dyDescent="0.25">
      <c r="A328">
        <v>9.2070000000000007</v>
      </c>
      <c r="B328">
        <v>38.055115805136374</v>
      </c>
      <c r="C328">
        <v>9.226455680932462</v>
      </c>
      <c r="H328">
        <v>0.91200000000000003</v>
      </c>
      <c r="I328">
        <v>2.33</v>
      </c>
    </row>
    <row r="329" spans="1:9" x14ac:dyDescent="0.25">
      <c r="A329">
        <v>9.2330000000000005</v>
      </c>
      <c r="B329">
        <v>36.760124212005024</v>
      </c>
      <c r="C329">
        <v>9.2465850839345052</v>
      </c>
      <c r="H329">
        <v>0.52600000000000002</v>
      </c>
      <c r="I329">
        <v>2.3359999999999999</v>
      </c>
    </row>
    <row r="330" spans="1:9" x14ac:dyDescent="0.25">
      <c r="A330">
        <v>9.26</v>
      </c>
      <c r="B330">
        <v>35.27725819085461</v>
      </c>
      <c r="C330">
        <v>9.2600046859358649</v>
      </c>
      <c r="H330">
        <v>8.4000000000000005E-2</v>
      </c>
      <c r="I330">
        <v>2.34</v>
      </c>
    </row>
    <row r="331" spans="1:9" x14ac:dyDescent="0.25">
      <c r="A331">
        <v>9.2870000000000008</v>
      </c>
      <c r="B331">
        <v>33.727294159697394</v>
      </c>
      <c r="C331">
        <v>9.2667144869365465</v>
      </c>
      <c r="H331">
        <v>-0.378</v>
      </c>
      <c r="I331">
        <v>2.3420000000000001</v>
      </c>
    </row>
    <row r="332" spans="1:9" x14ac:dyDescent="0.25">
      <c r="A332">
        <v>9.3130000000000006</v>
      </c>
      <c r="B332">
        <v>32.140426223036442</v>
      </c>
      <c r="C332">
        <v>9.3036183924402884</v>
      </c>
      <c r="H332">
        <v>-0.85099999999999998</v>
      </c>
      <c r="I332">
        <v>2.3530000000000002</v>
      </c>
    </row>
    <row r="333" spans="1:9" x14ac:dyDescent="0.25">
      <c r="A333">
        <v>9.34</v>
      </c>
      <c r="B333">
        <v>30.553558286375488</v>
      </c>
      <c r="C333">
        <v>9.3640066014464143</v>
      </c>
      <c r="H333">
        <v>-1.3240000000000001</v>
      </c>
      <c r="I333">
        <v>2.371</v>
      </c>
    </row>
    <row r="334" spans="1:9" x14ac:dyDescent="0.25">
      <c r="A334">
        <v>9.3670000000000009</v>
      </c>
      <c r="B334">
        <v>29.023723658220316</v>
      </c>
      <c r="C334">
        <v>9.4512340144552613</v>
      </c>
      <c r="H334">
        <v>-1.78</v>
      </c>
      <c r="I334">
        <v>2.3969999999999998</v>
      </c>
    </row>
    <row r="335" spans="1:9" x14ac:dyDescent="0.25">
      <c r="A335">
        <v>9.3930000000000007</v>
      </c>
      <c r="B335">
        <v>27.571051741572969</v>
      </c>
      <c r="C335">
        <v>9.5418163279644475</v>
      </c>
      <c r="H335">
        <v>-2.2130000000000001</v>
      </c>
      <c r="I335">
        <v>2.4239999999999999</v>
      </c>
    </row>
    <row r="336" spans="1:9" x14ac:dyDescent="0.25">
      <c r="A336">
        <v>9.42</v>
      </c>
      <c r="B336">
        <v>26.161993531430049</v>
      </c>
      <c r="C336">
        <v>9.6323986414736371</v>
      </c>
      <c r="H336">
        <v>-2.633</v>
      </c>
      <c r="I336">
        <v>2.4510000000000001</v>
      </c>
    </row>
    <row r="337" spans="1:9" x14ac:dyDescent="0.25">
      <c r="A337">
        <v>9.4469999999999992</v>
      </c>
      <c r="B337">
        <v>24.769709823788833</v>
      </c>
      <c r="C337">
        <v>9.7364005569841865</v>
      </c>
      <c r="H337">
        <v>-3.048</v>
      </c>
      <c r="I337">
        <v>2.4820000000000002</v>
      </c>
    </row>
    <row r="338" spans="1:9" x14ac:dyDescent="0.25">
      <c r="A338">
        <v>9.4730000000000008</v>
      </c>
      <c r="B338">
        <v>23.350586912144891</v>
      </c>
      <c r="C338">
        <v>9.8672416764974571</v>
      </c>
      <c r="H338">
        <v>-3.4710000000000001</v>
      </c>
      <c r="I338">
        <v>2.5209999999999999</v>
      </c>
    </row>
    <row r="339" spans="1:9" x14ac:dyDescent="0.25">
      <c r="A339">
        <v>9.5</v>
      </c>
      <c r="B339">
        <v>21.854301288993121</v>
      </c>
      <c r="C339">
        <v>9.9678886915076674</v>
      </c>
      <c r="H339">
        <v>-3.9169999999999998</v>
      </c>
      <c r="I339">
        <v>2.5510000000000002</v>
      </c>
    </row>
    <row r="340" spans="1:9" x14ac:dyDescent="0.25">
      <c r="A340">
        <v>9.5269999999999992</v>
      </c>
      <c r="B340">
        <v>20.23052944682842</v>
      </c>
      <c r="C340">
        <v>10.045051403015492</v>
      </c>
      <c r="H340">
        <v>-4.4009999999999998</v>
      </c>
      <c r="I340">
        <v>2.5739999999999998</v>
      </c>
    </row>
    <row r="341" spans="1:9" x14ac:dyDescent="0.25">
      <c r="A341">
        <v>9.5530000000000008</v>
      </c>
      <c r="B341">
        <v>18.546369395657599</v>
      </c>
      <c r="C341">
        <v>10.13563371652468</v>
      </c>
      <c r="H341">
        <v>-4.9029999999999996</v>
      </c>
      <c r="I341">
        <v>2.601</v>
      </c>
    </row>
    <row r="342" spans="1:9" x14ac:dyDescent="0.25">
      <c r="A342">
        <v>9.58</v>
      </c>
      <c r="B342">
        <v>16.946081856995281</v>
      </c>
      <c r="C342">
        <v>10.128923915524</v>
      </c>
      <c r="H342">
        <v>-5.38</v>
      </c>
      <c r="I342">
        <v>2.5990000000000002</v>
      </c>
    </row>
    <row r="343" spans="1:9" x14ac:dyDescent="0.25">
      <c r="A343">
        <v>9.6069999999999993</v>
      </c>
      <c r="B343">
        <v>15.402827626838747</v>
      </c>
      <c r="C343">
        <v>10.179247423029103</v>
      </c>
      <c r="H343">
        <v>-5.84</v>
      </c>
      <c r="I343">
        <v>2.6139999999999999</v>
      </c>
    </row>
    <row r="344" spans="1:9" x14ac:dyDescent="0.25">
      <c r="A344">
        <v>9.6329999999999991</v>
      </c>
      <c r="B344">
        <v>13.849508695181195</v>
      </c>
      <c r="C344">
        <v>10.236280731534888</v>
      </c>
      <c r="H344">
        <v>-6.3029999999999999</v>
      </c>
      <c r="I344">
        <v>2.6309999999999998</v>
      </c>
    </row>
    <row r="345" spans="1:9" x14ac:dyDescent="0.25">
      <c r="A345">
        <v>9.66</v>
      </c>
      <c r="B345">
        <v>12.208962350514794</v>
      </c>
      <c r="C345">
        <v>10.303378741541694</v>
      </c>
      <c r="H345">
        <v>-6.7919999999999998</v>
      </c>
      <c r="I345">
        <v>2.6509999999999998</v>
      </c>
    </row>
    <row r="346" spans="1:9" x14ac:dyDescent="0.25">
      <c r="A346">
        <v>9.6869999999999994</v>
      </c>
      <c r="B346">
        <v>10.682482622859963</v>
      </c>
      <c r="C346">
        <v>10.393961055050882</v>
      </c>
      <c r="H346">
        <v>-7.2469999999999999</v>
      </c>
      <c r="I346">
        <v>2.6779999999999999</v>
      </c>
    </row>
    <row r="347" spans="1:9" x14ac:dyDescent="0.25">
      <c r="A347">
        <v>9.7129999999999992</v>
      </c>
      <c r="B347">
        <v>9.5485262537449458</v>
      </c>
      <c r="C347">
        <v>10.508027672062454</v>
      </c>
      <c r="H347">
        <v>-7.585</v>
      </c>
      <c r="I347">
        <v>2.7120000000000002</v>
      </c>
    </row>
    <row r="348" spans="1:9" x14ac:dyDescent="0.25">
      <c r="A348">
        <v>9.74</v>
      </c>
      <c r="B348">
        <v>8.5252816011411596</v>
      </c>
      <c r="C348">
        <v>10.648933493076743</v>
      </c>
      <c r="H348">
        <v>-7.89</v>
      </c>
      <c r="I348">
        <v>2.754</v>
      </c>
    </row>
    <row r="349" spans="1:9" x14ac:dyDescent="0.25">
      <c r="A349">
        <v>9.7669999999999995</v>
      </c>
      <c r="B349">
        <v>7.4382938390309032</v>
      </c>
      <c r="C349">
        <v>10.729451105084911</v>
      </c>
      <c r="H349">
        <v>-8.2140000000000004</v>
      </c>
      <c r="I349">
        <v>2.778</v>
      </c>
    </row>
    <row r="350" spans="1:9" x14ac:dyDescent="0.25">
      <c r="A350">
        <v>9.7929999999999993</v>
      </c>
      <c r="B350">
        <v>6.2003355544053376</v>
      </c>
      <c r="C350">
        <v>10.769709911088995</v>
      </c>
      <c r="H350">
        <v>-8.5830000000000002</v>
      </c>
      <c r="I350">
        <v>2.79</v>
      </c>
    </row>
    <row r="351" spans="1:9" x14ac:dyDescent="0.25">
      <c r="A351">
        <v>9.82</v>
      </c>
      <c r="B351">
        <v>5.0697340857906603</v>
      </c>
      <c r="C351">
        <v>10.823388319094439</v>
      </c>
      <c r="H351">
        <v>-8.92</v>
      </c>
      <c r="I351">
        <v>2.806</v>
      </c>
    </row>
    <row r="352" spans="1:9" x14ac:dyDescent="0.25">
      <c r="A352">
        <v>9.8469999999999995</v>
      </c>
      <c r="B352">
        <v>4.0867482391909586</v>
      </c>
      <c r="C352">
        <v>10.890486329101245</v>
      </c>
      <c r="H352">
        <v>-9.2129999999999992</v>
      </c>
      <c r="I352">
        <v>2.8260000000000001</v>
      </c>
    </row>
    <row r="353" spans="1:9" x14ac:dyDescent="0.25">
      <c r="A353">
        <v>9.8729999999999993</v>
      </c>
      <c r="B353">
        <v>3.2312486116041832</v>
      </c>
      <c r="C353">
        <v>10.964294140108731</v>
      </c>
      <c r="H353">
        <v>-9.468</v>
      </c>
      <c r="I353">
        <v>2.8479999999999999</v>
      </c>
    </row>
    <row r="354" spans="1:9" x14ac:dyDescent="0.25">
      <c r="A354">
        <v>9.9</v>
      </c>
      <c r="B354">
        <v>2.5904626160391859</v>
      </c>
      <c r="C354">
        <v>11.044811752116898</v>
      </c>
      <c r="H354">
        <v>-9.6590000000000007</v>
      </c>
      <c r="I354">
        <v>2.8719999999999999</v>
      </c>
    </row>
    <row r="355" spans="1:9" x14ac:dyDescent="0.25">
      <c r="A355">
        <v>9.9269999999999996</v>
      </c>
      <c r="B355">
        <v>2.6609155265463347</v>
      </c>
      <c r="C355">
        <v>11.125329364125065</v>
      </c>
      <c r="H355">
        <v>-9.6379999999999999</v>
      </c>
      <c r="I355">
        <v>2.8959999999999999</v>
      </c>
    </row>
    <row r="356" spans="1:9" x14ac:dyDescent="0.25">
      <c r="A356">
        <v>9.9529999999999994</v>
      </c>
      <c r="B356">
        <v>2.6374312230439538</v>
      </c>
      <c r="C356">
        <v>11.215911677634253</v>
      </c>
      <c r="H356">
        <v>-9.6449999999999996</v>
      </c>
      <c r="I356">
        <v>2.923</v>
      </c>
    </row>
    <row r="357" spans="1:9" x14ac:dyDescent="0.25">
      <c r="A357">
        <v>9.98</v>
      </c>
      <c r="B357">
        <v>2.5837528150385092</v>
      </c>
      <c r="C357">
        <v>11.309848891643782</v>
      </c>
      <c r="H357">
        <v>-9.6609999999999996</v>
      </c>
      <c r="I357">
        <v>2.9510000000000001</v>
      </c>
    </row>
    <row r="358" spans="1:9" x14ac:dyDescent="0.25">
      <c r="A358">
        <v>10.007</v>
      </c>
      <c r="B358">
        <v>2.0000001279792947</v>
      </c>
      <c r="C358">
        <v>11.393721404152288</v>
      </c>
      <c r="H358">
        <v>-9.8350000000000009</v>
      </c>
      <c r="I358">
        <v>2.976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Peaks</vt:lpstr>
      <vt:lpstr>Summary</vt:lpstr>
      <vt:lpstr>Chromatograms</vt:lpstr>
      <vt:lpstr>Overlay</vt:lpstr>
      <vt:lpstr>UVGrid</vt:lpstr>
      <vt:lpstr>UVSearch</vt:lpstr>
      <vt:lpstr>Database</vt:lpstr>
      <vt:lpstr>Controls</vt:lpstr>
      <vt:lpstr>UVVisData</vt:lpstr>
      <vt:lpstr>NormalisedUVVisData</vt:lpstr>
      <vt:lpstr>PeakLabels</vt:lpstr>
      <vt:lpstr>MSData</vt:lpstr>
      <vt:lpstr>MSSpectra</vt:lpstr>
      <vt:lpstr>MSPeakLabels</vt:lpstr>
      <vt:lpstr>ChromatogramData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Piggott</dc:creator>
  <cp:lastModifiedBy>Radicinol</cp:lastModifiedBy>
  <dcterms:created xsi:type="dcterms:W3CDTF">2016-03-16T04:32:06Z</dcterms:created>
  <dcterms:modified xsi:type="dcterms:W3CDTF">2020-09-28T03:21:24Z</dcterms:modified>
</cp:coreProperties>
</file>