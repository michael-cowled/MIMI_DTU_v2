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drawings/drawing13.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Z:\Staff\Michael\Metabolomics\Int_Exp_32_novaC\13602_NCE222.S\NovaCfiles\"/>
    </mc:Choice>
  </mc:AlternateContent>
  <xr:revisionPtr revIDLastSave="0" documentId="13_ncr:1_{F5C3A627-6BA7-4466-BA82-280D0CD1D331}" xr6:coauthVersionLast="45" xr6:coauthVersionMax="45" xr10:uidLastSave="{00000000-0000-0000-0000-000000000000}"/>
  <bookViews>
    <workbookView xWindow="-120" yWindow="-120" windowWidth="29040" windowHeight="15840" xr2:uid="{00000000-000D-0000-FFFF-FFFF00000000}"/>
  </bookViews>
  <sheets>
    <sheet name="Peaks" sheetId="1" r:id="rId1"/>
    <sheet name="Summary" sheetId="11" r:id="rId2"/>
    <sheet name="Chromatograms" sheetId="14" r:id="rId3"/>
    <sheet name="Overlay" sheetId="12" r:id="rId4"/>
    <sheet name="UVGrid" sheetId="15" r:id="rId5"/>
    <sheet name="UVSearch" sheetId="17" r:id="rId6"/>
    <sheet name="Database" sheetId="16" r:id="rId7"/>
    <sheet name="Controls" sheetId="10" r:id="rId8"/>
    <sheet name="UVVisData" sheetId="2" state="hidden" r:id="rId9"/>
    <sheet name="NormalisedUVVisData" sheetId="3" state="hidden" r:id="rId10"/>
    <sheet name="PeakLabels" sheetId="5" state="hidden" r:id="rId11"/>
    <sheet name="MSData" sheetId="7" state="hidden" r:id="rId12"/>
    <sheet name="MSSpectra" sheetId="8" state="hidden" r:id="rId13"/>
    <sheet name="MSPeakLabels" sheetId="9" state="hidden" r:id="rId14"/>
    <sheet name="ChromatogramData" sheetId="13" state="hidden" r:id="rId15"/>
  </sheets>
  <functionGroups builtInGroupCount="19"/>
  <definedNames>
    <definedName name="_xlnm._FilterDatabase" localSheetId="6" hidden="1">Database!$B$1:$HX$1</definedName>
    <definedName name="_xlnm._FilterDatabase" localSheetId="0" hidden="1">Peaks!$A$4:$S$4</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1" l="1"/>
  <c r="L6" i="11"/>
  <c r="L29" i="11" l="1"/>
  <c r="M29" i="11" s="1"/>
  <c r="L28" i="11"/>
  <c r="M28" i="11" s="1"/>
  <c r="L27" i="11"/>
  <c r="M27" i="11" s="1"/>
  <c r="L26" i="11"/>
  <c r="M26" i="11" s="1"/>
  <c r="L25" i="11"/>
  <c r="M25" i="11" s="1"/>
  <c r="L24" i="11"/>
  <c r="M24" i="11" s="1"/>
  <c r="L23" i="11"/>
  <c r="M23" i="11" s="1"/>
  <c r="L22" i="11"/>
  <c r="M22" i="11" s="1"/>
  <c r="L21" i="11"/>
  <c r="M21" i="11" s="1"/>
  <c r="L20" i="11"/>
  <c r="M20" i="11" s="1"/>
  <c r="L19" i="11"/>
  <c r="M19" i="11" s="1"/>
  <c r="L18" i="11"/>
  <c r="M18" i="11" s="1"/>
  <c r="L17" i="11"/>
  <c r="M17" i="11" s="1"/>
  <c r="L16" i="11"/>
  <c r="M16" i="11" s="1"/>
  <c r="L15" i="11"/>
  <c r="M15" i="11" s="1"/>
  <c r="L14" i="11"/>
  <c r="M14" i="11" s="1"/>
  <c r="L13" i="11"/>
  <c r="M13" i="11" s="1"/>
  <c r="L12" i="11"/>
  <c r="M12" i="11" s="1"/>
  <c r="L11" i="11"/>
  <c r="M11" i="11" s="1"/>
  <c r="L10" i="11"/>
  <c r="M10" i="11" s="1"/>
  <c r="D5" i="1" l="1"/>
  <c r="D6" i="1"/>
  <c r="D7" i="1"/>
  <c r="D8" i="1"/>
  <c r="D9" i="1"/>
  <c r="D10" i="1"/>
  <c r="D11" i="1"/>
  <c r="L9" i="11" l="1"/>
  <c r="M9" i="11" s="1"/>
  <c r="L8" i="11"/>
  <c r="M8" i="11" s="1"/>
  <c r="L7" i="11"/>
  <c r="M7" i="11" s="1"/>
  <c r="M6" i="11"/>
  <c r="L5" i="11"/>
  <c r="M5" i="11" s="1"/>
  <c r="L4" i="11"/>
  <c r="M4" i="11" s="1"/>
  <c r="M3" i="11"/>
  <c r="L2" i="11"/>
  <c r="M2" i="11" s="1"/>
  <c r="F11" i="1" l="1"/>
  <c r="F10" i="1"/>
  <c r="F9" i="1"/>
  <c r="F8" i="1"/>
  <c r="F7" i="1"/>
  <c r="F6" i="1"/>
  <c r="F5" i="1"/>
  <c r="I24" i="11" l="1"/>
  <c r="E24" i="11"/>
  <c r="E22" i="11"/>
  <c r="I22" i="11"/>
  <c r="G20" i="11" l="1"/>
  <c r="G18" i="11"/>
  <c r="G16" i="11"/>
  <c r="G14" i="11"/>
  <c r="G12" i="11"/>
  <c r="G10" i="11"/>
  <c r="C20" i="11"/>
  <c r="C18" i="11"/>
  <c r="C16" i="11"/>
  <c r="C14" i="11"/>
  <c r="C12" i="11"/>
  <c r="C10" i="11"/>
  <c r="G4" i="11"/>
  <c r="G6" i="11"/>
  <c r="G8" i="11"/>
  <c r="C8" i="11"/>
  <c r="C6" i="11"/>
  <c r="C4" i="11"/>
  <c r="I20" i="11" l="1"/>
  <c r="I18" i="11"/>
  <c r="I16" i="11"/>
  <c r="I14" i="11"/>
  <c r="I12" i="11"/>
  <c r="I10" i="11"/>
  <c r="E20" i="11" l="1"/>
  <c r="E18" i="11"/>
  <c r="E16" i="11"/>
  <c r="E14" i="11"/>
  <c r="E12" i="11"/>
  <c r="E10" i="11"/>
  <c r="E8" i="11"/>
  <c r="E6" i="11"/>
  <c r="E4" i="11"/>
  <c r="I5" i="1"/>
  <c r="I11" i="1"/>
  <c r="I7" i="1"/>
  <c r="I9" i="1"/>
  <c r="I6" i="1"/>
  <c r="I10" i="1"/>
  <c r="I8" i="1"/>
  <c r="K11" i="1"/>
  <c r="K7" i="1"/>
  <c r="K10" i="1"/>
  <c r="K5" i="1"/>
  <c r="K9" i="1"/>
  <c r="K8" i="1"/>
  <c r="K6" i="1"/>
</calcChain>
</file>

<file path=xl/sharedStrings.xml><?xml version="1.0" encoding="utf-8"?>
<sst xmlns="http://schemas.openxmlformats.org/spreadsheetml/2006/main" count="198" uniqueCount="146">
  <si>
    <t>RetTime</t>
  </si>
  <si>
    <t>Area</t>
  </si>
  <si>
    <t>%Area</t>
  </si>
  <si>
    <t>Cum%Area</t>
  </si>
  <si>
    <t>UV-Vis</t>
  </si>
  <si>
    <t>WL</t>
  </si>
  <si>
    <t>ID</t>
  </si>
  <si>
    <t>Path:</t>
  </si>
  <si>
    <t>Name:</t>
  </si>
  <si>
    <t>MW</t>
  </si>
  <si>
    <t>MS Positive</t>
  </si>
  <si>
    <t>MS Negative</t>
  </si>
  <si>
    <t>UV Peaks</t>
  </si>
  <si>
    <t>Pos/Neg</t>
  </si>
  <si>
    <t>Rank</t>
  </si>
  <si>
    <t>X</t>
  </si>
  <si>
    <t>Total number of peaks</t>
  </si>
  <si>
    <t>Total peak Area</t>
  </si>
  <si>
    <t>#</t>
  </si>
  <si>
    <t>%</t>
  </si>
  <si>
    <t>Cutoffs</t>
  </si>
  <si>
    <t>Peaks - UV</t>
  </si>
  <si>
    <t>Area - UV</t>
  </si>
  <si>
    <t>Peaks - Non-UV</t>
  </si>
  <si>
    <t>Area - Non-UV</t>
  </si>
  <si>
    <t>Red numbers are NOT linked to summary</t>
  </si>
  <si>
    <t>(min)</t>
  </si>
  <si>
    <t>(ratio)</t>
  </si>
  <si>
    <t>Class A</t>
  </si>
  <si>
    <t>Time</t>
  </si>
  <si>
    <t>x</t>
  </si>
  <si>
    <t>Height</t>
  </si>
  <si>
    <t>Peak</t>
  </si>
  <si>
    <t>210 nm</t>
  </si>
  <si>
    <t>254 nm</t>
  </si>
  <si>
    <t>MS Pos</t>
  </si>
  <si>
    <t>MS Neg</t>
  </si>
  <si>
    <t>210raw</t>
  </si>
  <si>
    <t>254raw</t>
  </si>
  <si>
    <t>Posraw</t>
  </si>
  <si>
    <t>Negraw</t>
  </si>
  <si>
    <t>Rel Height</t>
  </si>
  <si>
    <t>Inconclusive</t>
  </si>
  <si>
    <t>Unresolved</t>
  </si>
  <si>
    <r>
      <rPr>
        <b/>
        <sz val="11"/>
        <color theme="1"/>
        <rFont val="Calibri"/>
        <family val="2"/>
        <scheme val="minor"/>
      </rPr>
      <t>Step 1</t>
    </r>
    <r>
      <rPr>
        <sz val="11"/>
        <color theme="1"/>
        <rFont val="Calibri"/>
        <family val="2"/>
        <scheme val="minor"/>
      </rPr>
      <t>: Highlight label in list -----&gt;</t>
    </r>
  </si>
  <si>
    <r>
      <rPr>
        <b/>
        <sz val="11"/>
        <color theme="1"/>
        <rFont val="Calibri"/>
        <family val="2"/>
        <scheme val="minor"/>
      </rPr>
      <t>Step 2:</t>
    </r>
    <r>
      <rPr>
        <sz val="11"/>
        <color theme="1"/>
        <rFont val="Calibri"/>
        <family val="2"/>
        <scheme val="minor"/>
      </rPr>
      <t xml:space="preserve"> Click on a button below</t>
    </r>
  </si>
  <si>
    <t>Peaks - Hidden</t>
  </si>
  <si>
    <t>Exclude hidden peak area (0=No;1=Yes)</t>
  </si>
  <si>
    <t>Peak Label</t>
  </si>
  <si>
    <t>Class B</t>
  </si>
  <si>
    <t>Class C</t>
  </si>
  <si>
    <t>Class D</t>
  </si>
  <si>
    <t>Class E</t>
  </si>
  <si>
    <t>Class F</t>
  </si>
  <si>
    <t>Class G</t>
  </si>
  <si>
    <t>Class H</t>
  </si>
  <si>
    <t>Class I</t>
  </si>
  <si>
    <t>Class J</t>
  </si>
  <si>
    <t>Class K</t>
  </si>
  <si>
    <t>Class L</t>
  </si>
  <si>
    <t>Class M</t>
  </si>
  <si>
    <t>Class N</t>
  </si>
  <si>
    <t>Class O</t>
  </si>
  <si>
    <t>Class P</t>
  </si>
  <si>
    <t>Notes</t>
  </si>
  <si>
    <t>Class Q</t>
  </si>
  <si>
    <t>Class R</t>
  </si>
  <si>
    <t>Class S</t>
  </si>
  <si>
    <t>Class T</t>
  </si>
  <si>
    <t>Class U</t>
  </si>
  <si>
    <t>Class V</t>
  </si>
  <si>
    <t>Class W</t>
  </si>
  <si>
    <t>Class X</t>
  </si>
  <si>
    <t>Class Y</t>
  </si>
  <si>
    <t>Class Z</t>
  </si>
  <si>
    <t>Click Mode</t>
  </si>
  <si>
    <t>Relative Peak Threshold</t>
  </si>
  <si>
    <t>Absolute Peak Threshold</t>
  </si>
  <si>
    <t>Zap Peak Distance</t>
  </si>
  <si>
    <t>Relative Shoulder Threshold</t>
  </si>
  <si>
    <t>Absolute Shoulder Threshold</t>
  </si>
  <si>
    <t>Zap Shoulder Distance</t>
  </si>
  <si>
    <t>mAU</t>
  </si>
  <si>
    <t>nm</t>
  </si>
  <si>
    <t>Shoulder Sensitivity</t>
  </si>
  <si>
    <t>Slope Sensitivity</t>
  </si>
  <si>
    <t>To hide or show a particular class:</t>
  </si>
  <si>
    <t>Peak Label Settings</t>
  </si>
  <si>
    <t>Bogus Spectrum Sensitivity</t>
  </si>
  <si>
    <t>Bogus Spectrum Label</t>
  </si>
  <si>
    <t>Name</t>
  </si>
  <si>
    <t>Unique</t>
  </si>
  <si>
    <t>Retention Time</t>
  </si>
  <si>
    <t>Exact Mass</t>
  </si>
  <si>
    <t>Copy Table Settings</t>
  </si>
  <si>
    <t>Grid Options</t>
  </si>
  <si>
    <t>Auto Class and Database Lookup Settings</t>
  </si>
  <si>
    <t>Hash</t>
  </si>
  <si>
    <t>Root Mean Square</t>
  </si>
  <si>
    <t>Area Between Curves</t>
  </si>
  <si>
    <t>Kolmogorov-Smirnov</t>
  </si>
  <si>
    <t>Fréchet distance</t>
  </si>
  <si>
    <t>Euclidean Distance</t>
  </si>
  <si>
    <t>Sensitivity</t>
  </si>
  <si>
    <t>Range</t>
  </si>
  <si>
    <t>Algorithm for comparing UV-vis spectra</t>
  </si>
  <si>
    <t>Wavelengths of spectra to compare</t>
  </si>
  <si>
    <t>Retention Time Tolerance</t>
  </si>
  <si>
    <t>min</t>
  </si>
  <si>
    <t>Step</t>
  </si>
  <si>
    <t>Simplify</t>
  </si>
  <si>
    <t>RT</t>
  </si>
  <si>
    <t>Match</t>
  </si>
  <si>
    <t>l</t>
  </si>
  <si>
    <t>Down</t>
  </si>
  <si>
    <t>Up</t>
  </si>
  <si>
    <t>Wavelengths of spectra to search</t>
  </si>
  <si>
    <t>Max Rank</t>
  </si>
  <si>
    <t>Maximum Rank (return the 'n' largest peaks)</t>
  </si>
  <si>
    <t>Minimum absolute area of peak</t>
  </si>
  <si>
    <t>% Area</t>
  </si>
  <si>
    <t>Minimum percent of total peak area</t>
  </si>
  <si>
    <t>Minimum absolute peak height</t>
  </si>
  <si>
    <t>Minimum relative peak height (Largest peak = 100%)</t>
  </si>
  <si>
    <t>Min RT</t>
  </si>
  <si>
    <t>Minimum retention time (increase to avoid solvent front/early eluting peaks)</t>
  </si>
  <si>
    <t>Max RT</t>
  </si>
  <si>
    <t>Maximum retention time (decrease to avoid reequilibration artifacts/fats)</t>
  </si>
  <si>
    <t>Database "Add Peaks" Selection</t>
  </si>
  <si>
    <t>Maximum Database Hits to Display</t>
  </si>
  <si>
    <t>Filename</t>
  </si>
  <si>
    <t>Append to Database Peak Name</t>
  </si>
  <si>
    <t>Peak Name if no ID</t>
  </si>
  <si>
    <t>NovaC v1.90</t>
  </si>
  <si>
    <t>(02 Dec 2019)</t>
  </si>
  <si>
    <t>E:\HPLC 2 Data\13602_NCE222\13602_NCE222 2020-09-24 17-34-15\041-D1B-F5-_F3vF11.D</t>
  </si>
  <si>
    <t>_F3vF11</t>
  </si>
  <si>
    <t>WL(nm)</t>
  </si>
  <si>
    <t>350s</t>
  </si>
  <si>
    <t>1</t>
  </si>
  <si>
    <t>2</t>
  </si>
  <si>
    <t>3</t>
  </si>
  <si>
    <t>4</t>
  </si>
  <si>
    <t>5</t>
  </si>
  <si>
    <t>6</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</si>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</sst>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1"/>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b/>
      <sz val="11"/>
      <color theme="1"/>
      <name val="Calibri"/>
      <family val="2"/>
      <scheme val="minor"/>
    </font>
    <font>
      <b/>
      <sz val="11"/>
      <color rgb="FFFF0000"/>
      <name val="Calibri"/>
      <family val="2"/>
      <scheme val="minor"/>
    </font>
    <font>
      <b/>
      <sz val="11"/>
      <color rgb="FF0000FF"/>
      <name val="Calibri"/>
      <family val="2"/>
      <scheme val="minor"/>
    </font>
    <font>
      <b/>
      <sz val="1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sz val="8"/>
      <color rgb="FF000000"/>
      <name val="Segoe UI"/>
      <family val="2"/>
    </font>
    <font>
      <b/>
      <sz val="12"/>
      <color rgb="FFFF0000"/>
      <name val="Calibri"/>
      <family val="2"/>
      <scheme val="minor"/>
    </font>
    <font>
      <b/>
      <sz val="14"/>
      <color rgb="FFFF0000"/>
      <name val="Calibri"/>
      <family val="2"/>
      <scheme val="minor"/>
    </font>
    <font>
      <i/>
      <sz val="11"/>
      <color theme="1"/>
      <name val="Calibri"/>
      <family val="2"/>
      <scheme val="minor"/>
    </font>
    <font>
      <b/>
      <sz val="14"/>
      <color rgb="FFFF0000"/>
      <name val="Calibri"/>
      <family val="2"/>
    </font>
    <font>
      <sz val="14"/>
      <color rgb="FF000000"/>
      <name val="Calibri"/>
      <family val="2"/>
    </font>
    <font>
      <sz val="16"/>
      <color rgb="FF000000"/>
      <name val="Calibri"/>
      <family val="2"/>
    </font>
    <font>
      <b/>
      <sz val="14"/>
      <color rgb="FF000000"/>
      <name val="Calibri"/>
      <family val="2"/>
    </font>
    <font>
      <sz val="10"/>
      <color theme="1"/>
      <name val="Calibri"/>
      <family val="2"/>
      <scheme val="minor"/>
    </font>
    <font>
      <sz val="8"/>
      <color rgb="FF000000"/>
      <name val="Calibri"/>
      <family val="2"/>
    </font>
    <font>
      <sz val="11"/>
      <name val="Calibri"/>
      <family val="2"/>
      <scheme val="minor"/>
    </font>
    <font>
      <b/>
      <sz val="11"/>
      <color theme="1"/>
      <name val="Symbol"/>
      <family val="1"/>
      <charset val="2"/>
    </font>
  </fonts>
  <fills count="5">
    <fill>
      <patternFill patternType="none"/>
    </fill>
    <fill>
      <patternFill patternType="gray125"/>
    </fill>
    <fill>
      <patternFill patternType="solid">
        <fgColor theme="7" tint="0.39994506668294322"/>
        <bgColor indexed="64"/>
      </patternFill>
    </fill>
    <fill>
      <patternFill patternType="solid">
        <fgColor theme="0" tint="-0.249977111117893"/>
        <bgColor indexed="64"/>
      </patternFill>
    </fill>
    <fill>
      <patternFill patternType="solid">
        <fgColor theme="5" tint="0.39994506668294322"/>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FF"/>
      </left>
      <right style="medium">
        <color rgb="FF0000FF"/>
      </right>
      <top style="medium">
        <color rgb="FF0000FF"/>
      </top>
      <bottom style="medium">
        <color rgb="FF0000FF"/>
      </bottom>
      <diagonal/>
    </border>
    <border>
      <left style="medium">
        <color rgb="FFFF0000"/>
      </left>
      <right style="medium">
        <color rgb="FFFF0000"/>
      </right>
      <top style="medium">
        <color rgb="FFFF0000"/>
      </top>
      <bottom style="medium">
        <color rgb="FFFF0000"/>
      </bottom>
      <diagonal/>
    </border>
    <border>
      <left/>
      <right/>
      <top style="medium">
        <color rgb="FF0000FF"/>
      </top>
      <bottom/>
      <diagonal/>
    </border>
    <border>
      <left style="medium">
        <color rgb="FF0000FF"/>
      </left>
      <right/>
      <top style="medium">
        <color rgb="FF0000FF"/>
      </top>
      <bottom/>
      <diagonal/>
    </border>
    <border>
      <left/>
      <right/>
      <top/>
      <bottom style="medium">
        <color rgb="FFFF0000"/>
      </bottom>
      <diagonal/>
    </border>
    <border>
      <left/>
      <right/>
      <top style="medium">
        <color rgb="FFFF0000"/>
      </top>
      <bottom/>
      <diagonal/>
    </border>
    <border>
      <left style="thin">
        <color theme="1"/>
      </left>
      <right style="medium">
        <color rgb="FFFF0000"/>
      </right>
      <top style="medium">
        <color rgb="FFFF0000"/>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top/>
      <bottom style="medium">
        <color indexed="64"/>
      </bottom>
      <diagonal/>
    </border>
    <border>
      <left style="thin">
        <color auto="1"/>
      </left>
      <right/>
      <top/>
      <bottom/>
      <diagonal/>
    </border>
    <border>
      <left style="thin">
        <color auto="1"/>
      </left>
      <right/>
      <top style="medium">
        <color indexed="64"/>
      </top>
      <bottom style="medium">
        <color indexed="64"/>
      </bottom>
      <diagonal/>
    </border>
  </borders>
  <cellStyleXfs count="2">
    <xf numFmtId="0" fontId="0" fillId="0" borderId="0"/>
    <xf numFmtId="9" fontId="8" fillId="0" borderId="0" applyFont="0" applyFill="0" applyBorder="0" applyAlignment="0" applyProtection="0"/>
  </cellStyleXfs>
  <cellXfs count="133">
    <xf numFmtId="0" fontId="0" fillId="0" borderId="0" xfId="0"/>
    <xf numFmtId="0" fontId="0" fillId="0" borderId="0" xfId="0" applyBorder="1"/>
    <xf numFmtId="0" fontId="5" fillId="0" borderId="1" xfId="0" applyFont="1" applyBorder="1" applyAlignment="1">
      <alignment horizontal="center"/>
    </xf>
    <xf numFmtId="0" fontId="0" fillId="0" borderId="0" xfId="0" applyNumberFormat="1"/>
    <xf numFmtId="0" fontId="0" fillId="0" borderId="4" xfId="0" applyBorder="1"/>
    <xf numFmtId="0" fontId="4" fillId="0" borderId="0" xfId="0" applyFont="1"/>
    <xf numFmtId="0" fontId="9" fillId="0" borderId="5" xfId="0" applyFont="1" applyBorder="1" applyAlignment="1">
      <alignment horizontal="center"/>
    </xf>
    <xf numFmtId="0" fontId="9" fillId="0" borderId="0" xfId="0" applyFont="1"/>
    <xf numFmtId="0" fontId="1" fillId="0" borderId="0"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xf>
    <xf numFmtId="0" fontId="0" fillId="0" borderId="12" xfId="0" applyBorder="1"/>
    <xf numFmtId="0" fontId="0" fillId="0" borderId="13" xfId="0" applyBorder="1"/>
    <xf numFmtId="0" fontId="4" fillId="0" borderId="11" xfId="0" applyFont="1" applyBorder="1" applyAlignment="1">
      <alignment horizontal="center"/>
    </xf>
    <xf numFmtId="0" fontId="12"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8" xfId="0" applyFont="1" applyBorder="1" applyAlignment="1">
      <alignment horizontal="center"/>
    </xf>
    <xf numFmtId="0" fontId="4" fillId="0" borderId="17" xfId="0" applyFont="1" applyBorder="1" applyAlignment="1">
      <alignment horizontal="center"/>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4" fillId="0" borderId="0" xfId="0" applyFont="1" applyBorder="1" applyProtection="1">
      <protection locked="0" hidden="1"/>
    </xf>
    <xf numFmtId="0" fontId="0" fillId="0" borderId="0" xfId="0" applyBorder="1" applyProtection="1">
      <protection locked="0" hidden="1"/>
    </xf>
    <xf numFmtId="0" fontId="0" fillId="0" borderId="0" xfId="0" applyProtection="1">
      <protection locked="0" hidden="1"/>
    </xf>
    <xf numFmtId="0" fontId="5" fillId="0" borderId="1" xfId="0" applyFont="1" applyBorder="1" applyAlignment="1" applyProtection="1">
      <alignment horizontal="center"/>
      <protection locked="0" hidden="1"/>
    </xf>
    <xf numFmtId="0" fontId="4" fillId="0" borderId="0" xfId="0" applyFont="1" applyBorder="1" applyAlignment="1" applyProtection="1">
      <alignment horizontal="center"/>
      <protection locked="0" hidden="1"/>
    </xf>
    <xf numFmtId="0" fontId="5" fillId="0" borderId="0" xfId="0" applyFont="1" applyAlignment="1" applyProtection="1">
      <alignment horizontal="center"/>
      <protection locked="0" hidden="1"/>
    </xf>
    <xf numFmtId="0" fontId="4" fillId="0" borderId="5" xfId="0" applyFont="1" applyBorder="1" applyAlignment="1" applyProtection="1">
      <alignment horizontal="left"/>
      <protection locked="0" hidden="1"/>
    </xf>
    <xf numFmtId="0" fontId="0" fillId="0" borderId="5" xfId="0" applyBorder="1" applyAlignment="1" applyProtection="1">
      <alignment horizontal="center"/>
      <protection locked="0" hidden="1"/>
    </xf>
    <xf numFmtId="0" fontId="0" fillId="0" borderId="0" xfId="0" applyBorder="1" applyAlignment="1" applyProtection="1">
      <alignment horizontal="center"/>
      <protection locked="0" hidden="1"/>
    </xf>
    <xf numFmtId="0" fontId="14" fillId="0" borderId="0" xfId="0" applyFont="1" applyAlignment="1" applyProtection="1">
      <alignment horizontal="center"/>
      <protection locked="0" hidden="1"/>
    </xf>
    <xf numFmtId="0" fontId="1" fillId="0" borderId="0" xfId="0" applyFont="1" applyAlignment="1" applyProtection="1">
      <alignment horizontal="left"/>
      <protection locked="0" hidden="1"/>
    </xf>
    <xf numFmtId="0" fontId="1" fillId="0" borderId="0" xfId="0" applyFont="1" applyAlignment="1" applyProtection="1">
      <alignment horizontal="center"/>
      <protection locked="0" hidden="1"/>
    </xf>
    <xf numFmtId="0" fontId="2" fillId="0" borderId="0" xfId="0" applyFont="1" applyAlignment="1" applyProtection="1">
      <alignment horizontal="center" vertical="center"/>
      <protection locked="0" hidden="1"/>
    </xf>
    <xf numFmtId="2" fontId="2" fillId="0" borderId="0" xfId="0" applyNumberFormat="1" applyFont="1" applyAlignment="1" applyProtection="1">
      <alignment horizontal="center" vertical="center"/>
      <protection locked="0" hidden="1"/>
    </xf>
    <xf numFmtId="164" fontId="2" fillId="0" borderId="0" xfId="0" applyNumberFormat="1" applyFont="1" applyAlignment="1" applyProtection="1">
      <alignment horizontal="center" vertical="center"/>
      <protection locked="0" hidden="1"/>
    </xf>
    <xf numFmtId="1" fontId="2" fillId="0" borderId="0" xfId="0" applyNumberFormat="1" applyFont="1" applyAlignment="1" applyProtection="1">
      <alignment horizontal="center" vertical="center"/>
      <protection locked="0" hidden="1"/>
    </xf>
    <xf numFmtId="0" fontId="2" fillId="0" borderId="0" xfId="0" applyFont="1" applyAlignment="1" applyProtection="1">
      <alignment horizontal="center" vertical="center" wrapText="1"/>
      <protection locked="0" hidden="1"/>
    </xf>
    <xf numFmtId="164" fontId="2" fillId="0" borderId="0" xfId="0" applyNumberFormat="1" applyFont="1" applyAlignment="1" applyProtection="1">
      <alignment horizontal="center" vertical="center" wrapText="1"/>
      <protection locked="0" hidden="1"/>
    </xf>
    <xf numFmtId="0" fontId="9" fillId="0" borderId="0" xfId="0" quotePrefix="1" applyFont="1" applyBorder="1" applyAlignment="1">
      <alignment horizontal="center"/>
    </xf>
    <xf numFmtId="0" fontId="5" fillId="0" borderId="0" xfId="0" applyFont="1" applyBorder="1" applyAlignment="1">
      <alignment horizontal="center"/>
    </xf>
    <xf numFmtId="0" fontId="4" fillId="0" borderId="0" xfId="0" applyFont="1" applyAlignment="1" applyProtection="1">
      <alignment horizontal="center"/>
      <protection locked="0" hidden="1"/>
    </xf>
    <xf numFmtId="0" fontId="0" fillId="0" borderId="12" xfId="0" applyBorder="1" applyProtection="1">
      <protection locked="0" hidden="1"/>
    </xf>
    <xf numFmtId="0" fontId="0" fillId="0" borderId="13" xfId="0" applyBorder="1" applyProtection="1">
      <protection locked="0" hidden="1"/>
    </xf>
    <xf numFmtId="0" fontId="9" fillId="0" borderId="0" xfId="0" quotePrefix="1" applyFont="1" applyBorder="1" applyAlignment="1" applyProtection="1">
      <alignment horizontal="center"/>
      <protection locked="0" hidden="1"/>
    </xf>
    <xf numFmtId="0" fontId="5" fillId="0" borderId="0" xfId="0" applyFont="1" applyBorder="1" applyAlignment="1" applyProtection="1">
      <alignment horizontal="center"/>
      <protection locked="0" hidden="1"/>
    </xf>
    <xf numFmtId="0" fontId="4" fillId="0" borderId="0" xfId="0" applyFont="1" applyProtection="1">
      <protection locked="0" hidden="1"/>
    </xf>
    <xf numFmtId="49" fontId="2" fillId="0" borderId="0" xfId="0" applyNumberFormat="1" applyFont="1" applyAlignment="1" applyProtection="1">
      <alignment horizontal="center" vertical="center"/>
      <protection locked="0" hidden="1"/>
    </xf>
    <xf numFmtId="0" fontId="0" fillId="0" borderId="2" xfId="0" applyBorder="1"/>
    <xf numFmtId="0" fontId="4" fillId="0" borderId="0" xfId="0" applyFont="1" applyBorder="1"/>
    <xf numFmtId="0" fontId="0" fillId="0" borderId="0" xfId="0" applyFont="1" applyBorder="1" applyProtection="1">
      <protection locked="0" hidden="1"/>
    </xf>
    <xf numFmtId="0" fontId="9" fillId="0" borderId="0" xfId="0" applyFont="1" applyBorder="1" applyAlignment="1" applyProtection="1">
      <alignment horizontal="center"/>
      <protection locked="0" hidden="1"/>
    </xf>
    <xf numFmtId="0" fontId="6" fillId="0" borderId="19" xfId="0" applyFont="1" applyBorder="1"/>
    <xf numFmtId="0" fontId="0" fillId="0" borderId="7" xfId="0" applyBorder="1"/>
    <xf numFmtId="0" fontId="0" fillId="0" borderId="20" xfId="0" applyBorder="1"/>
    <xf numFmtId="0" fontId="0" fillId="0" borderId="11" xfId="0" applyBorder="1"/>
    <xf numFmtId="0" fontId="4" fillId="0" borderId="21" xfId="0" applyFont="1" applyBorder="1"/>
    <xf numFmtId="0" fontId="4" fillId="0" borderId="20" xfId="0" applyFont="1" applyBorder="1"/>
    <xf numFmtId="0" fontId="0" fillId="0" borderId="22" xfId="0" applyBorder="1"/>
    <xf numFmtId="0" fontId="0" fillId="0" borderId="8" xfId="0" applyBorder="1"/>
    <xf numFmtId="0" fontId="0" fillId="0" borderId="23" xfId="0" applyBorder="1"/>
    <xf numFmtId="0" fontId="4" fillId="0" borderId="3" xfId="0" applyFont="1" applyBorder="1"/>
    <xf numFmtId="0" fontId="0" fillId="0" borderId="0" xfId="0" applyProtection="1">
      <protection hidden="1"/>
    </xf>
    <xf numFmtId="0" fontId="10" fillId="0" borderId="0" xfId="0" applyFont="1" applyAlignment="1" applyProtection="1">
      <alignment horizontal="center"/>
      <protection hidden="1"/>
    </xf>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4" fillId="0" borderId="6" xfId="0" applyFont="1" applyBorder="1" applyProtection="1">
      <protection hidden="1"/>
    </xf>
    <xf numFmtId="0" fontId="0" fillId="0" borderId="5" xfId="0" applyBorder="1" applyProtection="1">
      <protection hidden="1"/>
    </xf>
    <xf numFmtId="165" fontId="0" fillId="0" borderId="0" xfId="1" applyNumberFormat="1" applyFont="1" applyBorder="1" applyProtection="1">
      <protection hidden="1"/>
    </xf>
    <xf numFmtId="164" fontId="0" fillId="0" borderId="5" xfId="0" applyNumberFormat="1" applyBorder="1" applyProtection="1">
      <protection hidden="1"/>
    </xf>
    <xf numFmtId="0" fontId="4" fillId="0" borderId="5" xfId="0" applyFont="1" applyBorder="1" applyProtection="1">
      <protection hidden="1"/>
    </xf>
    <xf numFmtId="0" fontId="0" fillId="0" borderId="5" xfId="0" applyBorder="1" applyAlignment="1" applyProtection="1">
      <alignment horizontal="center"/>
      <protection hidden="1"/>
    </xf>
    <xf numFmtId="165" fontId="0" fillId="0" borderId="5" xfId="0" applyNumberFormat="1" applyBorder="1" applyAlignment="1" applyProtection="1">
      <alignment horizontal="center"/>
      <protection hidden="1"/>
    </xf>
    <xf numFmtId="165" fontId="0" fillId="0" borderId="5" xfId="1" applyNumberFormat="1" applyFont="1" applyBorder="1" applyProtection="1">
      <protection hidden="1"/>
    </xf>
    <xf numFmtId="0" fontId="0" fillId="0" borderId="0" xfId="0" applyAlignment="1" applyProtection="1">
      <alignment horizontal="center"/>
      <protection hidden="1"/>
    </xf>
    <xf numFmtId="0" fontId="0" fillId="0" borderId="0" xfId="0" applyBorder="1" applyProtection="1">
      <protection hidden="1"/>
    </xf>
    <xf numFmtId="0" fontId="9" fillId="0" borderId="0" xfId="0" applyFont="1" applyBorder="1" applyAlignment="1" applyProtection="1">
      <alignment horizontal="center"/>
      <protection hidden="1"/>
    </xf>
    <xf numFmtId="0" fontId="4" fillId="0" borderId="0" xfId="0" applyFont="1" applyProtection="1">
      <protection hidden="1"/>
    </xf>
    <xf numFmtId="0" fontId="4" fillId="0" borderId="0" xfId="0" applyFont="1" applyBorder="1" applyProtection="1">
      <protection hidden="1"/>
    </xf>
    <xf numFmtId="0" fontId="0" fillId="0" borderId="0" xfId="0" applyBorder="1" applyAlignment="1" applyProtection="1">
      <alignment horizontal="center"/>
      <protection hidden="1"/>
    </xf>
    <xf numFmtId="165" fontId="0" fillId="0" borderId="0" xfId="0" applyNumberFormat="1" applyBorder="1" applyAlignment="1" applyProtection="1">
      <alignment horizontal="center"/>
      <protection hidden="1"/>
    </xf>
    <xf numFmtId="0" fontId="9" fillId="0" borderId="5" xfId="0" applyFont="1" applyBorder="1" applyAlignment="1" applyProtection="1">
      <alignment horizontal="center"/>
      <protection locked="0" hidden="1"/>
    </xf>
    <xf numFmtId="0" fontId="5" fillId="0" borderId="5" xfId="0" applyFont="1" applyBorder="1" applyAlignment="1" applyProtection="1">
      <alignment horizontal="center" vertical="center"/>
      <protection locked="0" hidden="1"/>
    </xf>
    <xf numFmtId="0" fontId="4" fillId="0" borderId="0" xfId="0" applyFont="1" applyAlignment="1">
      <alignment horizontal="left"/>
    </xf>
    <xf numFmtId="0" fontId="0" fillId="0" borderId="24" xfId="0" applyBorder="1"/>
    <xf numFmtId="0" fontId="0" fillId="0" borderId="25" xfId="0" applyBorder="1"/>
    <xf numFmtId="0" fontId="19" fillId="0" borderId="0" xfId="0" applyFont="1" applyBorder="1" applyAlignment="1">
      <alignment horizontal="center"/>
    </xf>
    <xf numFmtId="0" fontId="4" fillId="0" borderId="1" xfId="0" applyFont="1" applyBorder="1" applyAlignment="1">
      <alignment horizontal="center"/>
    </xf>
    <xf numFmtId="0" fontId="19" fillId="0" borderId="0" xfId="0" applyFont="1" applyBorder="1" applyAlignment="1">
      <alignment horizontal="left"/>
    </xf>
    <xf numFmtId="0" fontId="21" fillId="0" borderId="0" xfId="0" applyFont="1" applyBorder="1" applyAlignment="1" applyProtection="1">
      <alignment horizontal="center"/>
      <protection locked="0" hidden="1"/>
    </xf>
    <xf numFmtId="0" fontId="4" fillId="0" borderId="0" xfId="0" applyFont="1" applyAlignment="1" applyProtection="1">
      <alignment horizontal="right"/>
      <protection locked="0" hidden="1"/>
    </xf>
    <xf numFmtId="0" fontId="22" fillId="0" borderId="0" xfId="0" applyFont="1" applyAlignment="1" applyProtection="1">
      <alignment horizontal="right"/>
      <protection locked="0" hidden="1"/>
    </xf>
    <xf numFmtId="2" fontId="5" fillId="0" borderId="1" xfId="0" applyNumberFormat="1" applyFont="1" applyBorder="1" applyAlignment="1" applyProtection="1">
      <alignment horizontal="center"/>
      <protection locked="0" hidden="1"/>
    </xf>
    <xf numFmtId="0" fontId="6" fillId="0" borderId="20" xfId="0" applyFont="1" applyBorder="1"/>
    <xf numFmtId="0" fontId="5" fillId="0" borderId="1" xfId="0" applyFont="1" applyFill="1" applyBorder="1" applyAlignment="1">
      <alignment horizontal="center"/>
    </xf>
    <xf numFmtId="0" fontId="5" fillId="0" borderId="28" xfId="0" applyFont="1" applyFill="1" applyBorder="1" applyAlignment="1">
      <alignment horizontal="center"/>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8" xfId="0" applyBorder="1"/>
    <xf numFmtId="0" fontId="6" fillId="0" borderId="0" xfId="0" applyFont="1" applyBorder="1"/>
    <xf numFmtId="0" fontId="0" fillId="0" borderId="0" xfId="0" applyAlignment="1">
      <alignment horizontal="center"/>
    </xf>
    <xf numFmtId="0" fontId="5"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5" fillId="0" borderId="3" xfId="0" applyFont="1" applyBorder="1" applyAlignment="1" applyProtection="1">
      <alignment horizontal="center"/>
      <protection locked="0" hidden="1"/>
    </xf>
    <xf numFmtId="0" fontId="0" fillId="0" borderId="2" xfId="0" applyBorder="1" applyAlignment="1" applyProtection="1">
      <alignment horizontal="center"/>
      <protection locked="0" hidden="1"/>
    </xf>
    <xf numFmtId="0" fontId="4" fillId="0" borderId="26" xfId="0" applyFont="1" applyFill="1" applyBorder="1" applyAlignment="1">
      <alignment horizontal="left"/>
    </xf>
    <xf numFmtId="0" fontId="4" fillId="0" borderId="27" xfId="0" applyFont="1" applyFill="1" applyBorder="1" applyAlignment="1">
      <alignment horizontal="left"/>
    </xf>
    <xf numFmtId="0" fontId="4" fillId="0" borderId="26" xfId="0" applyFont="1" applyBorder="1" applyAlignment="1">
      <alignment horizontal="left"/>
    </xf>
    <xf numFmtId="0" fontId="4" fillId="0" borderId="27" xfId="0" applyFont="1" applyBorder="1" applyAlignment="1">
      <alignment horizontal="left"/>
    </xf>
    <xf numFmtId="11" fontId="0" fillId="0" borderId="0" xfId="0" applyNumberFormat="1"/>
    <xf numFmtId="0" fontId="0" fillId="0" borderId="0" xfId="0" applyFill="1" applyBorder="1" applyAlignment="1">
      <alignment horizontal="center"/>
    </xf>
    <xf numFmtId="0" fontId="6"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left"/>
    </xf>
    <xf numFmtId="0" fontId="0" fillId="0" borderId="0" xfId="0" applyFill="1" applyBorder="1" applyAlignment="1">
      <alignment horizontal="right"/>
    </xf>
    <xf numFmtId="0" fontId="4" fillId="0" borderId="0" xfId="0" applyFont="1" applyFill="1" applyBorder="1"/>
    <xf numFmtId="0" fontId="19" fillId="0" borderId="35" xfId="0" applyFont="1" applyBorder="1" applyAlignment="1">
      <alignment horizontal="left"/>
    </xf>
    <xf numFmtId="0" fontId="4" fillId="0" borderId="36" xfId="0" applyFont="1" applyBorder="1"/>
    <xf numFmtId="0" fontId="0" fillId="0" borderId="35" xfId="0" applyBorder="1"/>
    <xf numFmtId="0" fontId="4" fillId="0" borderId="35" xfId="0" applyFont="1" applyFill="1" applyBorder="1"/>
    <xf numFmtId="0" fontId="0" fillId="0" borderId="34" xfId="0" applyFill="1" applyBorder="1"/>
    <xf numFmtId="2" fontId="2" fillId="2" borderId="0" xfId="0" applyNumberFormat="1" applyFont="1" applyFill="1" applyAlignment="1" applyProtection="1">
      <alignment horizontal="center" vertical="center"/>
      <protection locked="0" hidden="1"/>
    </xf>
    <xf numFmtId="2" fontId="2" fillId="3" borderId="0" xfId="0" applyNumberFormat="1" applyFont="1" applyFill="1" applyAlignment="1" applyProtection="1">
      <alignment horizontal="center" vertical="center"/>
      <protection locked="0" hidden="1"/>
    </xf>
    <xf numFmtId="2" fontId="2" fillId="4" borderId="0" xfId="0" applyNumberFormat="1" applyFont="1" applyFill="1" applyAlignment="1" applyProtection="1">
      <alignment horizontal="center" vertical="center"/>
      <protection locked="0" hidden="1"/>
    </xf>
  </cellXfs>
  <cellStyles count="2">
    <cellStyle name="Normal" xfId="0" builtinId="0"/>
    <cellStyle name="Percent" xfId="1" builtinId="5"/>
  </cellStyles>
  <dxfs count="2">
    <dxf>
      <fill>
        <patternFill>
          <bgColor rgb="FFFF8989"/>
        </patternFill>
      </fill>
    </dxf>
    <dxf>
      <fill>
        <patternFill>
          <bgColor theme="4" tint="0.39994506668294322"/>
        </patternFill>
      </fill>
    </dxf>
  </dxfs>
  <tableStyles count="0" defaultTableStyle="TableStyleMedium2" defaultPivotStyle="PivotStyleLight16"/>
  <colors>
    <mruColors>
      <color rgb="FF0000FF"/>
      <color rgb="FFFF8989"/>
      <color rgb="FFFF33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2D5042BE-4FB2-4FCC-B6D0-40EE7FC3F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B331-4538-B025-EA963831B826}"/>
                </c:ext>
              </c:extLst>
            </c:dLbl>
            <c:dLbl>
              <c:idx val="1"/>
              <c:tx>
                <c:rich>
                  <a:bodyPr/>
                  <a:lstStyle/>
                  <a:p>
                    <a:fld id="{B508A148-5400-4D11-B011-681DA5A522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331-4538-B025-EA963831B826}"/>
                </c:ext>
              </c:extLst>
            </c:dLbl>
            <c:dLbl>
              <c:idx val="2"/>
              <c:tx>
                <c:rich>
                  <a:bodyPr/>
                  <a:lstStyle/>
                  <a:p>
                    <a:fld id="{C5C05F80-C4C3-455F-B071-318B91F89C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331-4538-B025-EA963831B826}"/>
                </c:ext>
              </c:extLst>
            </c:dLbl>
            <c:dLbl>
              <c:idx val="3"/>
              <c:tx>
                <c:rich>
                  <a:bodyPr/>
                  <a:lstStyle/>
                  <a:p>
                    <a:fld id="{5DB911D7-759E-4933-B8BE-D1647C2BEF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331-4538-B025-EA963831B826}"/>
                </c:ext>
              </c:extLst>
            </c:dLbl>
            <c:dLbl>
              <c:idx val="4"/>
              <c:tx>
                <c:rich>
                  <a:bodyPr/>
                  <a:lstStyle/>
                  <a:p>
                    <a:fld id="{5484A72B-F9D0-45B3-9DA3-6502B6FECB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331-4538-B025-EA963831B826}"/>
                </c:ext>
              </c:extLst>
            </c:dLbl>
            <c:dLbl>
              <c:idx val="5"/>
              <c:tx>
                <c:rich>
                  <a:bodyPr/>
                  <a:lstStyle/>
                  <a:p>
                    <a:fld id="{0FBDABF9-C919-41C4-B829-27F734F5AF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331-4538-B025-EA963831B826}"/>
                </c:ext>
              </c:extLst>
            </c:dLbl>
            <c:dLbl>
              <c:idx val="6"/>
              <c:tx>
                <c:rich>
                  <a:bodyPr/>
                  <a:lstStyle/>
                  <a:p>
                    <a:fld id="{99C2EAF0-A6EF-4451-A5E4-ECC753DC7A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331-4538-B025-EA963831B826}"/>
                </c:ext>
              </c:extLst>
            </c:dLbl>
            <c:dLbl>
              <c:idx val="7"/>
              <c:tx>
                <c:rich>
                  <a:bodyPr/>
                  <a:lstStyle/>
                  <a:p>
                    <a:fld id="{48CE7E80-E0DD-42D1-B66D-B8A097F909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331-4538-B025-EA963831B826}"/>
                </c:ext>
              </c:extLst>
            </c:dLbl>
            <c:dLbl>
              <c:idx val="8"/>
              <c:tx>
                <c:rich>
                  <a:bodyPr/>
                  <a:lstStyle/>
                  <a:p>
                    <a:fld id="{068BEE53-4438-4AFE-90F9-C6C668906A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331-4538-B025-EA963831B826}"/>
                </c:ext>
              </c:extLst>
            </c:dLbl>
            <c:dLbl>
              <c:idx val="9"/>
              <c:tx>
                <c:rich>
                  <a:bodyPr/>
                  <a:lstStyle/>
                  <a:p>
                    <a:fld id="{6D098914-4141-4A9B-AFB1-32113746F5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331-4538-B025-EA963831B826}"/>
                </c:ext>
              </c:extLst>
            </c:dLbl>
            <c:dLbl>
              <c:idx val="10"/>
              <c:tx>
                <c:rich>
                  <a:bodyPr/>
                  <a:lstStyle/>
                  <a:p>
                    <a:fld id="{DC65230D-4DB1-4994-8052-FC2A6E6E34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331-4538-B025-EA963831B826}"/>
                </c:ext>
              </c:extLst>
            </c:dLbl>
            <c:dLbl>
              <c:idx val="11"/>
              <c:tx>
                <c:rich>
                  <a:bodyPr/>
                  <a:lstStyle/>
                  <a:p>
                    <a:fld id="{FF13A603-1E26-44FF-8951-A1E0DEB70C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B331-4538-B025-EA963831B826}"/>
                </c:ext>
              </c:extLst>
            </c:dLbl>
            <c:dLbl>
              <c:idx val="12"/>
              <c:tx>
                <c:rich>
                  <a:bodyPr/>
                  <a:lstStyle/>
                  <a:p>
                    <a:fld id="{E72EDB0F-B7B9-4957-BC2D-5298F9E0F0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331-4538-B025-EA963831B826}"/>
                </c:ext>
              </c:extLst>
            </c:dLbl>
            <c:dLbl>
              <c:idx val="13"/>
              <c:tx>
                <c:rich>
                  <a:bodyPr/>
                  <a:lstStyle/>
                  <a:p>
                    <a:fld id="{3A0C91D4-6DFB-4756-8023-98B2DDF2ED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B331-4538-B025-EA963831B826}"/>
                </c:ext>
              </c:extLst>
            </c:dLbl>
            <c:dLbl>
              <c:idx val="14"/>
              <c:tx>
                <c:rich>
                  <a:bodyPr/>
                  <a:lstStyle/>
                  <a:p>
                    <a:fld id="{47E0D9C6-19ED-4244-9649-2474847F37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B331-4538-B025-EA963831B826}"/>
                </c:ext>
              </c:extLst>
            </c:dLbl>
            <c:dLbl>
              <c:idx val="15"/>
              <c:tx>
                <c:rich>
                  <a:bodyPr/>
                  <a:lstStyle/>
                  <a:p>
                    <a:fld id="{225A9022-B86D-4FD3-A730-3C5F0E8924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B331-4538-B025-EA963831B826}"/>
                </c:ext>
              </c:extLst>
            </c:dLbl>
            <c:dLbl>
              <c:idx val="16"/>
              <c:tx>
                <c:rich>
                  <a:bodyPr/>
                  <a:lstStyle/>
                  <a:p>
                    <a:fld id="{99960181-780B-419E-932F-6E4DA80744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B331-4538-B025-EA963831B826}"/>
                </c:ext>
              </c:extLst>
            </c:dLbl>
            <c:dLbl>
              <c:idx val="17"/>
              <c:tx>
                <c:rich>
                  <a:bodyPr/>
                  <a:lstStyle/>
                  <a:p>
                    <a:fld id="{7F26E5EB-2892-424F-AEA9-F9ACC97A10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B331-4538-B025-EA963831B826}"/>
                </c:ext>
              </c:extLst>
            </c:dLbl>
            <c:dLbl>
              <c:idx val="18"/>
              <c:tx>
                <c:rich>
                  <a:bodyPr/>
                  <a:lstStyle/>
                  <a:p>
                    <a:fld id="{46996393-4771-4F70-B934-7FB7A6F3D9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B331-4538-B025-EA963831B826}"/>
                </c:ext>
              </c:extLst>
            </c:dLbl>
            <c:dLbl>
              <c:idx val="19"/>
              <c:tx>
                <c:rich>
                  <a:bodyPr/>
                  <a:lstStyle/>
                  <a:p>
                    <a:fld id="{11A97F7D-5996-495F-9966-517A5ABFEC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B331-4538-B025-EA963831B826}"/>
                </c:ext>
              </c:extLst>
            </c:dLbl>
            <c:dLbl>
              <c:idx val="20"/>
              <c:tx>
                <c:rich>
                  <a:bodyPr/>
                  <a:lstStyle/>
                  <a:p>
                    <a:fld id="{704398F2-5AE3-4B4E-A64E-2C60DC2CF5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B331-4538-B025-EA963831B826}"/>
                </c:ext>
              </c:extLst>
            </c:dLbl>
            <c:dLbl>
              <c:idx val="21"/>
              <c:tx>
                <c:rich>
                  <a:bodyPr/>
                  <a:lstStyle/>
                  <a:p>
                    <a:fld id="{3C5F4DB9-5F28-42B3-B294-6B6079D2AF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B331-4538-B025-EA963831B826}"/>
                </c:ext>
              </c:extLst>
            </c:dLbl>
            <c:dLbl>
              <c:idx val="22"/>
              <c:tx>
                <c:rich>
                  <a:bodyPr/>
                  <a:lstStyle/>
                  <a:p>
                    <a:fld id="{31FFB2B3-EFA9-4981-B2F3-8611AAA43C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B331-4538-B025-EA963831B826}"/>
                </c:ext>
              </c:extLst>
            </c:dLbl>
            <c:dLbl>
              <c:idx val="23"/>
              <c:tx>
                <c:rich>
                  <a:bodyPr/>
                  <a:lstStyle/>
                  <a:p>
                    <a:fld id="{83E3D1FF-72EB-48D3-A5D7-6114FA4C74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B331-4538-B025-EA963831B826}"/>
                </c:ext>
              </c:extLst>
            </c:dLbl>
            <c:dLbl>
              <c:idx val="24"/>
              <c:tx>
                <c:rich>
                  <a:bodyPr/>
                  <a:lstStyle/>
                  <a:p>
                    <a:fld id="{4662A8EA-CE79-46D7-9B1D-D191D7F908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B331-4538-B025-EA963831B826}"/>
                </c:ext>
              </c:extLst>
            </c:dLbl>
            <c:dLbl>
              <c:idx val="25"/>
              <c:tx>
                <c:rich>
                  <a:bodyPr/>
                  <a:lstStyle/>
                  <a:p>
                    <a:fld id="{F1E7CD04-F705-444F-AD39-ACB8985BC9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B331-4538-B025-EA963831B826}"/>
                </c:ext>
              </c:extLst>
            </c:dLbl>
            <c:dLbl>
              <c:idx val="26"/>
              <c:tx>
                <c:rich>
                  <a:bodyPr/>
                  <a:lstStyle/>
                  <a:p>
                    <a:fld id="{67852CF8-6173-4C02-BC05-31E2185FB4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B331-4538-B025-EA963831B826}"/>
                </c:ext>
              </c:extLst>
            </c:dLbl>
            <c:dLbl>
              <c:idx val="27"/>
              <c:tx>
                <c:rich>
                  <a:bodyPr/>
                  <a:lstStyle/>
                  <a:p>
                    <a:fld id="{D9BD4B88-9770-4239-9159-7EBF3312B8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B331-4538-B025-EA963831B826}"/>
                </c:ext>
              </c:extLst>
            </c:dLbl>
            <c:dLbl>
              <c:idx val="28"/>
              <c:tx>
                <c:rich>
                  <a:bodyPr/>
                  <a:lstStyle/>
                  <a:p>
                    <a:fld id="{00AB803D-2765-4636-9F72-8D879C6ED0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B331-4538-B025-EA963831B826}"/>
                </c:ext>
              </c:extLst>
            </c:dLbl>
            <c:dLbl>
              <c:idx val="29"/>
              <c:tx>
                <c:rich>
                  <a:bodyPr/>
                  <a:lstStyle/>
                  <a:p>
                    <a:fld id="{E3522091-A3EB-4451-96EF-38DDA1D163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B331-4538-B025-EA963831B826}"/>
                </c:ext>
              </c:extLst>
            </c:dLbl>
            <c:dLbl>
              <c:idx val="30"/>
              <c:tx>
                <c:rich>
                  <a:bodyPr/>
                  <a:lstStyle/>
                  <a:p>
                    <a:fld id="{160262FE-14D3-4E18-B2B8-05E30BB6D2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B331-4538-B025-EA963831B826}"/>
                </c:ext>
              </c:extLst>
            </c:dLbl>
            <c:dLbl>
              <c:idx val="31"/>
              <c:tx>
                <c:rich>
                  <a:bodyPr/>
                  <a:lstStyle/>
                  <a:p>
                    <a:fld id="{C09621A9-7EF7-4C79-9A99-3244E95AB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B331-4538-B025-EA963831B826}"/>
                </c:ext>
              </c:extLst>
            </c:dLbl>
            <c:dLbl>
              <c:idx val="32"/>
              <c:tx>
                <c:rich>
                  <a:bodyPr/>
                  <a:lstStyle/>
                  <a:p>
                    <a:fld id="{EBB1F085-7237-45CB-8092-274165C20F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B331-4538-B025-EA963831B826}"/>
                </c:ext>
              </c:extLst>
            </c:dLbl>
            <c:dLbl>
              <c:idx val="33"/>
              <c:tx>
                <c:rich>
                  <a:bodyPr/>
                  <a:lstStyle/>
                  <a:p>
                    <a:fld id="{9798F7DF-279C-4DAB-A099-C523D3A5E8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B331-4538-B025-EA963831B826}"/>
                </c:ext>
              </c:extLst>
            </c:dLbl>
            <c:dLbl>
              <c:idx val="34"/>
              <c:tx>
                <c:rich>
                  <a:bodyPr/>
                  <a:lstStyle/>
                  <a:p>
                    <a:fld id="{CBD5AB94-E510-4275-8E40-5F8609A046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B331-4538-B025-EA963831B826}"/>
                </c:ext>
              </c:extLst>
            </c:dLbl>
            <c:dLbl>
              <c:idx val="35"/>
              <c:tx>
                <c:rich>
                  <a:bodyPr/>
                  <a:lstStyle/>
                  <a:p>
                    <a:fld id="{59C8A62A-92C1-41EA-A5F3-4C641DBE03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B331-4538-B025-EA963831B826}"/>
                </c:ext>
              </c:extLst>
            </c:dLbl>
            <c:dLbl>
              <c:idx val="36"/>
              <c:tx>
                <c:rich>
                  <a:bodyPr/>
                  <a:lstStyle/>
                  <a:p>
                    <a:fld id="{1DFE4AA8-26BE-4470-94B1-415CB1A08E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B331-4538-B025-EA963831B826}"/>
                </c:ext>
              </c:extLst>
            </c:dLbl>
            <c:dLbl>
              <c:idx val="37"/>
              <c:tx>
                <c:rich>
                  <a:bodyPr/>
                  <a:lstStyle/>
                  <a:p>
                    <a:fld id="{1023B580-44B4-410B-88D0-DE6D3C6E3A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B331-4538-B025-EA963831B826}"/>
                </c:ext>
              </c:extLst>
            </c:dLbl>
            <c:dLbl>
              <c:idx val="38"/>
              <c:tx>
                <c:rich>
                  <a:bodyPr/>
                  <a:lstStyle/>
                  <a:p>
                    <a:fld id="{3E154930-BC48-42A7-A821-281AD0CF2F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B331-4538-B025-EA963831B826}"/>
                </c:ext>
              </c:extLst>
            </c:dLbl>
            <c:dLbl>
              <c:idx val="39"/>
              <c:tx>
                <c:rich>
                  <a:bodyPr/>
                  <a:lstStyle/>
                  <a:p>
                    <a:fld id="{4F50B74B-8F3E-49A6-8DB6-04E27298DE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B331-4538-B025-EA963831B826}"/>
                </c:ext>
              </c:extLst>
            </c:dLbl>
            <c:dLbl>
              <c:idx val="40"/>
              <c:tx>
                <c:rich>
                  <a:bodyPr/>
                  <a:lstStyle/>
                  <a:p>
                    <a:fld id="{80537A46-4652-4E8F-AEE8-83300103CC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B331-4538-B025-EA963831B826}"/>
                </c:ext>
              </c:extLst>
            </c:dLbl>
            <c:dLbl>
              <c:idx val="41"/>
              <c:tx>
                <c:rich>
                  <a:bodyPr/>
                  <a:lstStyle/>
                  <a:p>
                    <a:fld id="{B332C4F3-DA8B-4A8B-A5A2-90172C2569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B331-4538-B025-EA963831B826}"/>
                </c:ext>
              </c:extLst>
            </c:dLbl>
            <c:dLbl>
              <c:idx val="42"/>
              <c:tx>
                <c:rich>
                  <a:bodyPr/>
                  <a:lstStyle/>
                  <a:p>
                    <a:fld id="{23315F56-9601-4A55-A319-1C6C43D2BD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B331-4538-B025-EA963831B826}"/>
                </c:ext>
              </c:extLst>
            </c:dLbl>
            <c:dLbl>
              <c:idx val="43"/>
              <c:tx>
                <c:rich>
                  <a:bodyPr/>
                  <a:lstStyle/>
                  <a:p>
                    <a:fld id="{9A8D60DC-7D73-438E-B362-B9C0075B02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B331-4538-B025-EA963831B826}"/>
                </c:ext>
              </c:extLst>
            </c:dLbl>
            <c:dLbl>
              <c:idx val="44"/>
              <c:tx>
                <c:rich>
                  <a:bodyPr/>
                  <a:lstStyle/>
                  <a:p>
                    <a:fld id="{584DCA07-D4FD-4830-8E79-0ED6812A2E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B331-4538-B025-EA963831B826}"/>
                </c:ext>
              </c:extLst>
            </c:dLbl>
            <c:dLbl>
              <c:idx val="45"/>
              <c:tx>
                <c:rich>
                  <a:bodyPr/>
                  <a:lstStyle/>
                  <a:p>
                    <a:fld id="{A36C23B8-143E-4BAD-AF00-6B09059BDF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B331-4538-B025-EA963831B826}"/>
                </c:ext>
              </c:extLst>
            </c:dLbl>
            <c:dLbl>
              <c:idx val="46"/>
              <c:tx>
                <c:rich>
                  <a:bodyPr/>
                  <a:lstStyle/>
                  <a:p>
                    <a:fld id="{F6C9970E-B0DD-434D-93D6-D699BF0E23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B331-4538-B025-EA963831B826}"/>
                </c:ext>
              </c:extLst>
            </c:dLbl>
            <c:dLbl>
              <c:idx val="47"/>
              <c:tx>
                <c:rich>
                  <a:bodyPr/>
                  <a:lstStyle/>
                  <a:p>
                    <a:fld id="{A0DBCCB1-1894-42E4-97AE-137FE61F1B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B331-4538-B025-EA963831B826}"/>
                </c:ext>
              </c:extLst>
            </c:dLbl>
            <c:dLbl>
              <c:idx val="48"/>
              <c:tx>
                <c:rich>
                  <a:bodyPr/>
                  <a:lstStyle/>
                  <a:p>
                    <a:fld id="{E640B2D4-9972-45D4-9651-71922E5E66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B331-4538-B025-EA963831B826}"/>
                </c:ext>
              </c:extLst>
            </c:dLbl>
            <c:dLbl>
              <c:idx val="49"/>
              <c:tx>
                <c:rich>
                  <a:bodyPr/>
                  <a:lstStyle/>
                  <a:p>
                    <a:fld id="{578CCCA0-6551-48A2-BA67-34D760D3A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B331-4538-B025-EA963831B826}"/>
                </c:ext>
              </c:extLst>
            </c:dLbl>
            <c:dLbl>
              <c:idx val="50"/>
              <c:tx>
                <c:rich>
                  <a:bodyPr/>
                  <a:lstStyle/>
                  <a:p>
                    <a:fld id="{9DD0C8BD-D597-44FA-AD88-44502D6509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B331-4538-B025-EA963831B826}"/>
                </c:ext>
              </c:extLst>
            </c:dLbl>
            <c:dLbl>
              <c:idx val="51"/>
              <c:tx>
                <c:rich>
                  <a:bodyPr/>
                  <a:lstStyle/>
                  <a:p>
                    <a:fld id="{DB78D735-58C6-4A7C-9211-796E40FF31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B331-4538-B025-EA963831B826}"/>
                </c:ext>
              </c:extLst>
            </c:dLbl>
            <c:dLbl>
              <c:idx val="52"/>
              <c:tx>
                <c:rich>
                  <a:bodyPr/>
                  <a:lstStyle/>
                  <a:p>
                    <a:fld id="{A3A25902-C66D-4E3B-85CA-C3DD5427D9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B331-4538-B025-EA963831B826}"/>
                </c:ext>
              </c:extLst>
            </c:dLbl>
            <c:dLbl>
              <c:idx val="53"/>
              <c:tx>
                <c:rich>
                  <a:bodyPr/>
                  <a:lstStyle/>
                  <a:p>
                    <a:fld id="{85D0302D-AA6D-4CC2-BBAF-358D5CDF1E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B331-4538-B025-EA963831B826}"/>
                </c:ext>
              </c:extLst>
            </c:dLbl>
            <c:dLbl>
              <c:idx val="54"/>
              <c:tx>
                <c:rich>
                  <a:bodyPr/>
                  <a:lstStyle/>
                  <a:p>
                    <a:fld id="{5DCFF704-7FA1-4126-B160-A5117F3EE2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B331-4538-B025-EA963831B826}"/>
                </c:ext>
              </c:extLst>
            </c:dLbl>
            <c:dLbl>
              <c:idx val="55"/>
              <c:tx>
                <c:rich>
                  <a:bodyPr/>
                  <a:lstStyle/>
                  <a:p>
                    <a:fld id="{C621A2AE-10D9-4792-9613-5F41A76683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B331-4538-B025-EA963831B826}"/>
                </c:ext>
              </c:extLst>
            </c:dLbl>
            <c:dLbl>
              <c:idx val="56"/>
              <c:tx>
                <c:rich>
                  <a:bodyPr/>
                  <a:lstStyle/>
                  <a:p>
                    <a:fld id="{AB3EE61D-57CA-40CA-9AC6-E10FBBB256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B331-4538-B025-EA963831B826}"/>
                </c:ext>
              </c:extLst>
            </c:dLbl>
            <c:dLbl>
              <c:idx val="57"/>
              <c:tx>
                <c:rich>
                  <a:bodyPr/>
                  <a:lstStyle/>
                  <a:p>
                    <a:fld id="{62D960DF-423B-4399-8B4C-B313AD37F7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B331-4538-B025-EA963831B826}"/>
                </c:ext>
              </c:extLst>
            </c:dLbl>
            <c:dLbl>
              <c:idx val="58"/>
              <c:tx>
                <c:rich>
                  <a:bodyPr/>
                  <a:lstStyle/>
                  <a:p>
                    <a:fld id="{A7EF34F7-A2DA-4A65-AE1D-A51CA0534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B331-4538-B025-EA963831B826}"/>
                </c:ext>
              </c:extLst>
            </c:dLbl>
            <c:dLbl>
              <c:idx val="59"/>
              <c:tx>
                <c:rich>
                  <a:bodyPr/>
                  <a:lstStyle/>
                  <a:p>
                    <a:fld id="{B6ADF875-0F87-458D-A495-D58F20E5FF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B331-4538-B025-EA963831B826}"/>
                </c:ext>
              </c:extLst>
            </c:dLbl>
            <c:dLbl>
              <c:idx val="60"/>
              <c:tx>
                <c:rich>
                  <a:bodyPr/>
                  <a:lstStyle/>
                  <a:p>
                    <a:fld id="{51DFB7E8-E9C7-4EDD-9F8A-58C4C40F1C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B331-4538-B025-EA963831B826}"/>
                </c:ext>
              </c:extLst>
            </c:dLbl>
            <c:dLbl>
              <c:idx val="61"/>
              <c:tx>
                <c:rich>
                  <a:bodyPr/>
                  <a:lstStyle/>
                  <a:p>
                    <a:fld id="{815BAE3A-C78E-4733-82FD-23569AD698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B331-4538-B025-EA963831B826}"/>
                </c:ext>
              </c:extLst>
            </c:dLbl>
            <c:dLbl>
              <c:idx val="62"/>
              <c:tx>
                <c:rich>
                  <a:bodyPr/>
                  <a:lstStyle/>
                  <a:p>
                    <a:fld id="{FCE37626-96FF-447C-B9B1-7CBEBD65A8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B331-4538-B025-EA963831B826}"/>
                </c:ext>
              </c:extLst>
            </c:dLbl>
            <c:dLbl>
              <c:idx val="63"/>
              <c:tx>
                <c:rich>
                  <a:bodyPr/>
                  <a:lstStyle/>
                  <a:p>
                    <a:fld id="{5E9CA107-B280-407D-BDA6-4AA84882A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B331-4538-B025-EA963831B826}"/>
                </c:ext>
              </c:extLst>
            </c:dLbl>
            <c:dLbl>
              <c:idx val="64"/>
              <c:tx>
                <c:rich>
                  <a:bodyPr/>
                  <a:lstStyle/>
                  <a:p>
                    <a:fld id="{ED4D5AA2-2AC9-43C5-BAE3-E4EB8D0A37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B331-4538-B025-EA963831B826}"/>
                </c:ext>
              </c:extLst>
            </c:dLbl>
            <c:dLbl>
              <c:idx val="65"/>
              <c:tx>
                <c:rich>
                  <a:bodyPr/>
                  <a:lstStyle/>
                  <a:p>
                    <a:fld id="{E970EC84-2506-4C63-8656-53E777BBC6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B331-4538-B025-EA963831B826}"/>
                </c:ext>
              </c:extLst>
            </c:dLbl>
            <c:dLbl>
              <c:idx val="66"/>
              <c:tx>
                <c:rich>
                  <a:bodyPr/>
                  <a:lstStyle/>
                  <a:p>
                    <a:fld id="{942CB4CD-4D83-4517-933A-FE8FC680CC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B331-4538-B025-EA963831B826}"/>
                </c:ext>
              </c:extLst>
            </c:dLbl>
            <c:dLbl>
              <c:idx val="67"/>
              <c:tx>
                <c:rich>
                  <a:bodyPr/>
                  <a:lstStyle/>
                  <a:p>
                    <a:fld id="{5965B7AB-9450-4015-9BB0-5B6AC1CC6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B331-4538-B025-EA963831B826}"/>
                </c:ext>
              </c:extLst>
            </c:dLbl>
            <c:dLbl>
              <c:idx val="68"/>
              <c:tx>
                <c:rich>
                  <a:bodyPr/>
                  <a:lstStyle/>
                  <a:p>
                    <a:fld id="{BF9EAFB3-6213-4C0E-AF28-A16D362072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B331-4538-B025-EA963831B826}"/>
                </c:ext>
              </c:extLst>
            </c:dLbl>
            <c:dLbl>
              <c:idx val="69"/>
              <c:tx>
                <c:rich>
                  <a:bodyPr/>
                  <a:lstStyle/>
                  <a:p>
                    <a:fld id="{D25EF488-D19E-418F-A029-E7879CB174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B331-4538-B025-EA963831B826}"/>
                </c:ext>
              </c:extLst>
            </c:dLbl>
            <c:dLbl>
              <c:idx val="70"/>
              <c:tx>
                <c:rich>
                  <a:bodyPr/>
                  <a:lstStyle/>
                  <a:p>
                    <a:fld id="{27942148-1742-424D-95E3-F7E61FA06C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B331-4538-B025-EA963831B826}"/>
                </c:ext>
              </c:extLst>
            </c:dLbl>
            <c:dLbl>
              <c:idx val="71"/>
              <c:tx>
                <c:rich>
                  <a:bodyPr/>
                  <a:lstStyle/>
                  <a:p>
                    <a:fld id="{CABC45E5-A999-4CBE-858F-EA0D4046F9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B331-4538-B025-EA963831B826}"/>
                </c:ext>
              </c:extLst>
            </c:dLbl>
            <c:dLbl>
              <c:idx val="72"/>
              <c:tx>
                <c:rich>
                  <a:bodyPr/>
                  <a:lstStyle/>
                  <a:p>
                    <a:fld id="{BFEA944E-213B-446B-A83C-8F5E9ECE5F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B331-4538-B025-EA963831B826}"/>
                </c:ext>
              </c:extLst>
            </c:dLbl>
            <c:dLbl>
              <c:idx val="73"/>
              <c:tx>
                <c:rich>
                  <a:bodyPr/>
                  <a:lstStyle/>
                  <a:p>
                    <a:fld id="{9F4619EB-90D0-4E16-B5F7-A86B288256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B331-4538-B025-EA963831B826}"/>
                </c:ext>
              </c:extLst>
            </c:dLbl>
            <c:dLbl>
              <c:idx val="74"/>
              <c:tx>
                <c:rich>
                  <a:bodyPr/>
                  <a:lstStyle/>
                  <a:p>
                    <a:fld id="{E0B1909A-E3CE-4C6F-B7BB-9365D95015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B331-4538-B025-EA963831B826}"/>
                </c:ext>
              </c:extLst>
            </c:dLbl>
            <c:dLbl>
              <c:idx val="75"/>
              <c:tx>
                <c:rich>
                  <a:bodyPr/>
                  <a:lstStyle/>
                  <a:p>
                    <a:fld id="{5485AC1B-3CCC-4EB1-AE8D-3A8B35131E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B331-4538-B025-EA963831B826}"/>
                </c:ext>
              </c:extLst>
            </c:dLbl>
            <c:dLbl>
              <c:idx val="76"/>
              <c:tx>
                <c:rich>
                  <a:bodyPr/>
                  <a:lstStyle/>
                  <a:p>
                    <a:fld id="{843262A1-679C-40C4-84D5-7244C74EAB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B331-4538-B025-EA963831B826}"/>
                </c:ext>
              </c:extLst>
            </c:dLbl>
            <c:dLbl>
              <c:idx val="77"/>
              <c:tx>
                <c:rich>
                  <a:bodyPr/>
                  <a:lstStyle/>
                  <a:p>
                    <a:fld id="{DD4A125F-330A-486E-9497-23F968595F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B331-4538-B025-EA963831B826}"/>
                </c:ext>
              </c:extLst>
            </c:dLbl>
            <c:dLbl>
              <c:idx val="78"/>
              <c:tx>
                <c:rich>
                  <a:bodyPr/>
                  <a:lstStyle/>
                  <a:p>
                    <a:fld id="{D410B693-8433-4302-A2F5-20E1E75F1C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B331-4538-B025-EA963831B826}"/>
                </c:ext>
              </c:extLst>
            </c:dLbl>
            <c:dLbl>
              <c:idx val="79"/>
              <c:tx>
                <c:rich>
                  <a:bodyPr/>
                  <a:lstStyle/>
                  <a:p>
                    <a:fld id="{3FFEFC11-ADE4-43BD-83DC-3CC010E29E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B331-4538-B025-EA963831B826}"/>
                </c:ext>
              </c:extLst>
            </c:dLbl>
            <c:dLbl>
              <c:idx val="80"/>
              <c:tx>
                <c:rich>
                  <a:bodyPr/>
                  <a:lstStyle/>
                  <a:p>
                    <a:fld id="{7606FED0-C034-4AA4-B36E-A8D21AF852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B331-4538-B025-EA963831B826}"/>
                </c:ext>
              </c:extLst>
            </c:dLbl>
            <c:dLbl>
              <c:idx val="81"/>
              <c:tx>
                <c:rich>
                  <a:bodyPr/>
                  <a:lstStyle/>
                  <a:p>
                    <a:fld id="{1F60049F-5DBE-4377-AEBF-5D78A9CA9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B331-4538-B025-EA963831B826}"/>
                </c:ext>
              </c:extLst>
            </c:dLbl>
            <c:dLbl>
              <c:idx val="82"/>
              <c:tx>
                <c:rich>
                  <a:bodyPr/>
                  <a:lstStyle/>
                  <a:p>
                    <a:fld id="{A8A27E18-6453-4A80-9960-3BBF0F735D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B331-4538-B025-EA963831B826}"/>
                </c:ext>
              </c:extLst>
            </c:dLbl>
            <c:dLbl>
              <c:idx val="83"/>
              <c:tx>
                <c:rich>
                  <a:bodyPr/>
                  <a:lstStyle/>
                  <a:p>
                    <a:fld id="{A25115D1-9338-48B6-8074-754D06B467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B331-4538-B025-EA963831B826}"/>
                </c:ext>
              </c:extLst>
            </c:dLbl>
            <c:dLbl>
              <c:idx val="84"/>
              <c:tx>
                <c:rich>
                  <a:bodyPr/>
                  <a:lstStyle/>
                  <a:p>
                    <a:fld id="{310800C7-7F25-4482-B4AD-24CE376873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B331-4538-B025-EA963831B826}"/>
                </c:ext>
              </c:extLst>
            </c:dLbl>
            <c:dLbl>
              <c:idx val="85"/>
              <c:tx>
                <c:rich>
                  <a:bodyPr/>
                  <a:lstStyle/>
                  <a:p>
                    <a:fld id="{07932192-649A-40CE-9B77-CC844C01F0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B331-4538-B025-EA963831B826}"/>
                </c:ext>
              </c:extLst>
            </c:dLbl>
            <c:dLbl>
              <c:idx val="86"/>
              <c:tx>
                <c:rich>
                  <a:bodyPr/>
                  <a:lstStyle/>
                  <a:p>
                    <a:fld id="{921AE692-079C-491C-B741-380788725E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B331-4538-B025-EA963831B826}"/>
                </c:ext>
              </c:extLst>
            </c:dLbl>
            <c:dLbl>
              <c:idx val="87"/>
              <c:tx>
                <c:rich>
                  <a:bodyPr/>
                  <a:lstStyle/>
                  <a:p>
                    <a:fld id="{11155D08-C257-4138-BA3E-43E59E6FE4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B331-4538-B025-EA963831B826}"/>
                </c:ext>
              </c:extLst>
            </c:dLbl>
            <c:dLbl>
              <c:idx val="88"/>
              <c:tx>
                <c:rich>
                  <a:bodyPr/>
                  <a:lstStyle/>
                  <a:p>
                    <a:fld id="{6B2C99D6-CDB9-455F-A0B5-D9DAC6D37F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B331-4538-B025-EA963831B826}"/>
                </c:ext>
              </c:extLst>
            </c:dLbl>
            <c:dLbl>
              <c:idx val="89"/>
              <c:tx>
                <c:rich>
                  <a:bodyPr/>
                  <a:lstStyle/>
                  <a:p>
                    <a:fld id="{5FD17D02-142D-403E-B63D-39BA2436A7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B331-4538-B025-EA963831B826}"/>
                </c:ext>
              </c:extLst>
            </c:dLbl>
            <c:dLbl>
              <c:idx val="90"/>
              <c:tx>
                <c:rich>
                  <a:bodyPr/>
                  <a:lstStyle/>
                  <a:p>
                    <a:fld id="{0916CE65-A989-4B61-9D54-EC46F53B3A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B331-4538-B025-EA963831B826}"/>
                </c:ext>
              </c:extLst>
            </c:dLbl>
            <c:dLbl>
              <c:idx val="91"/>
              <c:tx>
                <c:rich>
                  <a:bodyPr/>
                  <a:lstStyle/>
                  <a:p>
                    <a:fld id="{491699E1-81BF-4549-BF15-A9857ED65D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B331-4538-B025-EA963831B826}"/>
                </c:ext>
              </c:extLst>
            </c:dLbl>
            <c:dLbl>
              <c:idx val="92"/>
              <c:tx>
                <c:rich>
                  <a:bodyPr/>
                  <a:lstStyle/>
                  <a:p>
                    <a:fld id="{FA9C154C-2943-47A9-9709-8BFEF993F9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B331-4538-B025-EA963831B826}"/>
                </c:ext>
              </c:extLst>
            </c:dLbl>
            <c:dLbl>
              <c:idx val="93"/>
              <c:tx>
                <c:rich>
                  <a:bodyPr/>
                  <a:lstStyle/>
                  <a:p>
                    <a:fld id="{49A1A1C2-F132-4899-BD9C-6C0A841F24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B331-4538-B025-EA963831B826}"/>
                </c:ext>
              </c:extLst>
            </c:dLbl>
            <c:dLbl>
              <c:idx val="94"/>
              <c:tx>
                <c:rich>
                  <a:bodyPr/>
                  <a:lstStyle/>
                  <a:p>
                    <a:fld id="{F2A91E96-16AE-42BA-848F-47B2BDAF0E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B331-4538-B025-EA963831B826}"/>
                </c:ext>
              </c:extLst>
            </c:dLbl>
            <c:dLbl>
              <c:idx val="95"/>
              <c:tx>
                <c:rich>
                  <a:bodyPr/>
                  <a:lstStyle/>
                  <a:p>
                    <a:fld id="{247D22D1-140A-44E4-9CC0-F76425E191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B331-4538-B025-EA963831B826}"/>
                </c:ext>
              </c:extLst>
            </c:dLbl>
            <c:dLbl>
              <c:idx val="96"/>
              <c:tx>
                <c:rich>
                  <a:bodyPr/>
                  <a:lstStyle/>
                  <a:p>
                    <a:fld id="{D349BB57-C151-46EF-BFF5-5B7FE57713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B331-4538-B025-EA963831B826}"/>
                </c:ext>
              </c:extLst>
            </c:dLbl>
            <c:dLbl>
              <c:idx val="97"/>
              <c:tx>
                <c:rich>
                  <a:bodyPr/>
                  <a:lstStyle/>
                  <a:p>
                    <a:fld id="{E2F4D3DF-14C2-4D3E-B170-D7159BDDB9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B331-4538-B025-EA963831B826}"/>
                </c:ext>
              </c:extLst>
            </c:dLbl>
            <c:dLbl>
              <c:idx val="98"/>
              <c:tx>
                <c:rich>
                  <a:bodyPr/>
                  <a:lstStyle/>
                  <a:p>
                    <a:fld id="{DC3B211E-EA25-4269-8025-ACFD91CB89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B331-4538-B025-EA963831B826}"/>
                </c:ext>
              </c:extLst>
            </c:dLbl>
            <c:dLbl>
              <c:idx val="99"/>
              <c:tx>
                <c:rich>
                  <a:bodyPr/>
                  <a:lstStyle/>
                  <a:p>
                    <a:fld id="{86891472-6B87-4BA4-8028-1A0602982E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B331-4538-B025-EA963831B826}"/>
                </c:ext>
              </c:extLst>
            </c:dLbl>
            <c:dLbl>
              <c:idx val="100"/>
              <c:tx>
                <c:rich>
                  <a:bodyPr/>
                  <a:lstStyle/>
                  <a:p>
                    <a:fld id="{5BD11CA4-D064-43CC-809D-6624259C1D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B331-4538-B025-EA963831B826}"/>
                </c:ext>
              </c:extLst>
            </c:dLbl>
            <c:dLbl>
              <c:idx val="101"/>
              <c:tx>
                <c:rich>
                  <a:bodyPr/>
                  <a:lstStyle/>
                  <a:p>
                    <a:fld id="{D5705D13-F6EA-4B19-BCF4-9188F619BD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B331-4538-B025-EA963831B826}"/>
                </c:ext>
              </c:extLst>
            </c:dLbl>
            <c:dLbl>
              <c:idx val="102"/>
              <c:tx>
                <c:rich>
                  <a:bodyPr/>
                  <a:lstStyle/>
                  <a:p>
                    <a:fld id="{8AA6D59C-4403-4A18-A879-2741B40AD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B331-4538-B025-EA963831B826}"/>
                </c:ext>
              </c:extLst>
            </c:dLbl>
            <c:dLbl>
              <c:idx val="103"/>
              <c:tx>
                <c:rich>
                  <a:bodyPr/>
                  <a:lstStyle/>
                  <a:p>
                    <a:fld id="{6B26F20B-3C2F-441A-9013-8FF8EE4051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B331-4538-B025-EA963831B826}"/>
                </c:ext>
              </c:extLst>
            </c:dLbl>
            <c:dLbl>
              <c:idx val="104"/>
              <c:tx>
                <c:rich>
                  <a:bodyPr/>
                  <a:lstStyle/>
                  <a:p>
                    <a:fld id="{B75FAE58-B6AC-4628-B479-BB5209DFD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B331-4538-B025-EA963831B826}"/>
                </c:ext>
              </c:extLst>
            </c:dLbl>
            <c:dLbl>
              <c:idx val="105"/>
              <c:tx>
                <c:rich>
                  <a:bodyPr/>
                  <a:lstStyle/>
                  <a:p>
                    <a:fld id="{62154776-C7BC-4EE6-86D4-393981DDE2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B331-4538-B025-EA963831B826}"/>
                </c:ext>
              </c:extLst>
            </c:dLbl>
            <c:dLbl>
              <c:idx val="106"/>
              <c:tx>
                <c:rich>
                  <a:bodyPr/>
                  <a:lstStyle/>
                  <a:p>
                    <a:fld id="{671D8B35-2DC1-42EC-B720-520D44E365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B331-4538-B025-EA963831B826}"/>
                </c:ext>
              </c:extLst>
            </c:dLbl>
            <c:dLbl>
              <c:idx val="107"/>
              <c:tx>
                <c:rich>
                  <a:bodyPr/>
                  <a:lstStyle/>
                  <a:p>
                    <a:fld id="{33A42F25-2B80-4BCA-9B5F-F7E273F07D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B331-4538-B025-EA963831B826}"/>
                </c:ext>
              </c:extLst>
            </c:dLbl>
            <c:dLbl>
              <c:idx val="108"/>
              <c:tx>
                <c:rich>
                  <a:bodyPr/>
                  <a:lstStyle/>
                  <a:p>
                    <a:fld id="{AEA04A89-BEE4-4259-BD5C-E9D04C55DC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B331-4538-B025-EA963831B826}"/>
                </c:ext>
              </c:extLst>
            </c:dLbl>
            <c:dLbl>
              <c:idx val="109"/>
              <c:tx>
                <c:rich>
                  <a:bodyPr/>
                  <a:lstStyle/>
                  <a:p>
                    <a:fld id="{3850C3C4-598A-43A3-9FB3-D45F0AFA61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B331-4538-B025-EA963831B826}"/>
                </c:ext>
              </c:extLst>
            </c:dLbl>
            <c:dLbl>
              <c:idx val="110"/>
              <c:tx>
                <c:rich>
                  <a:bodyPr/>
                  <a:lstStyle/>
                  <a:p>
                    <a:fld id="{8AA40324-2E6C-45C6-B92F-B521898B73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B331-4538-B025-EA963831B826}"/>
                </c:ext>
              </c:extLst>
            </c:dLbl>
            <c:dLbl>
              <c:idx val="111"/>
              <c:tx>
                <c:rich>
                  <a:bodyPr/>
                  <a:lstStyle/>
                  <a:p>
                    <a:fld id="{53AEA96C-148C-4A1B-8C43-BDC22242A5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B331-4538-B025-EA963831B826}"/>
                </c:ext>
              </c:extLst>
            </c:dLbl>
            <c:dLbl>
              <c:idx val="112"/>
              <c:tx>
                <c:rich>
                  <a:bodyPr/>
                  <a:lstStyle/>
                  <a:p>
                    <a:fld id="{F559C1FF-1885-4F20-A26A-3FC7E078AD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B331-4538-B025-EA963831B826}"/>
                </c:ext>
              </c:extLst>
            </c:dLbl>
            <c:dLbl>
              <c:idx val="113"/>
              <c:tx>
                <c:rich>
                  <a:bodyPr/>
                  <a:lstStyle/>
                  <a:p>
                    <a:fld id="{53095992-2BD4-4CB8-B6BB-1C61E5DC15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B331-4538-B025-EA963831B826}"/>
                </c:ext>
              </c:extLst>
            </c:dLbl>
            <c:dLbl>
              <c:idx val="114"/>
              <c:tx>
                <c:rich>
                  <a:bodyPr/>
                  <a:lstStyle/>
                  <a:p>
                    <a:fld id="{4F7DDEF1-8B41-48E1-B7A4-C724C0BDE4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B331-4538-B025-EA963831B826}"/>
                </c:ext>
              </c:extLst>
            </c:dLbl>
            <c:dLbl>
              <c:idx val="115"/>
              <c:tx>
                <c:rich>
                  <a:bodyPr/>
                  <a:lstStyle/>
                  <a:p>
                    <a:fld id="{BBB1E5E2-FA2F-4588-B319-29F420C0DC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B331-4538-B025-EA963831B826}"/>
                </c:ext>
              </c:extLst>
            </c:dLbl>
            <c:dLbl>
              <c:idx val="116"/>
              <c:tx>
                <c:rich>
                  <a:bodyPr/>
                  <a:lstStyle/>
                  <a:p>
                    <a:fld id="{D7FF2CB2-3B1A-4349-9EBC-07BD3458F4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B331-4538-B025-EA963831B826}"/>
                </c:ext>
              </c:extLst>
            </c:dLbl>
            <c:dLbl>
              <c:idx val="117"/>
              <c:tx>
                <c:rich>
                  <a:bodyPr/>
                  <a:lstStyle/>
                  <a:p>
                    <a:fld id="{A752D511-6D22-46E8-B610-172975DA2D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B331-4538-B025-EA963831B826}"/>
                </c:ext>
              </c:extLst>
            </c:dLbl>
            <c:dLbl>
              <c:idx val="118"/>
              <c:tx>
                <c:rich>
                  <a:bodyPr/>
                  <a:lstStyle/>
                  <a:p>
                    <a:fld id="{2554E46F-7CA7-4378-B44C-7CA4906A93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B331-4538-B025-EA963831B826}"/>
                </c:ext>
              </c:extLst>
            </c:dLbl>
            <c:dLbl>
              <c:idx val="119"/>
              <c:tx>
                <c:rich>
                  <a:bodyPr/>
                  <a:lstStyle/>
                  <a:p>
                    <a:fld id="{F6B2326F-35F6-4DB2-A972-387D43C40A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B331-4538-B025-EA963831B826}"/>
                </c:ext>
              </c:extLst>
            </c:dLbl>
            <c:dLbl>
              <c:idx val="120"/>
              <c:tx>
                <c:rich>
                  <a:bodyPr/>
                  <a:lstStyle/>
                  <a:p>
                    <a:fld id="{C288A41F-4509-4191-B9D3-CE79A28460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B331-4538-B025-EA963831B826}"/>
                </c:ext>
              </c:extLst>
            </c:dLbl>
            <c:dLbl>
              <c:idx val="121"/>
              <c:tx>
                <c:rich>
                  <a:bodyPr/>
                  <a:lstStyle/>
                  <a:p>
                    <a:fld id="{EB430EF2-50A9-41CE-AD90-FB33C3221A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B331-4538-B025-EA963831B826}"/>
                </c:ext>
              </c:extLst>
            </c:dLbl>
            <c:dLbl>
              <c:idx val="122"/>
              <c:tx>
                <c:rich>
                  <a:bodyPr/>
                  <a:lstStyle/>
                  <a:p>
                    <a:fld id="{853B0A17-52E0-4A5D-B4C5-E65A024DF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B331-4538-B025-EA963831B826}"/>
                </c:ext>
              </c:extLst>
            </c:dLbl>
            <c:dLbl>
              <c:idx val="123"/>
              <c:tx>
                <c:rich>
                  <a:bodyPr/>
                  <a:lstStyle/>
                  <a:p>
                    <a:fld id="{D8F3520A-848F-4640-9761-83A8E69688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B331-4538-B025-EA963831B826}"/>
                </c:ext>
              </c:extLst>
            </c:dLbl>
            <c:dLbl>
              <c:idx val="124"/>
              <c:tx>
                <c:rich>
                  <a:bodyPr/>
                  <a:lstStyle/>
                  <a:p>
                    <a:fld id="{25717A75-1933-4909-96C5-68B1B8F837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B331-4538-B025-EA963831B826}"/>
                </c:ext>
              </c:extLst>
            </c:dLbl>
            <c:dLbl>
              <c:idx val="125"/>
              <c:tx>
                <c:rich>
                  <a:bodyPr/>
                  <a:lstStyle/>
                  <a:p>
                    <a:fld id="{58F9600C-C390-4D67-81A8-6259E6C3B0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B331-4538-B025-EA963831B826}"/>
                </c:ext>
              </c:extLst>
            </c:dLbl>
            <c:dLbl>
              <c:idx val="126"/>
              <c:tx>
                <c:rich>
                  <a:bodyPr/>
                  <a:lstStyle/>
                  <a:p>
                    <a:fld id="{278CCA87-9784-4FA1-B5E1-3BC6771182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B331-4538-B025-EA963831B826}"/>
                </c:ext>
              </c:extLst>
            </c:dLbl>
            <c:dLbl>
              <c:idx val="127"/>
              <c:tx>
                <c:rich>
                  <a:bodyPr/>
                  <a:lstStyle/>
                  <a:p>
                    <a:fld id="{1532409D-3EC7-42FB-A4CC-9E681AB71E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B331-4538-B025-EA963831B826}"/>
                </c:ext>
              </c:extLst>
            </c:dLbl>
            <c:dLbl>
              <c:idx val="128"/>
              <c:tx>
                <c:rich>
                  <a:bodyPr/>
                  <a:lstStyle/>
                  <a:p>
                    <a:fld id="{4A3C796D-582A-48E7-9454-21ED843940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B331-4538-B025-EA963831B826}"/>
                </c:ext>
              </c:extLst>
            </c:dLbl>
            <c:dLbl>
              <c:idx val="129"/>
              <c:tx>
                <c:rich>
                  <a:bodyPr/>
                  <a:lstStyle/>
                  <a:p>
                    <a:fld id="{58A62E60-71A0-414D-B609-975CDBFEAB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B331-4538-B025-EA963831B826}"/>
                </c:ext>
              </c:extLst>
            </c:dLbl>
            <c:dLbl>
              <c:idx val="130"/>
              <c:tx>
                <c:rich>
                  <a:bodyPr/>
                  <a:lstStyle/>
                  <a:p>
                    <a:fld id="{E6DD9A19-7097-41C9-9B45-0D1A84947A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B331-4538-B025-EA963831B826}"/>
                </c:ext>
              </c:extLst>
            </c:dLbl>
            <c:dLbl>
              <c:idx val="131"/>
              <c:tx>
                <c:rich>
                  <a:bodyPr/>
                  <a:lstStyle/>
                  <a:p>
                    <a:fld id="{4C55F8DE-4006-40C9-BEC8-E9965EACFE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B331-4538-B025-EA963831B826}"/>
                </c:ext>
              </c:extLst>
            </c:dLbl>
            <c:dLbl>
              <c:idx val="132"/>
              <c:tx>
                <c:rich>
                  <a:bodyPr/>
                  <a:lstStyle/>
                  <a:p>
                    <a:fld id="{D8AE8ED1-BCE7-44D9-961E-AF68BD063D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B331-4538-B025-EA963831B826}"/>
                </c:ext>
              </c:extLst>
            </c:dLbl>
            <c:dLbl>
              <c:idx val="133"/>
              <c:tx>
                <c:rich>
                  <a:bodyPr/>
                  <a:lstStyle/>
                  <a:p>
                    <a:fld id="{FFBBA198-A4F7-4DB9-9714-8CE3C76F88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B331-4538-B025-EA963831B826}"/>
                </c:ext>
              </c:extLst>
            </c:dLbl>
            <c:dLbl>
              <c:idx val="134"/>
              <c:tx>
                <c:rich>
                  <a:bodyPr/>
                  <a:lstStyle/>
                  <a:p>
                    <a:fld id="{CCD8835C-0BC6-4124-90A0-84656196BE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B331-4538-B025-EA963831B826}"/>
                </c:ext>
              </c:extLst>
            </c:dLbl>
            <c:dLbl>
              <c:idx val="135"/>
              <c:tx>
                <c:rich>
                  <a:bodyPr/>
                  <a:lstStyle/>
                  <a:p>
                    <a:fld id="{73FBAC89-3072-4272-A142-08674318B2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B331-4538-B025-EA963831B826}"/>
                </c:ext>
              </c:extLst>
            </c:dLbl>
            <c:dLbl>
              <c:idx val="136"/>
              <c:tx>
                <c:rich>
                  <a:bodyPr/>
                  <a:lstStyle/>
                  <a:p>
                    <a:fld id="{D0481DA8-7D4E-4815-98F0-7C6049EB83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B331-4538-B025-EA963831B826}"/>
                </c:ext>
              </c:extLst>
            </c:dLbl>
            <c:dLbl>
              <c:idx val="137"/>
              <c:tx>
                <c:rich>
                  <a:bodyPr/>
                  <a:lstStyle/>
                  <a:p>
                    <a:fld id="{F55F29F1-1408-4786-B06C-736373EDA6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B331-4538-B025-EA963831B826}"/>
                </c:ext>
              </c:extLst>
            </c:dLbl>
            <c:dLbl>
              <c:idx val="138"/>
              <c:tx>
                <c:rich>
                  <a:bodyPr/>
                  <a:lstStyle/>
                  <a:p>
                    <a:fld id="{FD66E624-6F19-4066-90F1-9490DA3A72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B331-4538-B025-EA963831B826}"/>
                </c:ext>
              </c:extLst>
            </c:dLbl>
            <c:dLbl>
              <c:idx val="139"/>
              <c:tx>
                <c:rich>
                  <a:bodyPr/>
                  <a:lstStyle/>
                  <a:p>
                    <a:fld id="{EF9F351C-8F16-492C-9057-6EA612EF7D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B331-4538-B025-EA963831B826}"/>
                </c:ext>
              </c:extLst>
            </c:dLbl>
            <c:dLbl>
              <c:idx val="140"/>
              <c:tx>
                <c:rich>
                  <a:bodyPr/>
                  <a:lstStyle/>
                  <a:p>
                    <a:fld id="{67E322CF-E87E-48B8-BDAA-4F79A2D20F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B331-4538-B025-EA963831B826}"/>
                </c:ext>
              </c:extLst>
            </c:dLbl>
            <c:dLbl>
              <c:idx val="141"/>
              <c:tx>
                <c:rich>
                  <a:bodyPr/>
                  <a:lstStyle/>
                  <a:p>
                    <a:fld id="{D1DE4525-1521-4226-A04E-2C6308C540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B331-4538-B025-EA963831B826}"/>
                </c:ext>
              </c:extLst>
            </c:dLbl>
            <c:dLbl>
              <c:idx val="142"/>
              <c:tx>
                <c:rich>
                  <a:bodyPr/>
                  <a:lstStyle/>
                  <a:p>
                    <a:fld id="{2A23BF94-6D67-404D-A92E-A03E09F129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B331-4538-B025-EA963831B826}"/>
                </c:ext>
              </c:extLst>
            </c:dLbl>
            <c:dLbl>
              <c:idx val="143"/>
              <c:tx>
                <c:rich>
                  <a:bodyPr/>
                  <a:lstStyle/>
                  <a:p>
                    <a:fld id="{0642D76A-6D7A-4B89-BF95-2DCC5B013C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B331-4538-B025-EA963831B826}"/>
                </c:ext>
              </c:extLst>
            </c:dLbl>
            <c:dLbl>
              <c:idx val="144"/>
              <c:tx>
                <c:rich>
                  <a:bodyPr/>
                  <a:lstStyle/>
                  <a:p>
                    <a:fld id="{349206DE-3A61-4212-BD4E-B82B06BF61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B331-4538-B025-EA963831B826}"/>
                </c:ext>
              </c:extLst>
            </c:dLbl>
            <c:dLbl>
              <c:idx val="145"/>
              <c:tx>
                <c:rich>
                  <a:bodyPr/>
                  <a:lstStyle/>
                  <a:p>
                    <a:fld id="{7CF4C14F-5E00-4A36-9D47-3C4CA61AC0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B331-4538-B025-EA963831B826}"/>
                </c:ext>
              </c:extLst>
            </c:dLbl>
            <c:dLbl>
              <c:idx val="146"/>
              <c:tx>
                <c:rich>
                  <a:bodyPr/>
                  <a:lstStyle/>
                  <a:p>
                    <a:fld id="{E06D5A9E-75D6-4A57-AB7A-D61528F417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B331-4538-B025-EA963831B826}"/>
                </c:ext>
              </c:extLst>
            </c:dLbl>
            <c:dLbl>
              <c:idx val="147"/>
              <c:tx>
                <c:rich>
                  <a:bodyPr/>
                  <a:lstStyle/>
                  <a:p>
                    <a:fld id="{E7E51F72-F0F2-4749-9005-FBFCA15CA1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B331-4538-B025-EA963831B826}"/>
                </c:ext>
              </c:extLst>
            </c:dLbl>
            <c:dLbl>
              <c:idx val="148"/>
              <c:tx>
                <c:rich>
                  <a:bodyPr/>
                  <a:lstStyle/>
                  <a:p>
                    <a:fld id="{8FDEA46A-0E88-4E9B-99F5-35BFB897FA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B331-4538-B025-EA963831B826}"/>
                </c:ext>
              </c:extLst>
            </c:dLbl>
            <c:dLbl>
              <c:idx val="149"/>
              <c:tx>
                <c:rich>
                  <a:bodyPr/>
                  <a:lstStyle/>
                  <a:p>
                    <a:fld id="{19C85B34-0ED7-42A3-8DEE-E4CC213D5A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B331-4538-B025-EA963831B826}"/>
                </c:ext>
              </c:extLst>
            </c:dLbl>
            <c:dLbl>
              <c:idx val="150"/>
              <c:tx>
                <c:rich>
                  <a:bodyPr/>
                  <a:lstStyle/>
                  <a:p>
                    <a:fld id="{14A970FB-5D2A-41E7-9874-E1F1B90575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B331-4538-B025-EA963831B826}"/>
                </c:ext>
              </c:extLst>
            </c:dLbl>
            <c:dLbl>
              <c:idx val="151"/>
              <c:tx>
                <c:rich>
                  <a:bodyPr/>
                  <a:lstStyle/>
                  <a:p>
                    <a:fld id="{47911EAD-95C6-4133-AE17-44E2164E43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B331-4538-B025-EA963831B826}"/>
                </c:ext>
              </c:extLst>
            </c:dLbl>
            <c:dLbl>
              <c:idx val="152"/>
              <c:tx>
                <c:rich>
                  <a:bodyPr/>
                  <a:lstStyle/>
                  <a:p>
                    <a:fld id="{12FFF021-2DF6-463F-BCF1-25671752EA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B331-4538-B025-EA963831B826}"/>
                </c:ext>
              </c:extLst>
            </c:dLbl>
            <c:dLbl>
              <c:idx val="153"/>
              <c:tx>
                <c:rich>
                  <a:bodyPr/>
                  <a:lstStyle/>
                  <a:p>
                    <a:fld id="{218E35E6-2BF7-464A-A317-FC9954FDE2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B331-4538-B025-EA963831B826}"/>
                </c:ext>
              </c:extLst>
            </c:dLbl>
            <c:dLbl>
              <c:idx val="154"/>
              <c:tx>
                <c:rich>
                  <a:bodyPr/>
                  <a:lstStyle/>
                  <a:p>
                    <a:fld id="{94FD9CEA-30B9-4FD3-AB19-D3FAE941AD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B331-4538-B025-EA963831B826}"/>
                </c:ext>
              </c:extLst>
            </c:dLbl>
            <c:dLbl>
              <c:idx val="155"/>
              <c:tx>
                <c:rich>
                  <a:bodyPr/>
                  <a:lstStyle/>
                  <a:p>
                    <a:fld id="{CCAC4AE6-72AF-403A-B709-0D4382CE23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B331-4538-B025-EA963831B826}"/>
                </c:ext>
              </c:extLst>
            </c:dLbl>
            <c:dLbl>
              <c:idx val="156"/>
              <c:tx>
                <c:rich>
                  <a:bodyPr/>
                  <a:lstStyle/>
                  <a:p>
                    <a:fld id="{3BAE7FFA-163A-4298-945D-48B0AE6827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B331-4538-B025-EA963831B826}"/>
                </c:ext>
              </c:extLst>
            </c:dLbl>
            <c:dLbl>
              <c:idx val="157"/>
              <c:tx>
                <c:rich>
                  <a:bodyPr/>
                  <a:lstStyle/>
                  <a:p>
                    <a:fld id="{712D9A03-2FF6-402F-9A64-27980FA3C2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B331-4538-B025-EA963831B826}"/>
                </c:ext>
              </c:extLst>
            </c:dLbl>
            <c:dLbl>
              <c:idx val="158"/>
              <c:tx>
                <c:rich>
                  <a:bodyPr/>
                  <a:lstStyle/>
                  <a:p>
                    <a:fld id="{86518535-4552-47B5-8D2D-7314ABD95F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B331-4538-B025-EA963831B826}"/>
                </c:ext>
              </c:extLst>
            </c:dLbl>
            <c:dLbl>
              <c:idx val="159"/>
              <c:tx>
                <c:rich>
                  <a:bodyPr/>
                  <a:lstStyle/>
                  <a:p>
                    <a:fld id="{F4B02232-21EC-4724-839F-ED8A498617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B331-4538-B025-EA963831B826}"/>
                </c:ext>
              </c:extLst>
            </c:dLbl>
            <c:dLbl>
              <c:idx val="160"/>
              <c:tx>
                <c:rich>
                  <a:bodyPr/>
                  <a:lstStyle/>
                  <a:p>
                    <a:fld id="{0410F95E-7E6C-4372-8331-76B921905D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B331-4538-B025-EA963831B826}"/>
                </c:ext>
              </c:extLst>
            </c:dLbl>
            <c:dLbl>
              <c:idx val="161"/>
              <c:tx>
                <c:rich>
                  <a:bodyPr/>
                  <a:lstStyle/>
                  <a:p>
                    <a:fld id="{BE7712B0-1E1E-489D-88B1-694E1164F7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B331-4538-B025-EA963831B826}"/>
                </c:ext>
              </c:extLst>
            </c:dLbl>
            <c:dLbl>
              <c:idx val="162"/>
              <c:tx>
                <c:rich>
                  <a:bodyPr/>
                  <a:lstStyle/>
                  <a:p>
                    <a:fld id="{D2E24C8A-58A9-4E53-94BC-CEA01C6282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B331-4538-B025-EA963831B826}"/>
                </c:ext>
              </c:extLst>
            </c:dLbl>
            <c:dLbl>
              <c:idx val="163"/>
              <c:tx>
                <c:rich>
                  <a:bodyPr/>
                  <a:lstStyle/>
                  <a:p>
                    <a:fld id="{D263A288-D22F-4DF4-B2B4-85A77D002B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B331-4538-B025-EA963831B826}"/>
                </c:ext>
              </c:extLst>
            </c:dLbl>
            <c:dLbl>
              <c:idx val="164"/>
              <c:tx>
                <c:rich>
                  <a:bodyPr/>
                  <a:lstStyle/>
                  <a:p>
                    <a:fld id="{7F7655A7-A326-4747-BE83-E3396719C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B331-4538-B025-EA963831B826}"/>
                </c:ext>
              </c:extLst>
            </c:dLbl>
            <c:dLbl>
              <c:idx val="165"/>
              <c:tx>
                <c:rich>
                  <a:bodyPr/>
                  <a:lstStyle/>
                  <a:p>
                    <a:fld id="{E414D2E9-5C1C-4BAE-BD34-1CC5342925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B331-4538-B025-EA963831B826}"/>
                </c:ext>
              </c:extLst>
            </c:dLbl>
            <c:dLbl>
              <c:idx val="166"/>
              <c:tx>
                <c:rich>
                  <a:bodyPr/>
                  <a:lstStyle/>
                  <a:p>
                    <a:fld id="{9D5D91A6-EEF5-43B8-A793-F24BD90808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B331-4538-B025-EA963831B826}"/>
                </c:ext>
              </c:extLst>
            </c:dLbl>
            <c:dLbl>
              <c:idx val="167"/>
              <c:tx>
                <c:rich>
                  <a:bodyPr/>
                  <a:lstStyle/>
                  <a:p>
                    <a:fld id="{27B3B38B-F8FC-4D9F-A0AF-3690B6A3B7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B331-4538-B025-EA963831B826}"/>
                </c:ext>
              </c:extLst>
            </c:dLbl>
            <c:dLbl>
              <c:idx val="168"/>
              <c:tx>
                <c:rich>
                  <a:bodyPr/>
                  <a:lstStyle/>
                  <a:p>
                    <a:fld id="{5EF6273F-4821-4BCF-8916-8E8B3051CC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B331-4538-B025-EA963831B826}"/>
                </c:ext>
              </c:extLst>
            </c:dLbl>
            <c:dLbl>
              <c:idx val="169"/>
              <c:tx>
                <c:rich>
                  <a:bodyPr/>
                  <a:lstStyle/>
                  <a:p>
                    <a:fld id="{08D08AA0-0F76-4431-A1FC-1C5559687A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B331-4538-B025-EA963831B826}"/>
                </c:ext>
              </c:extLst>
            </c:dLbl>
            <c:dLbl>
              <c:idx val="170"/>
              <c:tx>
                <c:rich>
                  <a:bodyPr/>
                  <a:lstStyle/>
                  <a:p>
                    <a:fld id="{A05123B8-B175-4491-91D5-97708D913B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B331-4538-B025-EA963831B826}"/>
                </c:ext>
              </c:extLst>
            </c:dLbl>
            <c:dLbl>
              <c:idx val="171"/>
              <c:tx>
                <c:rich>
                  <a:bodyPr/>
                  <a:lstStyle/>
                  <a:p>
                    <a:fld id="{72180322-E3C4-4BCE-AD9A-4BECC885B3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B331-4538-B025-EA963831B826}"/>
                </c:ext>
              </c:extLst>
            </c:dLbl>
            <c:dLbl>
              <c:idx val="172"/>
              <c:tx>
                <c:rich>
                  <a:bodyPr/>
                  <a:lstStyle/>
                  <a:p>
                    <a:fld id="{76F62B57-F82B-4FF5-85E3-30DF14FF8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B331-4538-B025-EA963831B826}"/>
                </c:ext>
              </c:extLst>
            </c:dLbl>
            <c:dLbl>
              <c:idx val="173"/>
              <c:tx>
                <c:rich>
                  <a:bodyPr/>
                  <a:lstStyle/>
                  <a:p>
                    <a:fld id="{7E595CB6-21D7-49A7-BF8C-9B202FE804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B331-4538-B025-EA963831B826}"/>
                </c:ext>
              </c:extLst>
            </c:dLbl>
            <c:dLbl>
              <c:idx val="174"/>
              <c:tx>
                <c:rich>
                  <a:bodyPr/>
                  <a:lstStyle/>
                  <a:p>
                    <a:fld id="{49F404F5-FCD2-4CDC-B2AD-FC3E457CB4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B331-4538-B025-EA963831B826}"/>
                </c:ext>
              </c:extLst>
            </c:dLbl>
            <c:dLbl>
              <c:idx val="175"/>
              <c:tx>
                <c:rich>
                  <a:bodyPr/>
                  <a:lstStyle/>
                  <a:p>
                    <a:fld id="{2FA119BF-F04B-48E0-A30F-656EE797A6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B331-4538-B025-EA963831B826}"/>
                </c:ext>
              </c:extLst>
            </c:dLbl>
            <c:dLbl>
              <c:idx val="176"/>
              <c:tx>
                <c:rich>
                  <a:bodyPr/>
                  <a:lstStyle/>
                  <a:p>
                    <a:fld id="{B8C9A410-0E27-49A1-BE94-7FDFD589DE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B331-4538-B025-EA963831B826}"/>
                </c:ext>
              </c:extLst>
            </c:dLbl>
            <c:dLbl>
              <c:idx val="177"/>
              <c:tx>
                <c:rich>
                  <a:bodyPr/>
                  <a:lstStyle/>
                  <a:p>
                    <a:fld id="{7BA2CC5E-97B4-45CC-86BC-7E23FDF9FA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B331-4538-B025-EA963831B826}"/>
                </c:ext>
              </c:extLst>
            </c:dLbl>
            <c:dLbl>
              <c:idx val="178"/>
              <c:tx>
                <c:rich>
                  <a:bodyPr/>
                  <a:lstStyle/>
                  <a:p>
                    <a:fld id="{8EB59DB2-4CE1-4CD6-ADAA-E0848A3F32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B331-4538-B025-EA963831B826}"/>
                </c:ext>
              </c:extLst>
            </c:dLbl>
            <c:dLbl>
              <c:idx val="179"/>
              <c:tx>
                <c:rich>
                  <a:bodyPr/>
                  <a:lstStyle/>
                  <a:p>
                    <a:fld id="{23C4317F-0F8F-4559-B10F-FB67D647A9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B331-4538-B025-EA963831B826}"/>
                </c:ext>
              </c:extLst>
            </c:dLbl>
            <c:dLbl>
              <c:idx val="180"/>
              <c:tx>
                <c:rich>
                  <a:bodyPr/>
                  <a:lstStyle/>
                  <a:p>
                    <a:fld id="{E169A3FD-537F-4BF1-9004-B050B901E0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B331-4538-B025-EA963831B826}"/>
                </c:ext>
              </c:extLst>
            </c:dLbl>
            <c:dLbl>
              <c:idx val="181"/>
              <c:tx>
                <c:rich>
                  <a:bodyPr/>
                  <a:lstStyle/>
                  <a:p>
                    <a:fld id="{D7B3A427-5694-425E-9913-DB23C3000C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B331-4538-B025-EA963831B826}"/>
                </c:ext>
              </c:extLst>
            </c:dLbl>
            <c:dLbl>
              <c:idx val="182"/>
              <c:tx>
                <c:rich>
                  <a:bodyPr/>
                  <a:lstStyle/>
                  <a:p>
                    <a:fld id="{052D48C9-B24D-44EE-A6B3-C94F61DA01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B331-4538-B025-EA963831B826}"/>
                </c:ext>
              </c:extLst>
            </c:dLbl>
            <c:dLbl>
              <c:idx val="183"/>
              <c:tx>
                <c:rich>
                  <a:bodyPr/>
                  <a:lstStyle/>
                  <a:p>
                    <a:fld id="{63B2B124-019F-4836-B860-D60A12844E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B331-4538-B025-EA963831B826}"/>
                </c:ext>
              </c:extLst>
            </c:dLbl>
            <c:dLbl>
              <c:idx val="184"/>
              <c:tx>
                <c:rich>
                  <a:bodyPr/>
                  <a:lstStyle/>
                  <a:p>
                    <a:fld id="{4EB813CB-A0DD-4C39-A746-357EE7655D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B331-4538-B025-EA963831B826}"/>
                </c:ext>
              </c:extLst>
            </c:dLbl>
            <c:dLbl>
              <c:idx val="185"/>
              <c:tx>
                <c:rich>
                  <a:bodyPr/>
                  <a:lstStyle/>
                  <a:p>
                    <a:fld id="{6EA903D6-83B4-496D-9055-5D9F9CEA00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B331-4538-B025-EA963831B826}"/>
                </c:ext>
              </c:extLst>
            </c:dLbl>
            <c:dLbl>
              <c:idx val="186"/>
              <c:tx>
                <c:rich>
                  <a:bodyPr/>
                  <a:lstStyle/>
                  <a:p>
                    <a:fld id="{76E44055-5B62-4F5C-BBEA-76495E3595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B331-4538-B025-EA963831B826}"/>
                </c:ext>
              </c:extLst>
            </c:dLbl>
            <c:dLbl>
              <c:idx val="187"/>
              <c:tx>
                <c:rich>
                  <a:bodyPr/>
                  <a:lstStyle/>
                  <a:p>
                    <a:fld id="{40395C26-9150-4138-888F-0420C7873D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B331-4538-B025-EA963831B826}"/>
                </c:ext>
              </c:extLst>
            </c:dLbl>
            <c:dLbl>
              <c:idx val="188"/>
              <c:tx>
                <c:rich>
                  <a:bodyPr/>
                  <a:lstStyle/>
                  <a:p>
                    <a:fld id="{83FD5514-9581-43C8-92D3-262CB5BFF1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B331-4538-B025-EA963831B826}"/>
                </c:ext>
              </c:extLst>
            </c:dLbl>
            <c:dLbl>
              <c:idx val="189"/>
              <c:tx>
                <c:rich>
                  <a:bodyPr/>
                  <a:lstStyle/>
                  <a:p>
                    <a:fld id="{29FE1D59-F6C4-4121-8C9A-29948E4858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B331-4538-B025-EA963831B826}"/>
                </c:ext>
              </c:extLst>
            </c:dLbl>
            <c:dLbl>
              <c:idx val="190"/>
              <c:tx>
                <c:rich>
                  <a:bodyPr/>
                  <a:lstStyle/>
                  <a:p>
                    <a:fld id="{5B928B05-C5C7-4420-9446-F19E35FB3A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B331-4538-B025-EA963831B826}"/>
                </c:ext>
              </c:extLst>
            </c:dLbl>
            <c:dLbl>
              <c:idx val="191"/>
              <c:tx>
                <c:rich>
                  <a:bodyPr/>
                  <a:lstStyle/>
                  <a:p>
                    <a:fld id="{CC2B178B-D17D-46F8-AC54-B56B9BE65E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B331-4538-B025-EA963831B826}"/>
                </c:ext>
              </c:extLst>
            </c:dLbl>
            <c:dLbl>
              <c:idx val="192"/>
              <c:tx>
                <c:rich>
                  <a:bodyPr/>
                  <a:lstStyle/>
                  <a:p>
                    <a:fld id="{F7002433-41F9-4CFF-A633-060D00E408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B331-4538-B025-EA963831B826}"/>
                </c:ext>
              </c:extLst>
            </c:dLbl>
            <c:dLbl>
              <c:idx val="193"/>
              <c:tx>
                <c:rich>
                  <a:bodyPr/>
                  <a:lstStyle/>
                  <a:p>
                    <a:fld id="{A126079D-C1D0-4874-8EA1-B2C64773C8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B331-4538-B025-EA963831B826}"/>
                </c:ext>
              </c:extLst>
            </c:dLbl>
            <c:dLbl>
              <c:idx val="194"/>
              <c:tx>
                <c:rich>
                  <a:bodyPr/>
                  <a:lstStyle/>
                  <a:p>
                    <a:fld id="{D3EDC873-CA9E-4750-A211-1930681D11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B331-4538-B025-EA963831B826}"/>
                </c:ext>
              </c:extLst>
            </c:dLbl>
            <c:dLbl>
              <c:idx val="195"/>
              <c:tx>
                <c:rich>
                  <a:bodyPr/>
                  <a:lstStyle/>
                  <a:p>
                    <a:fld id="{FBE55F6C-9010-4448-A878-E0DC870867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B331-4538-B025-EA963831B826}"/>
                </c:ext>
              </c:extLst>
            </c:dLbl>
            <c:dLbl>
              <c:idx val="196"/>
              <c:tx>
                <c:rich>
                  <a:bodyPr/>
                  <a:lstStyle/>
                  <a:p>
                    <a:fld id="{96257F42-2B3D-4A7C-83ED-7C9A0E42E3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B331-4538-B025-EA963831B826}"/>
                </c:ext>
              </c:extLst>
            </c:dLbl>
            <c:dLbl>
              <c:idx val="197"/>
              <c:tx>
                <c:rich>
                  <a:bodyPr/>
                  <a:lstStyle/>
                  <a:p>
                    <a:fld id="{02F8531E-A719-45ED-9FB1-6FD89E7B4C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B331-4538-B025-EA963831B826}"/>
                </c:ext>
              </c:extLst>
            </c:dLbl>
            <c:dLbl>
              <c:idx val="198"/>
              <c:tx>
                <c:rich>
                  <a:bodyPr/>
                  <a:lstStyle/>
                  <a:p>
                    <a:fld id="{DB6F95A4-47A6-45FC-BA53-60D66A2669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B331-4538-B025-EA963831B826}"/>
                </c:ext>
              </c:extLst>
            </c:dLbl>
            <c:dLbl>
              <c:idx val="199"/>
              <c:tx>
                <c:rich>
                  <a:bodyPr/>
                  <a:lstStyle/>
                  <a:p>
                    <a:fld id="{3F620124-16F2-44B4-A3B4-EC91B6BC5E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B331-4538-B025-EA963831B826}"/>
                </c:ext>
              </c:extLst>
            </c:dLbl>
            <c:dLbl>
              <c:idx val="200"/>
              <c:tx>
                <c:rich>
                  <a:bodyPr/>
                  <a:lstStyle/>
                  <a:p>
                    <a:fld id="{D1148F65-F5AC-4354-A019-6B3B88A5BA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B331-4538-B025-EA963831B826}"/>
                </c:ext>
              </c:extLst>
            </c:dLbl>
            <c:dLbl>
              <c:idx val="201"/>
              <c:tx>
                <c:rich>
                  <a:bodyPr/>
                  <a:lstStyle/>
                  <a:p>
                    <a:fld id="{9CA89152-E7B2-484E-8A37-BCE9DC602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B331-4538-B025-EA963831B826}"/>
                </c:ext>
              </c:extLst>
            </c:dLbl>
            <c:dLbl>
              <c:idx val="202"/>
              <c:tx>
                <c:rich>
                  <a:bodyPr/>
                  <a:lstStyle/>
                  <a:p>
                    <a:fld id="{71457358-B7E4-49F3-B290-600FF06833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B331-4538-B025-EA963831B826}"/>
                </c:ext>
              </c:extLst>
            </c:dLbl>
            <c:dLbl>
              <c:idx val="203"/>
              <c:tx>
                <c:rich>
                  <a:bodyPr/>
                  <a:lstStyle/>
                  <a:p>
                    <a:fld id="{0476118D-764F-4903-A21B-BAD83AA7E8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B331-4538-B025-EA963831B826}"/>
                </c:ext>
              </c:extLst>
            </c:dLbl>
            <c:dLbl>
              <c:idx val="204"/>
              <c:tx>
                <c:rich>
                  <a:bodyPr/>
                  <a:lstStyle/>
                  <a:p>
                    <a:fld id="{DE7A5064-4891-4904-BA3D-D484CF849F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B331-4538-B025-EA963831B826}"/>
                </c:ext>
              </c:extLst>
            </c:dLbl>
            <c:dLbl>
              <c:idx val="205"/>
              <c:tx>
                <c:rich>
                  <a:bodyPr/>
                  <a:lstStyle/>
                  <a:p>
                    <a:fld id="{6AA4A35B-DCFE-4887-9AD9-6B5579579B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B331-4538-B025-EA963831B826}"/>
                </c:ext>
              </c:extLst>
            </c:dLbl>
            <c:dLbl>
              <c:idx val="206"/>
              <c:tx>
                <c:rich>
                  <a:bodyPr/>
                  <a:lstStyle/>
                  <a:p>
                    <a:fld id="{1FA1A1A0-2118-4E86-B840-015E3E9AB4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B331-4538-B025-EA963831B826}"/>
                </c:ext>
              </c:extLst>
            </c:dLbl>
            <c:dLbl>
              <c:idx val="207"/>
              <c:tx>
                <c:rich>
                  <a:bodyPr/>
                  <a:lstStyle/>
                  <a:p>
                    <a:fld id="{B49C20E7-B9F9-4404-B947-0A48A05F38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B331-4538-B025-EA963831B826}"/>
                </c:ext>
              </c:extLst>
            </c:dLbl>
            <c:dLbl>
              <c:idx val="208"/>
              <c:tx>
                <c:rich>
                  <a:bodyPr/>
                  <a:lstStyle/>
                  <a:p>
                    <a:fld id="{8B84DE1A-EB0E-4834-9FCC-87DB5BFFF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B331-4538-B025-EA963831B826}"/>
                </c:ext>
              </c:extLst>
            </c:dLbl>
            <c:dLbl>
              <c:idx val="209"/>
              <c:tx>
                <c:rich>
                  <a:bodyPr/>
                  <a:lstStyle/>
                  <a:p>
                    <a:fld id="{4F2B5421-8F5A-4C28-B18E-45D6944497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B331-4538-B025-EA963831B826}"/>
                </c:ext>
              </c:extLst>
            </c:dLbl>
            <c:dLbl>
              <c:idx val="210"/>
              <c:tx>
                <c:rich>
                  <a:bodyPr/>
                  <a:lstStyle/>
                  <a:p>
                    <a:fld id="{AF63B2A6-15AD-4F4D-8C0F-03851C756D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B331-4538-B025-EA963831B826}"/>
                </c:ext>
              </c:extLst>
            </c:dLbl>
            <c:dLbl>
              <c:idx val="211"/>
              <c:tx>
                <c:rich>
                  <a:bodyPr/>
                  <a:lstStyle/>
                  <a:p>
                    <a:fld id="{FB5FA781-AB91-4600-8D02-DA808337DF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B331-4538-B025-EA963831B826}"/>
                </c:ext>
              </c:extLst>
            </c:dLbl>
            <c:dLbl>
              <c:idx val="212"/>
              <c:tx>
                <c:rich>
                  <a:bodyPr/>
                  <a:lstStyle/>
                  <a:p>
                    <a:fld id="{05ECD9F6-A225-4E26-B800-9C6FBBD78B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B331-4538-B025-EA963831B826}"/>
                </c:ext>
              </c:extLst>
            </c:dLbl>
            <c:dLbl>
              <c:idx val="213"/>
              <c:tx>
                <c:rich>
                  <a:bodyPr/>
                  <a:lstStyle/>
                  <a:p>
                    <a:fld id="{FEAB080A-3EBC-430C-BBA2-EB2485FAF8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B331-4538-B025-EA963831B826}"/>
                </c:ext>
              </c:extLst>
            </c:dLbl>
            <c:dLbl>
              <c:idx val="214"/>
              <c:tx>
                <c:rich>
                  <a:bodyPr/>
                  <a:lstStyle/>
                  <a:p>
                    <a:fld id="{EC501B1B-95F7-43F6-A27C-21FC1B9B5C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B331-4538-B025-EA963831B826}"/>
                </c:ext>
              </c:extLst>
            </c:dLbl>
            <c:dLbl>
              <c:idx val="215"/>
              <c:tx>
                <c:rich>
                  <a:bodyPr/>
                  <a:lstStyle/>
                  <a:p>
                    <a:fld id="{BCBF1EFF-4BCC-4AB1-A553-0E8B50722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B331-4538-B025-EA963831B826}"/>
                </c:ext>
              </c:extLst>
            </c:dLbl>
            <c:dLbl>
              <c:idx val="216"/>
              <c:tx>
                <c:rich>
                  <a:bodyPr/>
                  <a:lstStyle/>
                  <a:p>
                    <a:fld id="{1BADEA5E-DB8E-4EE7-A0CA-183AB82ED2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B331-4538-B025-EA963831B826}"/>
                </c:ext>
              </c:extLst>
            </c:dLbl>
            <c:dLbl>
              <c:idx val="217"/>
              <c:tx>
                <c:rich>
                  <a:bodyPr/>
                  <a:lstStyle/>
                  <a:p>
                    <a:fld id="{4BB5BDDD-33DF-451E-84BE-D645196898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B331-4538-B025-EA963831B826}"/>
                </c:ext>
              </c:extLst>
            </c:dLbl>
            <c:dLbl>
              <c:idx val="218"/>
              <c:tx>
                <c:rich>
                  <a:bodyPr/>
                  <a:lstStyle/>
                  <a:p>
                    <a:fld id="{B37C05F6-C463-402E-9445-88D5AE220B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B331-4538-B025-EA963831B826}"/>
                </c:ext>
              </c:extLst>
            </c:dLbl>
            <c:dLbl>
              <c:idx val="219"/>
              <c:tx>
                <c:rich>
                  <a:bodyPr/>
                  <a:lstStyle/>
                  <a:p>
                    <a:fld id="{CF5630F0-BDC5-4B94-B541-88A364F314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B331-4538-B025-EA963831B826}"/>
                </c:ext>
              </c:extLst>
            </c:dLbl>
            <c:dLbl>
              <c:idx val="220"/>
              <c:tx>
                <c:rich>
                  <a:bodyPr/>
                  <a:lstStyle/>
                  <a:p>
                    <a:fld id="{24649AA9-DD3D-41F6-BC3D-587F05D13B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B331-4538-B025-EA963831B826}"/>
                </c:ext>
              </c:extLst>
            </c:dLbl>
            <c:dLbl>
              <c:idx val="221"/>
              <c:tx>
                <c:rich>
                  <a:bodyPr/>
                  <a:lstStyle/>
                  <a:p>
                    <a:fld id="{CD3FB7E3-C58C-4462-9D77-613664B6B6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B331-4538-B025-EA963831B826}"/>
                </c:ext>
              </c:extLst>
            </c:dLbl>
            <c:dLbl>
              <c:idx val="222"/>
              <c:tx>
                <c:rich>
                  <a:bodyPr/>
                  <a:lstStyle/>
                  <a:p>
                    <a:fld id="{047209EE-3EB3-4555-B88F-33C114280F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B331-4538-B025-EA963831B826}"/>
                </c:ext>
              </c:extLst>
            </c:dLbl>
            <c:dLbl>
              <c:idx val="223"/>
              <c:tx>
                <c:rich>
                  <a:bodyPr/>
                  <a:lstStyle/>
                  <a:p>
                    <a:fld id="{B3B33134-B724-4051-BE88-AAB70F377F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B331-4538-B025-EA963831B826}"/>
                </c:ext>
              </c:extLst>
            </c:dLbl>
            <c:dLbl>
              <c:idx val="224"/>
              <c:tx>
                <c:rich>
                  <a:bodyPr/>
                  <a:lstStyle/>
                  <a:p>
                    <a:fld id="{F0043F84-8F3F-438C-AE2B-1609A5D3A5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B331-4538-B025-EA963831B826}"/>
                </c:ext>
              </c:extLst>
            </c:dLbl>
            <c:dLbl>
              <c:idx val="225"/>
              <c:tx>
                <c:rich>
                  <a:bodyPr/>
                  <a:lstStyle/>
                  <a:p>
                    <a:fld id="{ECB06F9E-BE45-4583-800D-9F82F3AE9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B331-4538-B025-EA963831B826}"/>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B331-4538-B025-EA963831B826}"/>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B331-4538-B025-EA963831B826}"/>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B331-4538-B025-EA963831B826}"/>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B331-4538-B025-EA963831B826}"/>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B331-4538-B025-EA963831B826}"/>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B331-4538-B025-EA963831B826}"/>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B331-4538-B025-EA963831B826}"/>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B331-4538-B025-EA963831B826}"/>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B331-4538-B025-EA963831B826}"/>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B331-4538-B025-EA963831B826}"/>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B331-4538-B025-EA963831B826}"/>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B331-4538-B025-EA963831B826}"/>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B331-4538-B025-EA963831B826}"/>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B331-4538-B025-EA963831B826}"/>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B331-4538-B025-EA963831B826}"/>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B331-4538-B025-EA963831B826}"/>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B331-4538-B025-EA963831B826}"/>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B331-4538-B025-EA963831B826}"/>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B331-4538-B025-EA963831B826}"/>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B331-4538-B025-EA963831B826}"/>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B331-4538-B025-EA963831B826}"/>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B331-4538-B025-EA963831B826}"/>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B331-4538-B025-EA963831B826}"/>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B331-4538-B025-EA963831B826}"/>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B331-4538-B025-EA963831B826}"/>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B331-4538-B025-EA963831B826}"/>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B331-4538-B025-EA963831B826}"/>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B331-4538-B025-EA963831B826}"/>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B331-4538-B025-EA963831B826}"/>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B331-4538-B025-EA963831B826}"/>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B331-4538-B025-EA963831B826}"/>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B331-4538-B025-EA963831B826}"/>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B331-4538-B025-EA963831B826}"/>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B331-4538-B025-EA963831B826}"/>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B331-4538-B025-EA963831B826}"/>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B331-4538-B025-EA963831B826}"/>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B331-4538-B025-EA963831B826}"/>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B331-4538-B025-EA963831B826}"/>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B331-4538-B025-EA963831B826}"/>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B331-4538-B025-EA963831B826}"/>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B331-4538-B025-EA963831B826}"/>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B331-4538-B025-EA963831B826}"/>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B331-4538-B025-EA963831B826}"/>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B331-4538-B025-EA963831B826}"/>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B331-4538-B025-EA963831B826}"/>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B331-4538-B025-EA963831B826}"/>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B331-4538-B025-EA963831B826}"/>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B331-4538-B025-EA963831B826}"/>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B331-4538-B025-EA963831B826}"/>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B331-4538-B025-EA963831B826}"/>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B331-4538-B025-EA963831B826}"/>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B331-4538-B025-EA963831B826}"/>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B331-4538-B025-EA963831B826}"/>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B331-4538-B025-EA963831B826}"/>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B331-4538-B025-EA963831B826}"/>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B331-4538-B025-EA963831B826}"/>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B331-4538-B025-EA963831B826}"/>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B331-4538-B025-EA963831B826}"/>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B331-4538-B025-EA963831B826}"/>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B331-4538-B025-EA963831B826}"/>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B331-4538-B025-EA963831B826}"/>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B331-4538-B025-EA963831B826}"/>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B331-4538-B025-EA963831B826}"/>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B331-4538-B025-EA963831B826}"/>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B331-4538-B025-EA963831B826}"/>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B331-4538-B025-EA963831B826}"/>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B331-4538-B025-EA963831B826}"/>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B331-4538-B025-EA963831B826}"/>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B331-4538-B025-EA963831B826}"/>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B331-4538-B025-EA963831B826}"/>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B331-4538-B025-EA963831B826}"/>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B331-4538-B025-EA963831B826}"/>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B331-4538-B025-EA963831B826}"/>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42.519634246826172</c:v>
                </c:pt>
                <c:pt idx="1">
                  <c:v>45.231914520263672</c:v>
                </c:pt>
                <c:pt idx="2">
                  <c:v>47.565940856933594</c:v>
                </c:pt>
                <c:pt idx="3">
                  <c:v>49.828319549560547</c:v>
                </c:pt>
                <c:pt idx="4">
                  <c:v>52.125213623046875</c:v>
                </c:pt>
                <c:pt idx="5">
                  <c:v>54.285453796386719</c:v>
                </c:pt>
                <c:pt idx="6">
                  <c:v>56.566947937011719</c:v>
                </c:pt>
                <c:pt idx="7">
                  <c:v>58.388450622558594</c:v>
                </c:pt>
                <c:pt idx="8">
                  <c:v>59.295761108398438</c:v>
                </c:pt>
                <c:pt idx="9">
                  <c:v>58.979148864746094</c:v>
                </c:pt>
                <c:pt idx="10">
                  <c:v>57.431575775146484</c:v>
                </c:pt>
                <c:pt idx="11">
                  <c:v>54.598590850830078</c:v>
                </c:pt>
                <c:pt idx="12">
                  <c:v>50.616008758544922</c:v>
                </c:pt>
                <c:pt idx="13">
                  <c:v>46.122188568115234</c:v>
                </c:pt>
                <c:pt idx="14">
                  <c:v>41.764686584472656</c:v>
                </c:pt>
                <c:pt idx="15">
                  <c:v>38.527557373046875</c:v>
                </c:pt>
                <c:pt idx="16">
                  <c:v>37.365257263183594</c:v>
                </c:pt>
                <c:pt idx="17">
                  <c:v>38.510078430175781</c:v>
                </c:pt>
                <c:pt idx="18">
                  <c:v>41.975467681884766</c:v>
                </c:pt>
                <c:pt idx="19">
                  <c:v>47.68365478515625</c:v>
                </c:pt>
                <c:pt idx="20">
                  <c:v>55.088260650634766</c:v>
                </c:pt>
                <c:pt idx="21">
                  <c:v>63.822109222412109</c:v>
                </c:pt>
                <c:pt idx="22">
                  <c:v>73.21929931640625</c:v>
                </c:pt>
                <c:pt idx="23">
                  <c:v>82.201301574707031</c:v>
                </c:pt>
                <c:pt idx="24">
                  <c:v>90.616744995117188</c:v>
                </c:pt>
                <c:pt idx="25">
                  <c:v>96.794242858886719</c:v>
                </c:pt>
                <c:pt idx="26">
                  <c:v>100</c:v>
                </c:pt>
                <c:pt idx="27">
                  <c:v>99.172607421875</c:v>
                </c:pt>
                <c:pt idx="28">
                  <c:v>94.263420104980469</c:v>
                </c:pt>
                <c:pt idx="29">
                  <c:v>87.219505310058594</c:v>
                </c:pt>
                <c:pt idx="30">
                  <c:v>80.031326293945313</c:v>
                </c:pt>
                <c:pt idx="31">
                  <c:v>74.509445190429688</c:v>
                </c:pt>
                <c:pt idx="32">
                  <c:v>70.89837646484375</c:v>
                </c:pt>
                <c:pt idx="33">
                  <c:v>68.685585021972656</c:v>
                </c:pt>
                <c:pt idx="34">
                  <c:v>66.81646728515625</c:v>
                </c:pt>
                <c:pt idx="35">
                  <c:v>64.568931579589844</c:v>
                </c:pt>
                <c:pt idx="36">
                  <c:v>61.502025604248047</c:v>
                </c:pt>
                <c:pt idx="37">
                  <c:v>57.204578399658203</c:v>
                </c:pt>
                <c:pt idx="38">
                  <c:v>52.039913177490234</c:v>
                </c:pt>
                <c:pt idx="39">
                  <c:v>46.427558898925781</c:v>
                </c:pt>
                <c:pt idx="40">
                  <c:v>40.971111297607422</c:v>
                </c:pt>
                <c:pt idx="41">
                  <c:v>36.305850982666016</c:v>
                </c:pt>
                <c:pt idx="42">
                  <c:v>32.863803863525391</c:v>
                </c:pt>
                <c:pt idx="43">
                  <c:v>30.707721710205078</c:v>
                </c:pt>
                <c:pt idx="44">
                  <c:v>29.726972579956055</c:v>
                </c:pt>
                <c:pt idx="45">
                  <c:v>29.384273529052734</c:v>
                </c:pt>
                <c:pt idx="46">
                  <c:v>29.284149169921875</c:v>
                </c:pt>
                <c:pt idx="47">
                  <c:v>29.323070526123047</c:v>
                </c:pt>
                <c:pt idx="48">
                  <c:v>29.238170623779297</c:v>
                </c:pt>
                <c:pt idx="49">
                  <c:v>28.964925765991211</c:v>
                </c:pt>
                <c:pt idx="50">
                  <c:v>28.352787017822266</c:v>
                </c:pt>
                <c:pt idx="51">
                  <c:v>27.114151000976563</c:v>
                </c:pt>
                <c:pt idx="52">
                  <c:v>25.556600570678711</c:v>
                </c:pt>
                <c:pt idx="53">
                  <c:v>23.961700439453125</c:v>
                </c:pt>
                <c:pt idx="54">
                  <c:v>21.959999084472656</c:v>
                </c:pt>
                <c:pt idx="55">
                  <c:v>19.76353645324707</c:v>
                </c:pt>
                <c:pt idx="56">
                  <c:v>17.780796051025391</c:v>
                </c:pt>
                <c:pt idx="57">
                  <c:v>15.849370002746582</c:v>
                </c:pt>
                <c:pt idx="58">
                  <c:v>14.097014427185059</c:v>
                </c:pt>
                <c:pt idx="59">
                  <c:v>12.821404457092285</c:v>
                </c:pt>
                <c:pt idx="60">
                  <c:v>12.078629493713379</c:v>
                </c:pt>
                <c:pt idx="61">
                  <c:v>11.858976364135742</c:v>
                </c:pt>
                <c:pt idx="62">
                  <c:v>11.781952857971191</c:v>
                </c:pt>
                <c:pt idx="63">
                  <c:v>11.97901439666748</c:v>
                </c:pt>
                <c:pt idx="64">
                  <c:v>12.683222770690918</c:v>
                </c:pt>
                <c:pt idx="65">
                  <c:v>13.590354919433594</c:v>
                </c:pt>
                <c:pt idx="66">
                  <c:v>14.678684234619141</c:v>
                </c:pt>
                <c:pt idx="67">
                  <c:v>15.896632194519043</c:v>
                </c:pt>
                <c:pt idx="68">
                  <c:v>17.177221298217773</c:v>
                </c:pt>
                <c:pt idx="69">
                  <c:v>18.531936645507813</c:v>
                </c:pt>
                <c:pt idx="70">
                  <c:v>19.884082794189453</c:v>
                </c:pt>
                <c:pt idx="71">
                  <c:v>21.359033584594727</c:v>
                </c:pt>
                <c:pt idx="72">
                  <c:v>22.837791442871094</c:v>
                </c:pt>
                <c:pt idx="73">
                  <c:v>24.210206985473633</c:v>
                </c:pt>
                <c:pt idx="74">
                  <c:v>25.577245712280273</c:v>
                </c:pt>
                <c:pt idx="75">
                  <c:v>26.8946533203125</c:v>
                </c:pt>
                <c:pt idx="76">
                  <c:v>28.063568115234375</c:v>
                </c:pt>
                <c:pt idx="77">
                  <c:v>29.098793029785156</c:v>
                </c:pt>
                <c:pt idx="78">
                  <c:v>30.223676681518555</c:v>
                </c:pt>
                <c:pt idx="79">
                  <c:v>31.082328796386719</c:v>
                </c:pt>
                <c:pt idx="80">
                  <c:v>31.828134536743164</c:v>
                </c:pt>
                <c:pt idx="81">
                  <c:v>32.515968322753906</c:v>
                </c:pt>
                <c:pt idx="82">
                  <c:v>32.927616119384766</c:v>
                </c:pt>
                <c:pt idx="83">
                  <c:v>33.045131683349609</c:v>
                </c:pt>
                <c:pt idx="84">
                  <c:v>32.801605224609375</c:v>
                </c:pt>
                <c:pt idx="85">
                  <c:v>32.281269073486328</c:v>
                </c:pt>
                <c:pt idx="86">
                  <c:v>31.724714279174805</c:v>
                </c:pt>
                <c:pt idx="87">
                  <c:v>30.919609069824219</c:v>
                </c:pt>
                <c:pt idx="88">
                  <c:v>30.000770568847656</c:v>
                </c:pt>
                <c:pt idx="89">
                  <c:v>28.901931762695313</c:v>
                </c:pt>
                <c:pt idx="90">
                  <c:v>27.703475952148438</c:v>
                </c:pt>
                <c:pt idx="91">
                  <c:v>26.333671569824219</c:v>
                </c:pt>
                <c:pt idx="92">
                  <c:v>24.721733093261719</c:v>
                </c:pt>
                <c:pt idx="93">
                  <c:v>23.131479263305664</c:v>
                </c:pt>
                <c:pt idx="94">
                  <c:v>21.543062210083008</c:v>
                </c:pt>
                <c:pt idx="95">
                  <c:v>19.903974533081055</c:v>
                </c:pt>
                <c:pt idx="96">
                  <c:v>18.01777458190918</c:v>
                </c:pt>
                <c:pt idx="97">
                  <c:v>16.341360092163086</c:v>
                </c:pt>
                <c:pt idx="98">
                  <c:v>14.956707954406738</c:v>
                </c:pt>
                <c:pt idx="99">
                  <c:v>13.632462501525879</c:v>
                </c:pt>
                <c:pt idx="100">
                  <c:v>12.268256187438965</c:v>
                </c:pt>
                <c:pt idx="101">
                  <c:v>10.944210052490234</c:v>
                </c:pt>
                <c:pt idx="102">
                  <c:v>9.6584205627441406</c:v>
                </c:pt>
                <c:pt idx="103">
                  <c:v>8.4906787872314453</c:v>
                </c:pt>
                <c:pt idx="104">
                  <c:v>7.4533295631408691</c:v>
                </c:pt>
                <c:pt idx="105">
                  <c:v>6.7452049255371094</c:v>
                </c:pt>
                <c:pt idx="106">
                  <c:v>6.1705055236816406</c:v>
                </c:pt>
                <c:pt idx="107">
                  <c:v>5.397615909576416</c:v>
                </c:pt>
                <c:pt idx="108">
                  <c:v>4.7846150398254395</c:v>
                </c:pt>
                <c:pt idx="109">
                  <c:v>4.2921161651611328</c:v>
                </c:pt>
                <c:pt idx="110">
                  <c:v>3.9048750400543213</c:v>
                </c:pt>
                <c:pt idx="111">
                  <c:v>3.6704192161560059</c:v>
                </c:pt>
                <c:pt idx="112">
                  <c:v>3.3566610813140869</c:v>
                </c:pt>
                <c:pt idx="113">
                  <c:v>3.3946971893310547</c:v>
                </c:pt>
                <c:pt idx="114">
                  <c:v>3.3888776302337646</c:v>
                </c:pt>
                <c:pt idx="115">
                  <c:v>3.30545973777771</c:v>
                </c:pt>
                <c:pt idx="116">
                  <c:v>3.3337156772613525</c:v>
                </c:pt>
                <c:pt idx="117">
                  <c:v>2.9447484016418457</c:v>
                </c:pt>
                <c:pt idx="118">
                  <c:v>2.7324638366699219</c:v>
                </c:pt>
                <c:pt idx="119">
                  <c:v>2.7397212982177734</c:v>
                </c:pt>
                <c:pt idx="120">
                  <c:v>2.8149745464324951</c:v>
                </c:pt>
                <c:pt idx="121">
                  <c:v>3.0105977058410645</c:v>
                </c:pt>
                <c:pt idx="122">
                  <c:v>2.8895421028137207</c:v>
                </c:pt>
                <c:pt idx="123">
                  <c:v>2.8398008346557617</c:v>
                </c:pt>
                <c:pt idx="124">
                  <c:v>3.0755620002746582</c:v>
                </c:pt>
                <c:pt idx="125">
                  <c:v>2.7997071743011475</c:v>
                </c:pt>
                <c:pt idx="126">
                  <c:v>2.6977245807647705</c:v>
                </c:pt>
                <c:pt idx="127">
                  <c:v>2.9651272296905518</c:v>
                </c:pt>
                <c:pt idx="128">
                  <c:v>2.9065132141113281</c:v>
                </c:pt>
                <c:pt idx="129">
                  <c:v>2.852236270904541</c:v>
                </c:pt>
                <c:pt idx="130">
                  <c:v>2.9176430702209473</c:v>
                </c:pt>
                <c:pt idx="131">
                  <c:v>2.8847846984863281</c:v>
                </c:pt>
                <c:pt idx="132">
                  <c:v>2.7666497230529785</c:v>
                </c:pt>
                <c:pt idx="133">
                  <c:v>2.8451113700866699</c:v>
                </c:pt>
                <c:pt idx="134">
                  <c:v>2.7319326400756836</c:v>
                </c:pt>
                <c:pt idx="135">
                  <c:v>2.6607065200805664</c:v>
                </c:pt>
                <c:pt idx="136">
                  <c:v>3.2127704620361328</c:v>
                </c:pt>
                <c:pt idx="137">
                  <c:v>3.2951927185058594</c:v>
                </c:pt>
                <c:pt idx="138">
                  <c:v>2.8859353065490723</c:v>
                </c:pt>
                <c:pt idx="139">
                  <c:v>2.6095271110534668</c:v>
                </c:pt>
                <c:pt idx="140">
                  <c:v>2.5140056610107422</c:v>
                </c:pt>
                <c:pt idx="141">
                  <c:v>2.8479213714599609</c:v>
                </c:pt>
                <c:pt idx="142">
                  <c:v>2.878279447555542</c:v>
                </c:pt>
                <c:pt idx="143">
                  <c:v>2.6970829963684082</c:v>
                </c:pt>
                <c:pt idx="144">
                  <c:v>2.8083586692810059</c:v>
                </c:pt>
                <c:pt idx="145">
                  <c:v>2.7292110919952393</c:v>
                </c:pt>
                <c:pt idx="146">
                  <c:v>2.9688444137573242</c:v>
                </c:pt>
                <c:pt idx="147">
                  <c:v>3.1155009269714355</c:v>
                </c:pt>
                <c:pt idx="148">
                  <c:v>3.0507357120513916</c:v>
                </c:pt>
                <c:pt idx="149">
                  <c:v>2.9913032054901123</c:v>
                </c:pt>
                <c:pt idx="150">
                  <c:v>2.685112476348877</c:v>
                </c:pt>
                <c:pt idx="151">
                  <c:v>2.7384159564971924</c:v>
                </c:pt>
                <c:pt idx="152">
                  <c:v>2.7303838729858398</c:v>
                </c:pt>
                <c:pt idx="153">
                  <c:v>2.5452709197998047</c:v>
                </c:pt>
                <c:pt idx="154">
                  <c:v>2.6782972812652588</c:v>
                </c:pt>
                <c:pt idx="155">
                  <c:v>2.9744424819946289</c:v>
                </c:pt>
                <c:pt idx="156">
                  <c:v>3.0586349964141846</c:v>
                </c:pt>
                <c:pt idx="157">
                  <c:v>2.899388313293457</c:v>
                </c:pt>
                <c:pt idx="158">
                  <c:v>2.8502669334411621</c:v>
                </c:pt>
                <c:pt idx="159">
                  <c:v>2.7210021018981934</c:v>
                </c:pt>
                <c:pt idx="160">
                  <c:v>2.4814350605010986</c:v>
                </c:pt>
                <c:pt idx="161">
                  <c:v>2.3927950859069824</c:v>
                </c:pt>
                <c:pt idx="162">
                  <c:v>2.5275917053222656</c:v>
                </c:pt>
                <c:pt idx="163">
                  <c:v>2.7723362445831299</c:v>
                </c:pt>
                <c:pt idx="164">
                  <c:v>2.8139567375183105</c:v>
                </c:pt>
                <c:pt idx="165">
                  <c:v>2.8648927211761475</c:v>
                </c:pt>
                <c:pt idx="166">
                  <c:v>3.0176782608032227</c:v>
                </c:pt>
                <c:pt idx="167">
                  <c:v>2.9784696102142334</c:v>
                </c:pt>
                <c:pt idx="168">
                  <c:v>3.2686185836791992</c:v>
                </c:pt>
                <c:pt idx="169">
                  <c:v>3.0252900123596191</c:v>
                </c:pt>
                <c:pt idx="170">
                  <c:v>2.6105892658233643</c:v>
                </c:pt>
                <c:pt idx="171">
                  <c:v>2.5970256328582764</c:v>
                </c:pt>
                <c:pt idx="172">
                  <c:v>2.6354377269744873</c:v>
                </c:pt>
                <c:pt idx="173">
                  <c:v>2.6536922454833984</c:v>
                </c:pt>
                <c:pt idx="174">
                  <c:v>2.4966361522674561</c:v>
                </c:pt>
                <c:pt idx="175">
                  <c:v>2.7163333892822266</c:v>
                </c:pt>
                <c:pt idx="176">
                  <c:v>2.7350525856018066</c:v>
                </c:pt>
                <c:pt idx="177">
                  <c:v>2.6939408779144287</c:v>
                </c:pt>
                <c:pt idx="178">
                  <c:v>3.2206475734710693</c:v>
                </c:pt>
                <c:pt idx="179">
                  <c:v>3.0713579654693604</c:v>
                </c:pt>
                <c:pt idx="180">
                  <c:v>2.5570645332336426</c:v>
                </c:pt>
                <c:pt idx="181">
                  <c:v>2.5024998188018799</c:v>
                </c:pt>
                <c:pt idx="182">
                  <c:v>2.5322604179382324</c:v>
                </c:pt>
                <c:pt idx="183">
                  <c:v>2.782581090927124</c:v>
                </c:pt>
                <c:pt idx="184">
                  <c:v>2.6086642742156982</c:v>
                </c:pt>
                <c:pt idx="185">
                  <c:v>2</c:v>
                </c:pt>
                <c:pt idx="186">
                  <c:v>2.4204535484313965</c:v>
                </c:pt>
                <c:pt idx="187">
                  <c:v>2.8330080509185791</c:v>
                </c:pt>
                <c:pt idx="188">
                  <c:v>2.6617686748504639</c:v>
                </c:pt>
                <c:pt idx="189">
                  <c:v>2.8772172927856445</c:v>
                </c:pt>
                <c:pt idx="190">
                  <c:v>2.8069427013397217</c:v>
                </c:pt>
                <c:pt idx="191">
                  <c:v>2.5697875022888184</c:v>
                </c:pt>
                <c:pt idx="192">
                  <c:v>2.8263921737670898</c:v>
                </c:pt>
                <c:pt idx="193">
                  <c:v>2.9841783046722412</c:v>
                </c:pt>
                <c:pt idx="194">
                  <c:v>2.9662778377532959</c:v>
                </c:pt>
                <c:pt idx="195">
                  <c:v>2.8330302238464355</c:v>
                </c:pt>
                <c:pt idx="196">
                  <c:v>2.816058874130249</c:v>
                </c:pt>
                <c:pt idx="197">
                  <c:v>2.7407612800598145</c:v>
                </c:pt>
                <c:pt idx="198">
                  <c:v>2.7055354118347168</c:v>
                </c:pt>
                <c:pt idx="199">
                  <c:v>3.0150895118713379</c:v>
                </c:pt>
                <c:pt idx="200">
                  <c:v>2.8869974613189697</c:v>
                </c:pt>
                <c:pt idx="201">
                  <c:v>2.9580466747283936</c:v>
                </c:pt>
                <c:pt idx="202">
                  <c:v>3.0649411678314209</c:v>
                </c:pt>
                <c:pt idx="203">
                  <c:v>3.0097126960754395</c:v>
                </c:pt>
                <c:pt idx="204">
                  <c:v>2.7357163429260254</c:v>
                </c:pt>
                <c:pt idx="205">
                  <c:v>2.8205506801605225</c:v>
                </c:pt>
                <c:pt idx="206">
                  <c:v>2.7510061264038086</c:v>
                </c:pt>
                <c:pt idx="207">
                  <c:v>2.5443637371063232</c:v>
                </c:pt>
                <c:pt idx="208">
                  <c:v>2.4079298973083496</c:v>
                </c:pt>
                <c:pt idx="209">
                  <c:v>2.6063852310180664</c:v>
                </c:pt>
                <c:pt idx="210">
                  <c:v>2.8364377021789551</c:v>
                </c:pt>
                <c:pt idx="211">
                  <c:v>2.6194841861724854</c:v>
                </c:pt>
                <c:pt idx="212">
                  <c:v>2.7052478790283203</c:v>
                </c:pt>
                <c:pt idx="213">
                  <c:v>2.8613746166229248</c:v>
                </c:pt>
                <c:pt idx="214">
                  <c:v>2.8564624786376953</c:v>
                </c:pt>
                <c:pt idx="215">
                  <c:v>2.752223014831543</c:v>
                </c:pt>
                <c:pt idx="216">
                  <c:v>2.4107177257537842</c:v>
                </c:pt>
                <c:pt idx="217">
                  <c:v>2.5029866695404053</c:v>
                </c:pt>
                <c:pt idx="218">
                  <c:v>2.425940990447998</c:v>
                </c:pt>
                <c:pt idx="219">
                  <c:v>2.6312999725341797</c:v>
                </c:pt>
                <c:pt idx="220">
                  <c:v>2.8604452610015869</c:v>
                </c:pt>
                <c:pt idx="221">
                  <c:v>2.9100978374481201</c:v>
                </c:pt>
                <c:pt idx="222">
                  <c:v>3.1235992908477783</c:v>
                </c:pt>
                <c:pt idx="223">
                  <c:v>2.6524310111999512</c:v>
                </c:pt>
                <c:pt idx="224">
                  <c:v>2.456343412399292</c:v>
                </c:pt>
                <c:pt idx="225">
                  <c:v>2.3936359882354736</c:v>
                </c:pt>
              </c:numCache>
            </c:numRef>
          </c:yVal>
          <c:smooth val="1"/>
          <c:extLst>
            <c:ext xmlns:c15="http://schemas.microsoft.com/office/drawing/2012/chart" uri="{02D57815-91ED-43cb-92C2-25804820EDAC}">
              <c15:datalabelsRange>
                <c15:f>PeakLabels!$B$2:$B$300</c15:f>
                <c15:dlblRangeCache>
                  <c:ptCount val="299"/>
                  <c:pt idx="8">
                    <c:v>206</c:v>
                  </c:pt>
                  <c:pt idx="26">
                    <c:v>242</c:v>
                  </c:pt>
                  <c:pt idx="47">
                    <c:v>284</c:v>
                  </c:pt>
                  <c:pt idx="83">
                    <c:v>356</c:v>
                  </c:pt>
                </c15:dlblRangeCache>
              </c15:datalabelsRange>
            </c:ext>
            <c:ext xmlns:c16="http://schemas.microsoft.com/office/drawing/2014/chart" uri="{C3380CC4-5D6E-409C-BE32-E72D297353CC}">
              <c16:uniqueId val="{00000000-1334-4622-AA79-3BC73312FDB2}"/>
            </c:ext>
          </c:extLst>
        </c:ser>
        <c:ser>
          <c:idx val="1"/>
          <c:order val="1"/>
          <c:spPr>
            <a:ln>
              <a:noFill/>
            </a:ln>
          </c:spPr>
          <c:marker>
            <c:symbol val="star"/>
            <c:size val="2"/>
            <c:spPr>
              <a:solidFill>
                <a:srgbClr val="000000"/>
              </a:solidFill>
              <a:ln>
                <a:noFill/>
              </a:ln>
            </c:spPr>
          </c:marker>
          <c:dLbls>
            <c:dLbl>
              <c:idx val="0"/>
              <c:tx>
                <c:rich>
                  <a:bodyPr/>
                  <a:lstStyle/>
                  <a:p>
                    <a:fld id="{9B49198D-BE9B-4017-8F19-10D53B7CE70B}"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334-4622-AA79-3BC73312FDB2}"/>
                </c:ext>
              </c:extLst>
            </c:dLbl>
            <c:dLbl>
              <c:idx val="1"/>
              <c:tx>
                <c:rich>
                  <a:bodyPr/>
                  <a:lstStyle/>
                  <a:p>
                    <a:fld id="{9DD4C2A6-28C2-4FD7-805B-1E4FCBAAD07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34-4622-AA79-3BC73312FDB2}"/>
                </c:ext>
              </c:extLst>
            </c:dLbl>
            <c:dLbl>
              <c:idx val="2"/>
              <c:tx>
                <c:rich>
                  <a:bodyPr/>
                  <a:lstStyle/>
                  <a:p>
                    <a:fld id="{F966FDD5-55A2-4611-9328-C1563C2C677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34-4622-AA79-3BC73312FDB2}"/>
                </c:ext>
              </c:extLst>
            </c:dLbl>
            <c:dLbl>
              <c:idx val="3"/>
              <c:tx>
                <c:rich>
                  <a:bodyPr/>
                  <a:lstStyle/>
                  <a:p>
                    <a:fld id="{24934D0C-63DA-4FEE-BA20-4D0C5BE665E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34-4622-AA79-3BC73312FDB2}"/>
                </c:ext>
              </c:extLst>
            </c:dLbl>
            <c:dLbl>
              <c:idx val="4"/>
              <c:tx>
                <c:rich>
                  <a:bodyPr/>
                  <a:lstStyle/>
                  <a:p>
                    <a:fld id="{309A63D9-C515-4C6F-9BA7-5C6008A0B2E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34-4622-AA79-3BC73312FDB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334-4622-AA79-3BC73312FDB2}"/>
            </c:ext>
          </c:extLst>
        </c:ser>
        <c:dLbls>
          <c:showLegendKey val="0"/>
          <c:showVal val="0"/>
          <c:showCatName val="0"/>
          <c:showSerName val="0"/>
          <c:showPercent val="0"/>
          <c:showBubbleSize val="0"/>
        </c:dLbls>
        <c:axId val="1569264112"/>
        <c:axId val="1569264656"/>
      </c:scatterChart>
      <c:valAx>
        <c:axId val="1569264112"/>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12700"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4656"/>
        <c:crossesAt val="0"/>
        <c:crossBetween val="midCat"/>
        <c:majorUnit val="100"/>
      </c:valAx>
      <c:valAx>
        <c:axId val="1569264656"/>
        <c:scaling>
          <c:orientation val="minMax"/>
          <c:max val="124"/>
          <c:min val="0"/>
        </c:scaling>
        <c:delete val="0"/>
        <c:axPos val="l"/>
        <c:majorGridlines>
          <c:spPr>
            <a:ln w="9525" cap="flat" cmpd="sng" algn="ctr">
              <a:noFill/>
              <a:round/>
            </a:ln>
            <a:effec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4112"/>
        <c:crosses val="autoZero"/>
        <c:crossBetween val="midCat"/>
        <c:majorUnit val="25"/>
        <c:minorUnit val="5"/>
      </c:valAx>
      <c:spPr>
        <a:no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0BFC3C8-6833-4402-AE57-2559E661A6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BA4-4A29-B47F-C48A52640B72}"/>
                </c:ext>
              </c:extLst>
            </c:dLbl>
            <c:dLbl>
              <c:idx val="1"/>
              <c:tx>
                <c:rich>
                  <a:bodyPr/>
                  <a:lstStyle/>
                  <a:p>
                    <a:fld id="{10225801-D218-4EDB-93D4-61B7E8B6AD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BA4-4A29-B47F-C48A52640B72}"/>
                </c:ext>
              </c:extLst>
            </c:dLbl>
            <c:dLbl>
              <c:idx val="2"/>
              <c:tx>
                <c:rich>
                  <a:bodyPr/>
                  <a:lstStyle/>
                  <a:p>
                    <a:fld id="{4D37EA3B-368E-464F-9DA0-42F4686634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BA4-4A29-B47F-C48A52640B72}"/>
                </c:ext>
              </c:extLst>
            </c:dLbl>
            <c:dLbl>
              <c:idx val="3"/>
              <c:tx>
                <c:rich>
                  <a:bodyPr/>
                  <a:lstStyle/>
                  <a:p>
                    <a:fld id="{FBCE3DD5-8C86-4D31-944F-5C9CDACF7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BA4-4A29-B47F-C48A52640B72}"/>
                </c:ext>
              </c:extLst>
            </c:dLbl>
            <c:dLbl>
              <c:idx val="4"/>
              <c:tx>
                <c:rich>
                  <a:bodyPr/>
                  <a:lstStyle/>
                  <a:p>
                    <a:fld id="{79AFA664-C085-4151-8A39-73ABA7302D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BA4-4A29-B47F-C48A52640B72}"/>
                </c:ext>
              </c:extLst>
            </c:dLbl>
            <c:dLbl>
              <c:idx val="5"/>
              <c:tx>
                <c:rich>
                  <a:bodyPr/>
                  <a:lstStyle/>
                  <a:p>
                    <a:fld id="{1B68BF98-824E-4ED9-B4C5-DC4D4F64C2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BA4-4A29-B47F-C48A52640B72}"/>
                </c:ext>
              </c:extLst>
            </c:dLbl>
            <c:dLbl>
              <c:idx val="6"/>
              <c:tx>
                <c:rich>
                  <a:bodyPr/>
                  <a:lstStyle/>
                  <a:p>
                    <a:fld id="{FA412777-2B78-4092-A0D8-345B1DE642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BA4-4A29-B47F-C48A52640B72}"/>
                </c:ext>
              </c:extLst>
            </c:dLbl>
            <c:dLbl>
              <c:idx val="7"/>
              <c:tx>
                <c:rich>
                  <a:bodyPr/>
                  <a:lstStyle/>
                  <a:p>
                    <a:fld id="{EAF00DC7-7176-4E68-BC5A-19959D0E82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BA4-4A29-B47F-C48A52640B72}"/>
                </c:ext>
              </c:extLst>
            </c:dLbl>
            <c:dLbl>
              <c:idx val="8"/>
              <c:tx>
                <c:rich>
                  <a:bodyPr/>
                  <a:lstStyle/>
                  <a:p>
                    <a:fld id="{BF95529F-15B8-4681-BF12-6CF37BD862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BA4-4A29-B47F-C48A52640B72}"/>
                </c:ext>
              </c:extLst>
            </c:dLbl>
            <c:dLbl>
              <c:idx val="9"/>
              <c:tx>
                <c:rich>
                  <a:bodyPr/>
                  <a:lstStyle/>
                  <a:p>
                    <a:fld id="{18A7CA8B-184C-449C-8A21-B848EEE40A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BA4-4A29-B47F-C48A52640B72}"/>
                </c:ext>
              </c:extLst>
            </c:dLbl>
            <c:dLbl>
              <c:idx val="10"/>
              <c:tx>
                <c:rich>
                  <a:bodyPr/>
                  <a:lstStyle/>
                  <a:p>
                    <a:fld id="{0F3B9CAB-5BC9-42DB-824F-EF90A9DA81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BA4-4A29-B47F-C48A52640B72}"/>
                </c:ext>
              </c:extLst>
            </c:dLbl>
            <c:dLbl>
              <c:idx val="11"/>
              <c:tx>
                <c:rich>
                  <a:bodyPr/>
                  <a:lstStyle/>
                  <a:p>
                    <a:fld id="{564C7923-28AF-4F26-A58A-BD498E42F7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BA4-4A29-B47F-C48A52640B72}"/>
                </c:ext>
              </c:extLst>
            </c:dLbl>
            <c:dLbl>
              <c:idx val="12"/>
              <c:tx>
                <c:rich>
                  <a:bodyPr/>
                  <a:lstStyle/>
                  <a:p>
                    <a:fld id="{BADD5FA8-AF59-407B-97D1-5ED021DF86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BA4-4A29-B47F-C48A52640B72}"/>
                </c:ext>
              </c:extLst>
            </c:dLbl>
            <c:dLbl>
              <c:idx val="13"/>
              <c:tx>
                <c:rich>
                  <a:bodyPr/>
                  <a:lstStyle/>
                  <a:p>
                    <a:fld id="{95DCEB20-F3CB-4728-B7BF-F823F8265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BA4-4A29-B47F-C48A52640B72}"/>
                </c:ext>
              </c:extLst>
            </c:dLbl>
            <c:dLbl>
              <c:idx val="14"/>
              <c:tx>
                <c:rich>
                  <a:bodyPr/>
                  <a:lstStyle/>
                  <a:p>
                    <a:fld id="{0C70B1D0-6280-4354-9A89-3BFCFF4607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BA4-4A29-B47F-C48A52640B72}"/>
                </c:ext>
              </c:extLst>
            </c:dLbl>
            <c:dLbl>
              <c:idx val="15"/>
              <c:tx>
                <c:rich>
                  <a:bodyPr/>
                  <a:lstStyle/>
                  <a:p>
                    <a:fld id="{892997FE-C0F0-406E-B3DE-EBF3D3B7C5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BA4-4A29-B47F-C48A52640B72}"/>
                </c:ext>
              </c:extLst>
            </c:dLbl>
            <c:dLbl>
              <c:idx val="16"/>
              <c:tx>
                <c:rich>
                  <a:bodyPr/>
                  <a:lstStyle/>
                  <a:p>
                    <a:fld id="{FEC875EB-65DB-4077-8F84-A42D91E3D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BA4-4A29-B47F-C48A52640B72}"/>
                </c:ext>
              </c:extLst>
            </c:dLbl>
            <c:dLbl>
              <c:idx val="17"/>
              <c:tx>
                <c:rich>
                  <a:bodyPr/>
                  <a:lstStyle/>
                  <a:p>
                    <a:fld id="{D1F9D89F-071E-444D-B70B-57C9CBCAA6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BA4-4A29-B47F-C48A52640B72}"/>
                </c:ext>
              </c:extLst>
            </c:dLbl>
            <c:dLbl>
              <c:idx val="18"/>
              <c:tx>
                <c:rich>
                  <a:bodyPr/>
                  <a:lstStyle/>
                  <a:p>
                    <a:fld id="{841FFF63-C27F-46B5-9AF4-E2A3F9A7C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BA4-4A29-B47F-C48A52640B72}"/>
                </c:ext>
              </c:extLst>
            </c:dLbl>
            <c:dLbl>
              <c:idx val="19"/>
              <c:tx>
                <c:rich>
                  <a:bodyPr/>
                  <a:lstStyle/>
                  <a:p>
                    <a:fld id="{C9916B52-737F-4A94-AE58-410C4CD91C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BA4-4A29-B47F-C48A52640B72}"/>
                </c:ext>
              </c:extLst>
            </c:dLbl>
            <c:dLbl>
              <c:idx val="20"/>
              <c:tx>
                <c:rich>
                  <a:bodyPr/>
                  <a:lstStyle/>
                  <a:p>
                    <a:fld id="{92B01B47-3C1A-4F6E-AA55-2B27DCF236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BA4-4A29-B47F-C48A52640B72}"/>
                </c:ext>
              </c:extLst>
            </c:dLbl>
            <c:dLbl>
              <c:idx val="21"/>
              <c:tx>
                <c:rich>
                  <a:bodyPr/>
                  <a:lstStyle/>
                  <a:p>
                    <a:fld id="{58414901-AA8B-4613-85A4-EB9F1402DE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BA4-4A29-B47F-C48A52640B72}"/>
                </c:ext>
              </c:extLst>
            </c:dLbl>
            <c:dLbl>
              <c:idx val="22"/>
              <c:tx>
                <c:rich>
                  <a:bodyPr/>
                  <a:lstStyle/>
                  <a:p>
                    <a:fld id="{2FFDA2EC-E8B2-4715-A063-66B98D1A62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BA4-4A29-B47F-C48A52640B72}"/>
                </c:ext>
              </c:extLst>
            </c:dLbl>
            <c:dLbl>
              <c:idx val="23"/>
              <c:tx>
                <c:rich>
                  <a:bodyPr/>
                  <a:lstStyle/>
                  <a:p>
                    <a:fld id="{574D2515-A87F-49AD-B15C-37D8523DB2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BA4-4A29-B47F-C48A52640B72}"/>
                </c:ext>
              </c:extLst>
            </c:dLbl>
            <c:dLbl>
              <c:idx val="24"/>
              <c:tx>
                <c:rich>
                  <a:bodyPr/>
                  <a:lstStyle/>
                  <a:p>
                    <a:fld id="{64E7C647-4369-4F71-9DE1-0D94131385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BA4-4A29-B47F-C48A52640B72}"/>
                </c:ext>
              </c:extLst>
            </c:dLbl>
            <c:dLbl>
              <c:idx val="25"/>
              <c:tx>
                <c:rich>
                  <a:bodyPr/>
                  <a:lstStyle/>
                  <a:p>
                    <a:fld id="{603500C2-A6FB-40AF-B835-F92AF1A8EC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BA4-4A29-B47F-C48A52640B72}"/>
                </c:ext>
              </c:extLst>
            </c:dLbl>
            <c:dLbl>
              <c:idx val="26"/>
              <c:tx>
                <c:rich>
                  <a:bodyPr/>
                  <a:lstStyle/>
                  <a:p>
                    <a:fld id="{C4EC1A61-97F3-42B1-BE8D-C3245ECEA0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BA4-4A29-B47F-C48A52640B72}"/>
                </c:ext>
              </c:extLst>
            </c:dLbl>
            <c:dLbl>
              <c:idx val="27"/>
              <c:tx>
                <c:rich>
                  <a:bodyPr/>
                  <a:lstStyle/>
                  <a:p>
                    <a:fld id="{5581F8E2-31D7-4EEF-8E14-FCB5184E74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BA4-4A29-B47F-C48A52640B72}"/>
                </c:ext>
              </c:extLst>
            </c:dLbl>
            <c:dLbl>
              <c:idx val="28"/>
              <c:tx>
                <c:rich>
                  <a:bodyPr/>
                  <a:lstStyle/>
                  <a:p>
                    <a:fld id="{B446641F-A248-4DDD-A693-C9B237F8EF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BA4-4A29-B47F-C48A52640B72}"/>
                </c:ext>
              </c:extLst>
            </c:dLbl>
            <c:dLbl>
              <c:idx val="29"/>
              <c:tx>
                <c:rich>
                  <a:bodyPr/>
                  <a:lstStyle/>
                  <a:p>
                    <a:fld id="{D875FF9E-ED9B-41D7-8AD1-87FF1BC942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BA4-4A29-B47F-C48A52640B72}"/>
                </c:ext>
              </c:extLst>
            </c:dLbl>
            <c:dLbl>
              <c:idx val="30"/>
              <c:tx>
                <c:rich>
                  <a:bodyPr/>
                  <a:lstStyle/>
                  <a:p>
                    <a:fld id="{1A5AC1D8-C885-4B76-BCEB-87005D2DF0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BA4-4A29-B47F-C48A52640B72}"/>
                </c:ext>
              </c:extLst>
            </c:dLbl>
            <c:dLbl>
              <c:idx val="31"/>
              <c:tx>
                <c:rich>
                  <a:bodyPr/>
                  <a:lstStyle/>
                  <a:p>
                    <a:fld id="{2AFBA402-5C40-4E56-A775-E1618F5208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BA4-4A29-B47F-C48A52640B72}"/>
                </c:ext>
              </c:extLst>
            </c:dLbl>
            <c:dLbl>
              <c:idx val="32"/>
              <c:tx>
                <c:rich>
                  <a:bodyPr/>
                  <a:lstStyle/>
                  <a:p>
                    <a:fld id="{10D8260B-9F96-4FC2-A24D-0DA6DCE0FC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BA4-4A29-B47F-C48A52640B72}"/>
                </c:ext>
              </c:extLst>
            </c:dLbl>
            <c:dLbl>
              <c:idx val="33"/>
              <c:tx>
                <c:rich>
                  <a:bodyPr/>
                  <a:lstStyle/>
                  <a:p>
                    <a:fld id="{62610E9B-3019-482D-8C00-6A4F281ABE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BA4-4A29-B47F-C48A52640B72}"/>
                </c:ext>
              </c:extLst>
            </c:dLbl>
            <c:dLbl>
              <c:idx val="34"/>
              <c:tx>
                <c:rich>
                  <a:bodyPr/>
                  <a:lstStyle/>
                  <a:p>
                    <a:fld id="{C7B8A1AC-9031-41D2-9820-455A4D5154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BA4-4A29-B47F-C48A52640B72}"/>
                </c:ext>
              </c:extLst>
            </c:dLbl>
            <c:dLbl>
              <c:idx val="35"/>
              <c:tx>
                <c:rich>
                  <a:bodyPr/>
                  <a:lstStyle/>
                  <a:p>
                    <a:fld id="{856EE2CC-AAB7-45AE-8DFA-B95A629D39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BA4-4A29-B47F-C48A52640B72}"/>
                </c:ext>
              </c:extLst>
            </c:dLbl>
            <c:dLbl>
              <c:idx val="36"/>
              <c:tx>
                <c:rich>
                  <a:bodyPr/>
                  <a:lstStyle/>
                  <a:p>
                    <a:fld id="{3A42A04A-5D51-4F62-BFA5-DE2B6765E4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BA4-4A29-B47F-C48A52640B72}"/>
                </c:ext>
              </c:extLst>
            </c:dLbl>
            <c:dLbl>
              <c:idx val="37"/>
              <c:tx>
                <c:rich>
                  <a:bodyPr/>
                  <a:lstStyle/>
                  <a:p>
                    <a:fld id="{E246BD61-AFF2-47FB-9672-DFBA16661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BA4-4A29-B47F-C48A52640B72}"/>
                </c:ext>
              </c:extLst>
            </c:dLbl>
            <c:dLbl>
              <c:idx val="38"/>
              <c:tx>
                <c:rich>
                  <a:bodyPr/>
                  <a:lstStyle/>
                  <a:p>
                    <a:fld id="{D1BB40EC-9D03-4A95-8E76-BEC45ADA74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BA4-4A29-B47F-C48A52640B72}"/>
                </c:ext>
              </c:extLst>
            </c:dLbl>
            <c:dLbl>
              <c:idx val="39"/>
              <c:tx>
                <c:rich>
                  <a:bodyPr/>
                  <a:lstStyle/>
                  <a:p>
                    <a:fld id="{3092184E-A48B-4555-9397-C8BEE69677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BA4-4A29-B47F-C48A52640B72}"/>
                </c:ext>
              </c:extLst>
            </c:dLbl>
            <c:dLbl>
              <c:idx val="40"/>
              <c:tx>
                <c:rich>
                  <a:bodyPr/>
                  <a:lstStyle/>
                  <a:p>
                    <a:fld id="{250DCCCF-5BB4-4AA9-BBA5-026EA75EAD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BA4-4A29-B47F-C48A52640B72}"/>
                </c:ext>
              </c:extLst>
            </c:dLbl>
            <c:dLbl>
              <c:idx val="41"/>
              <c:tx>
                <c:rich>
                  <a:bodyPr/>
                  <a:lstStyle/>
                  <a:p>
                    <a:fld id="{2D1198ED-B655-4B45-8B5A-DDB091F38C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BA4-4A29-B47F-C48A52640B72}"/>
                </c:ext>
              </c:extLst>
            </c:dLbl>
            <c:dLbl>
              <c:idx val="42"/>
              <c:tx>
                <c:rich>
                  <a:bodyPr/>
                  <a:lstStyle/>
                  <a:p>
                    <a:fld id="{0AC08D88-B2F6-4958-955C-1EAC4DD254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BA4-4A29-B47F-C48A52640B72}"/>
                </c:ext>
              </c:extLst>
            </c:dLbl>
            <c:dLbl>
              <c:idx val="43"/>
              <c:tx>
                <c:rich>
                  <a:bodyPr/>
                  <a:lstStyle/>
                  <a:p>
                    <a:fld id="{567B54F3-177E-4F95-AD16-10E0D32C03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BA4-4A29-B47F-C48A52640B72}"/>
                </c:ext>
              </c:extLst>
            </c:dLbl>
            <c:dLbl>
              <c:idx val="44"/>
              <c:tx>
                <c:rich>
                  <a:bodyPr/>
                  <a:lstStyle/>
                  <a:p>
                    <a:fld id="{53A7FA88-57E6-4B6F-8A4E-023257C7C5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BA4-4A29-B47F-C48A52640B72}"/>
                </c:ext>
              </c:extLst>
            </c:dLbl>
            <c:dLbl>
              <c:idx val="45"/>
              <c:tx>
                <c:rich>
                  <a:bodyPr/>
                  <a:lstStyle/>
                  <a:p>
                    <a:fld id="{9CBB288B-D7BD-401F-AE9A-52D1C62865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BA4-4A29-B47F-C48A52640B72}"/>
                </c:ext>
              </c:extLst>
            </c:dLbl>
            <c:dLbl>
              <c:idx val="46"/>
              <c:tx>
                <c:rich>
                  <a:bodyPr/>
                  <a:lstStyle/>
                  <a:p>
                    <a:fld id="{4B1E3339-27B0-4838-9E97-3021975994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BA4-4A29-B47F-C48A52640B72}"/>
                </c:ext>
              </c:extLst>
            </c:dLbl>
            <c:dLbl>
              <c:idx val="47"/>
              <c:tx>
                <c:rich>
                  <a:bodyPr/>
                  <a:lstStyle/>
                  <a:p>
                    <a:fld id="{0334574C-E22C-472F-B4CD-AF83509FB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BA4-4A29-B47F-C48A52640B72}"/>
                </c:ext>
              </c:extLst>
            </c:dLbl>
            <c:dLbl>
              <c:idx val="48"/>
              <c:tx>
                <c:rich>
                  <a:bodyPr/>
                  <a:lstStyle/>
                  <a:p>
                    <a:fld id="{63AF0A6F-C0CF-4467-B9F3-F9F44A01F1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BA4-4A29-B47F-C48A52640B72}"/>
                </c:ext>
              </c:extLst>
            </c:dLbl>
            <c:dLbl>
              <c:idx val="49"/>
              <c:tx>
                <c:rich>
                  <a:bodyPr/>
                  <a:lstStyle/>
                  <a:p>
                    <a:fld id="{EC236FF0-9D3C-4592-A84E-1615BC0248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BA4-4A29-B47F-C48A52640B72}"/>
                </c:ext>
              </c:extLst>
            </c:dLbl>
            <c:dLbl>
              <c:idx val="50"/>
              <c:tx>
                <c:rich>
                  <a:bodyPr/>
                  <a:lstStyle/>
                  <a:p>
                    <a:fld id="{2C77BA74-A31D-48F2-B592-79C674F9EC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BA4-4A29-B47F-C48A52640B72}"/>
                </c:ext>
              </c:extLst>
            </c:dLbl>
            <c:dLbl>
              <c:idx val="51"/>
              <c:tx>
                <c:rich>
                  <a:bodyPr/>
                  <a:lstStyle/>
                  <a:p>
                    <a:fld id="{7C074287-4F58-4E24-8DFA-5872FF8583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BA4-4A29-B47F-C48A52640B72}"/>
                </c:ext>
              </c:extLst>
            </c:dLbl>
            <c:dLbl>
              <c:idx val="52"/>
              <c:tx>
                <c:rich>
                  <a:bodyPr/>
                  <a:lstStyle/>
                  <a:p>
                    <a:fld id="{9056A313-559F-483B-94B8-641F8DD6EF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BA4-4A29-B47F-C48A52640B72}"/>
                </c:ext>
              </c:extLst>
            </c:dLbl>
            <c:dLbl>
              <c:idx val="53"/>
              <c:tx>
                <c:rich>
                  <a:bodyPr/>
                  <a:lstStyle/>
                  <a:p>
                    <a:fld id="{6D001ACF-40FD-479D-A9A1-655EB7B778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BA4-4A29-B47F-C48A52640B72}"/>
                </c:ext>
              </c:extLst>
            </c:dLbl>
            <c:dLbl>
              <c:idx val="54"/>
              <c:tx>
                <c:rich>
                  <a:bodyPr/>
                  <a:lstStyle/>
                  <a:p>
                    <a:fld id="{33925342-AB49-40AC-BE2E-B767821F64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BA4-4A29-B47F-C48A52640B72}"/>
                </c:ext>
              </c:extLst>
            </c:dLbl>
            <c:dLbl>
              <c:idx val="55"/>
              <c:tx>
                <c:rich>
                  <a:bodyPr/>
                  <a:lstStyle/>
                  <a:p>
                    <a:fld id="{8A187C19-DF7F-4ECF-B496-B412CD673B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BA4-4A29-B47F-C48A52640B72}"/>
                </c:ext>
              </c:extLst>
            </c:dLbl>
            <c:dLbl>
              <c:idx val="56"/>
              <c:tx>
                <c:rich>
                  <a:bodyPr/>
                  <a:lstStyle/>
                  <a:p>
                    <a:fld id="{F1650419-4787-4C75-B34E-C1DB81D5C2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BA4-4A29-B47F-C48A52640B72}"/>
                </c:ext>
              </c:extLst>
            </c:dLbl>
            <c:dLbl>
              <c:idx val="57"/>
              <c:tx>
                <c:rich>
                  <a:bodyPr/>
                  <a:lstStyle/>
                  <a:p>
                    <a:fld id="{0437102C-ADB4-4CF9-B178-7AFF4AEAAF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BA4-4A29-B47F-C48A52640B72}"/>
                </c:ext>
              </c:extLst>
            </c:dLbl>
            <c:dLbl>
              <c:idx val="58"/>
              <c:tx>
                <c:rich>
                  <a:bodyPr/>
                  <a:lstStyle/>
                  <a:p>
                    <a:fld id="{FFDF692C-99E7-48CE-B477-1E55D75BDB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BA4-4A29-B47F-C48A52640B72}"/>
                </c:ext>
              </c:extLst>
            </c:dLbl>
            <c:dLbl>
              <c:idx val="59"/>
              <c:tx>
                <c:rich>
                  <a:bodyPr/>
                  <a:lstStyle/>
                  <a:p>
                    <a:fld id="{DBC15408-445A-4A91-A79C-F367C608CC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BA4-4A29-B47F-C48A52640B72}"/>
                </c:ext>
              </c:extLst>
            </c:dLbl>
            <c:dLbl>
              <c:idx val="60"/>
              <c:tx>
                <c:rich>
                  <a:bodyPr/>
                  <a:lstStyle/>
                  <a:p>
                    <a:fld id="{ED599FD1-3B27-4CAB-B74E-2DD3B46FF3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BA4-4A29-B47F-C48A52640B72}"/>
                </c:ext>
              </c:extLst>
            </c:dLbl>
            <c:dLbl>
              <c:idx val="61"/>
              <c:tx>
                <c:rich>
                  <a:bodyPr/>
                  <a:lstStyle/>
                  <a:p>
                    <a:fld id="{1AF5C7C1-0D7D-435D-9313-F8558000FF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BA4-4A29-B47F-C48A52640B72}"/>
                </c:ext>
              </c:extLst>
            </c:dLbl>
            <c:dLbl>
              <c:idx val="62"/>
              <c:tx>
                <c:rich>
                  <a:bodyPr/>
                  <a:lstStyle/>
                  <a:p>
                    <a:fld id="{32E24876-D247-4E4F-B2E1-4BEAFB7BCF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BA4-4A29-B47F-C48A52640B72}"/>
                </c:ext>
              </c:extLst>
            </c:dLbl>
            <c:dLbl>
              <c:idx val="63"/>
              <c:tx>
                <c:rich>
                  <a:bodyPr/>
                  <a:lstStyle/>
                  <a:p>
                    <a:fld id="{6279D0B9-AA51-4A1B-B513-2822E5BCD5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BA4-4A29-B47F-C48A52640B72}"/>
                </c:ext>
              </c:extLst>
            </c:dLbl>
            <c:dLbl>
              <c:idx val="64"/>
              <c:tx>
                <c:rich>
                  <a:bodyPr/>
                  <a:lstStyle/>
                  <a:p>
                    <a:fld id="{D592CEDE-7612-4602-93E1-774183DF4B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BA4-4A29-B47F-C48A52640B72}"/>
                </c:ext>
              </c:extLst>
            </c:dLbl>
            <c:dLbl>
              <c:idx val="65"/>
              <c:tx>
                <c:rich>
                  <a:bodyPr/>
                  <a:lstStyle/>
                  <a:p>
                    <a:fld id="{EA610833-E22E-41F6-81DF-D19235194E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BA4-4A29-B47F-C48A52640B72}"/>
                </c:ext>
              </c:extLst>
            </c:dLbl>
            <c:dLbl>
              <c:idx val="66"/>
              <c:tx>
                <c:rich>
                  <a:bodyPr/>
                  <a:lstStyle/>
                  <a:p>
                    <a:fld id="{16C326E2-38CD-4318-BDDF-A5273D604E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BA4-4A29-B47F-C48A52640B72}"/>
                </c:ext>
              </c:extLst>
            </c:dLbl>
            <c:dLbl>
              <c:idx val="67"/>
              <c:tx>
                <c:rich>
                  <a:bodyPr/>
                  <a:lstStyle/>
                  <a:p>
                    <a:fld id="{25BC83EB-DC89-445F-8DA5-A3460CB403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BA4-4A29-B47F-C48A52640B72}"/>
                </c:ext>
              </c:extLst>
            </c:dLbl>
            <c:dLbl>
              <c:idx val="68"/>
              <c:tx>
                <c:rich>
                  <a:bodyPr/>
                  <a:lstStyle/>
                  <a:p>
                    <a:fld id="{D17584EE-28C5-4E4F-82BA-0A8789DDA2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BA4-4A29-B47F-C48A52640B72}"/>
                </c:ext>
              </c:extLst>
            </c:dLbl>
            <c:dLbl>
              <c:idx val="69"/>
              <c:tx>
                <c:rich>
                  <a:bodyPr/>
                  <a:lstStyle/>
                  <a:p>
                    <a:fld id="{1861DB2F-DE16-456B-8BFF-B0109522B2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BA4-4A29-B47F-C48A52640B72}"/>
                </c:ext>
              </c:extLst>
            </c:dLbl>
            <c:dLbl>
              <c:idx val="70"/>
              <c:tx>
                <c:rich>
                  <a:bodyPr/>
                  <a:lstStyle/>
                  <a:p>
                    <a:fld id="{111AD909-3655-410B-BF20-54DEF5F49E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BA4-4A29-B47F-C48A52640B72}"/>
                </c:ext>
              </c:extLst>
            </c:dLbl>
            <c:dLbl>
              <c:idx val="71"/>
              <c:tx>
                <c:rich>
                  <a:bodyPr/>
                  <a:lstStyle/>
                  <a:p>
                    <a:fld id="{633B294D-4473-4ED6-B5B7-2838821A0B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BA4-4A29-B47F-C48A52640B72}"/>
                </c:ext>
              </c:extLst>
            </c:dLbl>
            <c:dLbl>
              <c:idx val="72"/>
              <c:tx>
                <c:rich>
                  <a:bodyPr/>
                  <a:lstStyle/>
                  <a:p>
                    <a:fld id="{FC12A567-27E5-478F-9094-4E600F0CA3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BA4-4A29-B47F-C48A52640B72}"/>
                </c:ext>
              </c:extLst>
            </c:dLbl>
            <c:dLbl>
              <c:idx val="73"/>
              <c:tx>
                <c:rich>
                  <a:bodyPr/>
                  <a:lstStyle/>
                  <a:p>
                    <a:fld id="{EAFCD96A-06B3-4564-B6C7-05F28FA5A6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BA4-4A29-B47F-C48A52640B72}"/>
                </c:ext>
              </c:extLst>
            </c:dLbl>
            <c:dLbl>
              <c:idx val="74"/>
              <c:tx>
                <c:rich>
                  <a:bodyPr/>
                  <a:lstStyle/>
                  <a:p>
                    <a:fld id="{B2B4B000-B804-4DC9-9714-4389960F8E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BA4-4A29-B47F-C48A52640B72}"/>
                </c:ext>
              </c:extLst>
            </c:dLbl>
            <c:dLbl>
              <c:idx val="75"/>
              <c:tx>
                <c:rich>
                  <a:bodyPr/>
                  <a:lstStyle/>
                  <a:p>
                    <a:fld id="{8B57E911-5DB3-4C44-9CEC-BAB5B66AE2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BA4-4A29-B47F-C48A52640B72}"/>
                </c:ext>
              </c:extLst>
            </c:dLbl>
            <c:dLbl>
              <c:idx val="76"/>
              <c:tx>
                <c:rich>
                  <a:bodyPr/>
                  <a:lstStyle/>
                  <a:p>
                    <a:fld id="{BE70C261-1CDA-4862-B370-5FCCCAB13B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BA4-4A29-B47F-C48A52640B72}"/>
                </c:ext>
              </c:extLst>
            </c:dLbl>
            <c:dLbl>
              <c:idx val="77"/>
              <c:tx>
                <c:rich>
                  <a:bodyPr/>
                  <a:lstStyle/>
                  <a:p>
                    <a:fld id="{F8F268C6-B365-45BF-97D6-A0EC90CAA2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BA4-4A29-B47F-C48A52640B72}"/>
                </c:ext>
              </c:extLst>
            </c:dLbl>
            <c:dLbl>
              <c:idx val="78"/>
              <c:tx>
                <c:rich>
                  <a:bodyPr/>
                  <a:lstStyle/>
                  <a:p>
                    <a:fld id="{F205DFFC-7C8B-410D-9B83-B87FB82C06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BA4-4A29-B47F-C48A52640B72}"/>
                </c:ext>
              </c:extLst>
            </c:dLbl>
            <c:dLbl>
              <c:idx val="79"/>
              <c:tx>
                <c:rich>
                  <a:bodyPr/>
                  <a:lstStyle/>
                  <a:p>
                    <a:fld id="{687BD208-DC98-41D7-BF73-670F5BC03E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BA4-4A29-B47F-C48A52640B72}"/>
                </c:ext>
              </c:extLst>
            </c:dLbl>
            <c:dLbl>
              <c:idx val="80"/>
              <c:tx>
                <c:rich>
                  <a:bodyPr/>
                  <a:lstStyle/>
                  <a:p>
                    <a:fld id="{4133D96C-BD65-423A-A959-00697A912C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BA4-4A29-B47F-C48A52640B72}"/>
                </c:ext>
              </c:extLst>
            </c:dLbl>
            <c:dLbl>
              <c:idx val="81"/>
              <c:tx>
                <c:rich>
                  <a:bodyPr/>
                  <a:lstStyle/>
                  <a:p>
                    <a:fld id="{BFC923BB-B4D1-4D97-AA7C-95DBB55F24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BA4-4A29-B47F-C48A52640B72}"/>
                </c:ext>
              </c:extLst>
            </c:dLbl>
            <c:dLbl>
              <c:idx val="82"/>
              <c:tx>
                <c:rich>
                  <a:bodyPr/>
                  <a:lstStyle/>
                  <a:p>
                    <a:fld id="{54AA33AB-D71C-41A1-B52B-0E788FCF86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BA4-4A29-B47F-C48A52640B72}"/>
                </c:ext>
              </c:extLst>
            </c:dLbl>
            <c:dLbl>
              <c:idx val="83"/>
              <c:tx>
                <c:rich>
                  <a:bodyPr/>
                  <a:lstStyle/>
                  <a:p>
                    <a:fld id="{AF09FB92-907E-42C7-8575-6C4C5112D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BA4-4A29-B47F-C48A52640B72}"/>
                </c:ext>
              </c:extLst>
            </c:dLbl>
            <c:dLbl>
              <c:idx val="84"/>
              <c:tx>
                <c:rich>
                  <a:bodyPr/>
                  <a:lstStyle/>
                  <a:p>
                    <a:fld id="{C362C3F7-FE6E-4F03-84C9-5AB6DC2DEB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BA4-4A29-B47F-C48A52640B72}"/>
                </c:ext>
              </c:extLst>
            </c:dLbl>
            <c:dLbl>
              <c:idx val="85"/>
              <c:tx>
                <c:rich>
                  <a:bodyPr/>
                  <a:lstStyle/>
                  <a:p>
                    <a:fld id="{7F608F65-7D28-4037-80A0-F3C621D28C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BA4-4A29-B47F-C48A52640B72}"/>
                </c:ext>
              </c:extLst>
            </c:dLbl>
            <c:dLbl>
              <c:idx val="86"/>
              <c:tx>
                <c:rich>
                  <a:bodyPr/>
                  <a:lstStyle/>
                  <a:p>
                    <a:fld id="{C81C65C8-CC90-42A1-93B6-AD474BBA43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BA4-4A29-B47F-C48A52640B72}"/>
                </c:ext>
              </c:extLst>
            </c:dLbl>
            <c:dLbl>
              <c:idx val="87"/>
              <c:tx>
                <c:rich>
                  <a:bodyPr/>
                  <a:lstStyle/>
                  <a:p>
                    <a:fld id="{2E1AB008-58FF-495C-AE4A-D85988B363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BA4-4A29-B47F-C48A52640B72}"/>
                </c:ext>
              </c:extLst>
            </c:dLbl>
            <c:dLbl>
              <c:idx val="88"/>
              <c:tx>
                <c:rich>
                  <a:bodyPr/>
                  <a:lstStyle/>
                  <a:p>
                    <a:fld id="{CBE77DCD-8612-43A2-9E64-6F401B217F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BA4-4A29-B47F-C48A52640B72}"/>
                </c:ext>
              </c:extLst>
            </c:dLbl>
            <c:dLbl>
              <c:idx val="89"/>
              <c:tx>
                <c:rich>
                  <a:bodyPr/>
                  <a:lstStyle/>
                  <a:p>
                    <a:fld id="{97244BA3-0D13-4D97-BCB4-ACBC404E4C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BA4-4A29-B47F-C48A52640B72}"/>
                </c:ext>
              </c:extLst>
            </c:dLbl>
            <c:dLbl>
              <c:idx val="90"/>
              <c:tx>
                <c:rich>
                  <a:bodyPr/>
                  <a:lstStyle/>
                  <a:p>
                    <a:fld id="{DAEBC0E3-04A3-4E7B-A92E-6A01B523F8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BA4-4A29-B47F-C48A52640B72}"/>
                </c:ext>
              </c:extLst>
            </c:dLbl>
            <c:dLbl>
              <c:idx val="91"/>
              <c:tx>
                <c:rich>
                  <a:bodyPr/>
                  <a:lstStyle/>
                  <a:p>
                    <a:fld id="{4DB15F53-523D-4B84-AE95-B24588365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BA4-4A29-B47F-C48A52640B72}"/>
                </c:ext>
              </c:extLst>
            </c:dLbl>
            <c:dLbl>
              <c:idx val="92"/>
              <c:tx>
                <c:rich>
                  <a:bodyPr/>
                  <a:lstStyle/>
                  <a:p>
                    <a:fld id="{17567A36-83C5-4EA5-AEBD-E67C9D2DE0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BA4-4A29-B47F-C48A52640B72}"/>
                </c:ext>
              </c:extLst>
            </c:dLbl>
            <c:dLbl>
              <c:idx val="93"/>
              <c:tx>
                <c:rich>
                  <a:bodyPr/>
                  <a:lstStyle/>
                  <a:p>
                    <a:fld id="{22FCD22F-0FAC-4747-B43F-298F1982B9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BA4-4A29-B47F-C48A52640B72}"/>
                </c:ext>
              </c:extLst>
            </c:dLbl>
            <c:dLbl>
              <c:idx val="94"/>
              <c:tx>
                <c:rich>
                  <a:bodyPr/>
                  <a:lstStyle/>
                  <a:p>
                    <a:fld id="{29709DE2-984F-45A7-A0F8-5AE0CE3D0D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BA4-4A29-B47F-C48A52640B72}"/>
                </c:ext>
              </c:extLst>
            </c:dLbl>
            <c:dLbl>
              <c:idx val="95"/>
              <c:tx>
                <c:rich>
                  <a:bodyPr/>
                  <a:lstStyle/>
                  <a:p>
                    <a:fld id="{B8D3A618-D886-4385-B59D-1531663F97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BA4-4A29-B47F-C48A52640B72}"/>
                </c:ext>
              </c:extLst>
            </c:dLbl>
            <c:dLbl>
              <c:idx val="96"/>
              <c:tx>
                <c:rich>
                  <a:bodyPr/>
                  <a:lstStyle/>
                  <a:p>
                    <a:fld id="{82F7ACD9-2AD7-4EBE-A25D-E459586772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BA4-4A29-B47F-C48A52640B72}"/>
                </c:ext>
              </c:extLst>
            </c:dLbl>
            <c:dLbl>
              <c:idx val="97"/>
              <c:tx>
                <c:rich>
                  <a:bodyPr/>
                  <a:lstStyle/>
                  <a:p>
                    <a:fld id="{0977DD31-CE97-432B-8570-7BA225F719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BA4-4A29-B47F-C48A52640B72}"/>
                </c:ext>
              </c:extLst>
            </c:dLbl>
            <c:dLbl>
              <c:idx val="98"/>
              <c:tx>
                <c:rich>
                  <a:bodyPr/>
                  <a:lstStyle/>
                  <a:p>
                    <a:fld id="{8EB74136-0982-4257-955E-7EFA8C174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BA4-4A29-B47F-C48A52640B72}"/>
                </c:ext>
              </c:extLst>
            </c:dLbl>
            <c:dLbl>
              <c:idx val="99"/>
              <c:tx>
                <c:rich>
                  <a:bodyPr/>
                  <a:lstStyle/>
                  <a:p>
                    <a:fld id="{4C42C730-4D53-40D1-88E6-B2E973C6D2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BA4-4A29-B47F-C48A52640B72}"/>
                </c:ext>
              </c:extLst>
            </c:dLbl>
            <c:dLbl>
              <c:idx val="100"/>
              <c:tx>
                <c:rich>
                  <a:bodyPr/>
                  <a:lstStyle/>
                  <a:p>
                    <a:fld id="{DEFC229F-20C5-47EE-8EFB-EA486BFB7A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BA4-4A29-B47F-C48A52640B72}"/>
                </c:ext>
              </c:extLst>
            </c:dLbl>
            <c:dLbl>
              <c:idx val="101"/>
              <c:tx>
                <c:rich>
                  <a:bodyPr/>
                  <a:lstStyle/>
                  <a:p>
                    <a:fld id="{CB397A09-F383-4A73-BA87-312D5D1FFB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BA4-4A29-B47F-C48A52640B72}"/>
                </c:ext>
              </c:extLst>
            </c:dLbl>
            <c:dLbl>
              <c:idx val="102"/>
              <c:tx>
                <c:rich>
                  <a:bodyPr/>
                  <a:lstStyle/>
                  <a:p>
                    <a:fld id="{693A4327-BD8A-4E69-8A75-27A14213F0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BA4-4A29-B47F-C48A52640B72}"/>
                </c:ext>
              </c:extLst>
            </c:dLbl>
            <c:dLbl>
              <c:idx val="103"/>
              <c:tx>
                <c:rich>
                  <a:bodyPr/>
                  <a:lstStyle/>
                  <a:p>
                    <a:fld id="{DBC9387E-19BE-4A13-A43A-061524DC0E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BA4-4A29-B47F-C48A52640B72}"/>
                </c:ext>
              </c:extLst>
            </c:dLbl>
            <c:dLbl>
              <c:idx val="104"/>
              <c:tx>
                <c:rich>
                  <a:bodyPr/>
                  <a:lstStyle/>
                  <a:p>
                    <a:fld id="{883C5DE1-F572-4852-8B92-5EF86516AD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BA4-4A29-B47F-C48A52640B72}"/>
                </c:ext>
              </c:extLst>
            </c:dLbl>
            <c:dLbl>
              <c:idx val="105"/>
              <c:tx>
                <c:rich>
                  <a:bodyPr/>
                  <a:lstStyle/>
                  <a:p>
                    <a:fld id="{99A76970-A6DC-4C32-ABD8-29F74FF8AA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BA4-4A29-B47F-C48A52640B72}"/>
                </c:ext>
              </c:extLst>
            </c:dLbl>
            <c:dLbl>
              <c:idx val="106"/>
              <c:tx>
                <c:rich>
                  <a:bodyPr/>
                  <a:lstStyle/>
                  <a:p>
                    <a:fld id="{5A7F4B44-7C91-4E8A-9A8B-4B65A243C8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BA4-4A29-B47F-C48A52640B72}"/>
                </c:ext>
              </c:extLst>
            </c:dLbl>
            <c:dLbl>
              <c:idx val="107"/>
              <c:tx>
                <c:rich>
                  <a:bodyPr/>
                  <a:lstStyle/>
                  <a:p>
                    <a:fld id="{F54A1177-E944-4DC6-BE8C-DD051C0BE5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BA4-4A29-B47F-C48A52640B72}"/>
                </c:ext>
              </c:extLst>
            </c:dLbl>
            <c:dLbl>
              <c:idx val="108"/>
              <c:tx>
                <c:rich>
                  <a:bodyPr/>
                  <a:lstStyle/>
                  <a:p>
                    <a:fld id="{92EF2954-F457-4D57-B4F5-E8AE71A6D0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BA4-4A29-B47F-C48A52640B72}"/>
                </c:ext>
              </c:extLst>
            </c:dLbl>
            <c:dLbl>
              <c:idx val="109"/>
              <c:tx>
                <c:rich>
                  <a:bodyPr/>
                  <a:lstStyle/>
                  <a:p>
                    <a:fld id="{8E14ABD6-4ECE-4504-971B-F5198937FE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BA4-4A29-B47F-C48A52640B72}"/>
                </c:ext>
              </c:extLst>
            </c:dLbl>
            <c:dLbl>
              <c:idx val="110"/>
              <c:tx>
                <c:rich>
                  <a:bodyPr/>
                  <a:lstStyle/>
                  <a:p>
                    <a:fld id="{979E8092-D909-4D32-B772-110490410F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BA4-4A29-B47F-C48A52640B72}"/>
                </c:ext>
              </c:extLst>
            </c:dLbl>
            <c:dLbl>
              <c:idx val="111"/>
              <c:tx>
                <c:rich>
                  <a:bodyPr/>
                  <a:lstStyle/>
                  <a:p>
                    <a:fld id="{64BE6681-A511-40CA-80D1-CD60751FD1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BA4-4A29-B47F-C48A52640B72}"/>
                </c:ext>
              </c:extLst>
            </c:dLbl>
            <c:dLbl>
              <c:idx val="112"/>
              <c:tx>
                <c:rich>
                  <a:bodyPr/>
                  <a:lstStyle/>
                  <a:p>
                    <a:fld id="{EBDFAD67-3271-47D5-B6FE-2F3C58C735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BA4-4A29-B47F-C48A52640B72}"/>
                </c:ext>
              </c:extLst>
            </c:dLbl>
            <c:dLbl>
              <c:idx val="113"/>
              <c:tx>
                <c:rich>
                  <a:bodyPr/>
                  <a:lstStyle/>
                  <a:p>
                    <a:fld id="{16428E19-FC46-4411-A5F5-AE9B3FED13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BA4-4A29-B47F-C48A52640B72}"/>
                </c:ext>
              </c:extLst>
            </c:dLbl>
            <c:dLbl>
              <c:idx val="114"/>
              <c:tx>
                <c:rich>
                  <a:bodyPr/>
                  <a:lstStyle/>
                  <a:p>
                    <a:fld id="{F9D610DC-B5F1-44D9-81D0-055270B24B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BA4-4A29-B47F-C48A52640B72}"/>
                </c:ext>
              </c:extLst>
            </c:dLbl>
            <c:dLbl>
              <c:idx val="115"/>
              <c:tx>
                <c:rich>
                  <a:bodyPr/>
                  <a:lstStyle/>
                  <a:p>
                    <a:fld id="{7B9A7897-45F6-4711-ACA2-09CB7DDC31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BA4-4A29-B47F-C48A52640B72}"/>
                </c:ext>
              </c:extLst>
            </c:dLbl>
            <c:dLbl>
              <c:idx val="116"/>
              <c:tx>
                <c:rich>
                  <a:bodyPr/>
                  <a:lstStyle/>
                  <a:p>
                    <a:fld id="{7F7ADB39-9EB5-4422-A855-7FFF90A0A3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BA4-4A29-B47F-C48A52640B72}"/>
                </c:ext>
              </c:extLst>
            </c:dLbl>
            <c:dLbl>
              <c:idx val="117"/>
              <c:tx>
                <c:rich>
                  <a:bodyPr/>
                  <a:lstStyle/>
                  <a:p>
                    <a:fld id="{D15FB7A9-ED18-473D-8F4E-D228405F45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BA4-4A29-B47F-C48A52640B72}"/>
                </c:ext>
              </c:extLst>
            </c:dLbl>
            <c:dLbl>
              <c:idx val="118"/>
              <c:tx>
                <c:rich>
                  <a:bodyPr/>
                  <a:lstStyle/>
                  <a:p>
                    <a:fld id="{B94B85D0-3768-4854-BE25-4FAF6D0BFD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BA4-4A29-B47F-C48A52640B72}"/>
                </c:ext>
              </c:extLst>
            </c:dLbl>
            <c:dLbl>
              <c:idx val="119"/>
              <c:tx>
                <c:rich>
                  <a:bodyPr/>
                  <a:lstStyle/>
                  <a:p>
                    <a:fld id="{C0D8B641-90B0-48B3-858A-909DEED28C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BA4-4A29-B47F-C48A52640B72}"/>
                </c:ext>
              </c:extLst>
            </c:dLbl>
            <c:dLbl>
              <c:idx val="120"/>
              <c:tx>
                <c:rich>
                  <a:bodyPr/>
                  <a:lstStyle/>
                  <a:p>
                    <a:fld id="{3F59416A-BF54-478A-83C1-D1EB4FB7F8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BA4-4A29-B47F-C48A52640B72}"/>
                </c:ext>
              </c:extLst>
            </c:dLbl>
            <c:dLbl>
              <c:idx val="121"/>
              <c:tx>
                <c:rich>
                  <a:bodyPr/>
                  <a:lstStyle/>
                  <a:p>
                    <a:fld id="{8397CE75-B917-4352-8A14-0E6C50639F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BA4-4A29-B47F-C48A52640B72}"/>
                </c:ext>
              </c:extLst>
            </c:dLbl>
            <c:dLbl>
              <c:idx val="122"/>
              <c:tx>
                <c:rich>
                  <a:bodyPr/>
                  <a:lstStyle/>
                  <a:p>
                    <a:fld id="{E6D7B26C-F8E2-4A37-B859-FD188BFF0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BA4-4A29-B47F-C48A52640B72}"/>
                </c:ext>
              </c:extLst>
            </c:dLbl>
            <c:dLbl>
              <c:idx val="123"/>
              <c:tx>
                <c:rich>
                  <a:bodyPr/>
                  <a:lstStyle/>
                  <a:p>
                    <a:fld id="{F0EAF789-D868-4424-9CDF-9A15F587CC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BA4-4A29-B47F-C48A52640B72}"/>
                </c:ext>
              </c:extLst>
            </c:dLbl>
            <c:dLbl>
              <c:idx val="124"/>
              <c:tx>
                <c:rich>
                  <a:bodyPr/>
                  <a:lstStyle/>
                  <a:p>
                    <a:fld id="{5B0EEF1A-DB19-4249-9611-90BA7B2EDD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BA4-4A29-B47F-C48A52640B72}"/>
                </c:ext>
              </c:extLst>
            </c:dLbl>
            <c:dLbl>
              <c:idx val="125"/>
              <c:tx>
                <c:rich>
                  <a:bodyPr/>
                  <a:lstStyle/>
                  <a:p>
                    <a:fld id="{9742015D-6820-430E-80E8-4EFB6FFF1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BA4-4A29-B47F-C48A52640B72}"/>
                </c:ext>
              </c:extLst>
            </c:dLbl>
            <c:dLbl>
              <c:idx val="126"/>
              <c:tx>
                <c:rich>
                  <a:bodyPr/>
                  <a:lstStyle/>
                  <a:p>
                    <a:fld id="{DEF78907-2DA4-4815-8B1E-80A7E1D72C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BA4-4A29-B47F-C48A52640B72}"/>
                </c:ext>
              </c:extLst>
            </c:dLbl>
            <c:dLbl>
              <c:idx val="127"/>
              <c:tx>
                <c:rich>
                  <a:bodyPr/>
                  <a:lstStyle/>
                  <a:p>
                    <a:fld id="{D4F28B1A-D586-4FE6-A5B8-2533F7792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BA4-4A29-B47F-C48A52640B72}"/>
                </c:ext>
              </c:extLst>
            </c:dLbl>
            <c:dLbl>
              <c:idx val="128"/>
              <c:tx>
                <c:rich>
                  <a:bodyPr/>
                  <a:lstStyle/>
                  <a:p>
                    <a:fld id="{06F8DB2D-D6E7-4464-BFA6-452FA3611C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BA4-4A29-B47F-C48A52640B72}"/>
                </c:ext>
              </c:extLst>
            </c:dLbl>
            <c:dLbl>
              <c:idx val="129"/>
              <c:tx>
                <c:rich>
                  <a:bodyPr/>
                  <a:lstStyle/>
                  <a:p>
                    <a:fld id="{361B028B-F73D-4CD2-8119-0AB886A8F5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BA4-4A29-B47F-C48A52640B72}"/>
                </c:ext>
              </c:extLst>
            </c:dLbl>
            <c:dLbl>
              <c:idx val="130"/>
              <c:tx>
                <c:rich>
                  <a:bodyPr/>
                  <a:lstStyle/>
                  <a:p>
                    <a:fld id="{69F7B528-6965-487D-984A-5B0F20D763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BA4-4A29-B47F-C48A52640B72}"/>
                </c:ext>
              </c:extLst>
            </c:dLbl>
            <c:dLbl>
              <c:idx val="131"/>
              <c:tx>
                <c:rich>
                  <a:bodyPr/>
                  <a:lstStyle/>
                  <a:p>
                    <a:fld id="{6E8262BD-6CA0-4D30-9C04-94EE936DF7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BA4-4A29-B47F-C48A52640B72}"/>
                </c:ext>
              </c:extLst>
            </c:dLbl>
            <c:dLbl>
              <c:idx val="132"/>
              <c:tx>
                <c:rich>
                  <a:bodyPr/>
                  <a:lstStyle/>
                  <a:p>
                    <a:fld id="{A7C4AE32-BA8F-4223-9C2F-A2F5ADDCBD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BA4-4A29-B47F-C48A52640B72}"/>
                </c:ext>
              </c:extLst>
            </c:dLbl>
            <c:dLbl>
              <c:idx val="133"/>
              <c:tx>
                <c:rich>
                  <a:bodyPr/>
                  <a:lstStyle/>
                  <a:p>
                    <a:fld id="{12DC64F5-95B6-4BD1-ACD4-A57F20E895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BA4-4A29-B47F-C48A52640B72}"/>
                </c:ext>
              </c:extLst>
            </c:dLbl>
            <c:dLbl>
              <c:idx val="134"/>
              <c:tx>
                <c:rich>
                  <a:bodyPr/>
                  <a:lstStyle/>
                  <a:p>
                    <a:fld id="{1D0C3A58-7175-494B-AFB2-5DBA3CF1F6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BA4-4A29-B47F-C48A52640B72}"/>
                </c:ext>
              </c:extLst>
            </c:dLbl>
            <c:dLbl>
              <c:idx val="135"/>
              <c:tx>
                <c:rich>
                  <a:bodyPr/>
                  <a:lstStyle/>
                  <a:p>
                    <a:fld id="{398CE055-09DF-45A8-B713-AC1B62AFA0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BA4-4A29-B47F-C48A52640B72}"/>
                </c:ext>
              </c:extLst>
            </c:dLbl>
            <c:dLbl>
              <c:idx val="136"/>
              <c:tx>
                <c:rich>
                  <a:bodyPr/>
                  <a:lstStyle/>
                  <a:p>
                    <a:fld id="{A62BB395-17A1-4E81-9115-330F852A4B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BA4-4A29-B47F-C48A52640B72}"/>
                </c:ext>
              </c:extLst>
            </c:dLbl>
            <c:dLbl>
              <c:idx val="137"/>
              <c:tx>
                <c:rich>
                  <a:bodyPr/>
                  <a:lstStyle/>
                  <a:p>
                    <a:fld id="{6BAC2F4C-AD6E-4AE3-8898-87682275AE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BA4-4A29-B47F-C48A52640B72}"/>
                </c:ext>
              </c:extLst>
            </c:dLbl>
            <c:dLbl>
              <c:idx val="138"/>
              <c:tx>
                <c:rich>
                  <a:bodyPr/>
                  <a:lstStyle/>
                  <a:p>
                    <a:fld id="{6BD47A3F-7888-4E51-80BB-3863628FA3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BA4-4A29-B47F-C48A52640B72}"/>
                </c:ext>
              </c:extLst>
            </c:dLbl>
            <c:dLbl>
              <c:idx val="139"/>
              <c:tx>
                <c:rich>
                  <a:bodyPr/>
                  <a:lstStyle/>
                  <a:p>
                    <a:fld id="{D6D3239D-F14B-4F3A-95EC-6BACB368FA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BA4-4A29-B47F-C48A52640B72}"/>
                </c:ext>
              </c:extLst>
            </c:dLbl>
            <c:dLbl>
              <c:idx val="140"/>
              <c:tx>
                <c:rich>
                  <a:bodyPr/>
                  <a:lstStyle/>
                  <a:p>
                    <a:fld id="{24D45802-C124-470D-BD8F-34A89308EF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BA4-4A29-B47F-C48A52640B72}"/>
                </c:ext>
              </c:extLst>
            </c:dLbl>
            <c:dLbl>
              <c:idx val="141"/>
              <c:tx>
                <c:rich>
                  <a:bodyPr/>
                  <a:lstStyle/>
                  <a:p>
                    <a:fld id="{725274C6-169D-4E20-895C-C9CA6BBCA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BA4-4A29-B47F-C48A52640B72}"/>
                </c:ext>
              </c:extLst>
            </c:dLbl>
            <c:dLbl>
              <c:idx val="142"/>
              <c:tx>
                <c:rich>
                  <a:bodyPr/>
                  <a:lstStyle/>
                  <a:p>
                    <a:fld id="{5E8514EF-F415-433D-BD59-3DFA901770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BA4-4A29-B47F-C48A52640B72}"/>
                </c:ext>
              </c:extLst>
            </c:dLbl>
            <c:dLbl>
              <c:idx val="143"/>
              <c:tx>
                <c:rich>
                  <a:bodyPr/>
                  <a:lstStyle/>
                  <a:p>
                    <a:fld id="{70A6C07A-B404-419B-B214-3339B51B31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BA4-4A29-B47F-C48A52640B72}"/>
                </c:ext>
              </c:extLst>
            </c:dLbl>
            <c:dLbl>
              <c:idx val="144"/>
              <c:tx>
                <c:rich>
                  <a:bodyPr/>
                  <a:lstStyle/>
                  <a:p>
                    <a:fld id="{5DE3A8BC-E011-462F-8D7E-44EEE5A1CA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BA4-4A29-B47F-C48A52640B72}"/>
                </c:ext>
              </c:extLst>
            </c:dLbl>
            <c:dLbl>
              <c:idx val="145"/>
              <c:tx>
                <c:rich>
                  <a:bodyPr/>
                  <a:lstStyle/>
                  <a:p>
                    <a:fld id="{2034A404-5D7A-461F-975C-7619C487EC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BA4-4A29-B47F-C48A52640B72}"/>
                </c:ext>
              </c:extLst>
            </c:dLbl>
            <c:dLbl>
              <c:idx val="146"/>
              <c:tx>
                <c:rich>
                  <a:bodyPr/>
                  <a:lstStyle/>
                  <a:p>
                    <a:fld id="{AB2D3BE3-6058-45D8-8E82-572EE2C08B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BA4-4A29-B47F-C48A52640B72}"/>
                </c:ext>
              </c:extLst>
            </c:dLbl>
            <c:dLbl>
              <c:idx val="147"/>
              <c:tx>
                <c:rich>
                  <a:bodyPr/>
                  <a:lstStyle/>
                  <a:p>
                    <a:fld id="{FB2B144D-D9A3-491D-A765-A0255C7F77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BA4-4A29-B47F-C48A52640B72}"/>
                </c:ext>
              </c:extLst>
            </c:dLbl>
            <c:dLbl>
              <c:idx val="148"/>
              <c:tx>
                <c:rich>
                  <a:bodyPr/>
                  <a:lstStyle/>
                  <a:p>
                    <a:fld id="{9C26BA1E-A97A-43EF-9D92-2C0326410B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BA4-4A29-B47F-C48A52640B72}"/>
                </c:ext>
              </c:extLst>
            </c:dLbl>
            <c:dLbl>
              <c:idx val="149"/>
              <c:tx>
                <c:rich>
                  <a:bodyPr/>
                  <a:lstStyle/>
                  <a:p>
                    <a:fld id="{1F2DA13D-6DAA-4BD4-AC9E-0355AC7EF4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BA4-4A29-B47F-C48A52640B72}"/>
                </c:ext>
              </c:extLst>
            </c:dLbl>
            <c:dLbl>
              <c:idx val="150"/>
              <c:tx>
                <c:rich>
                  <a:bodyPr/>
                  <a:lstStyle/>
                  <a:p>
                    <a:fld id="{BB52559D-3098-462D-9FAA-10F2912AA2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BA4-4A29-B47F-C48A52640B72}"/>
                </c:ext>
              </c:extLst>
            </c:dLbl>
            <c:dLbl>
              <c:idx val="151"/>
              <c:tx>
                <c:rich>
                  <a:bodyPr/>
                  <a:lstStyle/>
                  <a:p>
                    <a:fld id="{519CC2C1-22AA-413C-922A-F8005B868D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BA4-4A29-B47F-C48A52640B72}"/>
                </c:ext>
              </c:extLst>
            </c:dLbl>
            <c:dLbl>
              <c:idx val="152"/>
              <c:tx>
                <c:rich>
                  <a:bodyPr/>
                  <a:lstStyle/>
                  <a:p>
                    <a:fld id="{E789524A-0F72-471C-AB70-6888E3E0C2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BA4-4A29-B47F-C48A52640B72}"/>
                </c:ext>
              </c:extLst>
            </c:dLbl>
            <c:dLbl>
              <c:idx val="153"/>
              <c:tx>
                <c:rich>
                  <a:bodyPr/>
                  <a:lstStyle/>
                  <a:p>
                    <a:fld id="{2F7CC876-39D0-4339-BD34-7A76464ACF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BA4-4A29-B47F-C48A52640B72}"/>
                </c:ext>
              </c:extLst>
            </c:dLbl>
            <c:dLbl>
              <c:idx val="154"/>
              <c:tx>
                <c:rich>
                  <a:bodyPr/>
                  <a:lstStyle/>
                  <a:p>
                    <a:fld id="{8C03D61D-8D01-45DF-9B75-FF1E46959F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BA4-4A29-B47F-C48A52640B72}"/>
                </c:ext>
              </c:extLst>
            </c:dLbl>
            <c:dLbl>
              <c:idx val="155"/>
              <c:tx>
                <c:rich>
                  <a:bodyPr/>
                  <a:lstStyle/>
                  <a:p>
                    <a:fld id="{6E42C8BC-0401-4958-8594-2079B411C9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BA4-4A29-B47F-C48A52640B72}"/>
                </c:ext>
              </c:extLst>
            </c:dLbl>
            <c:dLbl>
              <c:idx val="156"/>
              <c:tx>
                <c:rich>
                  <a:bodyPr/>
                  <a:lstStyle/>
                  <a:p>
                    <a:fld id="{51B579B2-3A05-4CFB-868A-0C9F07C39C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BA4-4A29-B47F-C48A52640B72}"/>
                </c:ext>
              </c:extLst>
            </c:dLbl>
            <c:dLbl>
              <c:idx val="157"/>
              <c:tx>
                <c:rich>
                  <a:bodyPr/>
                  <a:lstStyle/>
                  <a:p>
                    <a:fld id="{8ED1D544-7E05-4E5C-910E-076802A295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BA4-4A29-B47F-C48A52640B72}"/>
                </c:ext>
              </c:extLst>
            </c:dLbl>
            <c:dLbl>
              <c:idx val="158"/>
              <c:tx>
                <c:rich>
                  <a:bodyPr/>
                  <a:lstStyle/>
                  <a:p>
                    <a:fld id="{7059CCB4-4BA6-4490-A880-8D46A67976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BA4-4A29-B47F-C48A52640B72}"/>
                </c:ext>
              </c:extLst>
            </c:dLbl>
            <c:dLbl>
              <c:idx val="159"/>
              <c:tx>
                <c:rich>
                  <a:bodyPr/>
                  <a:lstStyle/>
                  <a:p>
                    <a:fld id="{C7207D8D-19EA-4A55-AAD2-1A1DE920F7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BA4-4A29-B47F-C48A52640B72}"/>
                </c:ext>
              </c:extLst>
            </c:dLbl>
            <c:dLbl>
              <c:idx val="160"/>
              <c:tx>
                <c:rich>
                  <a:bodyPr/>
                  <a:lstStyle/>
                  <a:p>
                    <a:fld id="{C3BA4DF0-9C86-4B9D-B1B4-FFC9436EC4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BA4-4A29-B47F-C48A52640B72}"/>
                </c:ext>
              </c:extLst>
            </c:dLbl>
            <c:dLbl>
              <c:idx val="161"/>
              <c:tx>
                <c:rich>
                  <a:bodyPr/>
                  <a:lstStyle/>
                  <a:p>
                    <a:fld id="{32BCFDF9-41B6-456F-B0E5-3C069D20B5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BA4-4A29-B47F-C48A52640B72}"/>
                </c:ext>
              </c:extLst>
            </c:dLbl>
            <c:dLbl>
              <c:idx val="162"/>
              <c:tx>
                <c:rich>
                  <a:bodyPr/>
                  <a:lstStyle/>
                  <a:p>
                    <a:fld id="{140B5B72-08F1-4D86-8050-DCB97C09DA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BA4-4A29-B47F-C48A52640B72}"/>
                </c:ext>
              </c:extLst>
            </c:dLbl>
            <c:dLbl>
              <c:idx val="163"/>
              <c:tx>
                <c:rich>
                  <a:bodyPr/>
                  <a:lstStyle/>
                  <a:p>
                    <a:fld id="{AA699D8E-99E4-4D22-B39F-0E88ED28EC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BA4-4A29-B47F-C48A52640B72}"/>
                </c:ext>
              </c:extLst>
            </c:dLbl>
            <c:dLbl>
              <c:idx val="164"/>
              <c:tx>
                <c:rich>
                  <a:bodyPr/>
                  <a:lstStyle/>
                  <a:p>
                    <a:fld id="{EB048026-3848-412D-9973-4FBAA43201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BA4-4A29-B47F-C48A52640B72}"/>
                </c:ext>
              </c:extLst>
            </c:dLbl>
            <c:dLbl>
              <c:idx val="165"/>
              <c:tx>
                <c:rich>
                  <a:bodyPr/>
                  <a:lstStyle/>
                  <a:p>
                    <a:fld id="{0695F228-5600-4951-B330-232F7D9493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BA4-4A29-B47F-C48A52640B72}"/>
                </c:ext>
              </c:extLst>
            </c:dLbl>
            <c:dLbl>
              <c:idx val="166"/>
              <c:tx>
                <c:rich>
                  <a:bodyPr/>
                  <a:lstStyle/>
                  <a:p>
                    <a:fld id="{28E26425-4A7D-4EC9-BF91-7F9AD6C64E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BA4-4A29-B47F-C48A52640B72}"/>
                </c:ext>
              </c:extLst>
            </c:dLbl>
            <c:dLbl>
              <c:idx val="167"/>
              <c:tx>
                <c:rich>
                  <a:bodyPr/>
                  <a:lstStyle/>
                  <a:p>
                    <a:fld id="{876E5594-5805-4232-844E-FAF98E5E1D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BA4-4A29-B47F-C48A52640B72}"/>
                </c:ext>
              </c:extLst>
            </c:dLbl>
            <c:dLbl>
              <c:idx val="168"/>
              <c:tx>
                <c:rich>
                  <a:bodyPr/>
                  <a:lstStyle/>
                  <a:p>
                    <a:fld id="{F2E9D5D6-FC97-496B-86FB-56E97ACA70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BA4-4A29-B47F-C48A52640B72}"/>
                </c:ext>
              </c:extLst>
            </c:dLbl>
            <c:dLbl>
              <c:idx val="169"/>
              <c:tx>
                <c:rich>
                  <a:bodyPr/>
                  <a:lstStyle/>
                  <a:p>
                    <a:fld id="{8E8FF89A-53D1-4CD4-AB29-84BEE43488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BA4-4A29-B47F-C48A52640B72}"/>
                </c:ext>
              </c:extLst>
            </c:dLbl>
            <c:dLbl>
              <c:idx val="170"/>
              <c:tx>
                <c:rich>
                  <a:bodyPr/>
                  <a:lstStyle/>
                  <a:p>
                    <a:fld id="{346C65E3-3F5B-409D-BCBB-2415329B09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BA4-4A29-B47F-C48A52640B72}"/>
                </c:ext>
              </c:extLst>
            </c:dLbl>
            <c:dLbl>
              <c:idx val="171"/>
              <c:tx>
                <c:rich>
                  <a:bodyPr/>
                  <a:lstStyle/>
                  <a:p>
                    <a:fld id="{DDB9179C-6FA6-420B-902C-8B1AF4CAFB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BA4-4A29-B47F-C48A52640B72}"/>
                </c:ext>
              </c:extLst>
            </c:dLbl>
            <c:dLbl>
              <c:idx val="172"/>
              <c:tx>
                <c:rich>
                  <a:bodyPr/>
                  <a:lstStyle/>
                  <a:p>
                    <a:fld id="{4C6587FE-817F-4CEF-8DE0-2B4C20B123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BA4-4A29-B47F-C48A52640B72}"/>
                </c:ext>
              </c:extLst>
            </c:dLbl>
            <c:dLbl>
              <c:idx val="173"/>
              <c:tx>
                <c:rich>
                  <a:bodyPr/>
                  <a:lstStyle/>
                  <a:p>
                    <a:fld id="{C001D408-26F3-4A6E-9757-DC6538EC1B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BA4-4A29-B47F-C48A52640B72}"/>
                </c:ext>
              </c:extLst>
            </c:dLbl>
            <c:dLbl>
              <c:idx val="174"/>
              <c:tx>
                <c:rich>
                  <a:bodyPr/>
                  <a:lstStyle/>
                  <a:p>
                    <a:fld id="{13A794B1-62FB-48D5-96CB-D55168DEF0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BA4-4A29-B47F-C48A52640B72}"/>
                </c:ext>
              </c:extLst>
            </c:dLbl>
            <c:dLbl>
              <c:idx val="175"/>
              <c:tx>
                <c:rich>
                  <a:bodyPr/>
                  <a:lstStyle/>
                  <a:p>
                    <a:fld id="{F29D97F9-463D-4BBB-8699-E5BEF2FF68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BA4-4A29-B47F-C48A52640B72}"/>
                </c:ext>
              </c:extLst>
            </c:dLbl>
            <c:dLbl>
              <c:idx val="176"/>
              <c:tx>
                <c:rich>
                  <a:bodyPr/>
                  <a:lstStyle/>
                  <a:p>
                    <a:fld id="{3CE638A3-D21D-475C-A0FE-865B85864C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BA4-4A29-B47F-C48A52640B72}"/>
                </c:ext>
              </c:extLst>
            </c:dLbl>
            <c:dLbl>
              <c:idx val="177"/>
              <c:tx>
                <c:rich>
                  <a:bodyPr/>
                  <a:lstStyle/>
                  <a:p>
                    <a:fld id="{2BA42318-7652-4831-82B0-67F1AE9C8F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BA4-4A29-B47F-C48A52640B72}"/>
                </c:ext>
              </c:extLst>
            </c:dLbl>
            <c:dLbl>
              <c:idx val="178"/>
              <c:tx>
                <c:rich>
                  <a:bodyPr/>
                  <a:lstStyle/>
                  <a:p>
                    <a:fld id="{782DA8D3-EDB8-48C3-ADE1-EBD18894E7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BA4-4A29-B47F-C48A52640B72}"/>
                </c:ext>
              </c:extLst>
            </c:dLbl>
            <c:dLbl>
              <c:idx val="179"/>
              <c:tx>
                <c:rich>
                  <a:bodyPr/>
                  <a:lstStyle/>
                  <a:p>
                    <a:fld id="{B01B418B-C3BB-478F-AC3D-AAA462E167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BA4-4A29-B47F-C48A52640B72}"/>
                </c:ext>
              </c:extLst>
            </c:dLbl>
            <c:dLbl>
              <c:idx val="180"/>
              <c:tx>
                <c:rich>
                  <a:bodyPr/>
                  <a:lstStyle/>
                  <a:p>
                    <a:fld id="{659B0D6A-1B7B-4CAC-BD1D-BE40FD9876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BA4-4A29-B47F-C48A52640B72}"/>
                </c:ext>
              </c:extLst>
            </c:dLbl>
            <c:dLbl>
              <c:idx val="181"/>
              <c:tx>
                <c:rich>
                  <a:bodyPr/>
                  <a:lstStyle/>
                  <a:p>
                    <a:fld id="{A0D028F4-D9A1-4E44-B6A2-2C2A1A01B1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BA4-4A29-B47F-C48A52640B72}"/>
                </c:ext>
              </c:extLst>
            </c:dLbl>
            <c:dLbl>
              <c:idx val="182"/>
              <c:tx>
                <c:rich>
                  <a:bodyPr/>
                  <a:lstStyle/>
                  <a:p>
                    <a:fld id="{EC5B5787-B31D-4D65-98CC-F1FA5DBB94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BA4-4A29-B47F-C48A52640B72}"/>
                </c:ext>
              </c:extLst>
            </c:dLbl>
            <c:dLbl>
              <c:idx val="183"/>
              <c:tx>
                <c:rich>
                  <a:bodyPr/>
                  <a:lstStyle/>
                  <a:p>
                    <a:fld id="{A277A47F-D56E-410A-96DB-8E0FB186B2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BA4-4A29-B47F-C48A52640B72}"/>
                </c:ext>
              </c:extLst>
            </c:dLbl>
            <c:dLbl>
              <c:idx val="184"/>
              <c:tx>
                <c:rich>
                  <a:bodyPr/>
                  <a:lstStyle/>
                  <a:p>
                    <a:fld id="{2B020FC0-8B11-4D57-A98B-1024FD3B50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BA4-4A29-B47F-C48A52640B72}"/>
                </c:ext>
              </c:extLst>
            </c:dLbl>
            <c:dLbl>
              <c:idx val="185"/>
              <c:tx>
                <c:rich>
                  <a:bodyPr/>
                  <a:lstStyle/>
                  <a:p>
                    <a:fld id="{60869246-36E2-47C7-9099-A44306A191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BA4-4A29-B47F-C48A52640B72}"/>
                </c:ext>
              </c:extLst>
            </c:dLbl>
            <c:dLbl>
              <c:idx val="186"/>
              <c:tx>
                <c:rich>
                  <a:bodyPr/>
                  <a:lstStyle/>
                  <a:p>
                    <a:fld id="{1249359F-45A4-4FB9-9D8C-A3FF6AC254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BA4-4A29-B47F-C48A52640B72}"/>
                </c:ext>
              </c:extLst>
            </c:dLbl>
            <c:dLbl>
              <c:idx val="187"/>
              <c:tx>
                <c:rich>
                  <a:bodyPr/>
                  <a:lstStyle/>
                  <a:p>
                    <a:fld id="{AABBF800-4089-4695-81DF-4046BDD497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BA4-4A29-B47F-C48A52640B72}"/>
                </c:ext>
              </c:extLst>
            </c:dLbl>
            <c:dLbl>
              <c:idx val="188"/>
              <c:tx>
                <c:rich>
                  <a:bodyPr/>
                  <a:lstStyle/>
                  <a:p>
                    <a:fld id="{85BBC45A-B8CF-4A4A-9521-70FAA6CDBD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BA4-4A29-B47F-C48A52640B72}"/>
                </c:ext>
              </c:extLst>
            </c:dLbl>
            <c:dLbl>
              <c:idx val="189"/>
              <c:tx>
                <c:rich>
                  <a:bodyPr/>
                  <a:lstStyle/>
                  <a:p>
                    <a:fld id="{440C49D1-76BF-4711-8BB8-84C0AD042D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BA4-4A29-B47F-C48A52640B72}"/>
                </c:ext>
              </c:extLst>
            </c:dLbl>
            <c:dLbl>
              <c:idx val="190"/>
              <c:tx>
                <c:rich>
                  <a:bodyPr/>
                  <a:lstStyle/>
                  <a:p>
                    <a:fld id="{A53CE1D0-5C70-44F4-8FA5-C4D31DA4CB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BA4-4A29-B47F-C48A52640B72}"/>
                </c:ext>
              </c:extLst>
            </c:dLbl>
            <c:dLbl>
              <c:idx val="191"/>
              <c:tx>
                <c:rich>
                  <a:bodyPr/>
                  <a:lstStyle/>
                  <a:p>
                    <a:fld id="{63EF27F0-D7F9-4CE6-B08C-E37F98E29D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BA4-4A29-B47F-C48A52640B72}"/>
                </c:ext>
              </c:extLst>
            </c:dLbl>
            <c:dLbl>
              <c:idx val="192"/>
              <c:tx>
                <c:rich>
                  <a:bodyPr/>
                  <a:lstStyle/>
                  <a:p>
                    <a:fld id="{4F5F6BB8-3422-4CBA-9A0B-17F7C15BBF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BA4-4A29-B47F-C48A52640B72}"/>
                </c:ext>
              </c:extLst>
            </c:dLbl>
            <c:dLbl>
              <c:idx val="193"/>
              <c:tx>
                <c:rich>
                  <a:bodyPr/>
                  <a:lstStyle/>
                  <a:p>
                    <a:fld id="{31E3CC49-219E-43D3-82BB-B8002A13FC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BA4-4A29-B47F-C48A52640B72}"/>
                </c:ext>
              </c:extLst>
            </c:dLbl>
            <c:dLbl>
              <c:idx val="194"/>
              <c:tx>
                <c:rich>
                  <a:bodyPr/>
                  <a:lstStyle/>
                  <a:p>
                    <a:fld id="{7F051542-5D94-4051-BCAF-B9ED797158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BA4-4A29-B47F-C48A52640B72}"/>
                </c:ext>
              </c:extLst>
            </c:dLbl>
            <c:dLbl>
              <c:idx val="195"/>
              <c:tx>
                <c:rich>
                  <a:bodyPr/>
                  <a:lstStyle/>
                  <a:p>
                    <a:fld id="{798ADC00-B0B8-4B98-87A7-3679A31E23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BA4-4A29-B47F-C48A52640B72}"/>
                </c:ext>
              </c:extLst>
            </c:dLbl>
            <c:dLbl>
              <c:idx val="196"/>
              <c:tx>
                <c:rich>
                  <a:bodyPr/>
                  <a:lstStyle/>
                  <a:p>
                    <a:fld id="{44BA7198-DE26-4BDB-9B41-B423AA9A65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BA4-4A29-B47F-C48A52640B72}"/>
                </c:ext>
              </c:extLst>
            </c:dLbl>
            <c:dLbl>
              <c:idx val="197"/>
              <c:tx>
                <c:rich>
                  <a:bodyPr/>
                  <a:lstStyle/>
                  <a:p>
                    <a:fld id="{43C3CC83-F2DC-4984-B481-6A303246F0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BA4-4A29-B47F-C48A52640B72}"/>
                </c:ext>
              </c:extLst>
            </c:dLbl>
            <c:dLbl>
              <c:idx val="198"/>
              <c:tx>
                <c:rich>
                  <a:bodyPr/>
                  <a:lstStyle/>
                  <a:p>
                    <a:fld id="{03849D77-786F-485C-A9FC-400B9D5C97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BA4-4A29-B47F-C48A52640B72}"/>
                </c:ext>
              </c:extLst>
            </c:dLbl>
            <c:dLbl>
              <c:idx val="199"/>
              <c:tx>
                <c:rich>
                  <a:bodyPr/>
                  <a:lstStyle/>
                  <a:p>
                    <a:fld id="{6CF7B3F3-74DD-4A72-80A0-E01CBED02A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BA4-4A29-B47F-C48A52640B72}"/>
                </c:ext>
              </c:extLst>
            </c:dLbl>
            <c:dLbl>
              <c:idx val="200"/>
              <c:tx>
                <c:rich>
                  <a:bodyPr/>
                  <a:lstStyle/>
                  <a:p>
                    <a:fld id="{0FB87C2D-A225-4073-8E2E-BB4BC40220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BA4-4A29-B47F-C48A52640B72}"/>
                </c:ext>
              </c:extLst>
            </c:dLbl>
            <c:dLbl>
              <c:idx val="201"/>
              <c:tx>
                <c:rich>
                  <a:bodyPr/>
                  <a:lstStyle/>
                  <a:p>
                    <a:fld id="{7018B9EB-025E-4E30-B847-DB77AACAFE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BA4-4A29-B47F-C48A52640B72}"/>
                </c:ext>
              </c:extLst>
            </c:dLbl>
            <c:dLbl>
              <c:idx val="202"/>
              <c:tx>
                <c:rich>
                  <a:bodyPr/>
                  <a:lstStyle/>
                  <a:p>
                    <a:fld id="{598DAE81-0FE4-4E24-ADD6-6DE6CC9463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BA4-4A29-B47F-C48A52640B72}"/>
                </c:ext>
              </c:extLst>
            </c:dLbl>
            <c:dLbl>
              <c:idx val="203"/>
              <c:tx>
                <c:rich>
                  <a:bodyPr/>
                  <a:lstStyle/>
                  <a:p>
                    <a:fld id="{D8C18A77-C5E2-41BC-B315-44BC407322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BA4-4A29-B47F-C48A52640B72}"/>
                </c:ext>
              </c:extLst>
            </c:dLbl>
            <c:dLbl>
              <c:idx val="204"/>
              <c:tx>
                <c:rich>
                  <a:bodyPr/>
                  <a:lstStyle/>
                  <a:p>
                    <a:fld id="{1A9FF48B-52A0-4EBE-B7E9-CCA2E6569D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BA4-4A29-B47F-C48A52640B72}"/>
                </c:ext>
              </c:extLst>
            </c:dLbl>
            <c:dLbl>
              <c:idx val="205"/>
              <c:tx>
                <c:rich>
                  <a:bodyPr/>
                  <a:lstStyle/>
                  <a:p>
                    <a:fld id="{689017CB-11C0-40E9-875B-0C03118CDF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BA4-4A29-B47F-C48A52640B72}"/>
                </c:ext>
              </c:extLst>
            </c:dLbl>
            <c:dLbl>
              <c:idx val="206"/>
              <c:tx>
                <c:rich>
                  <a:bodyPr/>
                  <a:lstStyle/>
                  <a:p>
                    <a:fld id="{1A2C0945-A9AF-450F-9C39-2240691BCE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BA4-4A29-B47F-C48A52640B72}"/>
                </c:ext>
              </c:extLst>
            </c:dLbl>
            <c:dLbl>
              <c:idx val="207"/>
              <c:tx>
                <c:rich>
                  <a:bodyPr/>
                  <a:lstStyle/>
                  <a:p>
                    <a:fld id="{A8B2C9BF-3F7B-4122-800A-9E29DBCC8F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BA4-4A29-B47F-C48A52640B72}"/>
                </c:ext>
              </c:extLst>
            </c:dLbl>
            <c:dLbl>
              <c:idx val="208"/>
              <c:tx>
                <c:rich>
                  <a:bodyPr/>
                  <a:lstStyle/>
                  <a:p>
                    <a:fld id="{1DAF0858-A33B-41C5-9B26-211600D89C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BA4-4A29-B47F-C48A52640B72}"/>
                </c:ext>
              </c:extLst>
            </c:dLbl>
            <c:dLbl>
              <c:idx val="209"/>
              <c:tx>
                <c:rich>
                  <a:bodyPr/>
                  <a:lstStyle/>
                  <a:p>
                    <a:fld id="{A40E693A-AADD-4208-A336-90294CC7B3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BA4-4A29-B47F-C48A52640B72}"/>
                </c:ext>
              </c:extLst>
            </c:dLbl>
            <c:dLbl>
              <c:idx val="210"/>
              <c:tx>
                <c:rich>
                  <a:bodyPr/>
                  <a:lstStyle/>
                  <a:p>
                    <a:fld id="{E3A8D39E-4547-4D59-B8E6-DF3DD5443D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BA4-4A29-B47F-C48A52640B72}"/>
                </c:ext>
              </c:extLst>
            </c:dLbl>
            <c:dLbl>
              <c:idx val="211"/>
              <c:tx>
                <c:rich>
                  <a:bodyPr/>
                  <a:lstStyle/>
                  <a:p>
                    <a:fld id="{23A265B2-E1E4-47A3-95C2-5C24228862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BA4-4A29-B47F-C48A52640B72}"/>
                </c:ext>
              </c:extLst>
            </c:dLbl>
            <c:dLbl>
              <c:idx val="212"/>
              <c:tx>
                <c:rich>
                  <a:bodyPr/>
                  <a:lstStyle/>
                  <a:p>
                    <a:fld id="{0E0C024B-D1B3-414A-BF70-32CBABC7E4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BA4-4A29-B47F-C48A52640B72}"/>
                </c:ext>
              </c:extLst>
            </c:dLbl>
            <c:dLbl>
              <c:idx val="213"/>
              <c:tx>
                <c:rich>
                  <a:bodyPr/>
                  <a:lstStyle/>
                  <a:p>
                    <a:fld id="{E8DFBB1B-DD45-44D1-9779-CB05A9ACE3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BA4-4A29-B47F-C48A52640B72}"/>
                </c:ext>
              </c:extLst>
            </c:dLbl>
            <c:dLbl>
              <c:idx val="214"/>
              <c:tx>
                <c:rich>
                  <a:bodyPr/>
                  <a:lstStyle/>
                  <a:p>
                    <a:fld id="{281B30DF-4A21-4130-A88A-479E1FB380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BA4-4A29-B47F-C48A52640B72}"/>
                </c:ext>
              </c:extLst>
            </c:dLbl>
            <c:dLbl>
              <c:idx val="215"/>
              <c:tx>
                <c:rich>
                  <a:bodyPr/>
                  <a:lstStyle/>
                  <a:p>
                    <a:fld id="{2B23FFF0-4C97-42CD-B6A9-72DD498628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BA4-4A29-B47F-C48A52640B72}"/>
                </c:ext>
              </c:extLst>
            </c:dLbl>
            <c:dLbl>
              <c:idx val="216"/>
              <c:tx>
                <c:rich>
                  <a:bodyPr/>
                  <a:lstStyle/>
                  <a:p>
                    <a:fld id="{5917B700-AEB7-49F7-982A-DFD5AE5F7C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BA4-4A29-B47F-C48A52640B72}"/>
                </c:ext>
              </c:extLst>
            </c:dLbl>
            <c:dLbl>
              <c:idx val="217"/>
              <c:tx>
                <c:rich>
                  <a:bodyPr/>
                  <a:lstStyle/>
                  <a:p>
                    <a:fld id="{A19F3861-0A7F-4253-AD3D-623CF040E4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BA4-4A29-B47F-C48A52640B72}"/>
                </c:ext>
              </c:extLst>
            </c:dLbl>
            <c:dLbl>
              <c:idx val="218"/>
              <c:tx>
                <c:rich>
                  <a:bodyPr/>
                  <a:lstStyle/>
                  <a:p>
                    <a:fld id="{4E301834-0082-4A28-ADEE-66D9552CD0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BA4-4A29-B47F-C48A52640B72}"/>
                </c:ext>
              </c:extLst>
            </c:dLbl>
            <c:dLbl>
              <c:idx val="219"/>
              <c:tx>
                <c:rich>
                  <a:bodyPr/>
                  <a:lstStyle/>
                  <a:p>
                    <a:fld id="{43E04C74-DD87-4022-B482-B6E176B8E1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BA4-4A29-B47F-C48A52640B72}"/>
                </c:ext>
              </c:extLst>
            </c:dLbl>
            <c:dLbl>
              <c:idx val="220"/>
              <c:tx>
                <c:rich>
                  <a:bodyPr/>
                  <a:lstStyle/>
                  <a:p>
                    <a:fld id="{03873B19-2201-4192-8883-F3C92B136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BA4-4A29-B47F-C48A52640B72}"/>
                </c:ext>
              </c:extLst>
            </c:dLbl>
            <c:dLbl>
              <c:idx val="221"/>
              <c:tx>
                <c:rich>
                  <a:bodyPr/>
                  <a:lstStyle/>
                  <a:p>
                    <a:fld id="{B44C3416-5CFB-4414-B3FE-CBD81BE8CF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BA4-4A29-B47F-C48A52640B72}"/>
                </c:ext>
              </c:extLst>
            </c:dLbl>
            <c:dLbl>
              <c:idx val="222"/>
              <c:tx>
                <c:rich>
                  <a:bodyPr/>
                  <a:lstStyle/>
                  <a:p>
                    <a:fld id="{E8470348-3AA1-4669-BFF6-E9192601A7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BA4-4A29-B47F-C48A52640B72}"/>
                </c:ext>
              </c:extLst>
            </c:dLbl>
            <c:dLbl>
              <c:idx val="223"/>
              <c:tx>
                <c:rich>
                  <a:bodyPr/>
                  <a:lstStyle/>
                  <a:p>
                    <a:fld id="{912DC5E2-A4B8-450D-B424-79E5374AB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BA4-4A29-B47F-C48A52640B72}"/>
                </c:ext>
              </c:extLst>
            </c:dLbl>
            <c:dLbl>
              <c:idx val="224"/>
              <c:tx>
                <c:rich>
                  <a:bodyPr/>
                  <a:lstStyle/>
                  <a:p>
                    <a:fld id="{86643E5B-9FA0-47C8-95E2-F306D17A91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BA4-4A29-B47F-C48A52640B72}"/>
                </c:ext>
              </c:extLst>
            </c:dLbl>
            <c:dLbl>
              <c:idx val="225"/>
              <c:tx>
                <c:rich>
                  <a:bodyPr/>
                  <a:lstStyle/>
                  <a:p>
                    <a:fld id="{BD4D8DDF-3894-424A-96F3-1EED0BC4EB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2BA4-4A29-B47F-C48A52640B72}"/>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BA4-4A29-B47F-C48A52640B72}"/>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BA4-4A29-B47F-C48A52640B72}"/>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BA4-4A29-B47F-C48A52640B72}"/>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BA4-4A29-B47F-C48A52640B72}"/>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BA4-4A29-B47F-C48A52640B72}"/>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BA4-4A29-B47F-C48A52640B72}"/>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BA4-4A29-B47F-C48A52640B72}"/>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BA4-4A29-B47F-C48A52640B72}"/>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BA4-4A29-B47F-C48A52640B72}"/>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BA4-4A29-B47F-C48A52640B72}"/>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BA4-4A29-B47F-C48A52640B72}"/>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BA4-4A29-B47F-C48A52640B72}"/>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BA4-4A29-B47F-C48A52640B72}"/>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BA4-4A29-B47F-C48A52640B72}"/>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BA4-4A29-B47F-C48A52640B72}"/>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BA4-4A29-B47F-C48A52640B72}"/>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BA4-4A29-B47F-C48A52640B72}"/>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BA4-4A29-B47F-C48A52640B72}"/>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BA4-4A29-B47F-C48A52640B72}"/>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BA4-4A29-B47F-C48A52640B72}"/>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BA4-4A29-B47F-C48A52640B72}"/>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BA4-4A29-B47F-C48A52640B72}"/>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BA4-4A29-B47F-C48A52640B72}"/>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BA4-4A29-B47F-C48A52640B72}"/>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BA4-4A29-B47F-C48A52640B72}"/>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BA4-4A29-B47F-C48A52640B72}"/>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BA4-4A29-B47F-C48A52640B72}"/>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BA4-4A29-B47F-C48A52640B72}"/>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BA4-4A29-B47F-C48A52640B72}"/>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BA4-4A29-B47F-C48A52640B72}"/>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BA4-4A29-B47F-C48A52640B72}"/>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BA4-4A29-B47F-C48A52640B72}"/>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BA4-4A29-B47F-C48A52640B72}"/>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BA4-4A29-B47F-C48A52640B72}"/>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BA4-4A29-B47F-C48A52640B72}"/>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BA4-4A29-B47F-C48A52640B72}"/>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BA4-4A29-B47F-C48A52640B72}"/>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BA4-4A29-B47F-C48A52640B72}"/>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BA4-4A29-B47F-C48A52640B72}"/>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BA4-4A29-B47F-C48A52640B72}"/>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BA4-4A29-B47F-C48A52640B72}"/>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BA4-4A29-B47F-C48A52640B72}"/>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BA4-4A29-B47F-C48A52640B72}"/>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BA4-4A29-B47F-C48A52640B72}"/>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BA4-4A29-B47F-C48A52640B72}"/>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BA4-4A29-B47F-C48A52640B72}"/>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BA4-4A29-B47F-C48A52640B72}"/>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BA4-4A29-B47F-C48A52640B72}"/>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BA4-4A29-B47F-C48A52640B72}"/>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BA4-4A29-B47F-C48A52640B72}"/>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BA4-4A29-B47F-C48A52640B72}"/>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BA4-4A29-B47F-C48A52640B72}"/>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BA4-4A29-B47F-C48A52640B72}"/>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BA4-4A29-B47F-C48A52640B72}"/>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BA4-4A29-B47F-C48A52640B72}"/>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BA4-4A29-B47F-C48A52640B72}"/>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BA4-4A29-B47F-C48A52640B72}"/>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BA4-4A29-B47F-C48A52640B72}"/>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BA4-4A29-B47F-C48A52640B72}"/>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BA4-4A29-B47F-C48A52640B72}"/>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BA4-4A29-B47F-C48A52640B72}"/>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BA4-4A29-B47F-C48A52640B72}"/>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BA4-4A29-B47F-C48A52640B72}"/>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BA4-4A29-B47F-C48A52640B72}"/>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BA4-4A29-B47F-C48A52640B72}"/>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BA4-4A29-B47F-C48A52640B72}"/>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BA4-4A29-B47F-C48A52640B72}"/>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BA4-4A29-B47F-C48A52640B72}"/>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BA4-4A29-B47F-C48A52640B72}"/>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BA4-4A29-B47F-C48A52640B72}"/>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BA4-4A29-B47F-C48A52640B72}"/>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BA4-4A29-B47F-C48A52640B72}"/>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2BA4-4A29-B47F-C48A52640B72}"/>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90.346244812011719</c:v>
                </c:pt>
                <c:pt idx="2">
                  <c:v>80.537879943847656</c:v>
                </c:pt>
                <c:pt idx="3">
                  <c:v>71.676124572753906</c:v>
                </c:pt>
                <c:pt idx="4">
                  <c:v>64.588172912597656</c:v>
                </c:pt>
                <c:pt idx="5">
                  <c:v>59.492954254150391</c:v>
                </c:pt>
                <c:pt idx="6">
                  <c:v>56.181777954101563</c:v>
                </c:pt>
                <c:pt idx="7">
                  <c:v>54.678707122802734</c:v>
                </c:pt>
                <c:pt idx="8">
                  <c:v>54.357902526855469</c:v>
                </c:pt>
                <c:pt idx="9">
                  <c:v>55.184665679931641</c:v>
                </c:pt>
                <c:pt idx="10">
                  <c:v>56.716205596923828</c:v>
                </c:pt>
                <c:pt idx="11">
                  <c:v>58.614944458007813</c:v>
                </c:pt>
                <c:pt idx="12">
                  <c:v>60.444950103759766</c:v>
                </c:pt>
                <c:pt idx="13">
                  <c:v>61.918323516845703</c:v>
                </c:pt>
                <c:pt idx="14">
                  <c:v>62.469470977783203</c:v>
                </c:pt>
                <c:pt idx="15">
                  <c:v>61.303005218505859</c:v>
                </c:pt>
                <c:pt idx="16">
                  <c:v>58.165584564208984</c:v>
                </c:pt>
                <c:pt idx="17">
                  <c:v>53.020725250244141</c:v>
                </c:pt>
                <c:pt idx="18">
                  <c:v>46.306468963623047</c:v>
                </c:pt>
                <c:pt idx="19">
                  <c:v>38.525783538818359</c:v>
                </c:pt>
                <c:pt idx="20">
                  <c:v>31.036874771118164</c:v>
                </c:pt>
                <c:pt idx="21">
                  <c:v>24.638788223266602</c:v>
                </c:pt>
                <c:pt idx="22">
                  <c:v>19.776782989501953</c:v>
                </c:pt>
                <c:pt idx="23">
                  <c:v>16.840913772583008</c:v>
                </c:pt>
                <c:pt idx="24">
                  <c:v>15.221232414245605</c:v>
                </c:pt>
                <c:pt idx="25">
                  <c:v>14.506296157836914</c:v>
                </c:pt>
                <c:pt idx="26">
                  <c:v>14.304013252258301</c:v>
                </c:pt>
                <c:pt idx="27">
                  <c:v>14.368534088134766</c:v>
                </c:pt>
                <c:pt idx="28">
                  <c:v>14.712178230285645</c:v>
                </c:pt>
                <c:pt idx="29">
                  <c:v>15.432357788085938</c:v>
                </c:pt>
                <c:pt idx="30">
                  <c:v>16.631521224975586</c:v>
                </c:pt>
                <c:pt idx="31">
                  <c:v>18.207986831665039</c:v>
                </c:pt>
                <c:pt idx="32">
                  <c:v>20.287494659423828</c:v>
                </c:pt>
                <c:pt idx="33">
                  <c:v>22.583789825439453</c:v>
                </c:pt>
                <c:pt idx="34">
                  <c:v>24.973447799682617</c:v>
                </c:pt>
                <c:pt idx="35">
                  <c:v>27.565553665161133</c:v>
                </c:pt>
                <c:pt idx="36">
                  <c:v>30.054519653320313</c:v>
                </c:pt>
                <c:pt idx="37">
                  <c:v>32.358745574951172</c:v>
                </c:pt>
                <c:pt idx="38">
                  <c:v>34.282291412353516</c:v>
                </c:pt>
                <c:pt idx="39">
                  <c:v>35.786018371582031</c:v>
                </c:pt>
                <c:pt idx="40">
                  <c:v>36.52764892578125</c:v>
                </c:pt>
                <c:pt idx="41">
                  <c:v>36.500778198242188</c:v>
                </c:pt>
                <c:pt idx="42">
                  <c:v>35.604953765869141</c:v>
                </c:pt>
                <c:pt idx="43">
                  <c:v>33.705764770507813</c:v>
                </c:pt>
                <c:pt idx="44">
                  <c:v>31.063358306884766</c:v>
                </c:pt>
                <c:pt idx="45">
                  <c:v>27.764730453491211</c:v>
                </c:pt>
                <c:pt idx="46">
                  <c:v>24.186487197875977</c:v>
                </c:pt>
                <c:pt idx="47">
                  <c:v>20.745632171630859</c:v>
                </c:pt>
                <c:pt idx="48">
                  <c:v>17.723506927490234</c:v>
                </c:pt>
                <c:pt idx="49">
                  <c:v>15.28062915802002</c:v>
                </c:pt>
                <c:pt idx="50">
                  <c:v>13.52496337890625</c:v>
                </c:pt>
                <c:pt idx="51">
                  <c:v>12.41341495513916</c:v>
                </c:pt>
                <c:pt idx="52">
                  <c:v>11.772478103637695</c:v>
                </c:pt>
                <c:pt idx="53">
                  <c:v>11.430336952209473</c:v>
                </c:pt>
                <c:pt idx="54">
                  <c:v>11.295591354370117</c:v>
                </c:pt>
                <c:pt idx="55">
                  <c:v>11.369656562805176</c:v>
                </c:pt>
                <c:pt idx="56">
                  <c:v>11.617217063903809</c:v>
                </c:pt>
                <c:pt idx="57">
                  <c:v>11.92314338684082</c:v>
                </c:pt>
                <c:pt idx="58">
                  <c:v>12.281412124633789</c:v>
                </c:pt>
                <c:pt idx="59">
                  <c:v>12.618023872375488</c:v>
                </c:pt>
                <c:pt idx="60">
                  <c:v>13.055986404418945</c:v>
                </c:pt>
                <c:pt idx="61">
                  <c:v>13.52897834777832</c:v>
                </c:pt>
                <c:pt idx="62">
                  <c:v>13.967445373535156</c:v>
                </c:pt>
                <c:pt idx="63">
                  <c:v>14.446723937988281</c:v>
                </c:pt>
                <c:pt idx="64">
                  <c:v>14.828525543212891</c:v>
                </c:pt>
                <c:pt idx="65">
                  <c:v>15.183623313903809</c:v>
                </c:pt>
                <c:pt idx="66">
                  <c:v>15.548112869262695</c:v>
                </c:pt>
                <c:pt idx="67">
                  <c:v>15.891549110412598</c:v>
                </c:pt>
                <c:pt idx="68">
                  <c:v>16.193733215332031</c:v>
                </c:pt>
                <c:pt idx="69">
                  <c:v>16.366373062133789</c:v>
                </c:pt>
                <c:pt idx="70">
                  <c:v>16.489017486572266</c:v>
                </c:pt>
                <c:pt idx="71">
                  <c:v>16.478288650512695</c:v>
                </c:pt>
                <c:pt idx="72">
                  <c:v>16.339374542236328</c:v>
                </c:pt>
                <c:pt idx="73">
                  <c:v>16.076255798339844</c:v>
                </c:pt>
                <c:pt idx="74">
                  <c:v>15.748355865478516</c:v>
                </c:pt>
                <c:pt idx="75">
                  <c:v>15.525524139404297</c:v>
                </c:pt>
                <c:pt idx="76">
                  <c:v>15.072871208190918</c:v>
                </c:pt>
                <c:pt idx="77">
                  <c:v>14.566647529602051</c:v>
                </c:pt>
                <c:pt idx="78">
                  <c:v>13.958284378051758</c:v>
                </c:pt>
                <c:pt idx="79">
                  <c:v>13.181241989135742</c:v>
                </c:pt>
                <c:pt idx="80">
                  <c:v>12.391911506652832</c:v>
                </c:pt>
                <c:pt idx="81">
                  <c:v>11.616141319274902</c:v>
                </c:pt>
                <c:pt idx="82">
                  <c:v>10.917190551757813</c:v>
                </c:pt>
                <c:pt idx="83">
                  <c:v>10.187148094177246</c:v>
                </c:pt>
                <c:pt idx="84">
                  <c:v>9.4831171035766602</c:v>
                </c:pt>
                <c:pt idx="85">
                  <c:v>8.8455924987792969</c:v>
                </c:pt>
                <c:pt idx="86">
                  <c:v>8.2375040054321289</c:v>
                </c:pt>
                <c:pt idx="87">
                  <c:v>7.7967658042907715</c:v>
                </c:pt>
                <c:pt idx="88">
                  <c:v>7.3918375968933105</c:v>
                </c:pt>
                <c:pt idx="89">
                  <c:v>6.9300026893615723</c:v>
                </c:pt>
                <c:pt idx="90">
                  <c:v>6.5682229995727539</c:v>
                </c:pt>
                <c:pt idx="91">
                  <c:v>6.3721714019775391</c:v>
                </c:pt>
                <c:pt idx="92">
                  <c:v>6.2740468978881836</c:v>
                </c:pt>
                <c:pt idx="93">
                  <c:v>6.1518630981445313</c:v>
                </c:pt>
                <c:pt idx="94">
                  <c:v>6.0859599113464355</c:v>
                </c:pt>
                <c:pt idx="95">
                  <c:v>6.1157026290893555</c:v>
                </c:pt>
                <c:pt idx="96">
                  <c:v>6.0224490165710449</c:v>
                </c:pt>
                <c:pt idx="97">
                  <c:v>5.9111814498901367</c:v>
                </c:pt>
                <c:pt idx="98">
                  <c:v>5.9409236907958984</c:v>
                </c:pt>
                <c:pt idx="99">
                  <c:v>5.7918167114257813</c:v>
                </c:pt>
                <c:pt idx="100">
                  <c:v>5.7512350082397461</c:v>
                </c:pt>
                <c:pt idx="101">
                  <c:v>5.828887939453125</c:v>
                </c:pt>
                <c:pt idx="102">
                  <c:v>5.8371601104736328</c:v>
                </c:pt>
                <c:pt idx="103">
                  <c:v>5.8538360595703125</c:v>
                </c:pt>
                <c:pt idx="104">
                  <c:v>5.8474287986755371</c:v>
                </c:pt>
                <c:pt idx="105">
                  <c:v>5.7779712677001953</c:v>
                </c:pt>
                <c:pt idx="106">
                  <c:v>5.7682399749755859</c:v>
                </c:pt>
                <c:pt idx="107">
                  <c:v>5.7971706390380859</c:v>
                </c:pt>
                <c:pt idx="108">
                  <c:v>5.7462434768676758</c:v>
                </c:pt>
                <c:pt idx="109">
                  <c:v>5.5963354110717773</c:v>
                </c:pt>
                <c:pt idx="110">
                  <c:v>5.6582999229431152</c:v>
                </c:pt>
                <c:pt idx="111">
                  <c:v>5.8193869590759277</c:v>
                </c:pt>
                <c:pt idx="112">
                  <c:v>5.819880485534668</c:v>
                </c:pt>
                <c:pt idx="113">
                  <c:v>5.9042916297912598</c:v>
                </c:pt>
                <c:pt idx="114">
                  <c:v>5.9066610336303711</c:v>
                </c:pt>
                <c:pt idx="115">
                  <c:v>5.7526721954345703</c:v>
                </c:pt>
                <c:pt idx="116">
                  <c:v>5.6570382118225098</c:v>
                </c:pt>
                <c:pt idx="117">
                  <c:v>5.5806798934936523</c:v>
                </c:pt>
                <c:pt idx="118">
                  <c:v>5.5643773078918457</c:v>
                </c:pt>
                <c:pt idx="119">
                  <c:v>5.5582113265991211</c:v>
                </c:pt>
                <c:pt idx="120">
                  <c:v>5.4357972145080566</c:v>
                </c:pt>
                <c:pt idx="121">
                  <c:v>5.4283146858215332</c:v>
                </c:pt>
                <c:pt idx="122">
                  <c:v>5.6667804718017578</c:v>
                </c:pt>
                <c:pt idx="123">
                  <c:v>5.6720905303955078</c:v>
                </c:pt>
                <c:pt idx="124">
                  <c:v>5.5586285591125488</c:v>
                </c:pt>
                <c:pt idx="125">
                  <c:v>5.5827207565307617</c:v>
                </c:pt>
                <c:pt idx="126">
                  <c:v>5.6498632431030273</c:v>
                </c:pt>
                <c:pt idx="127">
                  <c:v>5.6690511703491211</c:v>
                </c:pt>
                <c:pt idx="128">
                  <c:v>5.7745814323425293</c:v>
                </c:pt>
                <c:pt idx="129">
                  <c:v>5.6614375114440918</c:v>
                </c:pt>
                <c:pt idx="130">
                  <c:v>5.5034003257751465</c:v>
                </c:pt>
                <c:pt idx="131">
                  <c:v>5.4776954650878906</c:v>
                </c:pt>
                <c:pt idx="132">
                  <c:v>5.4216227531433105</c:v>
                </c:pt>
                <c:pt idx="133">
                  <c:v>5.5099391937255859</c:v>
                </c:pt>
                <c:pt idx="134">
                  <c:v>5.5634336471557617</c:v>
                </c:pt>
                <c:pt idx="135">
                  <c:v>5.4118695259094238</c:v>
                </c:pt>
                <c:pt idx="136">
                  <c:v>3.2019491195678711</c:v>
                </c:pt>
                <c:pt idx="137">
                  <c:v>2</c:v>
                </c:pt>
                <c:pt idx="138">
                  <c:v>4.0312356948852539</c:v>
                </c:pt>
                <c:pt idx="139">
                  <c:v>5.2941508293151855</c:v>
                </c:pt>
                <c:pt idx="140">
                  <c:v>5.2950940132141113</c:v>
                </c:pt>
                <c:pt idx="141">
                  <c:v>5.9468369483947754</c:v>
                </c:pt>
                <c:pt idx="142">
                  <c:v>5.946782112121582</c:v>
                </c:pt>
                <c:pt idx="143">
                  <c:v>5.2690272331237793</c:v>
                </c:pt>
                <c:pt idx="144">
                  <c:v>5.4861869812011719</c:v>
                </c:pt>
                <c:pt idx="145">
                  <c:v>5.8828539848327637</c:v>
                </c:pt>
                <c:pt idx="146">
                  <c:v>4.1054544448852539</c:v>
                </c:pt>
                <c:pt idx="147">
                  <c:v>3.0246689319610596</c:v>
                </c:pt>
                <c:pt idx="148">
                  <c:v>4.9356622695922852</c:v>
                </c:pt>
                <c:pt idx="149">
                  <c:v>6.2560763359069824</c:v>
                </c:pt>
                <c:pt idx="150">
                  <c:v>5.4692368507385254</c:v>
                </c:pt>
                <c:pt idx="151">
                  <c:v>5.831235408782959</c:v>
                </c:pt>
                <c:pt idx="152">
                  <c:v>5.9237542152404785</c:v>
                </c:pt>
                <c:pt idx="153">
                  <c:v>5.6856064796447754</c:v>
                </c:pt>
                <c:pt idx="154">
                  <c:v>5.438507080078125</c:v>
                </c:pt>
                <c:pt idx="155">
                  <c:v>5.45947265625</c:v>
                </c:pt>
                <c:pt idx="156">
                  <c:v>5.2493119239807129</c:v>
                </c:pt>
                <c:pt idx="157">
                  <c:v>5.393855094909668</c:v>
                </c:pt>
                <c:pt idx="158">
                  <c:v>5.6748003959655762</c:v>
                </c:pt>
                <c:pt idx="159">
                  <c:v>5.0913300514221191</c:v>
                </c:pt>
                <c:pt idx="160">
                  <c:v>5.2551050186157227</c:v>
                </c:pt>
                <c:pt idx="161">
                  <c:v>5.325747013092041</c:v>
                </c:pt>
                <c:pt idx="162">
                  <c:v>5.0040006637573242</c:v>
                </c:pt>
                <c:pt idx="163">
                  <c:v>5.7198033332824707</c:v>
                </c:pt>
                <c:pt idx="164">
                  <c:v>5.314490795135498</c:v>
                </c:pt>
                <c:pt idx="165">
                  <c:v>5.0630793571472168</c:v>
                </c:pt>
                <c:pt idx="166">
                  <c:v>5.2247152328491211</c:v>
                </c:pt>
                <c:pt idx="167">
                  <c:v>4.8030118942260742</c:v>
                </c:pt>
                <c:pt idx="168">
                  <c:v>5.8207802772521973</c:v>
                </c:pt>
                <c:pt idx="169">
                  <c:v>5.5954251289367676</c:v>
                </c:pt>
                <c:pt idx="170">
                  <c:v>5.3091697692871094</c:v>
                </c:pt>
                <c:pt idx="171">
                  <c:v>5.6417007446289063</c:v>
                </c:pt>
                <c:pt idx="172">
                  <c:v>5.2766079902648926</c:v>
                </c:pt>
                <c:pt idx="173">
                  <c:v>5.4709482192993164</c:v>
                </c:pt>
                <c:pt idx="174">
                  <c:v>5.2483468055725098</c:v>
                </c:pt>
                <c:pt idx="175">
                  <c:v>5.5722980499267578</c:v>
                </c:pt>
                <c:pt idx="176">
                  <c:v>5.3251986503601074</c:v>
                </c:pt>
                <c:pt idx="177">
                  <c:v>5.3418855667114258</c:v>
                </c:pt>
                <c:pt idx="178">
                  <c:v>5.5434446334838867</c:v>
                </c:pt>
                <c:pt idx="179">
                  <c:v>5.5536913871765137</c:v>
                </c:pt>
                <c:pt idx="180">
                  <c:v>5.7548336982727051</c:v>
                </c:pt>
                <c:pt idx="181">
                  <c:v>5.4940090179443359</c:v>
                </c:pt>
                <c:pt idx="182">
                  <c:v>5.5527915954589844</c:v>
                </c:pt>
                <c:pt idx="183">
                  <c:v>5.7147016525268555</c:v>
                </c:pt>
                <c:pt idx="184">
                  <c:v>5.497169017791748</c:v>
                </c:pt>
                <c:pt idx="185">
                  <c:v>5.4513869285583496</c:v>
                </c:pt>
                <c:pt idx="186">
                  <c:v>5.1109790802001953</c:v>
                </c:pt>
                <c:pt idx="187">
                  <c:v>5.0815987586975098</c:v>
                </c:pt>
                <c:pt idx="188">
                  <c:v>5.4182543754577637</c:v>
                </c:pt>
                <c:pt idx="189">
                  <c:v>5.8054428100585938</c:v>
                </c:pt>
                <c:pt idx="190">
                  <c:v>5.1243743896484375</c:v>
                </c:pt>
                <c:pt idx="191">
                  <c:v>5.9689435958862305</c:v>
                </c:pt>
                <c:pt idx="192">
                  <c:v>5.1959161758422852</c:v>
                </c:pt>
                <c:pt idx="193">
                  <c:v>5.1560478210449219</c:v>
                </c:pt>
                <c:pt idx="194">
                  <c:v>4.2836012840270996</c:v>
                </c:pt>
                <c:pt idx="195">
                  <c:v>4.1654658317565918</c:v>
                </c:pt>
                <c:pt idx="196">
                  <c:v>4.3542547225952148</c:v>
                </c:pt>
                <c:pt idx="197">
                  <c:v>4.6165928840637207</c:v>
                </c:pt>
                <c:pt idx="198">
                  <c:v>6.6754097938537598</c:v>
                </c:pt>
                <c:pt idx="199">
                  <c:v>5.5228300094604492</c:v>
                </c:pt>
                <c:pt idx="200">
                  <c:v>5.2628612518310547</c:v>
                </c:pt>
                <c:pt idx="201">
                  <c:v>4.6084413528442383</c:v>
                </c:pt>
                <c:pt idx="202">
                  <c:v>5.6181459426879883</c:v>
                </c:pt>
                <c:pt idx="203">
                  <c:v>4.234868049621582</c:v>
                </c:pt>
                <c:pt idx="204">
                  <c:v>5.4301910400390625</c:v>
                </c:pt>
                <c:pt idx="205">
                  <c:v>4.7469720840454102</c:v>
                </c:pt>
                <c:pt idx="206">
                  <c:v>5.097813606262207</c:v>
                </c:pt>
                <c:pt idx="207">
                  <c:v>5.8999028205871582</c:v>
                </c:pt>
                <c:pt idx="208">
                  <c:v>5.3366413116455078</c:v>
                </c:pt>
                <c:pt idx="209">
                  <c:v>6.133486270904541</c:v>
                </c:pt>
                <c:pt idx="210">
                  <c:v>4.5331149101257324</c:v>
                </c:pt>
                <c:pt idx="211">
                  <c:v>5.7686023712158203</c:v>
                </c:pt>
                <c:pt idx="212">
                  <c:v>4.8825297355651855</c:v>
                </c:pt>
                <c:pt idx="213">
                  <c:v>5.5043988227844238</c:v>
                </c:pt>
                <c:pt idx="214">
                  <c:v>5.1081266403198242</c:v>
                </c:pt>
                <c:pt idx="215">
                  <c:v>5.0267763137817383</c:v>
                </c:pt>
                <c:pt idx="216">
                  <c:v>5.8815374374389648</c:v>
                </c:pt>
                <c:pt idx="217">
                  <c:v>5.0490145683288574</c:v>
                </c:pt>
                <c:pt idx="218">
                  <c:v>6.5922713279724121</c:v>
                </c:pt>
                <c:pt idx="219">
                  <c:v>5.1443305015563965</c:v>
                </c:pt>
                <c:pt idx="220">
                  <c:v>5.1355319023132324</c:v>
                </c:pt>
                <c:pt idx="221">
                  <c:v>5.8244004249572754</c:v>
                </c:pt>
                <c:pt idx="222">
                  <c:v>3.5816442966461182</c:v>
                </c:pt>
                <c:pt idx="223">
                  <c:v>6.1200580596923828</c:v>
                </c:pt>
                <c:pt idx="224">
                  <c:v>4.3675951957702637</c:v>
                </c:pt>
                <c:pt idx="225">
                  <c:v>5.4688525199890137</c:v>
                </c:pt>
              </c:numCache>
            </c:numRef>
          </c:yVal>
          <c:smooth val="1"/>
          <c:extLst>
            <c:ext xmlns:c15="http://schemas.microsoft.com/office/drawing/2012/chart" uri="{02D57815-91ED-43cb-92C2-25804820EDAC}">
              <c15:datalabelsRange>
                <c15:f>PeakLabels!$C$2:$C$300</c15:f>
                <c15:dlblRangeCache>
                  <c:ptCount val="299"/>
                  <c:pt idx="14">
                    <c:v>218</c:v>
                  </c:pt>
                  <c:pt idx="40">
                    <c:v>270</c:v>
                  </c:pt>
                  <c:pt idx="70">
                    <c:v>330</c:v>
                  </c:pt>
                  <c:pt idx="79">
                    <c:v>350s</c:v>
                  </c:pt>
                  <c:pt idx="95">
                    <c:v>380</c:v>
                  </c:pt>
                  <c:pt idx="103">
                    <c:v>396</c:v>
                  </c:pt>
                  <c:pt idx="114">
                    <c:v>418</c:v>
                  </c:pt>
                  <c:pt idx="128">
                    <c:v>446</c:v>
                  </c:pt>
                  <c:pt idx="134">
                    <c:v>458</c:v>
                  </c:pt>
                  <c:pt idx="141">
                    <c:v>472</c:v>
                  </c:pt>
                  <c:pt idx="149">
                    <c:v>488</c:v>
                  </c:pt>
                  <c:pt idx="168">
                    <c:v>526</c:v>
                  </c:pt>
                  <c:pt idx="180">
                    <c:v>550</c:v>
                  </c:pt>
                  <c:pt idx="191">
                    <c:v>572</c:v>
                  </c:pt>
                  <c:pt idx="198">
                    <c:v>586</c:v>
                  </c:pt>
                  <c:pt idx="209">
                    <c:v>608</c:v>
                  </c:pt>
                  <c:pt idx="218">
                    <c:v>626</c:v>
                  </c:pt>
                </c15:dlblRangeCache>
              </c15:datalabelsRange>
            </c:ext>
            <c:ext xmlns:c16="http://schemas.microsoft.com/office/drawing/2014/chart" uri="{C3380CC4-5D6E-409C-BE32-E72D297353CC}">
              <c16:uniqueId val="{00000000-98A0-47F1-B2CE-1A7C52667A6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E6A51FE4-A12D-4F4D-84E3-60304A3570F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8A0-47F1-B2CE-1A7C52667A65}"/>
                </c:ext>
              </c:extLst>
            </c:dLbl>
            <c:dLbl>
              <c:idx val="1"/>
              <c:tx>
                <c:rich>
                  <a:bodyPr/>
                  <a:lstStyle/>
                  <a:p>
                    <a:fld id="{E244C99A-18E2-4DB6-A4F0-5F4C22F0579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8A0-47F1-B2CE-1A7C52667A65}"/>
                </c:ext>
              </c:extLst>
            </c:dLbl>
            <c:dLbl>
              <c:idx val="2"/>
              <c:tx>
                <c:rich>
                  <a:bodyPr/>
                  <a:lstStyle/>
                  <a:p>
                    <a:fld id="{8D8FD4C4-0244-4C6B-A53E-42C26A9E618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8A0-47F1-B2CE-1A7C52667A65}"/>
                </c:ext>
              </c:extLst>
            </c:dLbl>
            <c:dLbl>
              <c:idx val="3"/>
              <c:tx>
                <c:rich>
                  <a:bodyPr/>
                  <a:lstStyle/>
                  <a:p>
                    <a:fld id="{7365C016-0A86-4492-8CB4-959590F161B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8A0-47F1-B2CE-1A7C52667A65}"/>
                </c:ext>
              </c:extLst>
            </c:dLbl>
            <c:dLbl>
              <c:idx val="4"/>
              <c:tx>
                <c:rich>
                  <a:bodyPr/>
                  <a:lstStyle/>
                  <a:p>
                    <a:fld id="{2EA1E442-D15C-4FCB-B15D-5ECF594B7168}"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8A0-47F1-B2CE-1A7C52667A6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8A0-47F1-B2CE-1A7C52667A65}"/>
            </c:ext>
          </c:extLst>
        </c:ser>
        <c:dLbls>
          <c:showLegendKey val="0"/>
          <c:showVal val="0"/>
          <c:showCatName val="0"/>
          <c:showSerName val="0"/>
          <c:showPercent val="0"/>
          <c:showBubbleSize val="0"/>
        </c:dLbls>
        <c:axId val="1569267376"/>
        <c:axId val="1569265200"/>
      </c:scatterChart>
      <c:valAx>
        <c:axId val="1569267376"/>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5200"/>
        <c:crossesAt val="0"/>
        <c:crossBetween val="midCat"/>
        <c:majorUnit val="100"/>
      </c:valAx>
      <c:valAx>
        <c:axId val="156926520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7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CA39CCFA-AED2-4D5A-BCA7-DAA93DFA50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052-4AF0-90C6-4CB67D7D6220}"/>
                </c:ext>
              </c:extLst>
            </c:dLbl>
            <c:dLbl>
              <c:idx val="1"/>
              <c:tx>
                <c:rich>
                  <a:bodyPr/>
                  <a:lstStyle/>
                  <a:p>
                    <a:fld id="{7681F8EE-D652-4398-8AC2-649BFB698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052-4AF0-90C6-4CB67D7D6220}"/>
                </c:ext>
              </c:extLst>
            </c:dLbl>
            <c:dLbl>
              <c:idx val="2"/>
              <c:tx>
                <c:rich>
                  <a:bodyPr/>
                  <a:lstStyle/>
                  <a:p>
                    <a:fld id="{A17E4666-451E-44D5-A4D1-F7188EE1BB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052-4AF0-90C6-4CB67D7D6220}"/>
                </c:ext>
              </c:extLst>
            </c:dLbl>
            <c:dLbl>
              <c:idx val="3"/>
              <c:tx>
                <c:rich>
                  <a:bodyPr/>
                  <a:lstStyle/>
                  <a:p>
                    <a:fld id="{72F4DDF0-9152-4969-80A5-E7763A5E8E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052-4AF0-90C6-4CB67D7D6220}"/>
                </c:ext>
              </c:extLst>
            </c:dLbl>
            <c:dLbl>
              <c:idx val="4"/>
              <c:tx>
                <c:rich>
                  <a:bodyPr/>
                  <a:lstStyle/>
                  <a:p>
                    <a:fld id="{2CA84A4A-B610-4A94-8A7F-32DB88CA51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052-4AF0-90C6-4CB67D7D6220}"/>
                </c:ext>
              </c:extLst>
            </c:dLbl>
            <c:dLbl>
              <c:idx val="5"/>
              <c:tx>
                <c:rich>
                  <a:bodyPr/>
                  <a:lstStyle/>
                  <a:p>
                    <a:fld id="{41BC97BD-1AA6-4667-942C-6A23FC0AF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052-4AF0-90C6-4CB67D7D6220}"/>
                </c:ext>
              </c:extLst>
            </c:dLbl>
            <c:dLbl>
              <c:idx val="6"/>
              <c:tx>
                <c:rich>
                  <a:bodyPr/>
                  <a:lstStyle/>
                  <a:p>
                    <a:fld id="{9A8CB3EB-D7C6-4DEB-BC60-ED170541E2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052-4AF0-90C6-4CB67D7D6220}"/>
                </c:ext>
              </c:extLst>
            </c:dLbl>
            <c:dLbl>
              <c:idx val="7"/>
              <c:tx>
                <c:rich>
                  <a:bodyPr/>
                  <a:lstStyle/>
                  <a:p>
                    <a:fld id="{C6EEBDDB-A03F-41DB-8AFA-9F6E0F4FF6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052-4AF0-90C6-4CB67D7D6220}"/>
                </c:ext>
              </c:extLst>
            </c:dLbl>
            <c:dLbl>
              <c:idx val="8"/>
              <c:tx>
                <c:rich>
                  <a:bodyPr/>
                  <a:lstStyle/>
                  <a:p>
                    <a:fld id="{4A180965-8FD5-4203-81A3-E89741007B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052-4AF0-90C6-4CB67D7D6220}"/>
                </c:ext>
              </c:extLst>
            </c:dLbl>
            <c:dLbl>
              <c:idx val="9"/>
              <c:tx>
                <c:rich>
                  <a:bodyPr/>
                  <a:lstStyle/>
                  <a:p>
                    <a:fld id="{EED79528-05B2-400A-9667-82814356C8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052-4AF0-90C6-4CB67D7D6220}"/>
                </c:ext>
              </c:extLst>
            </c:dLbl>
            <c:dLbl>
              <c:idx val="10"/>
              <c:tx>
                <c:rich>
                  <a:bodyPr/>
                  <a:lstStyle/>
                  <a:p>
                    <a:fld id="{2BFCF828-7BBD-4988-8ECC-14565869FB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052-4AF0-90C6-4CB67D7D6220}"/>
                </c:ext>
              </c:extLst>
            </c:dLbl>
            <c:dLbl>
              <c:idx val="11"/>
              <c:tx>
                <c:rich>
                  <a:bodyPr/>
                  <a:lstStyle/>
                  <a:p>
                    <a:fld id="{947C7F86-6D88-44AD-855F-2CC0AB39CD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052-4AF0-90C6-4CB67D7D6220}"/>
                </c:ext>
              </c:extLst>
            </c:dLbl>
            <c:dLbl>
              <c:idx val="12"/>
              <c:tx>
                <c:rich>
                  <a:bodyPr/>
                  <a:lstStyle/>
                  <a:p>
                    <a:fld id="{FFC32828-0BEF-4A40-A178-26C7C6C09C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052-4AF0-90C6-4CB67D7D6220}"/>
                </c:ext>
              </c:extLst>
            </c:dLbl>
            <c:dLbl>
              <c:idx val="13"/>
              <c:tx>
                <c:rich>
                  <a:bodyPr/>
                  <a:lstStyle/>
                  <a:p>
                    <a:fld id="{8A555C37-B9E9-4DBF-B9CE-2C5CF0D895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052-4AF0-90C6-4CB67D7D6220}"/>
                </c:ext>
              </c:extLst>
            </c:dLbl>
            <c:dLbl>
              <c:idx val="14"/>
              <c:tx>
                <c:rich>
                  <a:bodyPr/>
                  <a:lstStyle/>
                  <a:p>
                    <a:fld id="{05BBAD71-479E-45FD-B86A-D51853668D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052-4AF0-90C6-4CB67D7D6220}"/>
                </c:ext>
              </c:extLst>
            </c:dLbl>
            <c:dLbl>
              <c:idx val="15"/>
              <c:tx>
                <c:rich>
                  <a:bodyPr/>
                  <a:lstStyle/>
                  <a:p>
                    <a:fld id="{C449CB7E-CAB4-4566-BD57-AE974AD64E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052-4AF0-90C6-4CB67D7D6220}"/>
                </c:ext>
              </c:extLst>
            </c:dLbl>
            <c:dLbl>
              <c:idx val="16"/>
              <c:tx>
                <c:rich>
                  <a:bodyPr/>
                  <a:lstStyle/>
                  <a:p>
                    <a:fld id="{373B8F92-6DAF-4F28-A260-CEB4701736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052-4AF0-90C6-4CB67D7D6220}"/>
                </c:ext>
              </c:extLst>
            </c:dLbl>
            <c:dLbl>
              <c:idx val="17"/>
              <c:tx>
                <c:rich>
                  <a:bodyPr/>
                  <a:lstStyle/>
                  <a:p>
                    <a:fld id="{1E0CA5AA-F1A2-4DEE-8C74-2677CDDC6F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052-4AF0-90C6-4CB67D7D6220}"/>
                </c:ext>
              </c:extLst>
            </c:dLbl>
            <c:dLbl>
              <c:idx val="18"/>
              <c:tx>
                <c:rich>
                  <a:bodyPr/>
                  <a:lstStyle/>
                  <a:p>
                    <a:fld id="{14FA3F50-E43B-4BE1-8D05-E3C6775FF0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052-4AF0-90C6-4CB67D7D6220}"/>
                </c:ext>
              </c:extLst>
            </c:dLbl>
            <c:dLbl>
              <c:idx val="19"/>
              <c:tx>
                <c:rich>
                  <a:bodyPr/>
                  <a:lstStyle/>
                  <a:p>
                    <a:fld id="{262AC216-85C3-4228-AA05-10B95918B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052-4AF0-90C6-4CB67D7D6220}"/>
                </c:ext>
              </c:extLst>
            </c:dLbl>
            <c:dLbl>
              <c:idx val="20"/>
              <c:tx>
                <c:rich>
                  <a:bodyPr/>
                  <a:lstStyle/>
                  <a:p>
                    <a:fld id="{2E9EA99E-04E8-448A-8A2B-B41BDEB7B3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052-4AF0-90C6-4CB67D7D6220}"/>
                </c:ext>
              </c:extLst>
            </c:dLbl>
            <c:dLbl>
              <c:idx val="21"/>
              <c:tx>
                <c:rich>
                  <a:bodyPr/>
                  <a:lstStyle/>
                  <a:p>
                    <a:fld id="{9862CC0D-2090-400A-A425-F7DA9B2756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052-4AF0-90C6-4CB67D7D6220}"/>
                </c:ext>
              </c:extLst>
            </c:dLbl>
            <c:dLbl>
              <c:idx val="22"/>
              <c:tx>
                <c:rich>
                  <a:bodyPr/>
                  <a:lstStyle/>
                  <a:p>
                    <a:fld id="{0D4A04C8-1F14-4ADF-86CD-86738695AA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052-4AF0-90C6-4CB67D7D6220}"/>
                </c:ext>
              </c:extLst>
            </c:dLbl>
            <c:dLbl>
              <c:idx val="23"/>
              <c:tx>
                <c:rich>
                  <a:bodyPr/>
                  <a:lstStyle/>
                  <a:p>
                    <a:fld id="{90DDEDEB-AB5A-4032-9846-F4FB55694B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052-4AF0-90C6-4CB67D7D6220}"/>
                </c:ext>
              </c:extLst>
            </c:dLbl>
            <c:dLbl>
              <c:idx val="24"/>
              <c:tx>
                <c:rich>
                  <a:bodyPr/>
                  <a:lstStyle/>
                  <a:p>
                    <a:fld id="{DB81E42B-A0D0-49DD-B8FC-9805CFE6A2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052-4AF0-90C6-4CB67D7D6220}"/>
                </c:ext>
              </c:extLst>
            </c:dLbl>
            <c:dLbl>
              <c:idx val="25"/>
              <c:tx>
                <c:rich>
                  <a:bodyPr/>
                  <a:lstStyle/>
                  <a:p>
                    <a:fld id="{1AEE90E6-ECC1-4607-BA28-6BE85D94A4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1052-4AF0-90C6-4CB67D7D6220}"/>
                </c:ext>
              </c:extLst>
            </c:dLbl>
            <c:dLbl>
              <c:idx val="26"/>
              <c:tx>
                <c:rich>
                  <a:bodyPr/>
                  <a:lstStyle/>
                  <a:p>
                    <a:fld id="{0F63DD3C-7F5D-4738-8F1E-FBA22098AD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052-4AF0-90C6-4CB67D7D6220}"/>
                </c:ext>
              </c:extLst>
            </c:dLbl>
            <c:dLbl>
              <c:idx val="27"/>
              <c:tx>
                <c:rich>
                  <a:bodyPr/>
                  <a:lstStyle/>
                  <a:p>
                    <a:fld id="{666CBC36-0D3D-4CFD-9C39-013CD379C8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1052-4AF0-90C6-4CB67D7D6220}"/>
                </c:ext>
              </c:extLst>
            </c:dLbl>
            <c:dLbl>
              <c:idx val="28"/>
              <c:tx>
                <c:rich>
                  <a:bodyPr/>
                  <a:lstStyle/>
                  <a:p>
                    <a:fld id="{E0F2AAC0-9BC5-45CC-857B-A725C59DA8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052-4AF0-90C6-4CB67D7D6220}"/>
                </c:ext>
              </c:extLst>
            </c:dLbl>
            <c:dLbl>
              <c:idx val="29"/>
              <c:tx>
                <c:rich>
                  <a:bodyPr/>
                  <a:lstStyle/>
                  <a:p>
                    <a:fld id="{6140B3A0-0DE5-48DE-963A-ECB5E2CCB5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1052-4AF0-90C6-4CB67D7D6220}"/>
                </c:ext>
              </c:extLst>
            </c:dLbl>
            <c:dLbl>
              <c:idx val="30"/>
              <c:tx>
                <c:rich>
                  <a:bodyPr/>
                  <a:lstStyle/>
                  <a:p>
                    <a:fld id="{90E16AAF-B135-47B2-8C4B-2E8F09EF34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052-4AF0-90C6-4CB67D7D6220}"/>
                </c:ext>
              </c:extLst>
            </c:dLbl>
            <c:dLbl>
              <c:idx val="31"/>
              <c:tx>
                <c:rich>
                  <a:bodyPr/>
                  <a:lstStyle/>
                  <a:p>
                    <a:fld id="{2FD60D77-3ECC-48EC-BD28-D7004E5C21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1052-4AF0-90C6-4CB67D7D6220}"/>
                </c:ext>
              </c:extLst>
            </c:dLbl>
            <c:dLbl>
              <c:idx val="32"/>
              <c:tx>
                <c:rich>
                  <a:bodyPr/>
                  <a:lstStyle/>
                  <a:p>
                    <a:fld id="{A9DD1AE8-132D-4586-AAF0-291D373855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052-4AF0-90C6-4CB67D7D6220}"/>
                </c:ext>
              </c:extLst>
            </c:dLbl>
            <c:dLbl>
              <c:idx val="33"/>
              <c:tx>
                <c:rich>
                  <a:bodyPr/>
                  <a:lstStyle/>
                  <a:p>
                    <a:fld id="{25F3FBBC-5364-4637-BEF4-B7499CEDB3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1052-4AF0-90C6-4CB67D7D6220}"/>
                </c:ext>
              </c:extLst>
            </c:dLbl>
            <c:dLbl>
              <c:idx val="34"/>
              <c:tx>
                <c:rich>
                  <a:bodyPr/>
                  <a:lstStyle/>
                  <a:p>
                    <a:fld id="{282023F6-FA8A-4652-BB94-BAC6D3F0CE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052-4AF0-90C6-4CB67D7D6220}"/>
                </c:ext>
              </c:extLst>
            </c:dLbl>
            <c:dLbl>
              <c:idx val="35"/>
              <c:tx>
                <c:rich>
                  <a:bodyPr/>
                  <a:lstStyle/>
                  <a:p>
                    <a:fld id="{BF515A60-6D5F-4CFB-BB80-D29275E35F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1052-4AF0-90C6-4CB67D7D6220}"/>
                </c:ext>
              </c:extLst>
            </c:dLbl>
            <c:dLbl>
              <c:idx val="36"/>
              <c:tx>
                <c:rich>
                  <a:bodyPr/>
                  <a:lstStyle/>
                  <a:p>
                    <a:fld id="{D060B968-F276-4C0A-B911-B46DAB8A40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052-4AF0-90C6-4CB67D7D6220}"/>
                </c:ext>
              </c:extLst>
            </c:dLbl>
            <c:dLbl>
              <c:idx val="37"/>
              <c:tx>
                <c:rich>
                  <a:bodyPr/>
                  <a:lstStyle/>
                  <a:p>
                    <a:fld id="{7975A128-8EDB-4C8B-B6F6-5629150224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1052-4AF0-90C6-4CB67D7D6220}"/>
                </c:ext>
              </c:extLst>
            </c:dLbl>
            <c:dLbl>
              <c:idx val="38"/>
              <c:tx>
                <c:rich>
                  <a:bodyPr/>
                  <a:lstStyle/>
                  <a:p>
                    <a:fld id="{B76D79BC-7245-417B-95E9-10BADE996B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052-4AF0-90C6-4CB67D7D6220}"/>
                </c:ext>
              </c:extLst>
            </c:dLbl>
            <c:dLbl>
              <c:idx val="39"/>
              <c:tx>
                <c:rich>
                  <a:bodyPr/>
                  <a:lstStyle/>
                  <a:p>
                    <a:fld id="{B1CBC4B9-D9B8-4681-856E-FF6CD2F8E9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1052-4AF0-90C6-4CB67D7D6220}"/>
                </c:ext>
              </c:extLst>
            </c:dLbl>
            <c:dLbl>
              <c:idx val="40"/>
              <c:tx>
                <c:rich>
                  <a:bodyPr/>
                  <a:lstStyle/>
                  <a:p>
                    <a:fld id="{0764694B-0A16-44C2-8729-2CD82C63CE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052-4AF0-90C6-4CB67D7D6220}"/>
                </c:ext>
              </c:extLst>
            </c:dLbl>
            <c:dLbl>
              <c:idx val="41"/>
              <c:tx>
                <c:rich>
                  <a:bodyPr/>
                  <a:lstStyle/>
                  <a:p>
                    <a:fld id="{4765594B-58AB-43B2-8561-23B344243A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1052-4AF0-90C6-4CB67D7D6220}"/>
                </c:ext>
              </c:extLst>
            </c:dLbl>
            <c:dLbl>
              <c:idx val="42"/>
              <c:tx>
                <c:rich>
                  <a:bodyPr/>
                  <a:lstStyle/>
                  <a:p>
                    <a:fld id="{1CB8F425-DDC5-412E-86CD-5C37BCEBC7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052-4AF0-90C6-4CB67D7D6220}"/>
                </c:ext>
              </c:extLst>
            </c:dLbl>
            <c:dLbl>
              <c:idx val="43"/>
              <c:tx>
                <c:rich>
                  <a:bodyPr/>
                  <a:lstStyle/>
                  <a:p>
                    <a:fld id="{DFE2AEF8-25D7-48E7-B47C-2287F20E05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1052-4AF0-90C6-4CB67D7D6220}"/>
                </c:ext>
              </c:extLst>
            </c:dLbl>
            <c:dLbl>
              <c:idx val="44"/>
              <c:tx>
                <c:rich>
                  <a:bodyPr/>
                  <a:lstStyle/>
                  <a:p>
                    <a:fld id="{4B647C5F-0B38-4E61-9C03-F1488446E0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052-4AF0-90C6-4CB67D7D6220}"/>
                </c:ext>
              </c:extLst>
            </c:dLbl>
            <c:dLbl>
              <c:idx val="45"/>
              <c:tx>
                <c:rich>
                  <a:bodyPr/>
                  <a:lstStyle/>
                  <a:p>
                    <a:fld id="{F947D5F7-CEEF-4E54-8ED4-F887380D7B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1052-4AF0-90C6-4CB67D7D6220}"/>
                </c:ext>
              </c:extLst>
            </c:dLbl>
            <c:dLbl>
              <c:idx val="46"/>
              <c:tx>
                <c:rich>
                  <a:bodyPr/>
                  <a:lstStyle/>
                  <a:p>
                    <a:fld id="{97F764FC-EADD-478B-B6E9-FBAC93629B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052-4AF0-90C6-4CB67D7D6220}"/>
                </c:ext>
              </c:extLst>
            </c:dLbl>
            <c:dLbl>
              <c:idx val="47"/>
              <c:tx>
                <c:rich>
                  <a:bodyPr/>
                  <a:lstStyle/>
                  <a:p>
                    <a:fld id="{CE12EC8F-0318-4D48-BB50-5E9B8297E2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1052-4AF0-90C6-4CB67D7D6220}"/>
                </c:ext>
              </c:extLst>
            </c:dLbl>
            <c:dLbl>
              <c:idx val="48"/>
              <c:tx>
                <c:rich>
                  <a:bodyPr/>
                  <a:lstStyle/>
                  <a:p>
                    <a:fld id="{78E0A11D-E538-481D-84D1-00A9A8862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052-4AF0-90C6-4CB67D7D6220}"/>
                </c:ext>
              </c:extLst>
            </c:dLbl>
            <c:dLbl>
              <c:idx val="49"/>
              <c:tx>
                <c:rich>
                  <a:bodyPr/>
                  <a:lstStyle/>
                  <a:p>
                    <a:fld id="{ADF4D7CF-3294-4FE6-963E-B2B61EF7BC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1052-4AF0-90C6-4CB67D7D6220}"/>
                </c:ext>
              </c:extLst>
            </c:dLbl>
            <c:dLbl>
              <c:idx val="50"/>
              <c:tx>
                <c:rich>
                  <a:bodyPr/>
                  <a:lstStyle/>
                  <a:p>
                    <a:fld id="{C6B0FBBD-650D-4DA8-A7CF-7AFDD2F414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052-4AF0-90C6-4CB67D7D6220}"/>
                </c:ext>
              </c:extLst>
            </c:dLbl>
            <c:dLbl>
              <c:idx val="51"/>
              <c:tx>
                <c:rich>
                  <a:bodyPr/>
                  <a:lstStyle/>
                  <a:p>
                    <a:fld id="{F8D6A807-654C-4298-ABEE-7188383CE1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1052-4AF0-90C6-4CB67D7D6220}"/>
                </c:ext>
              </c:extLst>
            </c:dLbl>
            <c:dLbl>
              <c:idx val="52"/>
              <c:tx>
                <c:rich>
                  <a:bodyPr/>
                  <a:lstStyle/>
                  <a:p>
                    <a:fld id="{76C1D46C-632B-4DEE-B655-5779DDAF44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052-4AF0-90C6-4CB67D7D6220}"/>
                </c:ext>
              </c:extLst>
            </c:dLbl>
            <c:dLbl>
              <c:idx val="53"/>
              <c:tx>
                <c:rich>
                  <a:bodyPr/>
                  <a:lstStyle/>
                  <a:p>
                    <a:fld id="{88649C94-C986-4CE9-9CD4-783053D1E5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1052-4AF0-90C6-4CB67D7D6220}"/>
                </c:ext>
              </c:extLst>
            </c:dLbl>
            <c:dLbl>
              <c:idx val="54"/>
              <c:tx>
                <c:rich>
                  <a:bodyPr/>
                  <a:lstStyle/>
                  <a:p>
                    <a:fld id="{F863E49C-95ED-424B-A077-CFD7EE9442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1052-4AF0-90C6-4CB67D7D6220}"/>
                </c:ext>
              </c:extLst>
            </c:dLbl>
            <c:dLbl>
              <c:idx val="55"/>
              <c:tx>
                <c:rich>
                  <a:bodyPr/>
                  <a:lstStyle/>
                  <a:p>
                    <a:fld id="{63FAE2F9-AB6B-4476-8FDA-450AD2CF1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1052-4AF0-90C6-4CB67D7D6220}"/>
                </c:ext>
              </c:extLst>
            </c:dLbl>
            <c:dLbl>
              <c:idx val="56"/>
              <c:tx>
                <c:rich>
                  <a:bodyPr/>
                  <a:lstStyle/>
                  <a:p>
                    <a:fld id="{6432586A-8029-40FC-954E-B45B1C4BD1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1052-4AF0-90C6-4CB67D7D6220}"/>
                </c:ext>
              </c:extLst>
            </c:dLbl>
            <c:dLbl>
              <c:idx val="57"/>
              <c:tx>
                <c:rich>
                  <a:bodyPr/>
                  <a:lstStyle/>
                  <a:p>
                    <a:fld id="{D7B0093B-D165-45A2-9846-C7B813AE38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1052-4AF0-90C6-4CB67D7D6220}"/>
                </c:ext>
              </c:extLst>
            </c:dLbl>
            <c:dLbl>
              <c:idx val="58"/>
              <c:tx>
                <c:rich>
                  <a:bodyPr/>
                  <a:lstStyle/>
                  <a:p>
                    <a:fld id="{DC265D81-AB93-4310-8AA8-8FDADC03F8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1052-4AF0-90C6-4CB67D7D6220}"/>
                </c:ext>
              </c:extLst>
            </c:dLbl>
            <c:dLbl>
              <c:idx val="59"/>
              <c:tx>
                <c:rich>
                  <a:bodyPr/>
                  <a:lstStyle/>
                  <a:p>
                    <a:fld id="{4A5F5B35-C75E-43E7-8B38-3BBA21E222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1052-4AF0-90C6-4CB67D7D6220}"/>
                </c:ext>
              </c:extLst>
            </c:dLbl>
            <c:dLbl>
              <c:idx val="60"/>
              <c:tx>
                <c:rich>
                  <a:bodyPr/>
                  <a:lstStyle/>
                  <a:p>
                    <a:fld id="{89D8A469-7DB7-4680-81EC-71AC17874F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1052-4AF0-90C6-4CB67D7D6220}"/>
                </c:ext>
              </c:extLst>
            </c:dLbl>
            <c:dLbl>
              <c:idx val="61"/>
              <c:tx>
                <c:rich>
                  <a:bodyPr/>
                  <a:lstStyle/>
                  <a:p>
                    <a:fld id="{7106E1DC-08AC-45A8-89F2-58C27FC0EA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1052-4AF0-90C6-4CB67D7D6220}"/>
                </c:ext>
              </c:extLst>
            </c:dLbl>
            <c:dLbl>
              <c:idx val="62"/>
              <c:tx>
                <c:rich>
                  <a:bodyPr/>
                  <a:lstStyle/>
                  <a:p>
                    <a:fld id="{2C01A86D-DC4C-4930-9680-580D88E546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1052-4AF0-90C6-4CB67D7D6220}"/>
                </c:ext>
              </c:extLst>
            </c:dLbl>
            <c:dLbl>
              <c:idx val="63"/>
              <c:tx>
                <c:rich>
                  <a:bodyPr/>
                  <a:lstStyle/>
                  <a:p>
                    <a:fld id="{471FD647-E697-4B09-8FAB-CD3CFA2640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1052-4AF0-90C6-4CB67D7D6220}"/>
                </c:ext>
              </c:extLst>
            </c:dLbl>
            <c:dLbl>
              <c:idx val="64"/>
              <c:tx>
                <c:rich>
                  <a:bodyPr/>
                  <a:lstStyle/>
                  <a:p>
                    <a:fld id="{0719EA05-0E9A-451B-A037-160C229D4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1052-4AF0-90C6-4CB67D7D6220}"/>
                </c:ext>
              </c:extLst>
            </c:dLbl>
            <c:dLbl>
              <c:idx val="65"/>
              <c:tx>
                <c:rich>
                  <a:bodyPr/>
                  <a:lstStyle/>
                  <a:p>
                    <a:fld id="{C1688B20-A82C-4B77-BA9E-3A025DB285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1052-4AF0-90C6-4CB67D7D6220}"/>
                </c:ext>
              </c:extLst>
            </c:dLbl>
            <c:dLbl>
              <c:idx val="66"/>
              <c:tx>
                <c:rich>
                  <a:bodyPr/>
                  <a:lstStyle/>
                  <a:p>
                    <a:fld id="{AFCDE519-BA84-42DD-9247-2F21A5C56F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1052-4AF0-90C6-4CB67D7D6220}"/>
                </c:ext>
              </c:extLst>
            </c:dLbl>
            <c:dLbl>
              <c:idx val="67"/>
              <c:tx>
                <c:rich>
                  <a:bodyPr/>
                  <a:lstStyle/>
                  <a:p>
                    <a:fld id="{EDCA2AA5-52EA-4E5C-82B6-BE730C17B4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1052-4AF0-90C6-4CB67D7D6220}"/>
                </c:ext>
              </c:extLst>
            </c:dLbl>
            <c:dLbl>
              <c:idx val="68"/>
              <c:tx>
                <c:rich>
                  <a:bodyPr/>
                  <a:lstStyle/>
                  <a:p>
                    <a:fld id="{A0005BB3-7372-475B-9A17-AA54F443E5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1052-4AF0-90C6-4CB67D7D6220}"/>
                </c:ext>
              </c:extLst>
            </c:dLbl>
            <c:dLbl>
              <c:idx val="69"/>
              <c:tx>
                <c:rich>
                  <a:bodyPr/>
                  <a:lstStyle/>
                  <a:p>
                    <a:fld id="{5EA60F48-CDF6-4F58-8B23-0CEA8A3159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1052-4AF0-90C6-4CB67D7D6220}"/>
                </c:ext>
              </c:extLst>
            </c:dLbl>
            <c:dLbl>
              <c:idx val="70"/>
              <c:tx>
                <c:rich>
                  <a:bodyPr/>
                  <a:lstStyle/>
                  <a:p>
                    <a:fld id="{CCA82038-E0E6-42C0-BCB8-2D29E1E08B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1052-4AF0-90C6-4CB67D7D6220}"/>
                </c:ext>
              </c:extLst>
            </c:dLbl>
            <c:dLbl>
              <c:idx val="71"/>
              <c:tx>
                <c:rich>
                  <a:bodyPr/>
                  <a:lstStyle/>
                  <a:p>
                    <a:fld id="{A0C78808-C1A2-45D7-B77F-240E682D06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1052-4AF0-90C6-4CB67D7D6220}"/>
                </c:ext>
              </c:extLst>
            </c:dLbl>
            <c:dLbl>
              <c:idx val="72"/>
              <c:tx>
                <c:rich>
                  <a:bodyPr/>
                  <a:lstStyle/>
                  <a:p>
                    <a:fld id="{CEC81BF1-349B-4FE4-B517-CC5FC973B5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1052-4AF0-90C6-4CB67D7D6220}"/>
                </c:ext>
              </c:extLst>
            </c:dLbl>
            <c:dLbl>
              <c:idx val="73"/>
              <c:tx>
                <c:rich>
                  <a:bodyPr/>
                  <a:lstStyle/>
                  <a:p>
                    <a:fld id="{5119F8B7-5D4D-4CF4-81A8-62CF5FFAD4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1052-4AF0-90C6-4CB67D7D6220}"/>
                </c:ext>
              </c:extLst>
            </c:dLbl>
            <c:dLbl>
              <c:idx val="74"/>
              <c:tx>
                <c:rich>
                  <a:bodyPr/>
                  <a:lstStyle/>
                  <a:p>
                    <a:fld id="{6B76460A-1791-45A0-9613-DB5026A4A7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1052-4AF0-90C6-4CB67D7D6220}"/>
                </c:ext>
              </c:extLst>
            </c:dLbl>
            <c:dLbl>
              <c:idx val="75"/>
              <c:tx>
                <c:rich>
                  <a:bodyPr/>
                  <a:lstStyle/>
                  <a:p>
                    <a:fld id="{A64A17DE-5240-4A1A-BFE4-96A5E1E55E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1052-4AF0-90C6-4CB67D7D6220}"/>
                </c:ext>
              </c:extLst>
            </c:dLbl>
            <c:dLbl>
              <c:idx val="76"/>
              <c:tx>
                <c:rich>
                  <a:bodyPr/>
                  <a:lstStyle/>
                  <a:p>
                    <a:fld id="{D5988CAE-0BFD-4FA6-AE9B-76DD027306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1052-4AF0-90C6-4CB67D7D6220}"/>
                </c:ext>
              </c:extLst>
            </c:dLbl>
            <c:dLbl>
              <c:idx val="77"/>
              <c:tx>
                <c:rich>
                  <a:bodyPr/>
                  <a:lstStyle/>
                  <a:p>
                    <a:fld id="{CE3D8E53-E7D5-4928-8051-83885E6A92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1052-4AF0-90C6-4CB67D7D6220}"/>
                </c:ext>
              </c:extLst>
            </c:dLbl>
            <c:dLbl>
              <c:idx val="78"/>
              <c:tx>
                <c:rich>
                  <a:bodyPr/>
                  <a:lstStyle/>
                  <a:p>
                    <a:fld id="{A5BD157A-1DCB-4677-9398-BF66B4EB07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1052-4AF0-90C6-4CB67D7D6220}"/>
                </c:ext>
              </c:extLst>
            </c:dLbl>
            <c:dLbl>
              <c:idx val="79"/>
              <c:tx>
                <c:rich>
                  <a:bodyPr/>
                  <a:lstStyle/>
                  <a:p>
                    <a:fld id="{CAE71B52-E75B-42B0-8C14-63D67B83DF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1052-4AF0-90C6-4CB67D7D6220}"/>
                </c:ext>
              </c:extLst>
            </c:dLbl>
            <c:dLbl>
              <c:idx val="80"/>
              <c:tx>
                <c:rich>
                  <a:bodyPr/>
                  <a:lstStyle/>
                  <a:p>
                    <a:fld id="{55AEB904-EA18-4546-8EBD-7BFF7038C1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1052-4AF0-90C6-4CB67D7D6220}"/>
                </c:ext>
              </c:extLst>
            </c:dLbl>
            <c:dLbl>
              <c:idx val="81"/>
              <c:tx>
                <c:rich>
                  <a:bodyPr/>
                  <a:lstStyle/>
                  <a:p>
                    <a:fld id="{D1171968-2B9E-4F4B-87A0-77B47DC3CD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1052-4AF0-90C6-4CB67D7D6220}"/>
                </c:ext>
              </c:extLst>
            </c:dLbl>
            <c:dLbl>
              <c:idx val="82"/>
              <c:tx>
                <c:rich>
                  <a:bodyPr/>
                  <a:lstStyle/>
                  <a:p>
                    <a:fld id="{F27903E5-F5B5-4755-A053-4C93672156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1052-4AF0-90C6-4CB67D7D6220}"/>
                </c:ext>
              </c:extLst>
            </c:dLbl>
            <c:dLbl>
              <c:idx val="83"/>
              <c:tx>
                <c:rich>
                  <a:bodyPr/>
                  <a:lstStyle/>
                  <a:p>
                    <a:fld id="{D3B319BD-6C9F-4A69-9F2A-5A30F3E62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1052-4AF0-90C6-4CB67D7D6220}"/>
                </c:ext>
              </c:extLst>
            </c:dLbl>
            <c:dLbl>
              <c:idx val="84"/>
              <c:tx>
                <c:rich>
                  <a:bodyPr/>
                  <a:lstStyle/>
                  <a:p>
                    <a:fld id="{121BE2C9-720E-497F-8946-D826FF1181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1052-4AF0-90C6-4CB67D7D6220}"/>
                </c:ext>
              </c:extLst>
            </c:dLbl>
            <c:dLbl>
              <c:idx val="85"/>
              <c:tx>
                <c:rich>
                  <a:bodyPr/>
                  <a:lstStyle/>
                  <a:p>
                    <a:fld id="{E9D1F61B-DE7F-44C5-8D4A-EF6C88F357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1052-4AF0-90C6-4CB67D7D6220}"/>
                </c:ext>
              </c:extLst>
            </c:dLbl>
            <c:dLbl>
              <c:idx val="86"/>
              <c:tx>
                <c:rich>
                  <a:bodyPr/>
                  <a:lstStyle/>
                  <a:p>
                    <a:fld id="{E34D8B70-F1B0-474D-8067-C99F0A2D1E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1052-4AF0-90C6-4CB67D7D6220}"/>
                </c:ext>
              </c:extLst>
            </c:dLbl>
            <c:dLbl>
              <c:idx val="87"/>
              <c:tx>
                <c:rich>
                  <a:bodyPr/>
                  <a:lstStyle/>
                  <a:p>
                    <a:fld id="{1C513C0F-8088-44F5-A11E-0B074852AD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1052-4AF0-90C6-4CB67D7D6220}"/>
                </c:ext>
              </c:extLst>
            </c:dLbl>
            <c:dLbl>
              <c:idx val="88"/>
              <c:tx>
                <c:rich>
                  <a:bodyPr/>
                  <a:lstStyle/>
                  <a:p>
                    <a:fld id="{69914A79-2E21-4CFE-AEF3-AAB7CD6C8B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1052-4AF0-90C6-4CB67D7D6220}"/>
                </c:ext>
              </c:extLst>
            </c:dLbl>
            <c:dLbl>
              <c:idx val="89"/>
              <c:tx>
                <c:rich>
                  <a:bodyPr/>
                  <a:lstStyle/>
                  <a:p>
                    <a:fld id="{9EAF06A1-D2EA-4F02-86EA-93E4F82FA6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1052-4AF0-90C6-4CB67D7D6220}"/>
                </c:ext>
              </c:extLst>
            </c:dLbl>
            <c:dLbl>
              <c:idx val="90"/>
              <c:tx>
                <c:rich>
                  <a:bodyPr/>
                  <a:lstStyle/>
                  <a:p>
                    <a:fld id="{F973BD6B-AB3D-4212-8278-D6AC5FF0C5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1052-4AF0-90C6-4CB67D7D6220}"/>
                </c:ext>
              </c:extLst>
            </c:dLbl>
            <c:dLbl>
              <c:idx val="91"/>
              <c:tx>
                <c:rich>
                  <a:bodyPr/>
                  <a:lstStyle/>
                  <a:p>
                    <a:fld id="{12CCA6C6-62FF-447E-B65B-63C3AD5E86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1052-4AF0-90C6-4CB67D7D6220}"/>
                </c:ext>
              </c:extLst>
            </c:dLbl>
            <c:dLbl>
              <c:idx val="92"/>
              <c:tx>
                <c:rich>
                  <a:bodyPr/>
                  <a:lstStyle/>
                  <a:p>
                    <a:fld id="{C2E38661-612B-43FD-A1C0-CBC4A628F6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1052-4AF0-90C6-4CB67D7D6220}"/>
                </c:ext>
              </c:extLst>
            </c:dLbl>
            <c:dLbl>
              <c:idx val="93"/>
              <c:tx>
                <c:rich>
                  <a:bodyPr/>
                  <a:lstStyle/>
                  <a:p>
                    <a:fld id="{CC5DFEBC-68D4-4011-8BD7-4B6972117F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1052-4AF0-90C6-4CB67D7D6220}"/>
                </c:ext>
              </c:extLst>
            </c:dLbl>
            <c:dLbl>
              <c:idx val="94"/>
              <c:tx>
                <c:rich>
                  <a:bodyPr/>
                  <a:lstStyle/>
                  <a:p>
                    <a:fld id="{E49F2D1A-04D2-4D17-A070-3CADF1CB30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1052-4AF0-90C6-4CB67D7D6220}"/>
                </c:ext>
              </c:extLst>
            </c:dLbl>
            <c:dLbl>
              <c:idx val="95"/>
              <c:tx>
                <c:rich>
                  <a:bodyPr/>
                  <a:lstStyle/>
                  <a:p>
                    <a:fld id="{4E0966CA-999E-4F14-90C5-AEB0AEFFBA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1052-4AF0-90C6-4CB67D7D6220}"/>
                </c:ext>
              </c:extLst>
            </c:dLbl>
            <c:dLbl>
              <c:idx val="96"/>
              <c:tx>
                <c:rich>
                  <a:bodyPr/>
                  <a:lstStyle/>
                  <a:p>
                    <a:fld id="{75282943-43CD-4989-907B-210BDEB003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1052-4AF0-90C6-4CB67D7D6220}"/>
                </c:ext>
              </c:extLst>
            </c:dLbl>
            <c:dLbl>
              <c:idx val="97"/>
              <c:tx>
                <c:rich>
                  <a:bodyPr/>
                  <a:lstStyle/>
                  <a:p>
                    <a:fld id="{AFF4FD5A-DE76-4C75-9D7F-E37375EBF2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1052-4AF0-90C6-4CB67D7D6220}"/>
                </c:ext>
              </c:extLst>
            </c:dLbl>
            <c:dLbl>
              <c:idx val="98"/>
              <c:tx>
                <c:rich>
                  <a:bodyPr/>
                  <a:lstStyle/>
                  <a:p>
                    <a:fld id="{436C79F8-819E-4BCE-97D4-32F72DA50A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1052-4AF0-90C6-4CB67D7D6220}"/>
                </c:ext>
              </c:extLst>
            </c:dLbl>
            <c:dLbl>
              <c:idx val="99"/>
              <c:tx>
                <c:rich>
                  <a:bodyPr/>
                  <a:lstStyle/>
                  <a:p>
                    <a:fld id="{CF36CBAF-9E9C-4CD5-B63A-9045F866B0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1052-4AF0-90C6-4CB67D7D6220}"/>
                </c:ext>
              </c:extLst>
            </c:dLbl>
            <c:dLbl>
              <c:idx val="100"/>
              <c:tx>
                <c:rich>
                  <a:bodyPr/>
                  <a:lstStyle/>
                  <a:p>
                    <a:fld id="{4984E53A-1676-40F6-9E8B-8B66CA8D5E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1052-4AF0-90C6-4CB67D7D6220}"/>
                </c:ext>
              </c:extLst>
            </c:dLbl>
            <c:dLbl>
              <c:idx val="101"/>
              <c:tx>
                <c:rich>
                  <a:bodyPr/>
                  <a:lstStyle/>
                  <a:p>
                    <a:fld id="{4A98FBF6-875E-454F-BB90-194B123AC9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1052-4AF0-90C6-4CB67D7D6220}"/>
                </c:ext>
              </c:extLst>
            </c:dLbl>
            <c:dLbl>
              <c:idx val="102"/>
              <c:tx>
                <c:rich>
                  <a:bodyPr/>
                  <a:lstStyle/>
                  <a:p>
                    <a:fld id="{B874A912-FF63-47F5-9C5C-7DA54DD790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1052-4AF0-90C6-4CB67D7D6220}"/>
                </c:ext>
              </c:extLst>
            </c:dLbl>
            <c:dLbl>
              <c:idx val="103"/>
              <c:tx>
                <c:rich>
                  <a:bodyPr/>
                  <a:lstStyle/>
                  <a:p>
                    <a:fld id="{DA113569-7C88-43EB-9BC5-5731573686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1052-4AF0-90C6-4CB67D7D6220}"/>
                </c:ext>
              </c:extLst>
            </c:dLbl>
            <c:dLbl>
              <c:idx val="104"/>
              <c:tx>
                <c:rich>
                  <a:bodyPr/>
                  <a:lstStyle/>
                  <a:p>
                    <a:fld id="{A5C77527-5DE0-4D3C-A143-DB8243E6E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1052-4AF0-90C6-4CB67D7D6220}"/>
                </c:ext>
              </c:extLst>
            </c:dLbl>
            <c:dLbl>
              <c:idx val="105"/>
              <c:tx>
                <c:rich>
                  <a:bodyPr/>
                  <a:lstStyle/>
                  <a:p>
                    <a:fld id="{CC301B2E-535E-4096-A7E4-9992FC2675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1052-4AF0-90C6-4CB67D7D6220}"/>
                </c:ext>
              </c:extLst>
            </c:dLbl>
            <c:dLbl>
              <c:idx val="106"/>
              <c:tx>
                <c:rich>
                  <a:bodyPr/>
                  <a:lstStyle/>
                  <a:p>
                    <a:fld id="{3F4FECA2-3C71-4109-9347-5E7C976798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1052-4AF0-90C6-4CB67D7D6220}"/>
                </c:ext>
              </c:extLst>
            </c:dLbl>
            <c:dLbl>
              <c:idx val="107"/>
              <c:tx>
                <c:rich>
                  <a:bodyPr/>
                  <a:lstStyle/>
                  <a:p>
                    <a:fld id="{7F0B0EEC-9AE8-4C8F-890A-070B960DA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1052-4AF0-90C6-4CB67D7D6220}"/>
                </c:ext>
              </c:extLst>
            </c:dLbl>
            <c:dLbl>
              <c:idx val="108"/>
              <c:tx>
                <c:rich>
                  <a:bodyPr/>
                  <a:lstStyle/>
                  <a:p>
                    <a:fld id="{98DCB380-9EC5-4B9A-BCF7-184D23ACCC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1052-4AF0-90C6-4CB67D7D6220}"/>
                </c:ext>
              </c:extLst>
            </c:dLbl>
            <c:dLbl>
              <c:idx val="109"/>
              <c:tx>
                <c:rich>
                  <a:bodyPr/>
                  <a:lstStyle/>
                  <a:p>
                    <a:fld id="{1DC03899-74F8-49AB-AE91-D4ED2E8BD7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1052-4AF0-90C6-4CB67D7D6220}"/>
                </c:ext>
              </c:extLst>
            </c:dLbl>
            <c:dLbl>
              <c:idx val="110"/>
              <c:tx>
                <c:rich>
                  <a:bodyPr/>
                  <a:lstStyle/>
                  <a:p>
                    <a:fld id="{D096D9DA-2D78-44CD-A6BD-C898AA873D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1052-4AF0-90C6-4CB67D7D6220}"/>
                </c:ext>
              </c:extLst>
            </c:dLbl>
            <c:dLbl>
              <c:idx val="111"/>
              <c:tx>
                <c:rich>
                  <a:bodyPr/>
                  <a:lstStyle/>
                  <a:p>
                    <a:fld id="{ADA2779B-63FC-48AE-887C-70D085F879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1052-4AF0-90C6-4CB67D7D6220}"/>
                </c:ext>
              </c:extLst>
            </c:dLbl>
            <c:dLbl>
              <c:idx val="112"/>
              <c:tx>
                <c:rich>
                  <a:bodyPr/>
                  <a:lstStyle/>
                  <a:p>
                    <a:fld id="{C8038258-63FC-46EE-8A4A-2131F05A1B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1052-4AF0-90C6-4CB67D7D6220}"/>
                </c:ext>
              </c:extLst>
            </c:dLbl>
            <c:dLbl>
              <c:idx val="113"/>
              <c:tx>
                <c:rich>
                  <a:bodyPr/>
                  <a:lstStyle/>
                  <a:p>
                    <a:fld id="{C3D20286-EFDF-4709-B4D7-0EFC94F789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1052-4AF0-90C6-4CB67D7D6220}"/>
                </c:ext>
              </c:extLst>
            </c:dLbl>
            <c:dLbl>
              <c:idx val="114"/>
              <c:tx>
                <c:rich>
                  <a:bodyPr/>
                  <a:lstStyle/>
                  <a:p>
                    <a:fld id="{05641044-8346-4B42-9A9E-0336279C32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1052-4AF0-90C6-4CB67D7D6220}"/>
                </c:ext>
              </c:extLst>
            </c:dLbl>
            <c:dLbl>
              <c:idx val="115"/>
              <c:tx>
                <c:rich>
                  <a:bodyPr/>
                  <a:lstStyle/>
                  <a:p>
                    <a:fld id="{85EAB24F-506D-4DB7-B525-D72CCC617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1052-4AF0-90C6-4CB67D7D6220}"/>
                </c:ext>
              </c:extLst>
            </c:dLbl>
            <c:dLbl>
              <c:idx val="116"/>
              <c:tx>
                <c:rich>
                  <a:bodyPr/>
                  <a:lstStyle/>
                  <a:p>
                    <a:fld id="{BFFB57BD-8BA8-4D70-AE95-94EED5DE62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1052-4AF0-90C6-4CB67D7D6220}"/>
                </c:ext>
              </c:extLst>
            </c:dLbl>
            <c:dLbl>
              <c:idx val="117"/>
              <c:tx>
                <c:rich>
                  <a:bodyPr/>
                  <a:lstStyle/>
                  <a:p>
                    <a:fld id="{899D60AF-2E2D-4D30-B8E4-3890C8A19B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1052-4AF0-90C6-4CB67D7D6220}"/>
                </c:ext>
              </c:extLst>
            </c:dLbl>
            <c:dLbl>
              <c:idx val="118"/>
              <c:tx>
                <c:rich>
                  <a:bodyPr/>
                  <a:lstStyle/>
                  <a:p>
                    <a:fld id="{5DB4A2A3-25CC-4610-94D4-930CBE378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1052-4AF0-90C6-4CB67D7D6220}"/>
                </c:ext>
              </c:extLst>
            </c:dLbl>
            <c:dLbl>
              <c:idx val="119"/>
              <c:tx>
                <c:rich>
                  <a:bodyPr/>
                  <a:lstStyle/>
                  <a:p>
                    <a:fld id="{42BE680C-3052-4F46-898B-18A65799A5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1052-4AF0-90C6-4CB67D7D6220}"/>
                </c:ext>
              </c:extLst>
            </c:dLbl>
            <c:dLbl>
              <c:idx val="120"/>
              <c:tx>
                <c:rich>
                  <a:bodyPr/>
                  <a:lstStyle/>
                  <a:p>
                    <a:fld id="{87E4B789-9EF9-4023-80CF-75B3F09B47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1052-4AF0-90C6-4CB67D7D6220}"/>
                </c:ext>
              </c:extLst>
            </c:dLbl>
            <c:dLbl>
              <c:idx val="121"/>
              <c:tx>
                <c:rich>
                  <a:bodyPr/>
                  <a:lstStyle/>
                  <a:p>
                    <a:fld id="{9CC05FEC-2801-4478-9C7A-FBAAA885C8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1052-4AF0-90C6-4CB67D7D6220}"/>
                </c:ext>
              </c:extLst>
            </c:dLbl>
            <c:dLbl>
              <c:idx val="122"/>
              <c:tx>
                <c:rich>
                  <a:bodyPr/>
                  <a:lstStyle/>
                  <a:p>
                    <a:fld id="{7D53319D-0F10-42EC-8F82-2729774A96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1052-4AF0-90C6-4CB67D7D6220}"/>
                </c:ext>
              </c:extLst>
            </c:dLbl>
            <c:dLbl>
              <c:idx val="123"/>
              <c:tx>
                <c:rich>
                  <a:bodyPr/>
                  <a:lstStyle/>
                  <a:p>
                    <a:fld id="{7C5F2F3F-F7CD-418B-BDC7-8474240B4D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1052-4AF0-90C6-4CB67D7D6220}"/>
                </c:ext>
              </c:extLst>
            </c:dLbl>
            <c:dLbl>
              <c:idx val="124"/>
              <c:tx>
                <c:rich>
                  <a:bodyPr/>
                  <a:lstStyle/>
                  <a:p>
                    <a:fld id="{84AD6955-7CCB-4103-8A23-15AA757C86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1052-4AF0-90C6-4CB67D7D6220}"/>
                </c:ext>
              </c:extLst>
            </c:dLbl>
            <c:dLbl>
              <c:idx val="125"/>
              <c:tx>
                <c:rich>
                  <a:bodyPr/>
                  <a:lstStyle/>
                  <a:p>
                    <a:fld id="{EBA75C58-BADA-4AA8-97CC-8166FCD529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1052-4AF0-90C6-4CB67D7D6220}"/>
                </c:ext>
              </c:extLst>
            </c:dLbl>
            <c:dLbl>
              <c:idx val="126"/>
              <c:tx>
                <c:rich>
                  <a:bodyPr/>
                  <a:lstStyle/>
                  <a:p>
                    <a:fld id="{395580F2-EE71-4B6B-9799-451322BEBE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1052-4AF0-90C6-4CB67D7D6220}"/>
                </c:ext>
              </c:extLst>
            </c:dLbl>
            <c:dLbl>
              <c:idx val="127"/>
              <c:tx>
                <c:rich>
                  <a:bodyPr/>
                  <a:lstStyle/>
                  <a:p>
                    <a:fld id="{905F7984-E9C2-4356-B7B0-7A91390E8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1052-4AF0-90C6-4CB67D7D6220}"/>
                </c:ext>
              </c:extLst>
            </c:dLbl>
            <c:dLbl>
              <c:idx val="128"/>
              <c:tx>
                <c:rich>
                  <a:bodyPr/>
                  <a:lstStyle/>
                  <a:p>
                    <a:fld id="{98AA80E8-83D2-402D-B760-F4C1BB2D4C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1052-4AF0-90C6-4CB67D7D6220}"/>
                </c:ext>
              </c:extLst>
            </c:dLbl>
            <c:dLbl>
              <c:idx val="129"/>
              <c:tx>
                <c:rich>
                  <a:bodyPr/>
                  <a:lstStyle/>
                  <a:p>
                    <a:fld id="{0D5CD693-7B0D-479B-AEA4-119DF4933B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1052-4AF0-90C6-4CB67D7D6220}"/>
                </c:ext>
              </c:extLst>
            </c:dLbl>
            <c:dLbl>
              <c:idx val="130"/>
              <c:tx>
                <c:rich>
                  <a:bodyPr/>
                  <a:lstStyle/>
                  <a:p>
                    <a:fld id="{A0A460F5-D910-4AB0-915D-EC162D34B5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1052-4AF0-90C6-4CB67D7D6220}"/>
                </c:ext>
              </c:extLst>
            </c:dLbl>
            <c:dLbl>
              <c:idx val="131"/>
              <c:tx>
                <c:rich>
                  <a:bodyPr/>
                  <a:lstStyle/>
                  <a:p>
                    <a:fld id="{06F8576A-7CEB-4FF9-9AB9-19C01DDCCD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1052-4AF0-90C6-4CB67D7D6220}"/>
                </c:ext>
              </c:extLst>
            </c:dLbl>
            <c:dLbl>
              <c:idx val="132"/>
              <c:tx>
                <c:rich>
                  <a:bodyPr/>
                  <a:lstStyle/>
                  <a:p>
                    <a:fld id="{4136ABAB-4696-4DB8-8B3A-3DF8511046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1052-4AF0-90C6-4CB67D7D6220}"/>
                </c:ext>
              </c:extLst>
            </c:dLbl>
            <c:dLbl>
              <c:idx val="133"/>
              <c:tx>
                <c:rich>
                  <a:bodyPr/>
                  <a:lstStyle/>
                  <a:p>
                    <a:fld id="{C4868620-C456-4366-9306-0720AE19E5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1052-4AF0-90C6-4CB67D7D6220}"/>
                </c:ext>
              </c:extLst>
            </c:dLbl>
            <c:dLbl>
              <c:idx val="134"/>
              <c:tx>
                <c:rich>
                  <a:bodyPr/>
                  <a:lstStyle/>
                  <a:p>
                    <a:fld id="{13B04EEB-DDB0-416A-9D58-5FD3B66CE4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1052-4AF0-90C6-4CB67D7D6220}"/>
                </c:ext>
              </c:extLst>
            </c:dLbl>
            <c:dLbl>
              <c:idx val="135"/>
              <c:tx>
                <c:rich>
                  <a:bodyPr/>
                  <a:lstStyle/>
                  <a:p>
                    <a:fld id="{22BFF377-9D65-42A2-805B-9FC182A6F2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1052-4AF0-90C6-4CB67D7D6220}"/>
                </c:ext>
              </c:extLst>
            </c:dLbl>
            <c:dLbl>
              <c:idx val="136"/>
              <c:tx>
                <c:rich>
                  <a:bodyPr/>
                  <a:lstStyle/>
                  <a:p>
                    <a:fld id="{7F6E442F-F0F4-43DD-A1D1-1B9A7DE705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1052-4AF0-90C6-4CB67D7D6220}"/>
                </c:ext>
              </c:extLst>
            </c:dLbl>
            <c:dLbl>
              <c:idx val="137"/>
              <c:tx>
                <c:rich>
                  <a:bodyPr/>
                  <a:lstStyle/>
                  <a:p>
                    <a:fld id="{953D0B73-D681-49CF-876F-31AC85F544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1052-4AF0-90C6-4CB67D7D6220}"/>
                </c:ext>
              </c:extLst>
            </c:dLbl>
            <c:dLbl>
              <c:idx val="138"/>
              <c:tx>
                <c:rich>
                  <a:bodyPr/>
                  <a:lstStyle/>
                  <a:p>
                    <a:fld id="{2BF0876E-4FC7-473A-8418-24BA7B275F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1052-4AF0-90C6-4CB67D7D6220}"/>
                </c:ext>
              </c:extLst>
            </c:dLbl>
            <c:dLbl>
              <c:idx val="139"/>
              <c:tx>
                <c:rich>
                  <a:bodyPr/>
                  <a:lstStyle/>
                  <a:p>
                    <a:fld id="{EBC7D80C-304F-4F8D-A929-781F7FD0CE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1052-4AF0-90C6-4CB67D7D6220}"/>
                </c:ext>
              </c:extLst>
            </c:dLbl>
            <c:dLbl>
              <c:idx val="140"/>
              <c:tx>
                <c:rich>
                  <a:bodyPr/>
                  <a:lstStyle/>
                  <a:p>
                    <a:fld id="{4F1CBD40-916F-4F84-B02F-EA941C520A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1052-4AF0-90C6-4CB67D7D6220}"/>
                </c:ext>
              </c:extLst>
            </c:dLbl>
            <c:dLbl>
              <c:idx val="141"/>
              <c:tx>
                <c:rich>
                  <a:bodyPr/>
                  <a:lstStyle/>
                  <a:p>
                    <a:fld id="{91857729-E828-4D27-9E32-B9EFD43887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1052-4AF0-90C6-4CB67D7D6220}"/>
                </c:ext>
              </c:extLst>
            </c:dLbl>
            <c:dLbl>
              <c:idx val="142"/>
              <c:tx>
                <c:rich>
                  <a:bodyPr/>
                  <a:lstStyle/>
                  <a:p>
                    <a:fld id="{DE8A4A7A-DD92-4AD6-BFF8-7060026B06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1052-4AF0-90C6-4CB67D7D6220}"/>
                </c:ext>
              </c:extLst>
            </c:dLbl>
            <c:dLbl>
              <c:idx val="143"/>
              <c:tx>
                <c:rich>
                  <a:bodyPr/>
                  <a:lstStyle/>
                  <a:p>
                    <a:fld id="{F9F6630E-A008-4E1B-A3CD-364C09CC05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1052-4AF0-90C6-4CB67D7D6220}"/>
                </c:ext>
              </c:extLst>
            </c:dLbl>
            <c:dLbl>
              <c:idx val="144"/>
              <c:tx>
                <c:rich>
                  <a:bodyPr/>
                  <a:lstStyle/>
                  <a:p>
                    <a:fld id="{C04BC5F8-208A-4BB0-871F-5EBCABB821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1052-4AF0-90C6-4CB67D7D6220}"/>
                </c:ext>
              </c:extLst>
            </c:dLbl>
            <c:dLbl>
              <c:idx val="145"/>
              <c:tx>
                <c:rich>
                  <a:bodyPr/>
                  <a:lstStyle/>
                  <a:p>
                    <a:fld id="{981A2A95-6D67-428D-8D83-7A7FF43780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1052-4AF0-90C6-4CB67D7D6220}"/>
                </c:ext>
              </c:extLst>
            </c:dLbl>
            <c:dLbl>
              <c:idx val="146"/>
              <c:tx>
                <c:rich>
                  <a:bodyPr/>
                  <a:lstStyle/>
                  <a:p>
                    <a:fld id="{B4B64EE8-1DE3-40C5-8672-69BC245406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1052-4AF0-90C6-4CB67D7D6220}"/>
                </c:ext>
              </c:extLst>
            </c:dLbl>
            <c:dLbl>
              <c:idx val="147"/>
              <c:tx>
                <c:rich>
                  <a:bodyPr/>
                  <a:lstStyle/>
                  <a:p>
                    <a:fld id="{EBE837D1-2C01-43E5-A21B-32C64FC5D5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1052-4AF0-90C6-4CB67D7D6220}"/>
                </c:ext>
              </c:extLst>
            </c:dLbl>
            <c:dLbl>
              <c:idx val="148"/>
              <c:tx>
                <c:rich>
                  <a:bodyPr/>
                  <a:lstStyle/>
                  <a:p>
                    <a:fld id="{A8200802-5023-419F-B30E-5CC8070049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1052-4AF0-90C6-4CB67D7D6220}"/>
                </c:ext>
              </c:extLst>
            </c:dLbl>
            <c:dLbl>
              <c:idx val="149"/>
              <c:tx>
                <c:rich>
                  <a:bodyPr/>
                  <a:lstStyle/>
                  <a:p>
                    <a:fld id="{2D7D327D-8A4A-4391-86B4-24262D5469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1052-4AF0-90C6-4CB67D7D6220}"/>
                </c:ext>
              </c:extLst>
            </c:dLbl>
            <c:dLbl>
              <c:idx val="150"/>
              <c:tx>
                <c:rich>
                  <a:bodyPr/>
                  <a:lstStyle/>
                  <a:p>
                    <a:fld id="{E00BA48C-4AE2-4E9E-BF49-B3A843DF4F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1052-4AF0-90C6-4CB67D7D6220}"/>
                </c:ext>
              </c:extLst>
            </c:dLbl>
            <c:dLbl>
              <c:idx val="151"/>
              <c:tx>
                <c:rich>
                  <a:bodyPr/>
                  <a:lstStyle/>
                  <a:p>
                    <a:fld id="{E328B484-35CF-4400-9433-2876C5555E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1052-4AF0-90C6-4CB67D7D6220}"/>
                </c:ext>
              </c:extLst>
            </c:dLbl>
            <c:dLbl>
              <c:idx val="152"/>
              <c:tx>
                <c:rich>
                  <a:bodyPr/>
                  <a:lstStyle/>
                  <a:p>
                    <a:fld id="{BC672C02-DB78-4A58-8FA7-0AEE473246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1052-4AF0-90C6-4CB67D7D6220}"/>
                </c:ext>
              </c:extLst>
            </c:dLbl>
            <c:dLbl>
              <c:idx val="153"/>
              <c:tx>
                <c:rich>
                  <a:bodyPr/>
                  <a:lstStyle/>
                  <a:p>
                    <a:fld id="{808D3041-4189-41DF-9C26-73A1A9B3CA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1052-4AF0-90C6-4CB67D7D6220}"/>
                </c:ext>
              </c:extLst>
            </c:dLbl>
            <c:dLbl>
              <c:idx val="154"/>
              <c:tx>
                <c:rich>
                  <a:bodyPr/>
                  <a:lstStyle/>
                  <a:p>
                    <a:fld id="{50BD06D2-C504-43F3-BDE4-18FBD4D662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1052-4AF0-90C6-4CB67D7D6220}"/>
                </c:ext>
              </c:extLst>
            </c:dLbl>
            <c:dLbl>
              <c:idx val="155"/>
              <c:tx>
                <c:rich>
                  <a:bodyPr/>
                  <a:lstStyle/>
                  <a:p>
                    <a:fld id="{7111F6A7-51AF-43F6-8859-D275F69272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1052-4AF0-90C6-4CB67D7D6220}"/>
                </c:ext>
              </c:extLst>
            </c:dLbl>
            <c:dLbl>
              <c:idx val="156"/>
              <c:tx>
                <c:rich>
                  <a:bodyPr/>
                  <a:lstStyle/>
                  <a:p>
                    <a:fld id="{9A40356E-9EF4-4D14-90FE-19B6FD9244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1052-4AF0-90C6-4CB67D7D6220}"/>
                </c:ext>
              </c:extLst>
            </c:dLbl>
            <c:dLbl>
              <c:idx val="157"/>
              <c:tx>
                <c:rich>
                  <a:bodyPr/>
                  <a:lstStyle/>
                  <a:p>
                    <a:fld id="{373AC8D2-0A80-482B-BED6-F61995EB47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1052-4AF0-90C6-4CB67D7D6220}"/>
                </c:ext>
              </c:extLst>
            </c:dLbl>
            <c:dLbl>
              <c:idx val="158"/>
              <c:tx>
                <c:rich>
                  <a:bodyPr/>
                  <a:lstStyle/>
                  <a:p>
                    <a:fld id="{C32BF711-A013-420A-99A3-1E642EC85A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1052-4AF0-90C6-4CB67D7D6220}"/>
                </c:ext>
              </c:extLst>
            </c:dLbl>
            <c:dLbl>
              <c:idx val="159"/>
              <c:tx>
                <c:rich>
                  <a:bodyPr/>
                  <a:lstStyle/>
                  <a:p>
                    <a:fld id="{820C105C-40C2-49D6-8915-D55FC11D15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1052-4AF0-90C6-4CB67D7D6220}"/>
                </c:ext>
              </c:extLst>
            </c:dLbl>
            <c:dLbl>
              <c:idx val="160"/>
              <c:tx>
                <c:rich>
                  <a:bodyPr/>
                  <a:lstStyle/>
                  <a:p>
                    <a:fld id="{B89417AF-B39A-49FF-B04B-62AC5D2B6C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1052-4AF0-90C6-4CB67D7D6220}"/>
                </c:ext>
              </c:extLst>
            </c:dLbl>
            <c:dLbl>
              <c:idx val="161"/>
              <c:tx>
                <c:rich>
                  <a:bodyPr/>
                  <a:lstStyle/>
                  <a:p>
                    <a:fld id="{6D5A637F-1A4D-4C2E-A152-1FE235B3B9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1052-4AF0-90C6-4CB67D7D6220}"/>
                </c:ext>
              </c:extLst>
            </c:dLbl>
            <c:dLbl>
              <c:idx val="162"/>
              <c:tx>
                <c:rich>
                  <a:bodyPr/>
                  <a:lstStyle/>
                  <a:p>
                    <a:fld id="{C67AE65A-F03E-4714-97AE-B583E7FCFB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1052-4AF0-90C6-4CB67D7D6220}"/>
                </c:ext>
              </c:extLst>
            </c:dLbl>
            <c:dLbl>
              <c:idx val="163"/>
              <c:tx>
                <c:rich>
                  <a:bodyPr/>
                  <a:lstStyle/>
                  <a:p>
                    <a:fld id="{04A51B09-BF89-4145-8329-1C57AC112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1052-4AF0-90C6-4CB67D7D6220}"/>
                </c:ext>
              </c:extLst>
            </c:dLbl>
            <c:dLbl>
              <c:idx val="164"/>
              <c:tx>
                <c:rich>
                  <a:bodyPr/>
                  <a:lstStyle/>
                  <a:p>
                    <a:fld id="{2F4A6B1E-2D4F-4A06-97ED-6598956A30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1052-4AF0-90C6-4CB67D7D6220}"/>
                </c:ext>
              </c:extLst>
            </c:dLbl>
            <c:dLbl>
              <c:idx val="165"/>
              <c:tx>
                <c:rich>
                  <a:bodyPr/>
                  <a:lstStyle/>
                  <a:p>
                    <a:fld id="{41FB77D2-47F3-4A29-A6B4-4247E89434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1052-4AF0-90C6-4CB67D7D6220}"/>
                </c:ext>
              </c:extLst>
            </c:dLbl>
            <c:dLbl>
              <c:idx val="166"/>
              <c:tx>
                <c:rich>
                  <a:bodyPr/>
                  <a:lstStyle/>
                  <a:p>
                    <a:fld id="{0A89664B-BA76-46F8-84DE-29375703B6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1052-4AF0-90C6-4CB67D7D6220}"/>
                </c:ext>
              </c:extLst>
            </c:dLbl>
            <c:dLbl>
              <c:idx val="167"/>
              <c:tx>
                <c:rich>
                  <a:bodyPr/>
                  <a:lstStyle/>
                  <a:p>
                    <a:fld id="{F2B3C909-964A-4581-A8EF-BE82021710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1052-4AF0-90C6-4CB67D7D6220}"/>
                </c:ext>
              </c:extLst>
            </c:dLbl>
            <c:dLbl>
              <c:idx val="168"/>
              <c:tx>
                <c:rich>
                  <a:bodyPr/>
                  <a:lstStyle/>
                  <a:p>
                    <a:fld id="{6564B86D-215B-4718-ADD5-F7165B5945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1052-4AF0-90C6-4CB67D7D6220}"/>
                </c:ext>
              </c:extLst>
            </c:dLbl>
            <c:dLbl>
              <c:idx val="169"/>
              <c:tx>
                <c:rich>
                  <a:bodyPr/>
                  <a:lstStyle/>
                  <a:p>
                    <a:fld id="{C929FACA-3B9B-49DD-AC68-ED5FEC1644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1052-4AF0-90C6-4CB67D7D6220}"/>
                </c:ext>
              </c:extLst>
            </c:dLbl>
            <c:dLbl>
              <c:idx val="170"/>
              <c:tx>
                <c:rich>
                  <a:bodyPr/>
                  <a:lstStyle/>
                  <a:p>
                    <a:fld id="{13CA49C3-52A7-4CAF-B9CA-13B0F8AA7F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1052-4AF0-90C6-4CB67D7D6220}"/>
                </c:ext>
              </c:extLst>
            </c:dLbl>
            <c:dLbl>
              <c:idx val="171"/>
              <c:tx>
                <c:rich>
                  <a:bodyPr/>
                  <a:lstStyle/>
                  <a:p>
                    <a:fld id="{9C15AF18-4C05-44EF-837B-5A505D13B1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1052-4AF0-90C6-4CB67D7D6220}"/>
                </c:ext>
              </c:extLst>
            </c:dLbl>
            <c:dLbl>
              <c:idx val="172"/>
              <c:tx>
                <c:rich>
                  <a:bodyPr/>
                  <a:lstStyle/>
                  <a:p>
                    <a:fld id="{479038FA-5C21-4BAB-BE05-D1CFE8CD32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1052-4AF0-90C6-4CB67D7D6220}"/>
                </c:ext>
              </c:extLst>
            </c:dLbl>
            <c:dLbl>
              <c:idx val="173"/>
              <c:tx>
                <c:rich>
                  <a:bodyPr/>
                  <a:lstStyle/>
                  <a:p>
                    <a:fld id="{9C035C1F-6138-4542-93A2-888F1A6D1B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1052-4AF0-90C6-4CB67D7D6220}"/>
                </c:ext>
              </c:extLst>
            </c:dLbl>
            <c:dLbl>
              <c:idx val="174"/>
              <c:tx>
                <c:rich>
                  <a:bodyPr/>
                  <a:lstStyle/>
                  <a:p>
                    <a:fld id="{40E2E193-0F4A-4D9B-B621-8E7D46A791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1052-4AF0-90C6-4CB67D7D6220}"/>
                </c:ext>
              </c:extLst>
            </c:dLbl>
            <c:dLbl>
              <c:idx val="175"/>
              <c:tx>
                <c:rich>
                  <a:bodyPr/>
                  <a:lstStyle/>
                  <a:p>
                    <a:fld id="{5AE4D5CB-0AFB-45FA-BD46-1CA0C8B7E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1052-4AF0-90C6-4CB67D7D6220}"/>
                </c:ext>
              </c:extLst>
            </c:dLbl>
            <c:dLbl>
              <c:idx val="176"/>
              <c:tx>
                <c:rich>
                  <a:bodyPr/>
                  <a:lstStyle/>
                  <a:p>
                    <a:fld id="{5AA19969-017B-4808-A2FE-5032E94DD6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1052-4AF0-90C6-4CB67D7D6220}"/>
                </c:ext>
              </c:extLst>
            </c:dLbl>
            <c:dLbl>
              <c:idx val="177"/>
              <c:tx>
                <c:rich>
                  <a:bodyPr/>
                  <a:lstStyle/>
                  <a:p>
                    <a:fld id="{961F2269-27C3-4F2F-BA1C-C0E5695592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1052-4AF0-90C6-4CB67D7D6220}"/>
                </c:ext>
              </c:extLst>
            </c:dLbl>
            <c:dLbl>
              <c:idx val="178"/>
              <c:tx>
                <c:rich>
                  <a:bodyPr/>
                  <a:lstStyle/>
                  <a:p>
                    <a:fld id="{EFEA84C0-9DE1-4CF9-A757-6CBB13FFCB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1052-4AF0-90C6-4CB67D7D6220}"/>
                </c:ext>
              </c:extLst>
            </c:dLbl>
            <c:dLbl>
              <c:idx val="179"/>
              <c:tx>
                <c:rich>
                  <a:bodyPr/>
                  <a:lstStyle/>
                  <a:p>
                    <a:fld id="{D7698E5B-15FE-4FEC-B19B-6CA8CDF6D7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1052-4AF0-90C6-4CB67D7D6220}"/>
                </c:ext>
              </c:extLst>
            </c:dLbl>
            <c:dLbl>
              <c:idx val="180"/>
              <c:tx>
                <c:rich>
                  <a:bodyPr/>
                  <a:lstStyle/>
                  <a:p>
                    <a:fld id="{5E50E1F2-AB67-40E6-8C6D-5335A62E67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1052-4AF0-90C6-4CB67D7D6220}"/>
                </c:ext>
              </c:extLst>
            </c:dLbl>
            <c:dLbl>
              <c:idx val="181"/>
              <c:tx>
                <c:rich>
                  <a:bodyPr/>
                  <a:lstStyle/>
                  <a:p>
                    <a:fld id="{8233FD29-CBBD-47C9-880B-BCD08B80D5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1052-4AF0-90C6-4CB67D7D6220}"/>
                </c:ext>
              </c:extLst>
            </c:dLbl>
            <c:dLbl>
              <c:idx val="182"/>
              <c:tx>
                <c:rich>
                  <a:bodyPr/>
                  <a:lstStyle/>
                  <a:p>
                    <a:fld id="{F1B1E768-BC2F-4017-A807-D766731F7A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1052-4AF0-90C6-4CB67D7D6220}"/>
                </c:ext>
              </c:extLst>
            </c:dLbl>
            <c:dLbl>
              <c:idx val="183"/>
              <c:tx>
                <c:rich>
                  <a:bodyPr/>
                  <a:lstStyle/>
                  <a:p>
                    <a:fld id="{62A37F46-9C79-44D6-BCAC-DB5DAEF1D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1052-4AF0-90C6-4CB67D7D6220}"/>
                </c:ext>
              </c:extLst>
            </c:dLbl>
            <c:dLbl>
              <c:idx val="184"/>
              <c:tx>
                <c:rich>
                  <a:bodyPr/>
                  <a:lstStyle/>
                  <a:p>
                    <a:fld id="{A0B4D5A9-AF8C-4C00-9526-65EF3B09C2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1052-4AF0-90C6-4CB67D7D6220}"/>
                </c:ext>
              </c:extLst>
            </c:dLbl>
            <c:dLbl>
              <c:idx val="185"/>
              <c:tx>
                <c:rich>
                  <a:bodyPr/>
                  <a:lstStyle/>
                  <a:p>
                    <a:fld id="{2F5B8611-0F68-443C-B472-52C5CE89F4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1052-4AF0-90C6-4CB67D7D6220}"/>
                </c:ext>
              </c:extLst>
            </c:dLbl>
            <c:dLbl>
              <c:idx val="186"/>
              <c:tx>
                <c:rich>
                  <a:bodyPr/>
                  <a:lstStyle/>
                  <a:p>
                    <a:fld id="{CEB4FEB9-050B-450E-A12E-F1419F398D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1052-4AF0-90C6-4CB67D7D6220}"/>
                </c:ext>
              </c:extLst>
            </c:dLbl>
            <c:dLbl>
              <c:idx val="187"/>
              <c:tx>
                <c:rich>
                  <a:bodyPr/>
                  <a:lstStyle/>
                  <a:p>
                    <a:fld id="{63C3A905-23BB-4FF1-A8DD-CD1C6E23EA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1052-4AF0-90C6-4CB67D7D6220}"/>
                </c:ext>
              </c:extLst>
            </c:dLbl>
            <c:dLbl>
              <c:idx val="188"/>
              <c:tx>
                <c:rich>
                  <a:bodyPr/>
                  <a:lstStyle/>
                  <a:p>
                    <a:fld id="{D6A0645D-D437-4EF5-A630-B4CBF73665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1052-4AF0-90C6-4CB67D7D6220}"/>
                </c:ext>
              </c:extLst>
            </c:dLbl>
            <c:dLbl>
              <c:idx val="189"/>
              <c:tx>
                <c:rich>
                  <a:bodyPr/>
                  <a:lstStyle/>
                  <a:p>
                    <a:fld id="{18537B54-7EAA-4753-AA25-AD07AE86DB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1052-4AF0-90C6-4CB67D7D6220}"/>
                </c:ext>
              </c:extLst>
            </c:dLbl>
            <c:dLbl>
              <c:idx val="190"/>
              <c:tx>
                <c:rich>
                  <a:bodyPr/>
                  <a:lstStyle/>
                  <a:p>
                    <a:fld id="{AA747165-8548-4E30-8BB5-22AB524449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1052-4AF0-90C6-4CB67D7D6220}"/>
                </c:ext>
              </c:extLst>
            </c:dLbl>
            <c:dLbl>
              <c:idx val="191"/>
              <c:tx>
                <c:rich>
                  <a:bodyPr/>
                  <a:lstStyle/>
                  <a:p>
                    <a:fld id="{E43AD4E9-1539-457F-804A-898E0F948A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1052-4AF0-90C6-4CB67D7D6220}"/>
                </c:ext>
              </c:extLst>
            </c:dLbl>
            <c:dLbl>
              <c:idx val="192"/>
              <c:tx>
                <c:rich>
                  <a:bodyPr/>
                  <a:lstStyle/>
                  <a:p>
                    <a:fld id="{9B34A870-12C7-4767-B75C-DA7203B7F0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1052-4AF0-90C6-4CB67D7D6220}"/>
                </c:ext>
              </c:extLst>
            </c:dLbl>
            <c:dLbl>
              <c:idx val="193"/>
              <c:tx>
                <c:rich>
                  <a:bodyPr/>
                  <a:lstStyle/>
                  <a:p>
                    <a:fld id="{113A8714-D4C5-4F54-9F86-73F2C5D089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1052-4AF0-90C6-4CB67D7D6220}"/>
                </c:ext>
              </c:extLst>
            </c:dLbl>
            <c:dLbl>
              <c:idx val="194"/>
              <c:tx>
                <c:rich>
                  <a:bodyPr/>
                  <a:lstStyle/>
                  <a:p>
                    <a:fld id="{BD884DD5-C822-461A-B094-342F9CC092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1052-4AF0-90C6-4CB67D7D6220}"/>
                </c:ext>
              </c:extLst>
            </c:dLbl>
            <c:dLbl>
              <c:idx val="195"/>
              <c:tx>
                <c:rich>
                  <a:bodyPr/>
                  <a:lstStyle/>
                  <a:p>
                    <a:fld id="{3E447EE1-5EF8-4BBE-BCC6-BCF7C55FA9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1052-4AF0-90C6-4CB67D7D6220}"/>
                </c:ext>
              </c:extLst>
            </c:dLbl>
            <c:dLbl>
              <c:idx val="196"/>
              <c:tx>
                <c:rich>
                  <a:bodyPr/>
                  <a:lstStyle/>
                  <a:p>
                    <a:fld id="{96A7BD71-D305-4118-A930-17C7E05777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1052-4AF0-90C6-4CB67D7D6220}"/>
                </c:ext>
              </c:extLst>
            </c:dLbl>
            <c:dLbl>
              <c:idx val="197"/>
              <c:tx>
                <c:rich>
                  <a:bodyPr/>
                  <a:lstStyle/>
                  <a:p>
                    <a:fld id="{E9B9AE41-8EEE-4D65-BD05-5FF708B8E1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1052-4AF0-90C6-4CB67D7D6220}"/>
                </c:ext>
              </c:extLst>
            </c:dLbl>
            <c:dLbl>
              <c:idx val="198"/>
              <c:tx>
                <c:rich>
                  <a:bodyPr/>
                  <a:lstStyle/>
                  <a:p>
                    <a:fld id="{3BA5A932-A7E7-468A-9AA0-9FFE21FA68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1052-4AF0-90C6-4CB67D7D6220}"/>
                </c:ext>
              </c:extLst>
            </c:dLbl>
            <c:dLbl>
              <c:idx val="199"/>
              <c:tx>
                <c:rich>
                  <a:bodyPr/>
                  <a:lstStyle/>
                  <a:p>
                    <a:fld id="{2424C09E-8894-4326-BADF-D3EEE0FDA2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1052-4AF0-90C6-4CB67D7D6220}"/>
                </c:ext>
              </c:extLst>
            </c:dLbl>
            <c:dLbl>
              <c:idx val="200"/>
              <c:tx>
                <c:rich>
                  <a:bodyPr/>
                  <a:lstStyle/>
                  <a:p>
                    <a:fld id="{9F9E34C5-4801-4810-8B24-C77EC830EF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1052-4AF0-90C6-4CB67D7D6220}"/>
                </c:ext>
              </c:extLst>
            </c:dLbl>
            <c:dLbl>
              <c:idx val="201"/>
              <c:tx>
                <c:rich>
                  <a:bodyPr/>
                  <a:lstStyle/>
                  <a:p>
                    <a:fld id="{45DC156C-5A97-449B-BC60-C3882404A2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1052-4AF0-90C6-4CB67D7D6220}"/>
                </c:ext>
              </c:extLst>
            </c:dLbl>
            <c:dLbl>
              <c:idx val="202"/>
              <c:tx>
                <c:rich>
                  <a:bodyPr/>
                  <a:lstStyle/>
                  <a:p>
                    <a:fld id="{2FFA0661-2406-482A-8A17-30857736FA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1052-4AF0-90C6-4CB67D7D6220}"/>
                </c:ext>
              </c:extLst>
            </c:dLbl>
            <c:dLbl>
              <c:idx val="203"/>
              <c:tx>
                <c:rich>
                  <a:bodyPr/>
                  <a:lstStyle/>
                  <a:p>
                    <a:fld id="{7484B751-49A2-4F9B-81F8-5A03B0D32B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1052-4AF0-90C6-4CB67D7D6220}"/>
                </c:ext>
              </c:extLst>
            </c:dLbl>
            <c:dLbl>
              <c:idx val="204"/>
              <c:tx>
                <c:rich>
                  <a:bodyPr/>
                  <a:lstStyle/>
                  <a:p>
                    <a:fld id="{106FAA17-6F03-4A84-8F49-EBB362B9F6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1052-4AF0-90C6-4CB67D7D6220}"/>
                </c:ext>
              </c:extLst>
            </c:dLbl>
            <c:dLbl>
              <c:idx val="205"/>
              <c:tx>
                <c:rich>
                  <a:bodyPr/>
                  <a:lstStyle/>
                  <a:p>
                    <a:fld id="{F2AD15B1-621C-4F29-9537-4B6848E0A5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1052-4AF0-90C6-4CB67D7D6220}"/>
                </c:ext>
              </c:extLst>
            </c:dLbl>
            <c:dLbl>
              <c:idx val="206"/>
              <c:tx>
                <c:rich>
                  <a:bodyPr/>
                  <a:lstStyle/>
                  <a:p>
                    <a:fld id="{B4E32F43-A7AF-4EC8-AC08-2EDF1703F7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1052-4AF0-90C6-4CB67D7D6220}"/>
                </c:ext>
              </c:extLst>
            </c:dLbl>
            <c:dLbl>
              <c:idx val="207"/>
              <c:tx>
                <c:rich>
                  <a:bodyPr/>
                  <a:lstStyle/>
                  <a:p>
                    <a:fld id="{38A03C04-6528-40B8-A079-219DE9125A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1052-4AF0-90C6-4CB67D7D6220}"/>
                </c:ext>
              </c:extLst>
            </c:dLbl>
            <c:dLbl>
              <c:idx val="208"/>
              <c:tx>
                <c:rich>
                  <a:bodyPr/>
                  <a:lstStyle/>
                  <a:p>
                    <a:fld id="{E65A025B-646C-448B-9BA0-1B2DA3360D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1052-4AF0-90C6-4CB67D7D6220}"/>
                </c:ext>
              </c:extLst>
            </c:dLbl>
            <c:dLbl>
              <c:idx val="209"/>
              <c:tx>
                <c:rich>
                  <a:bodyPr/>
                  <a:lstStyle/>
                  <a:p>
                    <a:fld id="{2E833BB0-B3AE-4172-B823-32C4C22EE2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1052-4AF0-90C6-4CB67D7D6220}"/>
                </c:ext>
              </c:extLst>
            </c:dLbl>
            <c:dLbl>
              <c:idx val="210"/>
              <c:tx>
                <c:rich>
                  <a:bodyPr/>
                  <a:lstStyle/>
                  <a:p>
                    <a:fld id="{0300DF90-6469-4C45-93DB-E3377ED1CB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1052-4AF0-90C6-4CB67D7D6220}"/>
                </c:ext>
              </c:extLst>
            </c:dLbl>
            <c:dLbl>
              <c:idx val="211"/>
              <c:tx>
                <c:rich>
                  <a:bodyPr/>
                  <a:lstStyle/>
                  <a:p>
                    <a:fld id="{2D96BCCD-4DEB-4A0E-894F-C24F3E409F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1052-4AF0-90C6-4CB67D7D6220}"/>
                </c:ext>
              </c:extLst>
            </c:dLbl>
            <c:dLbl>
              <c:idx val="212"/>
              <c:tx>
                <c:rich>
                  <a:bodyPr/>
                  <a:lstStyle/>
                  <a:p>
                    <a:fld id="{2DAE0668-1FAB-4BEF-BD87-F0D71E0CAF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1052-4AF0-90C6-4CB67D7D6220}"/>
                </c:ext>
              </c:extLst>
            </c:dLbl>
            <c:dLbl>
              <c:idx val="213"/>
              <c:tx>
                <c:rich>
                  <a:bodyPr/>
                  <a:lstStyle/>
                  <a:p>
                    <a:fld id="{9D237518-C18A-42BA-8E55-AF5CC3FE13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1052-4AF0-90C6-4CB67D7D6220}"/>
                </c:ext>
              </c:extLst>
            </c:dLbl>
            <c:dLbl>
              <c:idx val="214"/>
              <c:tx>
                <c:rich>
                  <a:bodyPr/>
                  <a:lstStyle/>
                  <a:p>
                    <a:fld id="{EEBD81F8-F853-4D28-9812-A67CDF9BA5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1052-4AF0-90C6-4CB67D7D6220}"/>
                </c:ext>
              </c:extLst>
            </c:dLbl>
            <c:dLbl>
              <c:idx val="215"/>
              <c:tx>
                <c:rich>
                  <a:bodyPr/>
                  <a:lstStyle/>
                  <a:p>
                    <a:fld id="{14E3B694-44FF-437B-90D1-8092C90AA4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1052-4AF0-90C6-4CB67D7D6220}"/>
                </c:ext>
              </c:extLst>
            </c:dLbl>
            <c:dLbl>
              <c:idx val="216"/>
              <c:tx>
                <c:rich>
                  <a:bodyPr/>
                  <a:lstStyle/>
                  <a:p>
                    <a:fld id="{BD26F455-6BD9-448F-B122-AFF5919308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1052-4AF0-90C6-4CB67D7D6220}"/>
                </c:ext>
              </c:extLst>
            </c:dLbl>
            <c:dLbl>
              <c:idx val="217"/>
              <c:tx>
                <c:rich>
                  <a:bodyPr/>
                  <a:lstStyle/>
                  <a:p>
                    <a:fld id="{F98AF4A8-8EDB-4E5D-AD24-9E9323BADB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1052-4AF0-90C6-4CB67D7D6220}"/>
                </c:ext>
              </c:extLst>
            </c:dLbl>
            <c:dLbl>
              <c:idx val="218"/>
              <c:tx>
                <c:rich>
                  <a:bodyPr/>
                  <a:lstStyle/>
                  <a:p>
                    <a:fld id="{99A59DE2-E431-4537-ABC2-7802E29C7A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1052-4AF0-90C6-4CB67D7D6220}"/>
                </c:ext>
              </c:extLst>
            </c:dLbl>
            <c:dLbl>
              <c:idx val="219"/>
              <c:tx>
                <c:rich>
                  <a:bodyPr/>
                  <a:lstStyle/>
                  <a:p>
                    <a:fld id="{8F8A4C90-B850-497A-ACBB-94A74DA73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1052-4AF0-90C6-4CB67D7D6220}"/>
                </c:ext>
              </c:extLst>
            </c:dLbl>
            <c:dLbl>
              <c:idx val="220"/>
              <c:tx>
                <c:rich>
                  <a:bodyPr/>
                  <a:lstStyle/>
                  <a:p>
                    <a:fld id="{9B6C53D7-D522-4FFF-B2F6-3582EAEBB9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1052-4AF0-90C6-4CB67D7D6220}"/>
                </c:ext>
              </c:extLst>
            </c:dLbl>
            <c:dLbl>
              <c:idx val="221"/>
              <c:tx>
                <c:rich>
                  <a:bodyPr/>
                  <a:lstStyle/>
                  <a:p>
                    <a:fld id="{69A9D36D-B5B3-47D1-BE62-468621DFEF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1052-4AF0-90C6-4CB67D7D6220}"/>
                </c:ext>
              </c:extLst>
            </c:dLbl>
            <c:dLbl>
              <c:idx val="222"/>
              <c:tx>
                <c:rich>
                  <a:bodyPr/>
                  <a:lstStyle/>
                  <a:p>
                    <a:fld id="{8E3500C9-9308-417E-BA2C-1FEE927901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1052-4AF0-90C6-4CB67D7D6220}"/>
                </c:ext>
              </c:extLst>
            </c:dLbl>
            <c:dLbl>
              <c:idx val="223"/>
              <c:tx>
                <c:rich>
                  <a:bodyPr/>
                  <a:lstStyle/>
                  <a:p>
                    <a:fld id="{433756E1-FE28-4CCC-B83A-98B5BA6A7E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1052-4AF0-90C6-4CB67D7D6220}"/>
                </c:ext>
              </c:extLst>
            </c:dLbl>
            <c:dLbl>
              <c:idx val="224"/>
              <c:tx>
                <c:rich>
                  <a:bodyPr/>
                  <a:lstStyle/>
                  <a:p>
                    <a:fld id="{7252B00B-42FA-49D3-A1EC-C779D763BE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1052-4AF0-90C6-4CB67D7D6220}"/>
                </c:ext>
              </c:extLst>
            </c:dLbl>
            <c:dLbl>
              <c:idx val="225"/>
              <c:tx>
                <c:rich>
                  <a:bodyPr/>
                  <a:lstStyle/>
                  <a:p>
                    <a:fld id="{75FDF36A-BCB7-4E58-9030-19CD379C92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1052-4AF0-90C6-4CB67D7D6220}"/>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1052-4AF0-90C6-4CB67D7D6220}"/>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1052-4AF0-90C6-4CB67D7D6220}"/>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1052-4AF0-90C6-4CB67D7D6220}"/>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1052-4AF0-90C6-4CB67D7D6220}"/>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1052-4AF0-90C6-4CB67D7D6220}"/>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1052-4AF0-90C6-4CB67D7D6220}"/>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1052-4AF0-90C6-4CB67D7D6220}"/>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1052-4AF0-90C6-4CB67D7D6220}"/>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1052-4AF0-90C6-4CB67D7D6220}"/>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1052-4AF0-90C6-4CB67D7D6220}"/>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1052-4AF0-90C6-4CB67D7D6220}"/>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1052-4AF0-90C6-4CB67D7D6220}"/>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1052-4AF0-90C6-4CB67D7D6220}"/>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1052-4AF0-90C6-4CB67D7D6220}"/>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1052-4AF0-90C6-4CB67D7D6220}"/>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1052-4AF0-90C6-4CB67D7D6220}"/>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1052-4AF0-90C6-4CB67D7D6220}"/>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1052-4AF0-90C6-4CB67D7D6220}"/>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1052-4AF0-90C6-4CB67D7D6220}"/>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1052-4AF0-90C6-4CB67D7D6220}"/>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1052-4AF0-90C6-4CB67D7D6220}"/>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1052-4AF0-90C6-4CB67D7D6220}"/>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1052-4AF0-90C6-4CB67D7D6220}"/>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1052-4AF0-90C6-4CB67D7D6220}"/>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1052-4AF0-90C6-4CB67D7D6220}"/>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1052-4AF0-90C6-4CB67D7D6220}"/>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1052-4AF0-90C6-4CB67D7D6220}"/>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1052-4AF0-90C6-4CB67D7D6220}"/>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1052-4AF0-90C6-4CB67D7D6220}"/>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1052-4AF0-90C6-4CB67D7D6220}"/>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1052-4AF0-90C6-4CB67D7D6220}"/>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1052-4AF0-90C6-4CB67D7D6220}"/>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1052-4AF0-90C6-4CB67D7D6220}"/>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1052-4AF0-90C6-4CB67D7D6220}"/>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1052-4AF0-90C6-4CB67D7D6220}"/>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1052-4AF0-90C6-4CB67D7D6220}"/>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1052-4AF0-90C6-4CB67D7D6220}"/>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1052-4AF0-90C6-4CB67D7D6220}"/>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1052-4AF0-90C6-4CB67D7D6220}"/>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1052-4AF0-90C6-4CB67D7D6220}"/>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1052-4AF0-90C6-4CB67D7D6220}"/>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1052-4AF0-90C6-4CB67D7D6220}"/>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1052-4AF0-90C6-4CB67D7D6220}"/>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1052-4AF0-90C6-4CB67D7D6220}"/>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1052-4AF0-90C6-4CB67D7D6220}"/>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1052-4AF0-90C6-4CB67D7D6220}"/>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1052-4AF0-90C6-4CB67D7D6220}"/>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1052-4AF0-90C6-4CB67D7D6220}"/>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1052-4AF0-90C6-4CB67D7D6220}"/>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1052-4AF0-90C6-4CB67D7D6220}"/>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1052-4AF0-90C6-4CB67D7D6220}"/>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1052-4AF0-90C6-4CB67D7D6220}"/>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1052-4AF0-90C6-4CB67D7D6220}"/>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1052-4AF0-90C6-4CB67D7D6220}"/>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1052-4AF0-90C6-4CB67D7D6220}"/>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1052-4AF0-90C6-4CB67D7D6220}"/>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1052-4AF0-90C6-4CB67D7D6220}"/>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1052-4AF0-90C6-4CB67D7D6220}"/>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1052-4AF0-90C6-4CB67D7D6220}"/>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1052-4AF0-90C6-4CB67D7D6220}"/>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1052-4AF0-90C6-4CB67D7D6220}"/>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1052-4AF0-90C6-4CB67D7D6220}"/>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1052-4AF0-90C6-4CB67D7D6220}"/>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1052-4AF0-90C6-4CB67D7D6220}"/>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1052-4AF0-90C6-4CB67D7D6220}"/>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1052-4AF0-90C6-4CB67D7D6220}"/>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1052-4AF0-90C6-4CB67D7D6220}"/>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1052-4AF0-90C6-4CB67D7D6220}"/>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1052-4AF0-90C6-4CB67D7D6220}"/>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1052-4AF0-90C6-4CB67D7D6220}"/>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1052-4AF0-90C6-4CB67D7D6220}"/>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1052-4AF0-90C6-4CB67D7D6220}"/>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1052-4AF0-90C6-4CB67D7D6220}"/>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99.839500427246094</c:v>
                </c:pt>
                <c:pt idx="1">
                  <c:v>100</c:v>
                </c:pt>
                <c:pt idx="2">
                  <c:v>98.339576721191406</c:v>
                </c:pt>
                <c:pt idx="3">
                  <c:v>95.695549011230469</c:v>
                </c:pt>
                <c:pt idx="4">
                  <c:v>91.203048706054688</c:v>
                </c:pt>
                <c:pt idx="5">
                  <c:v>85.104301452636719</c:v>
                </c:pt>
                <c:pt idx="6">
                  <c:v>76.875770568847656</c:v>
                </c:pt>
                <c:pt idx="7">
                  <c:v>67.813674926757813</c:v>
                </c:pt>
                <c:pt idx="8">
                  <c:v>58.873523712158203</c:v>
                </c:pt>
                <c:pt idx="9">
                  <c:v>50.252834320068359</c:v>
                </c:pt>
                <c:pt idx="10">
                  <c:v>42.954818725585938</c:v>
                </c:pt>
                <c:pt idx="11">
                  <c:v>36.555099487304688</c:v>
                </c:pt>
                <c:pt idx="12">
                  <c:v>31.164928436279297</c:v>
                </c:pt>
                <c:pt idx="13">
                  <c:v>26.414560317993164</c:v>
                </c:pt>
                <c:pt idx="14">
                  <c:v>22.376470565795898</c:v>
                </c:pt>
                <c:pt idx="15">
                  <c:v>19.917430877685547</c:v>
                </c:pt>
                <c:pt idx="16">
                  <c:v>19.189918518066406</c:v>
                </c:pt>
                <c:pt idx="17">
                  <c:v>19.72833251953125</c:v>
                </c:pt>
                <c:pt idx="18">
                  <c:v>21.016334533691406</c:v>
                </c:pt>
                <c:pt idx="19">
                  <c:v>22.512340545654297</c:v>
                </c:pt>
                <c:pt idx="20">
                  <c:v>23.860660552978516</c:v>
                </c:pt>
                <c:pt idx="21">
                  <c:v>25.220609664916992</c:v>
                </c:pt>
                <c:pt idx="22">
                  <c:v>26.950019836425781</c:v>
                </c:pt>
                <c:pt idx="23">
                  <c:v>28.697805404663086</c:v>
                </c:pt>
                <c:pt idx="24">
                  <c:v>31.15106201171875</c:v>
                </c:pt>
                <c:pt idx="25">
                  <c:v>33.792980194091797</c:v>
                </c:pt>
                <c:pt idx="26">
                  <c:v>36.390625</c:v>
                </c:pt>
                <c:pt idx="27">
                  <c:v>39.097743988037109</c:v>
                </c:pt>
                <c:pt idx="28">
                  <c:v>42.139907836914063</c:v>
                </c:pt>
                <c:pt idx="29">
                  <c:v>44.963306427001953</c:v>
                </c:pt>
                <c:pt idx="30">
                  <c:v>47.65643310546875</c:v>
                </c:pt>
                <c:pt idx="31">
                  <c:v>49.646827697753906</c:v>
                </c:pt>
                <c:pt idx="32">
                  <c:v>50.968845367431641</c:v>
                </c:pt>
                <c:pt idx="33">
                  <c:v>51.672603607177734</c:v>
                </c:pt>
                <c:pt idx="34">
                  <c:v>51.653327941894531</c:v>
                </c:pt>
                <c:pt idx="35">
                  <c:v>51.268848419189453</c:v>
                </c:pt>
                <c:pt idx="36">
                  <c:v>50.540618896484375</c:v>
                </c:pt>
                <c:pt idx="37">
                  <c:v>49.163105010986328</c:v>
                </c:pt>
                <c:pt idx="38">
                  <c:v>47.105926513671875</c:v>
                </c:pt>
                <c:pt idx="39">
                  <c:v>44.958023071289063</c:v>
                </c:pt>
                <c:pt idx="40">
                  <c:v>43.058444976806641</c:v>
                </c:pt>
                <c:pt idx="41">
                  <c:v>41.644710540771484</c:v>
                </c:pt>
                <c:pt idx="42">
                  <c:v>40.999652862548828</c:v>
                </c:pt>
                <c:pt idx="43">
                  <c:v>40.908615112304688</c:v>
                </c:pt>
                <c:pt idx="44">
                  <c:v>41.121498107910156</c:v>
                </c:pt>
                <c:pt idx="45">
                  <c:v>41.023063659667969</c:v>
                </c:pt>
                <c:pt idx="46">
                  <c:v>40.730148315429688</c:v>
                </c:pt>
                <c:pt idx="47">
                  <c:v>40.277484893798828</c:v>
                </c:pt>
                <c:pt idx="48">
                  <c:v>39.183742523193359</c:v>
                </c:pt>
                <c:pt idx="49">
                  <c:v>37.623687744140625</c:v>
                </c:pt>
                <c:pt idx="50">
                  <c:v>35.704994201660156</c:v>
                </c:pt>
                <c:pt idx="51">
                  <c:v>33.136543273925781</c:v>
                </c:pt>
                <c:pt idx="52">
                  <c:v>29.987113952636719</c:v>
                </c:pt>
                <c:pt idx="53">
                  <c:v>26.650484085083008</c:v>
                </c:pt>
                <c:pt idx="54">
                  <c:v>23.255088806152344</c:v>
                </c:pt>
                <c:pt idx="55">
                  <c:v>20.168558120727539</c:v>
                </c:pt>
                <c:pt idx="56">
                  <c:v>17.329145431518555</c:v>
                </c:pt>
                <c:pt idx="57">
                  <c:v>15.001811027526855</c:v>
                </c:pt>
                <c:pt idx="58">
                  <c:v>12.973516464233398</c:v>
                </c:pt>
                <c:pt idx="59">
                  <c:v>11.293261528015137</c:v>
                </c:pt>
                <c:pt idx="60">
                  <c:v>10.142746925354004</c:v>
                </c:pt>
                <c:pt idx="61">
                  <c:v>9.0268363952636719</c:v>
                </c:pt>
                <c:pt idx="62">
                  <c:v>8.1923990249633789</c:v>
                </c:pt>
                <c:pt idx="63">
                  <c:v>7.7549080848693848</c:v>
                </c:pt>
                <c:pt idx="64">
                  <c:v>7.3532977104187012</c:v>
                </c:pt>
                <c:pt idx="65">
                  <c:v>6.9327206611633301</c:v>
                </c:pt>
                <c:pt idx="66">
                  <c:v>6.7106022834777832</c:v>
                </c:pt>
                <c:pt idx="67">
                  <c:v>6.3908557891845703</c:v>
                </c:pt>
                <c:pt idx="68">
                  <c:v>6.2512850761413574</c:v>
                </c:pt>
                <c:pt idx="69">
                  <c:v>6.2659916877746582</c:v>
                </c:pt>
                <c:pt idx="70">
                  <c:v>6.1368370056152344</c:v>
                </c:pt>
                <c:pt idx="71">
                  <c:v>5.9525256156921387</c:v>
                </c:pt>
                <c:pt idx="72">
                  <c:v>5.6973562240600586</c:v>
                </c:pt>
                <c:pt idx="73">
                  <c:v>5.6121964454650879</c:v>
                </c:pt>
                <c:pt idx="74">
                  <c:v>5.6210265159606934</c:v>
                </c:pt>
                <c:pt idx="75">
                  <c:v>5.3877458572387695</c:v>
                </c:pt>
                <c:pt idx="76">
                  <c:v>5.2749762535095215</c:v>
                </c:pt>
                <c:pt idx="77">
                  <c:v>5.3018393516540527</c:v>
                </c:pt>
                <c:pt idx="78">
                  <c:v>5.0184082984924316</c:v>
                </c:pt>
                <c:pt idx="79">
                  <c:v>4.8978967666625977</c:v>
                </c:pt>
                <c:pt idx="80">
                  <c:v>4.902125358581543</c:v>
                </c:pt>
                <c:pt idx="81">
                  <c:v>4.7034497261047363</c:v>
                </c:pt>
                <c:pt idx="82">
                  <c:v>4.6968274116516113</c:v>
                </c:pt>
                <c:pt idx="83">
                  <c:v>4.311943531036377</c:v>
                </c:pt>
                <c:pt idx="84">
                  <c:v>4.3356046676635742</c:v>
                </c:pt>
                <c:pt idx="85">
                  <c:v>4.6148695945739746</c:v>
                </c:pt>
                <c:pt idx="86">
                  <c:v>4.4635777473449707</c:v>
                </c:pt>
                <c:pt idx="87">
                  <c:v>4.3519587516784668</c:v>
                </c:pt>
                <c:pt idx="88">
                  <c:v>3.8382935523986816</c:v>
                </c:pt>
                <c:pt idx="89">
                  <c:v>3.6758708953857422</c:v>
                </c:pt>
                <c:pt idx="90">
                  <c:v>3.5844614505767822</c:v>
                </c:pt>
                <c:pt idx="91">
                  <c:v>3.3631510734558105</c:v>
                </c:pt>
                <c:pt idx="92">
                  <c:v>3.8291215896606445</c:v>
                </c:pt>
                <c:pt idx="93">
                  <c:v>3.8785572052001953</c:v>
                </c:pt>
                <c:pt idx="94">
                  <c:v>3.7200520038604736</c:v>
                </c:pt>
                <c:pt idx="95">
                  <c:v>3.5948150157928467</c:v>
                </c:pt>
                <c:pt idx="96">
                  <c:v>3.3794431686401367</c:v>
                </c:pt>
                <c:pt idx="97">
                  <c:v>3.3797850608825684</c:v>
                </c:pt>
                <c:pt idx="98">
                  <c:v>3.5073540210723877</c:v>
                </c:pt>
                <c:pt idx="99">
                  <c:v>3.5326938629150391</c:v>
                </c:pt>
                <c:pt idx="100">
                  <c:v>3.3164825439453125</c:v>
                </c:pt>
                <c:pt idx="101">
                  <c:v>3.0726306438446045</c:v>
                </c:pt>
                <c:pt idx="102">
                  <c:v>3.132575511932373</c:v>
                </c:pt>
                <c:pt idx="103">
                  <c:v>3.229705810546875</c:v>
                </c:pt>
                <c:pt idx="104">
                  <c:v>3.0304703712463379</c:v>
                </c:pt>
                <c:pt idx="105">
                  <c:v>3.2097136974334717</c:v>
                </c:pt>
                <c:pt idx="106">
                  <c:v>3.8300542831420898</c:v>
                </c:pt>
                <c:pt idx="107">
                  <c:v>3.8869209289550781</c:v>
                </c:pt>
                <c:pt idx="108">
                  <c:v>3.6638693809509277</c:v>
                </c:pt>
                <c:pt idx="109">
                  <c:v>3.7490606307983398</c:v>
                </c:pt>
                <c:pt idx="110">
                  <c:v>3.5841505527496338</c:v>
                </c:pt>
                <c:pt idx="111">
                  <c:v>3.6875302791595459</c:v>
                </c:pt>
                <c:pt idx="112">
                  <c:v>4.2942523956298828</c:v>
                </c:pt>
                <c:pt idx="113">
                  <c:v>4.5057377815246582</c:v>
                </c:pt>
                <c:pt idx="114">
                  <c:v>4.5581893920898438</c:v>
                </c:pt>
                <c:pt idx="115">
                  <c:v>4.7533831596374512</c:v>
                </c:pt>
                <c:pt idx="116">
                  <c:v>4.7685246467590332</c:v>
                </c:pt>
                <c:pt idx="117">
                  <c:v>4.7916569709777832</c:v>
                </c:pt>
                <c:pt idx="118">
                  <c:v>4.8211007118225098</c:v>
                </c:pt>
                <c:pt idx="119">
                  <c:v>4.7132434844970703</c:v>
                </c:pt>
                <c:pt idx="120">
                  <c:v>4.8122081756591797</c:v>
                </c:pt>
                <c:pt idx="121">
                  <c:v>4.546623706817627</c:v>
                </c:pt>
                <c:pt idx="122">
                  <c:v>4.4073328971862793</c:v>
                </c:pt>
                <c:pt idx="123">
                  <c:v>4.6583981513977051</c:v>
                </c:pt>
                <c:pt idx="124">
                  <c:v>4.6626262664794922</c:v>
                </c:pt>
                <c:pt idx="125">
                  <c:v>4.596867561340332</c:v>
                </c:pt>
                <c:pt idx="126">
                  <c:v>4.7473201751708984</c:v>
                </c:pt>
                <c:pt idx="127">
                  <c:v>4.875542163848877</c:v>
                </c:pt>
                <c:pt idx="128">
                  <c:v>4.2531185150146484</c:v>
                </c:pt>
                <c:pt idx="129">
                  <c:v>3.8254837989807129</c:v>
                </c:pt>
                <c:pt idx="130">
                  <c:v>4.0360984802246094</c:v>
                </c:pt>
                <c:pt idx="131">
                  <c:v>4.0751185417175293</c:v>
                </c:pt>
                <c:pt idx="132">
                  <c:v>4.0734086036682129</c:v>
                </c:pt>
                <c:pt idx="133">
                  <c:v>4.0797824859619141</c:v>
                </c:pt>
                <c:pt idx="134">
                  <c:v>3.7481589317321777</c:v>
                </c:pt>
                <c:pt idx="135">
                  <c:v>3.9799470901489258</c:v>
                </c:pt>
                <c:pt idx="136">
                  <c:v>3.3149590492248535</c:v>
                </c:pt>
                <c:pt idx="137">
                  <c:v>2.3757426738739014</c:v>
                </c:pt>
                <c:pt idx="138">
                  <c:v>3.441906213760376</c:v>
                </c:pt>
                <c:pt idx="139">
                  <c:v>4.4198007583618164</c:v>
                </c:pt>
                <c:pt idx="140">
                  <c:v>4.3532333374023438</c:v>
                </c:pt>
                <c:pt idx="141">
                  <c:v>3.6875302791595459</c:v>
                </c:pt>
                <c:pt idx="142">
                  <c:v>3.8506991863250732</c:v>
                </c:pt>
                <c:pt idx="143">
                  <c:v>4.1778144836425781</c:v>
                </c:pt>
                <c:pt idx="144">
                  <c:v>3.3997149467468262</c:v>
                </c:pt>
                <c:pt idx="145">
                  <c:v>2.9264378547668457</c:v>
                </c:pt>
                <c:pt idx="146">
                  <c:v>5.1767888069152832</c:v>
                </c:pt>
                <c:pt idx="147">
                  <c:v>5.5689167976379395</c:v>
                </c:pt>
                <c:pt idx="148">
                  <c:v>2.9176387786865234</c:v>
                </c:pt>
                <c:pt idx="149">
                  <c:v>2</c:v>
                </c:pt>
                <c:pt idx="150">
                  <c:v>3.5843369960784912</c:v>
                </c:pt>
                <c:pt idx="151">
                  <c:v>3.5395340919494629</c:v>
                </c:pt>
                <c:pt idx="152">
                  <c:v>3.6393692493438721</c:v>
                </c:pt>
                <c:pt idx="153">
                  <c:v>4.050774097442627</c:v>
                </c:pt>
                <c:pt idx="154">
                  <c:v>4.1741147041320801</c:v>
                </c:pt>
                <c:pt idx="155">
                  <c:v>4.0500588417053223</c:v>
                </c:pt>
                <c:pt idx="156">
                  <c:v>4.0268955230712891</c:v>
                </c:pt>
                <c:pt idx="157">
                  <c:v>3.819265604019165</c:v>
                </c:pt>
                <c:pt idx="158">
                  <c:v>4.2067294120788574</c:v>
                </c:pt>
                <c:pt idx="159">
                  <c:v>4.5688228607177734</c:v>
                </c:pt>
                <c:pt idx="160">
                  <c:v>4.2760329246520996</c:v>
                </c:pt>
                <c:pt idx="161">
                  <c:v>4.313840389251709</c:v>
                </c:pt>
                <c:pt idx="162">
                  <c:v>4.399528980255127</c:v>
                </c:pt>
                <c:pt idx="163">
                  <c:v>4.1941995620727539</c:v>
                </c:pt>
                <c:pt idx="164">
                  <c:v>4.0711078643798828</c:v>
                </c:pt>
                <c:pt idx="165">
                  <c:v>3.5986702442169189</c:v>
                </c:pt>
                <c:pt idx="166">
                  <c:v>3.8097202777862549</c:v>
                </c:pt>
                <c:pt idx="167">
                  <c:v>4.1644139289855957</c:v>
                </c:pt>
                <c:pt idx="168">
                  <c:v>4.0893898010253906</c:v>
                </c:pt>
                <c:pt idx="169">
                  <c:v>4.3074045181274414</c:v>
                </c:pt>
                <c:pt idx="170">
                  <c:v>3.710817813873291</c:v>
                </c:pt>
                <c:pt idx="171">
                  <c:v>4.1112780570983887</c:v>
                </c:pt>
                <c:pt idx="172">
                  <c:v>4.5428304672241211</c:v>
                </c:pt>
                <c:pt idx="173">
                  <c:v>4.6034588813781738</c:v>
                </c:pt>
                <c:pt idx="174">
                  <c:v>4.3780136108398438</c:v>
                </c:pt>
                <c:pt idx="175">
                  <c:v>3.729628324508667</c:v>
                </c:pt>
                <c:pt idx="176">
                  <c:v>3.6957383155822754</c:v>
                </c:pt>
                <c:pt idx="177">
                  <c:v>4.1212277412414551</c:v>
                </c:pt>
                <c:pt idx="178">
                  <c:v>4.3398642539978027</c:v>
                </c:pt>
                <c:pt idx="179">
                  <c:v>4.3464865684509277</c:v>
                </c:pt>
                <c:pt idx="180">
                  <c:v>4.2791109085083008</c:v>
                </c:pt>
                <c:pt idx="181">
                  <c:v>3.8340339660644531</c:v>
                </c:pt>
                <c:pt idx="182">
                  <c:v>4.3637733459472656</c:v>
                </c:pt>
                <c:pt idx="183">
                  <c:v>4.5659623146057129</c:v>
                </c:pt>
                <c:pt idx="184">
                  <c:v>3.3307535648345947</c:v>
                </c:pt>
                <c:pt idx="185">
                  <c:v>3.5907108783721924</c:v>
                </c:pt>
                <c:pt idx="186">
                  <c:v>3.9584939479827881</c:v>
                </c:pt>
                <c:pt idx="187">
                  <c:v>3.9208109378814697</c:v>
                </c:pt>
                <c:pt idx="188">
                  <c:v>4.6990036964416504</c:v>
                </c:pt>
                <c:pt idx="189">
                  <c:v>4.3589234352111816</c:v>
                </c:pt>
                <c:pt idx="190">
                  <c:v>4.4581365585327148</c:v>
                </c:pt>
                <c:pt idx="191">
                  <c:v>5.0667557716369629</c:v>
                </c:pt>
                <c:pt idx="192">
                  <c:v>4.3364439010620117</c:v>
                </c:pt>
                <c:pt idx="193">
                  <c:v>4.571683406829834</c:v>
                </c:pt>
                <c:pt idx="194">
                  <c:v>4.1963138580322266</c:v>
                </c:pt>
                <c:pt idx="195">
                  <c:v>4.1482462882995605</c:v>
                </c:pt>
                <c:pt idx="196">
                  <c:v>3.8812932968139648</c:v>
                </c:pt>
                <c:pt idx="197">
                  <c:v>3.8480563163757324</c:v>
                </c:pt>
                <c:pt idx="198">
                  <c:v>4.1077027320861816</c:v>
                </c:pt>
                <c:pt idx="199">
                  <c:v>4.4867720603942871</c:v>
                </c:pt>
                <c:pt idx="200">
                  <c:v>4.1545577049255371</c:v>
                </c:pt>
                <c:pt idx="201">
                  <c:v>3.5786161422729492</c:v>
                </c:pt>
                <c:pt idx="202">
                  <c:v>4.3300390243530273</c:v>
                </c:pt>
                <c:pt idx="203">
                  <c:v>3.8704423904418945</c:v>
                </c:pt>
                <c:pt idx="204">
                  <c:v>4.3047614097595215</c:v>
                </c:pt>
                <c:pt idx="205">
                  <c:v>3.74259352684021</c:v>
                </c:pt>
                <c:pt idx="206">
                  <c:v>4.5137906074523926</c:v>
                </c:pt>
                <c:pt idx="207">
                  <c:v>3.8108396530151367</c:v>
                </c:pt>
                <c:pt idx="208">
                  <c:v>3.9257855415344238</c:v>
                </c:pt>
                <c:pt idx="209">
                  <c:v>4.2700943946838379</c:v>
                </c:pt>
                <c:pt idx="210">
                  <c:v>4.2773075103759766</c:v>
                </c:pt>
                <c:pt idx="211">
                  <c:v>4.9233608245849609</c:v>
                </c:pt>
                <c:pt idx="212">
                  <c:v>4.0204286575317383</c:v>
                </c:pt>
                <c:pt idx="213">
                  <c:v>3.8690433502197266</c:v>
                </c:pt>
                <c:pt idx="214">
                  <c:v>3.1203563213348389</c:v>
                </c:pt>
                <c:pt idx="215">
                  <c:v>4.0350103378295898</c:v>
                </c:pt>
                <c:pt idx="216">
                  <c:v>4.9372901916503906</c:v>
                </c:pt>
                <c:pt idx="217">
                  <c:v>4.3999333381652832</c:v>
                </c:pt>
                <c:pt idx="218">
                  <c:v>3.7226016521453857</c:v>
                </c:pt>
                <c:pt idx="219">
                  <c:v>2.5527784824371338</c:v>
                </c:pt>
                <c:pt idx="220">
                  <c:v>4.3677530288696289</c:v>
                </c:pt>
                <c:pt idx="221">
                  <c:v>5.0815863609313965</c:v>
                </c:pt>
                <c:pt idx="222">
                  <c:v>4.2653684616088867</c:v>
                </c:pt>
                <c:pt idx="223">
                  <c:v>5.1508274078369141</c:v>
                </c:pt>
                <c:pt idx="224">
                  <c:v>3.5932292938232422</c:v>
                </c:pt>
                <c:pt idx="225">
                  <c:v>4.1655640602111816</c:v>
                </c:pt>
              </c:numCache>
            </c:numRef>
          </c:yVal>
          <c:smooth val="1"/>
          <c:extLst>
            <c:ext xmlns:c15="http://schemas.microsoft.com/office/drawing/2012/chart" uri="{02D57815-91ED-43cb-92C2-25804820EDAC}">
              <c15:datalabelsRange>
                <c15:f>PeakLabels!$D$2:$D$300</c15:f>
                <c15:dlblRangeCache>
                  <c:ptCount val="299"/>
                  <c:pt idx="1">
                    <c:v>192</c:v>
                  </c:pt>
                  <c:pt idx="33">
                    <c:v>256</c:v>
                  </c:pt>
                  <c:pt idx="44">
                    <c:v>278</c:v>
                  </c:pt>
                </c15:dlblRangeCache>
              </c15:datalabelsRange>
            </c:ext>
            <c:ext xmlns:c16="http://schemas.microsoft.com/office/drawing/2014/chart" uri="{C3380CC4-5D6E-409C-BE32-E72D297353CC}">
              <c16:uniqueId val="{00000000-E32E-4E94-AD62-9B15C91FD271}"/>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924FB661-2910-447C-9D84-2E2559BFDD3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2E-4E94-AD62-9B15C91FD271}"/>
                </c:ext>
              </c:extLst>
            </c:dLbl>
            <c:dLbl>
              <c:idx val="1"/>
              <c:tx>
                <c:rich>
                  <a:bodyPr/>
                  <a:lstStyle/>
                  <a:p>
                    <a:fld id="{E5C03CEF-851D-4D83-ADD6-D3F35077BDE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32E-4E94-AD62-9B15C91FD271}"/>
                </c:ext>
              </c:extLst>
            </c:dLbl>
            <c:dLbl>
              <c:idx val="2"/>
              <c:tx>
                <c:rich>
                  <a:bodyPr/>
                  <a:lstStyle/>
                  <a:p>
                    <a:fld id="{4D5FF627-3410-4343-BFF9-F9C1FC11DDA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32E-4E94-AD62-9B15C91FD271}"/>
                </c:ext>
              </c:extLst>
            </c:dLbl>
            <c:dLbl>
              <c:idx val="3"/>
              <c:tx>
                <c:rich>
                  <a:bodyPr/>
                  <a:lstStyle/>
                  <a:p>
                    <a:fld id="{9093A23C-D5AD-4B02-8DDB-92B9B2EFD80D}"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32E-4E94-AD62-9B15C91FD271}"/>
                </c:ext>
              </c:extLst>
            </c:dLbl>
            <c:dLbl>
              <c:idx val="4"/>
              <c:tx>
                <c:rich>
                  <a:bodyPr/>
                  <a:lstStyle/>
                  <a:p>
                    <a:fld id="{694D74DF-759C-4E8C-9920-04C61DD6563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32E-4E94-AD62-9B15C91FD271}"/>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2E-4E94-AD62-9B15C91FD271}"/>
            </c:ext>
          </c:extLst>
        </c:ser>
        <c:dLbls>
          <c:showLegendKey val="0"/>
          <c:showVal val="0"/>
          <c:showCatName val="0"/>
          <c:showSerName val="0"/>
          <c:showPercent val="0"/>
          <c:showBubbleSize val="0"/>
        </c:dLbls>
        <c:axId val="1569265744"/>
        <c:axId val="1569266288"/>
      </c:scatterChart>
      <c:valAx>
        <c:axId val="1569265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6288"/>
        <c:crossesAt val="0"/>
        <c:crossBetween val="midCat"/>
        <c:majorUnit val="100"/>
      </c:valAx>
      <c:valAx>
        <c:axId val="1569266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5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05898BCF-3E4F-4C85-A6DE-9287AFED9C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76A-48F1-8314-04C65A982C05}"/>
                </c:ext>
              </c:extLst>
            </c:dLbl>
            <c:dLbl>
              <c:idx val="1"/>
              <c:tx>
                <c:rich>
                  <a:bodyPr/>
                  <a:lstStyle/>
                  <a:p>
                    <a:fld id="{085A194E-E1FA-4DCC-A21A-6E7E88C9A9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76A-48F1-8314-04C65A982C05}"/>
                </c:ext>
              </c:extLst>
            </c:dLbl>
            <c:dLbl>
              <c:idx val="2"/>
              <c:tx>
                <c:rich>
                  <a:bodyPr/>
                  <a:lstStyle/>
                  <a:p>
                    <a:fld id="{3805F087-B651-44BA-A731-639FCA225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76A-48F1-8314-04C65A982C05}"/>
                </c:ext>
              </c:extLst>
            </c:dLbl>
            <c:dLbl>
              <c:idx val="3"/>
              <c:tx>
                <c:rich>
                  <a:bodyPr/>
                  <a:lstStyle/>
                  <a:p>
                    <a:fld id="{35BE9F37-690B-453F-ACC6-4731EBA438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76A-48F1-8314-04C65A982C05}"/>
                </c:ext>
              </c:extLst>
            </c:dLbl>
            <c:dLbl>
              <c:idx val="4"/>
              <c:tx>
                <c:rich>
                  <a:bodyPr/>
                  <a:lstStyle/>
                  <a:p>
                    <a:fld id="{664844BA-6CAC-4FFB-931B-3AEBC3DBED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76A-48F1-8314-04C65A982C05}"/>
                </c:ext>
              </c:extLst>
            </c:dLbl>
            <c:dLbl>
              <c:idx val="5"/>
              <c:tx>
                <c:rich>
                  <a:bodyPr/>
                  <a:lstStyle/>
                  <a:p>
                    <a:fld id="{5A638972-40A8-47EA-B53B-5811EBCFEB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76A-48F1-8314-04C65A982C05}"/>
                </c:ext>
              </c:extLst>
            </c:dLbl>
            <c:dLbl>
              <c:idx val="6"/>
              <c:tx>
                <c:rich>
                  <a:bodyPr/>
                  <a:lstStyle/>
                  <a:p>
                    <a:fld id="{8529BB3B-0A99-4761-B17F-F095672EB2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76A-48F1-8314-04C65A982C05}"/>
                </c:ext>
              </c:extLst>
            </c:dLbl>
            <c:dLbl>
              <c:idx val="7"/>
              <c:tx>
                <c:rich>
                  <a:bodyPr/>
                  <a:lstStyle/>
                  <a:p>
                    <a:fld id="{918A29DF-30CF-4999-BACB-59D2E84A83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76A-48F1-8314-04C65A982C05}"/>
                </c:ext>
              </c:extLst>
            </c:dLbl>
            <c:dLbl>
              <c:idx val="8"/>
              <c:tx>
                <c:rich>
                  <a:bodyPr/>
                  <a:lstStyle/>
                  <a:p>
                    <a:fld id="{5897E9A8-24BA-42D2-9BE9-3B860B02FF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76A-48F1-8314-04C65A982C05}"/>
                </c:ext>
              </c:extLst>
            </c:dLbl>
            <c:dLbl>
              <c:idx val="9"/>
              <c:tx>
                <c:rich>
                  <a:bodyPr/>
                  <a:lstStyle/>
                  <a:p>
                    <a:fld id="{5CC6C07F-67BC-4D05-BF86-EF9B63E3F5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76A-48F1-8314-04C65A982C05}"/>
                </c:ext>
              </c:extLst>
            </c:dLbl>
            <c:dLbl>
              <c:idx val="10"/>
              <c:tx>
                <c:rich>
                  <a:bodyPr/>
                  <a:lstStyle/>
                  <a:p>
                    <a:fld id="{01EEF685-8D40-4723-B028-E3382ED0C4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76A-48F1-8314-04C65A982C05}"/>
                </c:ext>
              </c:extLst>
            </c:dLbl>
            <c:dLbl>
              <c:idx val="11"/>
              <c:tx>
                <c:rich>
                  <a:bodyPr/>
                  <a:lstStyle/>
                  <a:p>
                    <a:fld id="{DA9E4549-F5A9-4566-8B7B-410E136BEA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76A-48F1-8314-04C65A982C05}"/>
                </c:ext>
              </c:extLst>
            </c:dLbl>
            <c:dLbl>
              <c:idx val="12"/>
              <c:tx>
                <c:rich>
                  <a:bodyPr/>
                  <a:lstStyle/>
                  <a:p>
                    <a:fld id="{1908F8E3-DA65-44D4-9464-32EC7C04D5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76A-48F1-8314-04C65A982C05}"/>
                </c:ext>
              </c:extLst>
            </c:dLbl>
            <c:dLbl>
              <c:idx val="13"/>
              <c:tx>
                <c:rich>
                  <a:bodyPr/>
                  <a:lstStyle/>
                  <a:p>
                    <a:fld id="{5636993C-2534-4F83-88C8-18762C6C1C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76A-48F1-8314-04C65A982C05}"/>
                </c:ext>
              </c:extLst>
            </c:dLbl>
            <c:dLbl>
              <c:idx val="14"/>
              <c:tx>
                <c:rich>
                  <a:bodyPr/>
                  <a:lstStyle/>
                  <a:p>
                    <a:fld id="{A3317307-E2B5-48E1-A125-E753C14036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76A-48F1-8314-04C65A982C05}"/>
                </c:ext>
              </c:extLst>
            </c:dLbl>
            <c:dLbl>
              <c:idx val="15"/>
              <c:tx>
                <c:rich>
                  <a:bodyPr/>
                  <a:lstStyle/>
                  <a:p>
                    <a:fld id="{FB87810B-E0C8-4CFC-A6AC-5A36C7954F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76A-48F1-8314-04C65A982C05}"/>
                </c:ext>
              </c:extLst>
            </c:dLbl>
            <c:dLbl>
              <c:idx val="16"/>
              <c:tx>
                <c:rich>
                  <a:bodyPr/>
                  <a:lstStyle/>
                  <a:p>
                    <a:fld id="{7948BE32-A1FB-481D-89FB-AEA20D7CAE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76A-48F1-8314-04C65A982C05}"/>
                </c:ext>
              </c:extLst>
            </c:dLbl>
            <c:dLbl>
              <c:idx val="17"/>
              <c:tx>
                <c:rich>
                  <a:bodyPr/>
                  <a:lstStyle/>
                  <a:p>
                    <a:fld id="{1CC89B25-E845-4293-8949-B334C2B5E1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76A-48F1-8314-04C65A982C05}"/>
                </c:ext>
              </c:extLst>
            </c:dLbl>
            <c:dLbl>
              <c:idx val="18"/>
              <c:tx>
                <c:rich>
                  <a:bodyPr/>
                  <a:lstStyle/>
                  <a:p>
                    <a:fld id="{5EA1DE3D-AA6E-4938-AE4E-ED47731F43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76A-48F1-8314-04C65A982C05}"/>
                </c:ext>
              </c:extLst>
            </c:dLbl>
            <c:dLbl>
              <c:idx val="19"/>
              <c:tx>
                <c:rich>
                  <a:bodyPr/>
                  <a:lstStyle/>
                  <a:p>
                    <a:fld id="{4AD5029E-9BCF-40A7-B2D6-D04E1B272A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76A-48F1-8314-04C65A982C05}"/>
                </c:ext>
              </c:extLst>
            </c:dLbl>
            <c:dLbl>
              <c:idx val="20"/>
              <c:tx>
                <c:rich>
                  <a:bodyPr/>
                  <a:lstStyle/>
                  <a:p>
                    <a:fld id="{BF1B3721-E761-49DC-91C6-AD06208BA1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76A-48F1-8314-04C65A982C05}"/>
                </c:ext>
              </c:extLst>
            </c:dLbl>
            <c:dLbl>
              <c:idx val="21"/>
              <c:tx>
                <c:rich>
                  <a:bodyPr/>
                  <a:lstStyle/>
                  <a:p>
                    <a:fld id="{279751D0-BE70-48D5-BA5C-04C1B44AD9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76A-48F1-8314-04C65A982C05}"/>
                </c:ext>
              </c:extLst>
            </c:dLbl>
            <c:dLbl>
              <c:idx val="22"/>
              <c:tx>
                <c:rich>
                  <a:bodyPr/>
                  <a:lstStyle/>
                  <a:p>
                    <a:fld id="{26D67359-2FE6-483E-AA3D-CB678A2EAD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76A-48F1-8314-04C65A982C05}"/>
                </c:ext>
              </c:extLst>
            </c:dLbl>
            <c:dLbl>
              <c:idx val="23"/>
              <c:tx>
                <c:rich>
                  <a:bodyPr/>
                  <a:lstStyle/>
                  <a:p>
                    <a:fld id="{5663AEBF-94F3-4F66-BE0D-678E1A6B09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76A-48F1-8314-04C65A982C05}"/>
                </c:ext>
              </c:extLst>
            </c:dLbl>
            <c:dLbl>
              <c:idx val="24"/>
              <c:tx>
                <c:rich>
                  <a:bodyPr/>
                  <a:lstStyle/>
                  <a:p>
                    <a:fld id="{DEDE9671-F7A6-44D5-82F5-1817B4CCF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76A-48F1-8314-04C65A982C05}"/>
                </c:ext>
              </c:extLst>
            </c:dLbl>
            <c:dLbl>
              <c:idx val="25"/>
              <c:tx>
                <c:rich>
                  <a:bodyPr/>
                  <a:lstStyle/>
                  <a:p>
                    <a:fld id="{2786B8F5-FB63-471C-BB28-C9BC4CA83A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176A-48F1-8314-04C65A982C05}"/>
                </c:ext>
              </c:extLst>
            </c:dLbl>
            <c:dLbl>
              <c:idx val="26"/>
              <c:tx>
                <c:rich>
                  <a:bodyPr/>
                  <a:lstStyle/>
                  <a:p>
                    <a:fld id="{8FDEB794-BD54-4C7C-B43F-EAED134346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76A-48F1-8314-04C65A982C05}"/>
                </c:ext>
              </c:extLst>
            </c:dLbl>
            <c:dLbl>
              <c:idx val="27"/>
              <c:tx>
                <c:rich>
                  <a:bodyPr/>
                  <a:lstStyle/>
                  <a:p>
                    <a:fld id="{1FB8A7E5-4786-4BAF-8D28-A6EADB4AF2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176A-48F1-8314-04C65A982C05}"/>
                </c:ext>
              </c:extLst>
            </c:dLbl>
            <c:dLbl>
              <c:idx val="28"/>
              <c:tx>
                <c:rich>
                  <a:bodyPr/>
                  <a:lstStyle/>
                  <a:p>
                    <a:fld id="{4F30B775-8B5B-44BF-886C-04274052C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176A-48F1-8314-04C65A982C05}"/>
                </c:ext>
              </c:extLst>
            </c:dLbl>
            <c:dLbl>
              <c:idx val="29"/>
              <c:tx>
                <c:rich>
                  <a:bodyPr/>
                  <a:lstStyle/>
                  <a:p>
                    <a:fld id="{E93A4834-8AB5-4879-BEF5-EE7EEE42F2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176A-48F1-8314-04C65A982C05}"/>
                </c:ext>
              </c:extLst>
            </c:dLbl>
            <c:dLbl>
              <c:idx val="30"/>
              <c:tx>
                <c:rich>
                  <a:bodyPr/>
                  <a:lstStyle/>
                  <a:p>
                    <a:fld id="{3B92779C-0519-44D3-9AB7-29358E062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176A-48F1-8314-04C65A982C05}"/>
                </c:ext>
              </c:extLst>
            </c:dLbl>
            <c:dLbl>
              <c:idx val="31"/>
              <c:tx>
                <c:rich>
                  <a:bodyPr/>
                  <a:lstStyle/>
                  <a:p>
                    <a:fld id="{349F704E-C92F-48AF-BB5A-625AD74CCD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176A-48F1-8314-04C65A982C05}"/>
                </c:ext>
              </c:extLst>
            </c:dLbl>
            <c:dLbl>
              <c:idx val="32"/>
              <c:tx>
                <c:rich>
                  <a:bodyPr/>
                  <a:lstStyle/>
                  <a:p>
                    <a:fld id="{3003B437-FBB9-49FC-B20E-D0A6B6880C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176A-48F1-8314-04C65A982C05}"/>
                </c:ext>
              </c:extLst>
            </c:dLbl>
            <c:dLbl>
              <c:idx val="33"/>
              <c:tx>
                <c:rich>
                  <a:bodyPr/>
                  <a:lstStyle/>
                  <a:p>
                    <a:fld id="{9CC82C7E-28A4-447A-9E06-8D26F4A934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176A-48F1-8314-04C65A982C05}"/>
                </c:ext>
              </c:extLst>
            </c:dLbl>
            <c:dLbl>
              <c:idx val="34"/>
              <c:tx>
                <c:rich>
                  <a:bodyPr/>
                  <a:lstStyle/>
                  <a:p>
                    <a:fld id="{31F1512B-5C81-45CE-B01A-79016ACD4F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176A-48F1-8314-04C65A982C05}"/>
                </c:ext>
              </c:extLst>
            </c:dLbl>
            <c:dLbl>
              <c:idx val="35"/>
              <c:tx>
                <c:rich>
                  <a:bodyPr/>
                  <a:lstStyle/>
                  <a:p>
                    <a:fld id="{29D246B9-593B-48D9-A8B4-F25F77161F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176A-48F1-8314-04C65A982C05}"/>
                </c:ext>
              </c:extLst>
            </c:dLbl>
            <c:dLbl>
              <c:idx val="36"/>
              <c:tx>
                <c:rich>
                  <a:bodyPr/>
                  <a:lstStyle/>
                  <a:p>
                    <a:fld id="{50F441F8-F230-4BFB-973F-0B1F6493BC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176A-48F1-8314-04C65A982C05}"/>
                </c:ext>
              </c:extLst>
            </c:dLbl>
            <c:dLbl>
              <c:idx val="37"/>
              <c:tx>
                <c:rich>
                  <a:bodyPr/>
                  <a:lstStyle/>
                  <a:p>
                    <a:fld id="{70319A48-4ED5-4F9D-AC40-73DFFAE081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176A-48F1-8314-04C65A982C05}"/>
                </c:ext>
              </c:extLst>
            </c:dLbl>
            <c:dLbl>
              <c:idx val="38"/>
              <c:tx>
                <c:rich>
                  <a:bodyPr/>
                  <a:lstStyle/>
                  <a:p>
                    <a:fld id="{D0915BE4-507A-4413-8D58-2BBFB4CF1F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176A-48F1-8314-04C65A982C05}"/>
                </c:ext>
              </c:extLst>
            </c:dLbl>
            <c:dLbl>
              <c:idx val="39"/>
              <c:tx>
                <c:rich>
                  <a:bodyPr/>
                  <a:lstStyle/>
                  <a:p>
                    <a:fld id="{4EC7666A-2AF4-4698-851A-181BC7043C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176A-48F1-8314-04C65A982C05}"/>
                </c:ext>
              </c:extLst>
            </c:dLbl>
            <c:dLbl>
              <c:idx val="40"/>
              <c:tx>
                <c:rich>
                  <a:bodyPr/>
                  <a:lstStyle/>
                  <a:p>
                    <a:fld id="{73E46DE2-2F5B-4EB1-BF5C-B266D19F87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176A-48F1-8314-04C65A982C05}"/>
                </c:ext>
              </c:extLst>
            </c:dLbl>
            <c:dLbl>
              <c:idx val="41"/>
              <c:tx>
                <c:rich>
                  <a:bodyPr/>
                  <a:lstStyle/>
                  <a:p>
                    <a:fld id="{3B53D4B5-B59F-4681-AA25-1497B10C38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176A-48F1-8314-04C65A982C05}"/>
                </c:ext>
              </c:extLst>
            </c:dLbl>
            <c:dLbl>
              <c:idx val="42"/>
              <c:tx>
                <c:rich>
                  <a:bodyPr/>
                  <a:lstStyle/>
                  <a:p>
                    <a:fld id="{9BF8268A-2858-42C3-9F73-EA9AEC36D9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176A-48F1-8314-04C65A982C05}"/>
                </c:ext>
              </c:extLst>
            </c:dLbl>
            <c:dLbl>
              <c:idx val="43"/>
              <c:tx>
                <c:rich>
                  <a:bodyPr/>
                  <a:lstStyle/>
                  <a:p>
                    <a:fld id="{D6F248F0-1067-4E00-A6EA-80AC696F81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176A-48F1-8314-04C65A982C05}"/>
                </c:ext>
              </c:extLst>
            </c:dLbl>
            <c:dLbl>
              <c:idx val="44"/>
              <c:tx>
                <c:rich>
                  <a:bodyPr/>
                  <a:lstStyle/>
                  <a:p>
                    <a:fld id="{29735FAF-A3CF-4F3F-AA16-3AD1D2FF31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176A-48F1-8314-04C65A982C05}"/>
                </c:ext>
              </c:extLst>
            </c:dLbl>
            <c:dLbl>
              <c:idx val="45"/>
              <c:tx>
                <c:rich>
                  <a:bodyPr/>
                  <a:lstStyle/>
                  <a:p>
                    <a:fld id="{9AFF6F96-D16E-4BBF-9B41-9CF1697BDF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176A-48F1-8314-04C65A982C05}"/>
                </c:ext>
              </c:extLst>
            </c:dLbl>
            <c:dLbl>
              <c:idx val="46"/>
              <c:tx>
                <c:rich>
                  <a:bodyPr/>
                  <a:lstStyle/>
                  <a:p>
                    <a:fld id="{5DC4D744-B5F4-439F-B4FD-EC027813C8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176A-48F1-8314-04C65A982C05}"/>
                </c:ext>
              </c:extLst>
            </c:dLbl>
            <c:dLbl>
              <c:idx val="47"/>
              <c:tx>
                <c:rich>
                  <a:bodyPr/>
                  <a:lstStyle/>
                  <a:p>
                    <a:fld id="{6996D5E8-984F-456B-BE10-04AD941AAD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176A-48F1-8314-04C65A982C05}"/>
                </c:ext>
              </c:extLst>
            </c:dLbl>
            <c:dLbl>
              <c:idx val="48"/>
              <c:tx>
                <c:rich>
                  <a:bodyPr/>
                  <a:lstStyle/>
                  <a:p>
                    <a:fld id="{E549B911-11B6-4C2B-9F8A-3720D0E6FB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176A-48F1-8314-04C65A982C05}"/>
                </c:ext>
              </c:extLst>
            </c:dLbl>
            <c:dLbl>
              <c:idx val="49"/>
              <c:tx>
                <c:rich>
                  <a:bodyPr/>
                  <a:lstStyle/>
                  <a:p>
                    <a:fld id="{72C3A8B4-2805-47AB-B1CF-423E8599B5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176A-48F1-8314-04C65A982C05}"/>
                </c:ext>
              </c:extLst>
            </c:dLbl>
            <c:dLbl>
              <c:idx val="50"/>
              <c:tx>
                <c:rich>
                  <a:bodyPr/>
                  <a:lstStyle/>
                  <a:p>
                    <a:fld id="{FCBA611A-9101-44DC-9F57-8FD0F65B10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176A-48F1-8314-04C65A982C05}"/>
                </c:ext>
              </c:extLst>
            </c:dLbl>
            <c:dLbl>
              <c:idx val="51"/>
              <c:tx>
                <c:rich>
                  <a:bodyPr/>
                  <a:lstStyle/>
                  <a:p>
                    <a:fld id="{242F5479-405C-469B-8C37-EA5D6DD1A9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176A-48F1-8314-04C65A982C05}"/>
                </c:ext>
              </c:extLst>
            </c:dLbl>
            <c:dLbl>
              <c:idx val="52"/>
              <c:tx>
                <c:rich>
                  <a:bodyPr/>
                  <a:lstStyle/>
                  <a:p>
                    <a:fld id="{C1734D6D-7FD3-489C-ABA0-A154F0396F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176A-48F1-8314-04C65A982C05}"/>
                </c:ext>
              </c:extLst>
            </c:dLbl>
            <c:dLbl>
              <c:idx val="53"/>
              <c:tx>
                <c:rich>
                  <a:bodyPr/>
                  <a:lstStyle/>
                  <a:p>
                    <a:fld id="{5D5DAA33-738C-4C9B-A1CE-F36E6AEC16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176A-48F1-8314-04C65A982C05}"/>
                </c:ext>
              </c:extLst>
            </c:dLbl>
            <c:dLbl>
              <c:idx val="54"/>
              <c:tx>
                <c:rich>
                  <a:bodyPr/>
                  <a:lstStyle/>
                  <a:p>
                    <a:fld id="{7BC9242A-4E6A-4519-839F-4DA3EA0AF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176A-48F1-8314-04C65A982C05}"/>
                </c:ext>
              </c:extLst>
            </c:dLbl>
            <c:dLbl>
              <c:idx val="55"/>
              <c:tx>
                <c:rich>
                  <a:bodyPr/>
                  <a:lstStyle/>
                  <a:p>
                    <a:fld id="{3882195C-2C73-4468-8394-36F060A236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176A-48F1-8314-04C65A982C05}"/>
                </c:ext>
              </c:extLst>
            </c:dLbl>
            <c:dLbl>
              <c:idx val="56"/>
              <c:tx>
                <c:rich>
                  <a:bodyPr/>
                  <a:lstStyle/>
                  <a:p>
                    <a:fld id="{F245F33C-9805-4A28-8D28-78D2C461F9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176A-48F1-8314-04C65A982C05}"/>
                </c:ext>
              </c:extLst>
            </c:dLbl>
            <c:dLbl>
              <c:idx val="57"/>
              <c:tx>
                <c:rich>
                  <a:bodyPr/>
                  <a:lstStyle/>
                  <a:p>
                    <a:fld id="{548B332F-7738-48C5-9480-A14498EFFE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176A-48F1-8314-04C65A982C05}"/>
                </c:ext>
              </c:extLst>
            </c:dLbl>
            <c:dLbl>
              <c:idx val="58"/>
              <c:tx>
                <c:rich>
                  <a:bodyPr/>
                  <a:lstStyle/>
                  <a:p>
                    <a:fld id="{813E4DD0-29ED-47B5-8CDA-9FDB03F3AF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176A-48F1-8314-04C65A982C05}"/>
                </c:ext>
              </c:extLst>
            </c:dLbl>
            <c:dLbl>
              <c:idx val="59"/>
              <c:tx>
                <c:rich>
                  <a:bodyPr/>
                  <a:lstStyle/>
                  <a:p>
                    <a:fld id="{322AA97C-8027-47C3-B9C8-DB8A238A14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176A-48F1-8314-04C65A982C05}"/>
                </c:ext>
              </c:extLst>
            </c:dLbl>
            <c:dLbl>
              <c:idx val="60"/>
              <c:tx>
                <c:rich>
                  <a:bodyPr/>
                  <a:lstStyle/>
                  <a:p>
                    <a:fld id="{2A2BDB78-FE5B-4C6E-83CF-D3BB17078C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176A-48F1-8314-04C65A982C05}"/>
                </c:ext>
              </c:extLst>
            </c:dLbl>
            <c:dLbl>
              <c:idx val="61"/>
              <c:tx>
                <c:rich>
                  <a:bodyPr/>
                  <a:lstStyle/>
                  <a:p>
                    <a:fld id="{974F4AF3-71E4-4212-B298-FF6010F8E7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176A-48F1-8314-04C65A982C05}"/>
                </c:ext>
              </c:extLst>
            </c:dLbl>
            <c:dLbl>
              <c:idx val="62"/>
              <c:tx>
                <c:rich>
                  <a:bodyPr/>
                  <a:lstStyle/>
                  <a:p>
                    <a:fld id="{9E0C73FE-033E-4F13-A6FC-06B5DA9654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176A-48F1-8314-04C65A982C05}"/>
                </c:ext>
              </c:extLst>
            </c:dLbl>
            <c:dLbl>
              <c:idx val="63"/>
              <c:tx>
                <c:rich>
                  <a:bodyPr/>
                  <a:lstStyle/>
                  <a:p>
                    <a:fld id="{D67E715A-410B-4582-B41B-9F27AE440A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176A-48F1-8314-04C65A982C05}"/>
                </c:ext>
              </c:extLst>
            </c:dLbl>
            <c:dLbl>
              <c:idx val="64"/>
              <c:tx>
                <c:rich>
                  <a:bodyPr/>
                  <a:lstStyle/>
                  <a:p>
                    <a:fld id="{2B851346-8E18-4721-815F-C776A7DBD0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176A-48F1-8314-04C65A982C05}"/>
                </c:ext>
              </c:extLst>
            </c:dLbl>
            <c:dLbl>
              <c:idx val="65"/>
              <c:tx>
                <c:rich>
                  <a:bodyPr/>
                  <a:lstStyle/>
                  <a:p>
                    <a:fld id="{2D32B931-8495-4050-8CFA-85404B2BFE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176A-48F1-8314-04C65A982C05}"/>
                </c:ext>
              </c:extLst>
            </c:dLbl>
            <c:dLbl>
              <c:idx val="66"/>
              <c:tx>
                <c:rich>
                  <a:bodyPr/>
                  <a:lstStyle/>
                  <a:p>
                    <a:fld id="{6245DEDC-816E-46EE-8DFB-36BA83534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176A-48F1-8314-04C65A982C05}"/>
                </c:ext>
              </c:extLst>
            </c:dLbl>
            <c:dLbl>
              <c:idx val="67"/>
              <c:tx>
                <c:rich>
                  <a:bodyPr/>
                  <a:lstStyle/>
                  <a:p>
                    <a:fld id="{BE2D7E37-7B7F-4A82-A79D-AB7BB14A2C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176A-48F1-8314-04C65A982C05}"/>
                </c:ext>
              </c:extLst>
            </c:dLbl>
            <c:dLbl>
              <c:idx val="68"/>
              <c:tx>
                <c:rich>
                  <a:bodyPr/>
                  <a:lstStyle/>
                  <a:p>
                    <a:fld id="{2FFC8FE8-D227-4FE3-A6BB-0D701F1ADA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176A-48F1-8314-04C65A982C05}"/>
                </c:ext>
              </c:extLst>
            </c:dLbl>
            <c:dLbl>
              <c:idx val="69"/>
              <c:tx>
                <c:rich>
                  <a:bodyPr/>
                  <a:lstStyle/>
                  <a:p>
                    <a:fld id="{D4BF6508-F7A8-4F60-B8B9-D15BA57D7E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176A-48F1-8314-04C65A982C05}"/>
                </c:ext>
              </c:extLst>
            </c:dLbl>
            <c:dLbl>
              <c:idx val="70"/>
              <c:tx>
                <c:rich>
                  <a:bodyPr/>
                  <a:lstStyle/>
                  <a:p>
                    <a:fld id="{57A900B9-9141-48A9-BEB5-0DFDCD092B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176A-48F1-8314-04C65A982C05}"/>
                </c:ext>
              </c:extLst>
            </c:dLbl>
            <c:dLbl>
              <c:idx val="71"/>
              <c:tx>
                <c:rich>
                  <a:bodyPr/>
                  <a:lstStyle/>
                  <a:p>
                    <a:fld id="{FE9F1D2F-8077-4254-8065-1376082D62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176A-48F1-8314-04C65A982C05}"/>
                </c:ext>
              </c:extLst>
            </c:dLbl>
            <c:dLbl>
              <c:idx val="72"/>
              <c:tx>
                <c:rich>
                  <a:bodyPr/>
                  <a:lstStyle/>
                  <a:p>
                    <a:fld id="{99ABEA35-34DE-4843-853C-0B2AD322A6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176A-48F1-8314-04C65A982C05}"/>
                </c:ext>
              </c:extLst>
            </c:dLbl>
            <c:dLbl>
              <c:idx val="73"/>
              <c:tx>
                <c:rich>
                  <a:bodyPr/>
                  <a:lstStyle/>
                  <a:p>
                    <a:fld id="{EE607C5E-B618-4C9F-9934-70D57C7FB4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176A-48F1-8314-04C65A982C05}"/>
                </c:ext>
              </c:extLst>
            </c:dLbl>
            <c:dLbl>
              <c:idx val="74"/>
              <c:tx>
                <c:rich>
                  <a:bodyPr/>
                  <a:lstStyle/>
                  <a:p>
                    <a:fld id="{742566B8-E9B8-408A-A188-2B2199171D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176A-48F1-8314-04C65A982C05}"/>
                </c:ext>
              </c:extLst>
            </c:dLbl>
            <c:dLbl>
              <c:idx val="75"/>
              <c:tx>
                <c:rich>
                  <a:bodyPr/>
                  <a:lstStyle/>
                  <a:p>
                    <a:fld id="{6144A8FF-48A0-4C6A-938A-80A077F194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176A-48F1-8314-04C65A982C05}"/>
                </c:ext>
              </c:extLst>
            </c:dLbl>
            <c:dLbl>
              <c:idx val="76"/>
              <c:tx>
                <c:rich>
                  <a:bodyPr/>
                  <a:lstStyle/>
                  <a:p>
                    <a:fld id="{A52440F3-F6B7-41A5-8A24-6A84F8EFF2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176A-48F1-8314-04C65A982C05}"/>
                </c:ext>
              </c:extLst>
            </c:dLbl>
            <c:dLbl>
              <c:idx val="77"/>
              <c:tx>
                <c:rich>
                  <a:bodyPr/>
                  <a:lstStyle/>
                  <a:p>
                    <a:fld id="{EEB780E4-ABBF-4953-B60B-4F1F1691B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176A-48F1-8314-04C65A982C05}"/>
                </c:ext>
              </c:extLst>
            </c:dLbl>
            <c:dLbl>
              <c:idx val="78"/>
              <c:tx>
                <c:rich>
                  <a:bodyPr/>
                  <a:lstStyle/>
                  <a:p>
                    <a:fld id="{AB340A3E-D48A-4CC5-ADE1-161D7AD2C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176A-48F1-8314-04C65A982C05}"/>
                </c:ext>
              </c:extLst>
            </c:dLbl>
            <c:dLbl>
              <c:idx val="79"/>
              <c:tx>
                <c:rich>
                  <a:bodyPr/>
                  <a:lstStyle/>
                  <a:p>
                    <a:fld id="{75C37188-B8C3-4CB5-91A0-978CC65EFE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176A-48F1-8314-04C65A982C05}"/>
                </c:ext>
              </c:extLst>
            </c:dLbl>
            <c:dLbl>
              <c:idx val="80"/>
              <c:tx>
                <c:rich>
                  <a:bodyPr/>
                  <a:lstStyle/>
                  <a:p>
                    <a:fld id="{2A824075-48D9-47D0-A6A7-40C8B694D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176A-48F1-8314-04C65A982C05}"/>
                </c:ext>
              </c:extLst>
            </c:dLbl>
            <c:dLbl>
              <c:idx val="81"/>
              <c:tx>
                <c:rich>
                  <a:bodyPr/>
                  <a:lstStyle/>
                  <a:p>
                    <a:fld id="{5DECF1B4-2FED-4F4B-934C-E639ABC50D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176A-48F1-8314-04C65A982C05}"/>
                </c:ext>
              </c:extLst>
            </c:dLbl>
            <c:dLbl>
              <c:idx val="82"/>
              <c:tx>
                <c:rich>
                  <a:bodyPr/>
                  <a:lstStyle/>
                  <a:p>
                    <a:fld id="{231E5A9B-6FCE-44CB-8C6E-B1112F87F7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176A-48F1-8314-04C65A982C05}"/>
                </c:ext>
              </c:extLst>
            </c:dLbl>
            <c:dLbl>
              <c:idx val="83"/>
              <c:tx>
                <c:rich>
                  <a:bodyPr/>
                  <a:lstStyle/>
                  <a:p>
                    <a:fld id="{8F077873-6C26-4B0B-B822-EF1127ED77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176A-48F1-8314-04C65A982C05}"/>
                </c:ext>
              </c:extLst>
            </c:dLbl>
            <c:dLbl>
              <c:idx val="84"/>
              <c:tx>
                <c:rich>
                  <a:bodyPr/>
                  <a:lstStyle/>
                  <a:p>
                    <a:fld id="{C3012AA0-4BAD-4BB7-A813-9B59265016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176A-48F1-8314-04C65A982C05}"/>
                </c:ext>
              </c:extLst>
            </c:dLbl>
            <c:dLbl>
              <c:idx val="85"/>
              <c:tx>
                <c:rich>
                  <a:bodyPr/>
                  <a:lstStyle/>
                  <a:p>
                    <a:fld id="{4157EF63-250C-4043-A55C-B179E5493C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176A-48F1-8314-04C65A982C05}"/>
                </c:ext>
              </c:extLst>
            </c:dLbl>
            <c:dLbl>
              <c:idx val="86"/>
              <c:tx>
                <c:rich>
                  <a:bodyPr/>
                  <a:lstStyle/>
                  <a:p>
                    <a:fld id="{BE943D14-877C-4278-9D32-3A25CDB9D9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176A-48F1-8314-04C65A982C05}"/>
                </c:ext>
              </c:extLst>
            </c:dLbl>
            <c:dLbl>
              <c:idx val="87"/>
              <c:tx>
                <c:rich>
                  <a:bodyPr/>
                  <a:lstStyle/>
                  <a:p>
                    <a:fld id="{20FC3F53-28F4-4064-97E9-97BB23B334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176A-48F1-8314-04C65A982C05}"/>
                </c:ext>
              </c:extLst>
            </c:dLbl>
            <c:dLbl>
              <c:idx val="88"/>
              <c:tx>
                <c:rich>
                  <a:bodyPr/>
                  <a:lstStyle/>
                  <a:p>
                    <a:fld id="{0068F519-5A2D-45C2-BF5D-FD56A6802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176A-48F1-8314-04C65A982C05}"/>
                </c:ext>
              </c:extLst>
            </c:dLbl>
            <c:dLbl>
              <c:idx val="89"/>
              <c:tx>
                <c:rich>
                  <a:bodyPr/>
                  <a:lstStyle/>
                  <a:p>
                    <a:fld id="{0556D5C6-9027-4662-88B6-DADC31F306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176A-48F1-8314-04C65A982C05}"/>
                </c:ext>
              </c:extLst>
            </c:dLbl>
            <c:dLbl>
              <c:idx val="90"/>
              <c:tx>
                <c:rich>
                  <a:bodyPr/>
                  <a:lstStyle/>
                  <a:p>
                    <a:fld id="{328B17BD-14A3-447D-936B-F1E2DC2A14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176A-48F1-8314-04C65A982C05}"/>
                </c:ext>
              </c:extLst>
            </c:dLbl>
            <c:dLbl>
              <c:idx val="91"/>
              <c:tx>
                <c:rich>
                  <a:bodyPr/>
                  <a:lstStyle/>
                  <a:p>
                    <a:fld id="{0A7DE5B2-E39E-46A5-82EA-3AF17F806D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176A-48F1-8314-04C65A982C05}"/>
                </c:ext>
              </c:extLst>
            </c:dLbl>
            <c:dLbl>
              <c:idx val="92"/>
              <c:tx>
                <c:rich>
                  <a:bodyPr/>
                  <a:lstStyle/>
                  <a:p>
                    <a:fld id="{CA096FA8-FE10-4261-A36D-148240A50E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176A-48F1-8314-04C65A982C05}"/>
                </c:ext>
              </c:extLst>
            </c:dLbl>
            <c:dLbl>
              <c:idx val="93"/>
              <c:tx>
                <c:rich>
                  <a:bodyPr/>
                  <a:lstStyle/>
                  <a:p>
                    <a:fld id="{F6622B9C-200C-473B-A089-8E17666E22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176A-48F1-8314-04C65A982C05}"/>
                </c:ext>
              </c:extLst>
            </c:dLbl>
            <c:dLbl>
              <c:idx val="94"/>
              <c:tx>
                <c:rich>
                  <a:bodyPr/>
                  <a:lstStyle/>
                  <a:p>
                    <a:fld id="{1F1C76B0-D94F-42C5-9F6E-3E5013FF8E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176A-48F1-8314-04C65A982C05}"/>
                </c:ext>
              </c:extLst>
            </c:dLbl>
            <c:dLbl>
              <c:idx val="95"/>
              <c:tx>
                <c:rich>
                  <a:bodyPr/>
                  <a:lstStyle/>
                  <a:p>
                    <a:fld id="{D63669D5-0935-4152-93C5-698F6F4127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176A-48F1-8314-04C65A982C05}"/>
                </c:ext>
              </c:extLst>
            </c:dLbl>
            <c:dLbl>
              <c:idx val="96"/>
              <c:tx>
                <c:rich>
                  <a:bodyPr/>
                  <a:lstStyle/>
                  <a:p>
                    <a:fld id="{6A21DC39-1831-4111-BF9A-FFA7EB7E3B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176A-48F1-8314-04C65A982C05}"/>
                </c:ext>
              </c:extLst>
            </c:dLbl>
            <c:dLbl>
              <c:idx val="97"/>
              <c:tx>
                <c:rich>
                  <a:bodyPr/>
                  <a:lstStyle/>
                  <a:p>
                    <a:fld id="{EEFAAB8A-1F3E-49ED-83FC-EA54F5DC9A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176A-48F1-8314-04C65A982C05}"/>
                </c:ext>
              </c:extLst>
            </c:dLbl>
            <c:dLbl>
              <c:idx val="98"/>
              <c:tx>
                <c:rich>
                  <a:bodyPr/>
                  <a:lstStyle/>
                  <a:p>
                    <a:fld id="{0FFDE049-7B2B-4188-A0F9-3FD5BF4570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176A-48F1-8314-04C65A982C05}"/>
                </c:ext>
              </c:extLst>
            </c:dLbl>
            <c:dLbl>
              <c:idx val="99"/>
              <c:tx>
                <c:rich>
                  <a:bodyPr/>
                  <a:lstStyle/>
                  <a:p>
                    <a:fld id="{312D2C19-CB9F-46F4-9846-6350B724AC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176A-48F1-8314-04C65A982C05}"/>
                </c:ext>
              </c:extLst>
            </c:dLbl>
            <c:dLbl>
              <c:idx val="100"/>
              <c:tx>
                <c:rich>
                  <a:bodyPr/>
                  <a:lstStyle/>
                  <a:p>
                    <a:fld id="{76B99050-0F97-46C6-A0E3-887A200A1A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176A-48F1-8314-04C65A982C05}"/>
                </c:ext>
              </c:extLst>
            </c:dLbl>
            <c:dLbl>
              <c:idx val="101"/>
              <c:tx>
                <c:rich>
                  <a:bodyPr/>
                  <a:lstStyle/>
                  <a:p>
                    <a:fld id="{0A38D0EE-C6CD-4EC5-808F-C8453677BF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176A-48F1-8314-04C65A982C05}"/>
                </c:ext>
              </c:extLst>
            </c:dLbl>
            <c:dLbl>
              <c:idx val="102"/>
              <c:tx>
                <c:rich>
                  <a:bodyPr/>
                  <a:lstStyle/>
                  <a:p>
                    <a:fld id="{47016FC3-7DE4-461F-9ACB-9FEE1905E8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176A-48F1-8314-04C65A982C05}"/>
                </c:ext>
              </c:extLst>
            </c:dLbl>
            <c:dLbl>
              <c:idx val="103"/>
              <c:tx>
                <c:rich>
                  <a:bodyPr/>
                  <a:lstStyle/>
                  <a:p>
                    <a:fld id="{017561D6-D494-479F-8782-DC27E895B6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176A-48F1-8314-04C65A982C05}"/>
                </c:ext>
              </c:extLst>
            </c:dLbl>
            <c:dLbl>
              <c:idx val="104"/>
              <c:tx>
                <c:rich>
                  <a:bodyPr/>
                  <a:lstStyle/>
                  <a:p>
                    <a:fld id="{657168F2-C5F3-454A-A451-16A83C332C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176A-48F1-8314-04C65A982C05}"/>
                </c:ext>
              </c:extLst>
            </c:dLbl>
            <c:dLbl>
              <c:idx val="105"/>
              <c:tx>
                <c:rich>
                  <a:bodyPr/>
                  <a:lstStyle/>
                  <a:p>
                    <a:fld id="{79D58F87-21D3-4405-8457-9B480471A9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176A-48F1-8314-04C65A982C05}"/>
                </c:ext>
              </c:extLst>
            </c:dLbl>
            <c:dLbl>
              <c:idx val="106"/>
              <c:tx>
                <c:rich>
                  <a:bodyPr/>
                  <a:lstStyle/>
                  <a:p>
                    <a:fld id="{4B679965-80DE-4E07-B927-956A14D51E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176A-48F1-8314-04C65A982C05}"/>
                </c:ext>
              </c:extLst>
            </c:dLbl>
            <c:dLbl>
              <c:idx val="107"/>
              <c:tx>
                <c:rich>
                  <a:bodyPr/>
                  <a:lstStyle/>
                  <a:p>
                    <a:fld id="{9AA5394D-7491-4393-8061-82F1049606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176A-48F1-8314-04C65A982C05}"/>
                </c:ext>
              </c:extLst>
            </c:dLbl>
            <c:dLbl>
              <c:idx val="108"/>
              <c:tx>
                <c:rich>
                  <a:bodyPr/>
                  <a:lstStyle/>
                  <a:p>
                    <a:fld id="{82498A32-5952-45E0-94F4-F47DFBF361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176A-48F1-8314-04C65A982C05}"/>
                </c:ext>
              </c:extLst>
            </c:dLbl>
            <c:dLbl>
              <c:idx val="109"/>
              <c:tx>
                <c:rich>
                  <a:bodyPr/>
                  <a:lstStyle/>
                  <a:p>
                    <a:fld id="{4BFD6940-EEE7-44DE-BC2D-23A3CADEBD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176A-48F1-8314-04C65A982C05}"/>
                </c:ext>
              </c:extLst>
            </c:dLbl>
            <c:dLbl>
              <c:idx val="110"/>
              <c:tx>
                <c:rich>
                  <a:bodyPr/>
                  <a:lstStyle/>
                  <a:p>
                    <a:fld id="{532B7BB1-AE98-45DB-8BE4-D07C31F905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176A-48F1-8314-04C65A982C05}"/>
                </c:ext>
              </c:extLst>
            </c:dLbl>
            <c:dLbl>
              <c:idx val="111"/>
              <c:tx>
                <c:rich>
                  <a:bodyPr/>
                  <a:lstStyle/>
                  <a:p>
                    <a:fld id="{B5781F8F-E526-4D6A-ADDF-6781ECB962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176A-48F1-8314-04C65A982C05}"/>
                </c:ext>
              </c:extLst>
            </c:dLbl>
            <c:dLbl>
              <c:idx val="112"/>
              <c:tx>
                <c:rich>
                  <a:bodyPr/>
                  <a:lstStyle/>
                  <a:p>
                    <a:fld id="{0EFD742F-65CD-4960-8F57-34A13951F0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176A-48F1-8314-04C65A982C05}"/>
                </c:ext>
              </c:extLst>
            </c:dLbl>
            <c:dLbl>
              <c:idx val="113"/>
              <c:tx>
                <c:rich>
                  <a:bodyPr/>
                  <a:lstStyle/>
                  <a:p>
                    <a:fld id="{42BF2934-B70E-44A6-86DA-1BD1CF70D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176A-48F1-8314-04C65A982C05}"/>
                </c:ext>
              </c:extLst>
            </c:dLbl>
            <c:dLbl>
              <c:idx val="114"/>
              <c:tx>
                <c:rich>
                  <a:bodyPr/>
                  <a:lstStyle/>
                  <a:p>
                    <a:fld id="{C466BBEC-CE29-4C14-B283-192934010C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176A-48F1-8314-04C65A982C05}"/>
                </c:ext>
              </c:extLst>
            </c:dLbl>
            <c:dLbl>
              <c:idx val="115"/>
              <c:tx>
                <c:rich>
                  <a:bodyPr/>
                  <a:lstStyle/>
                  <a:p>
                    <a:fld id="{CEFE2146-39A6-4040-AA49-1E609DD228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176A-48F1-8314-04C65A982C05}"/>
                </c:ext>
              </c:extLst>
            </c:dLbl>
            <c:dLbl>
              <c:idx val="116"/>
              <c:tx>
                <c:rich>
                  <a:bodyPr/>
                  <a:lstStyle/>
                  <a:p>
                    <a:fld id="{550C4656-04B8-4250-9747-ED21DE8842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176A-48F1-8314-04C65A982C05}"/>
                </c:ext>
              </c:extLst>
            </c:dLbl>
            <c:dLbl>
              <c:idx val="117"/>
              <c:tx>
                <c:rich>
                  <a:bodyPr/>
                  <a:lstStyle/>
                  <a:p>
                    <a:fld id="{8E6F774F-1D61-4F7F-B7DD-D469A5D985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176A-48F1-8314-04C65A982C05}"/>
                </c:ext>
              </c:extLst>
            </c:dLbl>
            <c:dLbl>
              <c:idx val="118"/>
              <c:tx>
                <c:rich>
                  <a:bodyPr/>
                  <a:lstStyle/>
                  <a:p>
                    <a:fld id="{FF7786BD-F21B-447C-A09C-220FE4E27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176A-48F1-8314-04C65A982C05}"/>
                </c:ext>
              </c:extLst>
            </c:dLbl>
            <c:dLbl>
              <c:idx val="119"/>
              <c:tx>
                <c:rich>
                  <a:bodyPr/>
                  <a:lstStyle/>
                  <a:p>
                    <a:fld id="{1699EE4D-14AF-46A9-AEA9-2B46198542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176A-48F1-8314-04C65A982C05}"/>
                </c:ext>
              </c:extLst>
            </c:dLbl>
            <c:dLbl>
              <c:idx val="120"/>
              <c:tx>
                <c:rich>
                  <a:bodyPr/>
                  <a:lstStyle/>
                  <a:p>
                    <a:fld id="{69143D7C-78F4-4AD6-B6E1-3CB8C2FB5E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176A-48F1-8314-04C65A982C05}"/>
                </c:ext>
              </c:extLst>
            </c:dLbl>
            <c:dLbl>
              <c:idx val="121"/>
              <c:tx>
                <c:rich>
                  <a:bodyPr/>
                  <a:lstStyle/>
                  <a:p>
                    <a:fld id="{6DA9BE32-6FA2-414F-ADFC-6EEB50026A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176A-48F1-8314-04C65A982C05}"/>
                </c:ext>
              </c:extLst>
            </c:dLbl>
            <c:dLbl>
              <c:idx val="122"/>
              <c:tx>
                <c:rich>
                  <a:bodyPr/>
                  <a:lstStyle/>
                  <a:p>
                    <a:fld id="{8253B34B-79FB-43B8-87B0-DDAE599EBE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176A-48F1-8314-04C65A982C05}"/>
                </c:ext>
              </c:extLst>
            </c:dLbl>
            <c:dLbl>
              <c:idx val="123"/>
              <c:tx>
                <c:rich>
                  <a:bodyPr/>
                  <a:lstStyle/>
                  <a:p>
                    <a:fld id="{999E9463-C0F6-4143-9A4E-B921FB7C1D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176A-48F1-8314-04C65A982C05}"/>
                </c:ext>
              </c:extLst>
            </c:dLbl>
            <c:dLbl>
              <c:idx val="124"/>
              <c:tx>
                <c:rich>
                  <a:bodyPr/>
                  <a:lstStyle/>
                  <a:p>
                    <a:fld id="{37F6EEBF-6275-4E66-94CB-CFC3B9434F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176A-48F1-8314-04C65A982C05}"/>
                </c:ext>
              </c:extLst>
            </c:dLbl>
            <c:dLbl>
              <c:idx val="125"/>
              <c:tx>
                <c:rich>
                  <a:bodyPr/>
                  <a:lstStyle/>
                  <a:p>
                    <a:fld id="{2EBE1AD3-112C-4FE5-9B80-64FF8014AE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176A-48F1-8314-04C65A982C05}"/>
                </c:ext>
              </c:extLst>
            </c:dLbl>
            <c:dLbl>
              <c:idx val="126"/>
              <c:tx>
                <c:rich>
                  <a:bodyPr/>
                  <a:lstStyle/>
                  <a:p>
                    <a:fld id="{0D182757-A0DF-40CC-BD93-D77285FA34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176A-48F1-8314-04C65A982C05}"/>
                </c:ext>
              </c:extLst>
            </c:dLbl>
            <c:dLbl>
              <c:idx val="127"/>
              <c:tx>
                <c:rich>
                  <a:bodyPr/>
                  <a:lstStyle/>
                  <a:p>
                    <a:fld id="{F5A5CEA1-B0CA-4737-8BF7-41F2D81E14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176A-48F1-8314-04C65A982C05}"/>
                </c:ext>
              </c:extLst>
            </c:dLbl>
            <c:dLbl>
              <c:idx val="128"/>
              <c:tx>
                <c:rich>
                  <a:bodyPr/>
                  <a:lstStyle/>
                  <a:p>
                    <a:fld id="{6E2F4909-75AD-432E-AE04-2570A53866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176A-48F1-8314-04C65A982C05}"/>
                </c:ext>
              </c:extLst>
            </c:dLbl>
            <c:dLbl>
              <c:idx val="129"/>
              <c:tx>
                <c:rich>
                  <a:bodyPr/>
                  <a:lstStyle/>
                  <a:p>
                    <a:fld id="{9A5F21E7-16C2-4FBA-8028-550637604B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176A-48F1-8314-04C65A982C05}"/>
                </c:ext>
              </c:extLst>
            </c:dLbl>
            <c:dLbl>
              <c:idx val="130"/>
              <c:tx>
                <c:rich>
                  <a:bodyPr/>
                  <a:lstStyle/>
                  <a:p>
                    <a:fld id="{A499253D-3BE7-42DB-A5F7-E54D18514B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176A-48F1-8314-04C65A982C05}"/>
                </c:ext>
              </c:extLst>
            </c:dLbl>
            <c:dLbl>
              <c:idx val="131"/>
              <c:tx>
                <c:rich>
                  <a:bodyPr/>
                  <a:lstStyle/>
                  <a:p>
                    <a:fld id="{9585B234-BE7F-4852-8F38-DCF99CE42F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176A-48F1-8314-04C65A982C05}"/>
                </c:ext>
              </c:extLst>
            </c:dLbl>
            <c:dLbl>
              <c:idx val="132"/>
              <c:tx>
                <c:rich>
                  <a:bodyPr/>
                  <a:lstStyle/>
                  <a:p>
                    <a:fld id="{7D6774C9-0019-4FBA-B1FF-9DDECB9F1D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176A-48F1-8314-04C65A982C05}"/>
                </c:ext>
              </c:extLst>
            </c:dLbl>
            <c:dLbl>
              <c:idx val="133"/>
              <c:tx>
                <c:rich>
                  <a:bodyPr/>
                  <a:lstStyle/>
                  <a:p>
                    <a:fld id="{210EF70A-0241-47CD-9995-46D3E68078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176A-48F1-8314-04C65A982C05}"/>
                </c:ext>
              </c:extLst>
            </c:dLbl>
            <c:dLbl>
              <c:idx val="134"/>
              <c:tx>
                <c:rich>
                  <a:bodyPr/>
                  <a:lstStyle/>
                  <a:p>
                    <a:fld id="{3778B966-3E34-4B9A-BD58-D0458A1ECE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176A-48F1-8314-04C65A982C05}"/>
                </c:ext>
              </c:extLst>
            </c:dLbl>
            <c:dLbl>
              <c:idx val="135"/>
              <c:tx>
                <c:rich>
                  <a:bodyPr/>
                  <a:lstStyle/>
                  <a:p>
                    <a:fld id="{1887E7F4-2885-4671-9B21-FCC867C155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176A-48F1-8314-04C65A982C05}"/>
                </c:ext>
              </c:extLst>
            </c:dLbl>
            <c:dLbl>
              <c:idx val="136"/>
              <c:tx>
                <c:rich>
                  <a:bodyPr/>
                  <a:lstStyle/>
                  <a:p>
                    <a:fld id="{916DA7F6-16A5-4A0C-8B47-3E7F30C5BE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176A-48F1-8314-04C65A982C05}"/>
                </c:ext>
              </c:extLst>
            </c:dLbl>
            <c:dLbl>
              <c:idx val="137"/>
              <c:tx>
                <c:rich>
                  <a:bodyPr/>
                  <a:lstStyle/>
                  <a:p>
                    <a:fld id="{EF2DD465-0BE7-4417-9A9B-3013C17A0D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176A-48F1-8314-04C65A982C05}"/>
                </c:ext>
              </c:extLst>
            </c:dLbl>
            <c:dLbl>
              <c:idx val="138"/>
              <c:tx>
                <c:rich>
                  <a:bodyPr/>
                  <a:lstStyle/>
                  <a:p>
                    <a:fld id="{EE6960D3-7D2D-428F-BB55-5B61388BE7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176A-48F1-8314-04C65A982C05}"/>
                </c:ext>
              </c:extLst>
            </c:dLbl>
            <c:dLbl>
              <c:idx val="139"/>
              <c:tx>
                <c:rich>
                  <a:bodyPr/>
                  <a:lstStyle/>
                  <a:p>
                    <a:fld id="{92603D44-64DB-4735-AAFF-DA29B03A56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176A-48F1-8314-04C65A982C05}"/>
                </c:ext>
              </c:extLst>
            </c:dLbl>
            <c:dLbl>
              <c:idx val="140"/>
              <c:tx>
                <c:rich>
                  <a:bodyPr/>
                  <a:lstStyle/>
                  <a:p>
                    <a:fld id="{38297DC8-F933-49B1-AE01-7763441A5C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176A-48F1-8314-04C65A982C05}"/>
                </c:ext>
              </c:extLst>
            </c:dLbl>
            <c:dLbl>
              <c:idx val="141"/>
              <c:tx>
                <c:rich>
                  <a:bodyPr/>
                  <a:lstStyle/>
                  <a:p>
                    <a:fld id="{C3E748A1-2182-4F9A-9145-713A0C3693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176A-48F1-8314-04C65A982C05}"/>
                </c:ext>
              </c:extLst>
            </c:dLbl>
            <c:dLbl>
              <c:idx val="142"/>
              <c:tx>
                <c:rich>
                  <a:bodyPr/>
                  <a:lstStyle/>
                  <a:p>
                    <a:fld id="{7F750B99-5F43-4AD5-9A9B-02591B42B0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176A-48F1-8314-04C65A982C05}"/>
                </c:ext>
              </c:extLst>
            </c:dLbl>
            <c:dLbl>
              <c:idx val="143"/>
              <c:tx>
                <c:rich>
                  <a:bodyPr/>
                  <a:lstStyle/>
                  <a:p>
                    <a:fld id="{94F3226F-EB5B-4D73-8804-E0D96DBDD6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176A-48F1-8314-04C65A982C05}"/>
                </c:ext>
              </c:extLst>
            </c:dLbl>
            <c:dLbl>
              <c:idx val="144"/>
              <c:tx>
                <c:rich>
                  <a:bodyPr/>
                  <a:lstStyle/>
                  <a:p>
                    <a:fld id="{5C61BB87-87F3-4B1A-8B61-F7B04D4A3C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176A-48F1-8314-04C65A982C05}"/>
                </c:ext>
              </c:extLst>
            </c:dLbl>
            <c:dLbl>
              <c:idx val="145"/>
              <c:tx>
                <c:rich>
                  <a:bodyPr/>
                  <a:lstStyle/>
                  <a:p>
                    <a:fld id="{AAED9185-88BA-4AAD-9C01-297D944B26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176A-48F1-8314-04C65A982C05}"/>
                </c:ext>
              </c:extLst>
            </c:dLbl>
            <c:dLbl>
              <c:idx val="146"/>
              <c:tx>
                <c:rich>
                  <a:bodyPr/>
                  <a:lstStyle/>
                  <a:p>
                    <a:fld id="{B815E1FA-66BA-4405-83E4-A19F4C85A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176A-48F1-8314-04C65A982C05}"/>
                </c:ext>
              </c:extLst>
            </c:dLbl>
            <c:dLbl>
              <c:idx val="147"/>
              <c:tx>
                <c:rich>
                  <a:bodyPr/>
                  <a:lstStyle/>
                  <a:p>
                    <a:fld id="{043EB760-D106-442A-9CC4-0DFF945674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176A-48F1-8314-04C65A982C05}"/>
                </c:ext>
              </c:extLst>
            </c:dLbl>
            <c:dLbl>
              <c:idx val="148"/>
              <c:tx>
                <c:rich>
                  <a:bodyPr/>
                  <a:lstStyle/>
                  <a:p>
                    <a:fld id="{5C79034A-4FB1-468F-A01F-5C17ECBE05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176A-48F1-8314-04C65A982C05}"/>
                </c:ext>
              </c:extLst>
            </c:dLbl>
            <c:dLbl>
              <c:idx val="149"/>
              <c:tx>
                <c:rich>
                  <a:bodyPr/>
                  <a:lstStyle/>
                  <a:p>
                    <a:fld id="{CBD1D5C1-F682-422B-8A34-B241966784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176A-48F1-8314-04C65A982C05}"/>
                </c:ext>
              </c:extLst>
            </c:dLbl>
            <c:dLbl>
              <c:idx val="150"/>
              <c:tx>
                <c:rich>
                  <a:bodyPr/>
                  <a:lstStyle/>
                  <a:p>
                    <a:fld id="{C7E092E7-D4E7-4669-BD3D-15EB28D320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176A-48F1-8314-04C65A982C05}"/>
                </c:ext>
              </c:extLst>
            </c:dLbl>
            <c:dLbl>
              <c:idx val="151"/>
              <c:tx>
                <c:rich>
                  <a:bodyPr/>
                  <a:lstStyle/>
                  <a:p>
                    <a:fld id="{56A9574D-A6CE-4212-B909-7EE471DD7C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176A-48F1-8314-04C65A982C05}"/>
                </c:ext>
              </c:extLst>
            </c:dLbl>
            <c:dLbl>
              <c:idx val="152"/>
              <c:tx>
                <c:rich>
                  <a:bodyPr/>
                  <a:lstStyle/>
                  <a:p>
                    <a:fld id="{CF7850DF-F73C-430D-B528-BB211BA8F0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176A-48F1-8314-04C65A982C05}"/>
                </c:ext>
              </c:extLst>
            </c:dLbl>
            <c:dLbl>
              <c:idx val="153"/>
              <c:tx>
                <c:rich>
                  <a:bodyPr/>
                  <a:lstStyle/>
                  <a:p>
                    <a:fld id="{E4C369B4-74A8-44A9-A870-EABC9F6ACD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176A-48F1-8314-04C65A982C05}"/>
                </c:ext>
              </c:extLst>
            </c:dLbl>
            <c:dLbl>
              <c:idx val="154"/>
              <c:tx>
                <c:rich>
                  <a:bodyPr/>
                  <a:lstStyle/>
                  <a:p>
                    <a:fld id="{62FCD285-7ADD-4A43-B85B-6C0E1E9AD9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176A-48F1-8314-04C65A982C05}"/>
                </c:ext>
              </c:extLst>
            </c:dLbl>
            <c:dLbl>
              <c:idx val="155"/>
              <c:tx>
                <c:rich>
                  <a:bodyPr/>
                  <a:lstStyle/>
                  <a:p>
                    <a:fld id="{862AA951-F809-4DDB-99A0-FB954A25AF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176A-48F1-8314-04C65A982C05}"/>
                </c:ext>
              </c:extLst>
            </c:dLbl>
            <c:dLbl>
              <c:idx val="156"/>
              <c:tx>
                <c:rich>
                  <a:bodyPr/>
                  <a:lstStyle/>
                  <a:p>
                    <a:fld id="{6CE6EB32-0366-48C0-A8FC-6585D4FAC8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176A-48F1-8314-04C65A982C05}"/>
                </c:ext>
              </c:extLst>
            </c:dLbl>
            <c:dLbl>
              <c:idx val="157"/>
              <c:tx>
                <c:rich>
                  <a:bodyPr/>
                  <a:lstStyle/>
                  <a:p>
                    <a:fld id="{44DDA47D-F91F-410F-BFC6-BDDF5130B8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176A-48F1-8314-04C65A982C05}"/>
                </c:ext>
              </c:extLst>
            </c:dLbl>
            <c:dLbl>
              <c:idx val="158"/>
              <c:tx>
                <c:rich>
                  <a:bodyPr/>
                  <a:lstStyle/>
                  <a:p>
                    <a:fld id="{EABFB151-77DD-44FA-AB6E-9EE61F4DCF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176A-48F1-8314-04C65A982C05}"/>
                </c:ext>
              </c:extLst>
            </c:dLbl>
            <c:dLbl>
              <c:idx val="159"/>
              <c:tx>
                <c:rich>
                  <a:bodyPr/>
                  <a:lstStyle/>
                  <a:p>
                    <a:fld id="{AB017E8D-80C1-4849-92F6-F794D73ED0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176A-48F1-8314-04C65A982C05}"/>
                </c:ext>
              </c:extLst>
            </c:dLbl>
            <c:dLbl>
              <c:idx val="160"/>
              <c:tx>
                <c:rich>
                  <a:bodyPr/>
                  <a:lstStyle/>
                  <a:p>
                    <a:fld id="{76CEFA10-F75C-4136-9066-6B69342F1E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176A-48F1-8314-04C65A982C05}"/>
                </c:ext>
              </c:extLst>
            </c:dLbl>
            <c:dLbl>
              <c:idx val="161"/>
              <c:tx>
                <c:rich>
                  <a:bodyPr/>
                  <a:lstStyle/>
                  <a:p>
                    <a:fld id="{FDEF5FC5-4CBA-4768-9810-8E81103D4B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176A-48F1-8314-04C65A982C05}"/>
                </c:ext>
              </c:extLst>
            </c:dLbl>
            <c:dLbl>
              <c:idx val="162"/>
              <c:tx>
                <c:rich>
                  <a:bodyPr/>
                  <a:lstStyle/>
                  <a:p>
                    <a:fld id="{0BF1BCD9-23D6-400E-9174-DDDFD0E084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176A-48F1-8314-04C65A982C05}"/>
                </c:ext>
              </c:extLst>
            </c:dLbl>
            <c:dLbl>
              <c:idx val="163"/>
              <c:tx>
                <c:rich>
                  <a:bodyPr/>
                  <a:lstStyle/>
                  <a:p>
                    <a:fld id="{6A54B57D-2BC7-470D-B02B-8744456056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176A-48F1-8314-04C65A982C05}"/>
                </c:ext>
              </c:extLst>
            </c:dLbl>
            <c:dLbl>
              <c:idx val="164"/>
              <c:tx>
                <c:rich>
                  <a:bodyPr/>
                  <a:lstStyle/>
                  <a:p>
                    <a:fld id="{AEA80C02-35BC-4403-9E70-8E0AEEF7E2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176A-48F1-8314-04C65A982C05}"/>
                </c:ext>
              </c:extLst>
            </c:dLbl>
            <c:dLbl>
              <c:idx val="165"/>
              <c:tx>
                <c:rich>
                  <a:bodyPr/>
                  <a:lstStyle/>
                  <a:p>
                    <a:fld id="{F80E947D-613C-4459-A60B-2AFE3BD53B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176A-48F1-8314-04C65A982C05}"/>
                </c:ext>
              </c:extLst>
            </c:dLbl>
            <c:dLbl>
              <c:idx val="166"/>
              <c:tx>
                <c:rich>
                  <a:bodyPr/>
                  <a:lstStyle/>
                  <a:p>
                    <a:fld id="{FDCF41C3-9656-46C6-9226-24801EF9F2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176A-48F1-8314-04C65A982C05}"/>
                </c:ext>
              </c:extLst>
            </c:dLbl>
            <c:dLbl>
              <c:idx val="167"/>
              <c:tx>
                <c:rich>
                  <a:bodyPr/>
                  <a:lstStyle/>
                  <a:p>
                    <a:fld id="{B95E983D-87DE-40F3-834B-2738C340CB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176A-48F1-8314-04C65A982C05}"/>
                </c:ext>
              </c:extLst>
            </c:dLbl>
            <c:dLbl>
              <c:idx val="168"/>
              <c:tx>
                <c:rich>
                  <a:bodyPr/>
                  <a:lstStyle/>
                  <a:p>
                    <a:fld id="{4D80A59A-6642-4BB2-A586-C2D0A3C574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176A-48F1-8314-04C65A982C05}"/>
                </c:ext>
              </c:extLst>
            </c:dLbl>
            <c:dLbl>
              <c:idx val="169"/>
              <c:tx>
                <c:rich>
                  <a:bodyPr/>
                  <a:lstStyle/>
                  <a:p>
                    <a:fld id="{FAB27387-5492-4350-B037-505520297E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176A-48F1-8314-04C65A982C05}"/>
                </c:ext>
              </c:extLst>
            </c:dLbl>
            <c:dLbl>
              <c:idx val="170"/>
              <c:tx>
                <c:rich>
                  <a:bodyPr/>
                  <a:lstStyle/>
                  <a:p>
                    <a:fld id="{16748AE5-084E-4DF0-83D6-862E49F38A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176A-48F1-8314-04C65A982C05}"/>
                </c:ext>
              </c:extLst>
            </c:dLbl>
            <c:dLbl>
              <c:idx val="171"/>
              <c:tx>
                <c:rich>
                  <a:bodyPr/>
                  <a:lstStyle/>
                  <a:p>
                    <a:fld id="{19F7CC28-8D03-423C-9A44-9815E75BD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176A-48F1-8314-04C65A982C05}"/>
                </c:ext>
              </c:extLst>
            </c:dLbl>
            <c:dLbl>
              <c:idx val="172"/>
              <c:tx>
                <c:rich>
                  <a:bodyPr/>
                  <a:lstStyle/>
                  <a:p>
                    <a:fld id="{7BA78A08-1932-4996-9F55-729C7EAD5E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176A-48F1-8314-04C65A982C05}"/>
                </c:ext>
              </c:extLst>
            </c:dLbl>
            <c:dLbl>
              <c:idx val="173"/>
              <c:tx>
                <c:rich>
                  <a:bodyPr/>
                  <a:lstStyle/>
                  <a:p>
                    <a:fld id="{0E6E0F6C-BD90-4E99-B801-70CA4979B1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176A-48F1-8314-04C65A982C05}"/>
                </c:ext>
              </c:extLst>
            </c:dLbl>
            <c:dLbl>
              <c:idx val="174"/>
              <c:tx>
                <c:rich>
                  <a:bodyPr/>
                  <a:lstStyle/>
                  <a:p>
                    <a:fld id="{2B955CD3-AA10-4983-B473-1C14D16BDD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176A-48F1-8314-04C65A982C05}"/>
                </c:ext>
              </c:extLst>
            </c:dLbl>
            <c:dLbl>
              <c:idx val="175"/>
              <c:tx>
                <c:rich>
                  <a:bodyPr/>
                  <a:lstStyle/>
                  <a:p>
                    <a:fld id="{1B302FE5-5147-45F6-983D-1563E47F07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176A-48F1-8314-04C65A982C05}"/>
                </c:ext>
              </c:extLst>
            </c:dLbl>
            <c:dLbl>
              <c:idx val="176"/>
              <c:tx>
                <c:rich>
                  <a:bodyPr/>
                  <a:lstStyle/>
                  <a:p>
                    <a:fld id="{360766BB-01AA-44EE-A1A4-16615DBB6F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176A-48F1-8314-04C65A982C05}"/>
                </c:ext>
              </c:extLst>
            </c:dLbl>
            <c:dLbl>
              <c:idx val="177"/>
              <c:tx>
                <c:rich>
                  <a:bodyPr/>
                  <a:lstStyle/>
                  <a:p>
                    <a:fld id="{15FFCD95-1875-42F7-A4BE-9E29792089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176A-48F1-8314-04C65A982C05}"/>
                </c:ext>
              </c:extLst>
            </c:dLbl>
            <c:dLbl>
              <c:idx val="178"/>
              <c:tx>
                <c:rich>
                  <a:bodyPr/>
                  <a:lstStyle/>
                  <a:p>
                    <a:fld id="{D03A9B12-77CA-4EEC-8FDE-808BA62039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176A-48F1-8314-04C65A982C05}"/>
                </c:ext>
              </c:extLst>
            </c:dLbl>
            <c:dLbl>
              <c:idx val="179"/>
              <c:tx>
                <c:rich>
                  <a:bodyPr/>
                  <a:lstStyle/>
                  <a:p>
                    <a:fld id="{2412B826-AF27-4D7C-90D1-E251D1398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176A-48F1-8314-04C65A982C05}"/>
                </c:ext>
              </c:extLst>
            </c:dLbl>
            <c:dLbl>
              <c:idx val="180"/>
              <c:tx>
                <c:rich>
                  <a:bodyPr/>
                  <a:lstStyle/>
                  <a:p>
                    <a:fld id="{CFA50619-D815-4EC5-87AD-B31382E9E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176A-48F1-8314-04C65A982C05}"/>
                </c:ext>
              </c:extLst>
            </c:dLbl>
            <c:dLbl>
              <c:idx val="181"/>
              <c:tx>
                <c:rich>
                  <a:bodyPr/>
                  <a:lstStyle/>
                  <a:p>
                    <a:fld id="{CF4BA936-CA09-4CCA-9DA6-542AEE2B5B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176A-48F1-8314-04C65A982C05}"/>
                </c:ext>
              </c:extLst>
            </c:dLbl>
            <c:dLbl>
              <c:idx val="182"/>
              <c:tx>
                <c:rich>
                  <a:bodyPr/>
                  <a:lstStyle/>
                  <a:p>
                    <a:fld id="{38FF9859-A30B-40F5-823A-B522F6E234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176A-48F1-8314-04C65A982C05}"/>
                </c:ext>
              </c:extLst>
            </c:dLbl>
            <c:dLbl>
              <c:idx val="183"/>
              <c:tx>
                <c:rich>
                  <a:bodyPr/>
                  <a:lstStyle/>
                  <a:p>
                    <a:fld id="{240E5594-A814-4156-9485-FA0617CF2E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176A-48F1-8314-04C65A982C05}"/>
                </c:ext>
              </c:extLst>
            </c:dLbl>
            <c:dLbl>
              <c:idx val="184"/>
              <c:tx>
                <c:rich>
                  <a:bodyPr/>
                  <a:lstStyle/>
                  <a:p>
                    <a:fld id="{7A5B49D2-74F6-4198-BB28-2212E2F3AA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176A-48F1-8314-04C65A982C05}"/>
                </c:ext>
              </c:extLst>
            </c:dLbl>
            <c:dLbl>
              <c:idx val="185"/>
              <c:tx>
                <c:rich>
                  <a:bodyPr/>
                  <a:lstStyle/>
                  <a:p>
                    <a:fld id="{1E3F9B25-7195-48C0-B9C0-6834F0848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176A-48F1-8314-04C65A982C05}"/>
                </c:ext>
              </c:extLst>
            </c:dLbl>
            <c:dLbl>
              <c:idx val="186"/>
              <c:tx>
                <c:rich>
                  <a:bodyPr/>
                  <a:lstStyle/>
                  <a:p>
                    <a:fld id="{E63A5D05-0B99-45B2-840C-FE2A282068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176A-48F1-8314-04C65A982C05}"/>
                </c:ext>
              </c:extLst>
            </c:dLbl>
            <c:dLbl>
              <c:idx val="187"/>
              <c:tx>
                <c:rich>
                  <a:bodyPr/>
                  <a:lstStyle/>
                  <a:p>
                    <a:fld id="{9CFEA57E-3CF3-414A-A38B-AC78028D55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176A-48F1-8314-04C65A982C05}"/>
                </c:ext>
              </c:extLst>
            </c:dLbl>
            <c:dLbl>
              <c:idx val="188"/>
              <c:tx>
                <c:rich>
                  <a:bodyPr/>
                  <a:lstStyle/>
                  <a:p>
                    <a:fld id="{1721FC34-0DE5-4553-A2BD-B91EC30592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176A-48F1-8314-04C65A982C05}"/>
                </c:ext>
              </c:extLst>
            </c:dLbl>
            <c:dLbl>
              <c:idx val="189"/>
              <c:tx>
                <c:rich>
                  <a:bodyPr/>
                  <a:lstStyle/>
                  <a:p>
                    <a:fld id="{6C7C5EF8-60CE-44A6-96C3-8985B142D0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176A-48F1-8314-04C65A982C05}"/>
                </c:ext>
              </c:extLst>
            </c:dLbl>
            <c:dLbl>
              <c:idx val="190"/>
              <c:tx>
                <c:rich>
                  <a:bodyPr/>
                  <a:lstStyle/>
                  <a:p>
                    <a:fld id="{A0E3905A-8A4A-4206-BC98-AFA1057334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176A-48F1-8314-04C65A982C05}"/>
                </c:ext>
              </c:extLst>
            </c:dLbl>
            <c:dLbl>
              <c:idx val="191"/>
              <c:tx>
                <c:rich>
                  <a:bodyPr/>
                  <a:lstStyle/>
                  <a:p>
                    <a:fld id="{D1F86C03-BC62-40F1-8F3F-67ABCE90A9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176A-48F1-8314-04C65A982C05}"/>
                </c:ext>
              </c:extLst>
            </c:dLbl>
            <c:dLbl>
              <c:idx val="192"/>
              <c:tx>
                <c:rich>
                  <a:bodyPr/>
                  <a:lstStyle/>
                  <a:p>
                    <a:fld id="{805F0EAE-38D4-44F1-99B6-E0C626495E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176A-48F1-8314-04C65A982C05}"/>
                </c:ext>
              </c:extLst>
            </c:dLbl>
            <c:dLbl>
              <c:idx val="193"/>
              <c:tx>
                <c:rich>
                  <a:bodyPr/>
                  <a:lstStyle/>
                  <a:p>
                    <a:fld id="{F8470949-D6F6-455B-9321-6D7844F8BC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176A-48F1-8314-04C65A982C05}"/>
                </c:ext>
              </c:extLst>
            </c:dLbl>
            <c:dLbl>
              <c:idx val="194"/>
              <c:tx>
                <c:rich>
                  <a:bodyPr/>
                  <a:lstStyle/>
                  <a:p>
                    <a:fld id="{5B1FBCED-3F67-4D8A-9032-AEE0EBAC6C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176A-48F1-8314-04C65A982C05}"/>
                </c:ext>
              </c:extLst>
            </c:dLbl>
            <c:dLbl>
              <c:idx val="195"/>
              <c:tx>
                <c:rich>
                  <a:bodyPr/>
                  <a:lstStyle/>
                  <a:p>
                    <a:fld id="{639BF5C8-46D5-4E04-A7AA-B781558CB0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176A-48F1-8314-04C65A982C05}"/>
                </c:ext>
              </c:extLst>
            </c:dLbl>
            <c:dLbl>
              <c:idx val="196"/>
              <c:tx>
                <c:rich>
                  <a:bodyPr/>
                  <a:lstStyle/>
                  <a:p>
                    <a:fld id="{3AD1EBBF-96CA-41AD-9CD3-85FF463DA7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176A-48F1-8314-04C65A982C05}"/>
                </c:ext>
              </c:extLst>
            </c:dLbl>
            <c:dLbl>
              <c:idx val="197"/>
              <c:tx>
                <c:rich>
                  <a:bodyPr/>
                  <a:lstStyle/>
                  <a:p>
                    <a:fld id="{F6E6A60C-C0E5-4988-9B39-DAE04245A9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176A-48F1-8314-04C65A982C05}"/>
                </c:ext>
              </c:extLst>
            </c:dLbl>
            <c:dLbl>
              <c:idx val="198"/>
              <c:tx>
                <c:rich>
                  <a:bodyPr/>
                  <a:lstStyle/>
                  <a:p>
                    <a:fld id="{48DA6178-0D51-4D4C-95B4-77D2D6746D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176A-48F1-8314-04C65A982C05}"/>
                </c:ext>
              </c:extLst>
            </c:dLbl>
            <c:dLbl>
              <c:idx val="199"/>
              <c:tx>
                <c:rich>
                  <a:bodyPr/>
                  <a:lstStyle/>
                  <a:p>
                    <a:fld id="{4CC1DE6B-65DE-4B2C-BBA6-B60D9D70A3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176A-48F1-8314-04C65A982C05}"/>
                </c:ext>
              </c:extLst>
            </c:dLbl>
            <c:dLbl>
              <c:idx val="200"/>
              <c:tx>
                <c:rich>
                  <a:bodyPr/>
                  <a:lstStyle/>
                  <a:p>
                    <a:fld id="{B07E62EA-04D2-4B6D-8124-68D8F0012B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176A-48F1-8314-04C65A982C05}"/>
                </c:ext>
              </c:extLst>
            </c:dLbl>
            <c:dLbl>
              <c:idx val="201"/>
              <c:tx>
                <c:rich>
                  <a:bodyPr/>
                  <a:lstStyle/>
                  <a:p>
                    <a:fld id="{A8C5E639-F3E7-4D15-A2BE-4337FF5B87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176A-48F1-8314-04C65A982C05}"/>
                </c:ext>
              </c:extLst>
            </c:dLbl>
            <c:dLbl>
              <c:idx val="202"/>
              <c:tx>
                <c:rich>
                  <a:bodyPr/>
                  <a:lstStyle/>
                  <a:p>
                    <a:fld id="{ADAB2646-BCA5-471B-908B-BDC8307F64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176A-48F1-8314-04C65A982C05}"/>
                </c:ext>
              </c:extLst>
            </c:dLbl>
            <c:dLbl>
              <c:idx val="203"/>
              <c:tx>
                <c:rich>
                  <a:bodyPr/>
                  <a:lstStyle/>
                  <a:p>
                    <a:fld id="{7471B143-2254-4992-BAE5-E27660077C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176A-48F1-8314-04C65A982C05}"/>
                </c:ext>
              </c:extLst>
            </c:dLbl>
            <c:dLbl>
              <c:idx val="204"/>
              <c:tx>
                <c:rich>
                  <a:bodyPr/>
                  <a:lstStyle/>
                  <a:p>
                    <a:fld id="{B62ECEEA-7F25-4DDE-A89E-479D4D0529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176A-48F1-8314-04C65A982C05}"/>
                </c:ext>
              </c:extLst>
            </c:dLbl>
            <c:dLbl>
              <c:idx val="205"/>
              <c:tx>
                <c:rich>
                  <a:bodyPr/>
                  <a:lstStyle/>
                  <a:p>
                    <a:fld id="{5CF124DA-170E-44FF-92FD-C7C40E2008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176A-48F1-8314-04C65A982C05}"/>
                </c:ext>
              </c:extLst>
            </c:dLbl>
            <c:dLbl>
              <c:idx val="206"/>
              <c:tx>
                <c:rich>
                  <a:bodyPr/>
                  <a:lstStyle/>
                  <a:p>
                    <a:fld id="{E1F5A460-6DAA-40F6-8297-5C03FBEE5C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176A-48F1-8314-04C65A982C05}"/>
                </c:ext>
              </c:extLst>
            </c:dLbl>
            <c:dLbl>
              <c:idx val="207"/>
              <c:tx>
                <c:rich>
                  <a:bodyPr/>
                  <a:lstStyle/>
                  <a:p>
                    <a:fld id="{A7C3ACE9-4AC0-4234-9544-48C9C55554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176A-48F1-8314-04C65A982C05}"/>
                </c:ext>
              </c:extLst>
            </c:dLbl>
            <c:dLbl>
              <c:idx val="208"/>
              <c:tx>
                <c:rich>
                  <a:bodyPr/>
                  <a:lstStyle/>
                  <a:p>
                    <a:fld id="{AE5C7077-3BF2-4957-9A93-92E9D22D8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176A-48F1-8314-04C65A982C05}"/>
                </c:ext>
              </c:extLst>
            </c:dLbl>
            <c:dLbl>
              <c:idx val="209"/>
              <c:tx>
                <c:rich>
                  <a:bodyPr/>
                  <a:lstStyle/>
                  <a:p>
                    <a:fld id="{06EE4C3E-1707-4246-B1C5-504E65ACA8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176A-48F1-8314-04C65A982C05}"/>
                </c:ext>
              </c:extLst>
            </c:dLbl>
            <c:dLbl>
              <c:idx val="210"/>
              <c:tx>
                <c:rich>
                  <a:bodyPr/>
                  <a:lstStyle/>
                  <a:p>
                    <a:fld id="{F42EA8B6-7351-46B1-AAAF-22B06E7E7B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176A-48F1-8314-04C65A982C05}"/>
                </c:ext>
              </c:extLst>
            </c:dLbl>
            <c:dLbl>
              <c:idx val="211"/>
              <c:tx>
                <c:rich>
                  <a:bodyPr/>
                  <a:lstStyle/>
                  <a:p>
                    <a:fld id="{4A7AE101-3EE6-4264-9CEC-11B5FB0181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176A-48F1-8314-04C65A982C05}"/>
                </c:ext>
              </c:extLst>
            </c:dLbl>
            <c:dLbl>
              <c:idx val="212"/>
              <c:tx>
                <c:rich>
                  <a:bodyPr/>
                  <a:lstStyle/>
                  <a:p>
                    <a:fld id="{52C70752-669D-4E26-AB41-F2876A691E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176A-48F1-8314-04C65A982C05}"/>
                </c:ext>
              </c:extLst>
            </c:dLbl>
            <c:dLbl>
              <c:idx val="213"/>
              <c:tx>
                <c:rich>
                  <a:bodyPr/>
                  <a:lstStyle/>
                  <a:p>
                    <a:fld id="{3620696E-76AC-4AC7-A300-67E2729651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176A-48F1-8314-04C65A982C05}"/>
                </c:ext>
              </c:extLst>
            </c:dLbl>
            <c:dLbl>
              <c:idx val="214"/>
              <c:tx>
                <c:rich>
                  <a:bodyPr/>
                  <a:lstStyle/>
                  <a:p>
                    <a:fld id="{D89EADFF-64B4-47B8-BAF9-D84F40A7F4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176A-48F1-8314-04C65A982C05}"/>
                </c:ext>
              </c:extLst>
            </c:dLbl>
            <c:dLbl>
              <c:idx val="215"/>
              <c:tx>
                <c:rich>
                  <a:bodyPr/>
                  <a:lstStyle/>
                  <a:p>
                    <a:fld id="{AE76AA8D-FDC4-4270-BE96-CDEDAA9512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176A-48F1-8314-04C65A982C05}"/>
                </c:ext>
              </c:extLst>
            </c:dLbl>
            <c:dLbl>
              <c:idx val="216"/>
              <c:tx>
                <c:rich>
                  <a:bodyPr/>
                  <a:lstStyle/>
                  <a:p>
                    <a:fld id="{79827104-1105-461B-A6EE-44340A4F14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176A-48F1-8314-04C65A982C05}"/>
                </c:ext>
              </c:extLst>
            </c:dLbl>
            <c:dLbl>
              <c:idx val="217"/>
              <c:tx>
                <c:rich>
                  <a:bodyPr/>
                  <a:lstStyle/>
                  <a:p>
                    <a:fld id="{9785A13E-5BC7-41E2-9622-8293B8F84F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176A-48F1-8314-04C65A982C05}"/>
                </c:ext>
              </c:extLst>
            </c:dLbl>
            <c:dLbl>
              <c:idx val="218"/>
              <c:tx>
                <c:rich>
                  <a:bodyPr/>
                  <a:lstStyle/>
                  <a:p>
                    <a:fld id="{9E5E28B4-C0E6-4730-85E1-568F236CA7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176A-48F1-8314-04C65A982C05}"/>
                </c:ext>
              </c:extLst>
            </c:dLbl>
            <c:dLbl>
              <c:idx val="219"/>
              <c:tx>
                <c:rich>
                  <a:bodyPr/>
                  <a:lstStyle/>
                  <a:p>
                    <a:fld id="{F3FF8A06-55A8-4E0F-8D83-3DCEB9884E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176A-48F1-8314-04C65A982C05}"/>
                </c:ext>
              </c:extLst>
            </c:dLbl>
            <c:dLbl>
              <c:idx val="220"/>
              <c:tx>
                <c:rich>
                  <a:bodyPr/>
                  <a:lstStyle/>
                  <a:p>
                    <a:fld id="{4BFF946C-04E9-41A5-829A-0F69AE8B76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176A-48F1-8314-04C65A982C05}"/>
                </c:ext>
              </c:extLst>
            </c:dLbl>
            <c:dLbl>
              <c:idx val="221"/>
              <c:tx>
                <c:rich>
                  <a:bodyPr/>
                  <a:lstStyle/>
                  <a:p>
                    <a:fld id="{66E1E725-FD27-4835-B731-495F88C455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176A-48F1-8314-04C65A982C05}"/>
                </c:ext>
              </c:extLst>
            </c:dLbl>
            <c:dLbl>
              <c:idx val="222"/>
              <c:tx>
                <c:rich>
                  <a:bodyPr/>
                  <a:lstStyle/>
                  <a:p>
                    <a:fld id="{8FFE8B47-4A1A-4AD6-958A-C5CDC5D32A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176A-48F1-8314-04C65A982C05}"/>
                </c:ext>
              </c:extLst>
            </c:dLbl>
            <c:dLbl>
              <c:idx val="223"/>
              <c:tx>
                <c:rich>
                  <a:bodyPr/>
                  <a:lstStyle/>
                  <a:p>
                    <a:fld id="{D0E53C3E-42C9-432E-90D0-E9EDE5DEC0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176A-48F1-8314-04C65A982C05}"/>
                </c:ext>
              </c:extLst>
            </c:dLbl>
            <c:dLbl>
              <c:idx val="224"/>
              <c:tx>
                <c:rich>
                  <a:bodyPr/>
                  <a:lstStyle/>
                  <a:p>
                    <a:fld id="{FCB2E124-650A-4ACA-BC95-14B08A9021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176A-48F1-8314-04C65A982C05}"/>
                </c:ext>
              </c:extLst>
            </c:dLbl>
            <c:dLbl>
              <c:idx val="225"/>
              <c:tx>
                <c:rich>
                  <a:bodyPr/>
                  <a:lstStyle/>
                  <a:p>
                    <a:fld id="{DE0D41DA-767C-4B58-AC6B-485F7EECBA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176A-48F1-8314-04C65A982C05}"/>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176A-48F1-8314-04C65A982C05}"/>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176A-48F1-8314-04C65A982C05}"/>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176A-48F1-8314-04C65A982C05}"/>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176A-48F1-8314-04C65A982C05}"/>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176A-48F1-8314-04C65A982C05}"/>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176A-48F1-8314-04C65A982C05}"/>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176A-48F1-8314-04C65A982C05}"/>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176A-48F1-8314-04C65A982C05}"/>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176A-48F1-8314-04C65A982C05}"/>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176A-48F1-8314-04C65A982C05}"/>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176A-48F1-8314-04C65A982C05}"/>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176A-48F1-8314-04C65A982C05}"/>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176A-48F1-8314-04C65A982C05}"/>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176A-48F1-8314-04C65A982C05}"/>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176A-48F1-8314-04C65A982C05}"/>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176A-48F1-8314-04C65A982C05}"/>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176A-48F1-8314-04C65A982C05}"/>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176A-48F1-8314-04C65A982C05}"/>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176A-48F1-8314-04C65A982C05}"/>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176A-48F1-8314-04C65A982C05}"/>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176A-48F1-8314-04C65A982C05}"/>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176A-48F1-8314-04C65A982C05}"/>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176A-48F1-8314-04C65A982C05}"/>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176A-48F1-8314-04C65A982C05}"/>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176A-48F1-8314-04C65A982C05}"/>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176A-48F1-8314-04C65A982C05}"/>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176A-48F1-8314-04C65A982C05}"/>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176A-48F1-8314-04C65A982C05}"/>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176A-48F1-8314-04C65A982C05}"/>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176A-48F1-8314-04C65A982C05}"/>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176A-48F1-8314-04C65A982C05}"/>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176A-48F1-8314-04C65A982C05}"/>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176A-48F1-8314-04C65A982C05}"/>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176A-48F1-8314-04C65A982C05}"/>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176A-48F1-8314-04C65A982C05}"/>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176A-48F1-8314-04C65A982C05}"/>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176A-48F1-8314-04C65A982C05}"/>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176A-48F1-8314-04C65A982C05}"/>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176A-48F1-8314-04C65A982C05}"/>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176A-48F1-8314-04C65A982C05}"/>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176A-48F1-8314-04C65A982C05}"/>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176A-48F1-8314-04C65A982C05}"/>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176A-48F1-8314-04C65A982C05}"/>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176A-48F1-8314-04C65A982C05}"/>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176A-48F1-8314-04C65A982C05}"/>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176A-48F1-8314-04C65A982C05}"/>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176A-48F1-8314-04C65A982C05}"/>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176A-48F1-8314-04C65A982C05}"/>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176A-48F1-8314-04C65A982C05}"/>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176A-48F1-8314-04C65A982C05}"/>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176A-48F1-8314-04C65A982C05}"/>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176A-48F1-8314-04C65A982C05}"/>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176A-48F1-8314-04C65A982C05}"/>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176A-48F1-8314-04C65A982C05}"/>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176A-48F1-8314-04C65A982C05}"/>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176A-48F1-8314-04C65A982C05}"/>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176A-48F1-8314-04C65A982C05}"/>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176A-48F1-8314-04C65A982C05}"/>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176A-48F1-8314-04C65A982C05}"/>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176A-48F1-8314-04C65A982C05}"/>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176A-48F1-8314-04C65A982C05}"/>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176A-48F1-8314-04C65A982C05}"/>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176A-48F1-8314-04C65A982C05}"/>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176A-48F1-8314-04C65A982C05}"/>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176A-48F1-8314-04C65A982C05}"/>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176A-48F1-8314-04C65A982C05}"/>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176A-48F1-8314-04C65A982C05}"/>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176A-48F1-8314-04C65A982C05}"/>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176A-48F1-8314-04C65A982C05}"/>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176A-48F1-8314-04C65A982C05}"/>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176A-48F1-8314-04C65A982C05}"/>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176A-48F1-8314-04C65A982C05}"/>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176A-48F1-8314-04C65A982C05}"/>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54.025966644287109</c:v>
                </c:pt>
                <c:pt idx="1">
                  <c:v>54.321552276611328</c:v>
                </c:pt>
                <c:pt idx="2">
                  <c:v>53.441268920898438</c:v>
                </c:pt>
                <c:pt idx="3">
                  <c:v>51.914558410644531</c:v>
                </c:pt>
                <c:pt idx="4">
                  <c:v>49.903224945068359</c:v>
                </c:pt>
                <c:pt idx="5">
                  <c:v>47.438808441162109</c:v>
                </c:pt>
                <c:pt idx="6">
                  <c:v>44.351364135742188</c:v>
                </c:pt>
                <c:pt idx="7">
                  <c:v>41.066535949707031</c:v>
                </c:pt>
                <c:pt idx="8">
                  <c:v>38.350082397460938</c:v>
                </c:pt>
                <c:pt idx="9">
                  <c:v>36.387897491455078</c:v>
                </c:pt>
                <c:pt idx="10">
                  <c:v>35.160762786865234</c:v>
                </c:pt>
                <c:pt idx="11">
                  <c:v>34.459308624267578</c:v>
                </c:pt>
                <c:pt idx="12">
                  <c:v>33.921367645263672</c:v>
                </c:pt>
                <c:pt idx="13">
                  <c:v>33.246311187744141</c:v>
                </c:pt>
                <c:pt idx="14">
                  <c:v>32.377265930175781</c:v>
                </c:pt>
                <c:pt idx="15">
                  <c:v>31.311792373657227</c:v>
                </c:pt>
                <c:pt idx="16">
                  <c:v>30.088558197021484</c:v>
                </c:pt>
                <c:pt idx="17">
                  <c:v>28.782400131225586</c:v>
                </c:pt>
                <c:pt idx="18">
                  <c:v>27.475347518920898</c:v>
                </c:pt>
                <c:pt idx="19">
                  <c:v>26.355443954467773</c:v>
                </c:pt>
                <c:pt idx="20">
                  <c:v>25.57689094543457</c:v>
                </c:pt>
                <c:pt idx="21">
                  <c:v>25.293142318725586</c:v>
                </c:pt>
                <c:pt idx="22">
                  <c:v>25.583740234375</c:v>
                </c:pt>
                <c:pt idx="23">
                  <c:v>26.404592514038086</c:v>
                </c:pt>
                <c:pt idx="24">
                  <c:v>27.941946029663086</c:v>
                </c:pt>
                <c:pt idx="25">
                  <c:v>30.128349304199219</c:v>
                </c:pt>
                <c:pt idx="26">
                  <c:v>33.015560150146484</c:v>
                </c:pt>
                <c:pt idx="27">
                  <c:v>36.395320892333984</c:v>
                </c:pt>
                <c:pt idx="28">
                  <c:v>40.418857574462891</c:v>
                </c:pt>
                <c:pt idx="29">
                  <c:v>44.719993591308594</c:v>
                </c:pt>
                <c:pt idx="30">
                  <c:v>49.45745849609375</c:v>
                </c:pt>
                <c:pt idx="31">
                  <c:v>54.301265716552734</c:v>
                </c:pt>
                <c:pt idx="32">
                  <c:v>59.42120361328125</c:v>
                </c:pt>
                <c:pt idx="33">
                  <c:v>64.645797729492188</c:v>
                </c:pt>
                <c:pt idx="34">
                  <c:v>69.7509765625</c:v>
                </c:pt>
                <c:pt idx="35">
                  <c:v>74.865478515625</c:v>
                </c:pt>
                <c:pt idx="36">
                  <c:v>79.765174865722656</c:v>
                </c:pt>
                <c:pt idx="37">
                  <c:v>84.385704040527344</c:v>
                </c:pt>
                <c:pt idx="38">
                  <c:v>88.598274230957031</c:v>
                </c:pt>
                <c:pt idx="39">
                  <c:v>92.471946716308594</c:v>
                </c:pt>
                <c:pt idx="40">
                  <c:v>95.620872497558594</c:v>
                </c:pt>
                <c:pt idx="41">
                  <c:v>97.9705810546875</c:v>
                </c:pt>
                <c:pt idx="42">
                  <c:v>99.490440368652344</c:v>
                </c:pt>
                <c:pt idx="43">
                  <c:v>100</c:v>
                </c:pt>
                <c:pt idx="44">
                  <c:v>99.537872314453125</c:v>
                </c:pt>
                <c:pt idx="45">
                  <c:v>98.116989135742188</c:v>
                </c:pt>
                <c:pt idx="46">
                  <c:v>95.728294372558594</c:v>
                </c:pt>
                <c:pt idx="47">
                  <c:v>92.407470703125</c:v>
                </c:pt>
                <c:pt idx="48">
                  <c:v>88.282028198242188</c:v>
                </c:pt>
                <c:pt idx="49">
                  <c:v>83.403068542480469</c:v>
                </c:pt>
                <c:pt idx="50">
                  <c:v>77.911338806152344</c:v>
                </c:pt>
                <c:pt idx="51">
                  <c:v>71.935638427734375</c:v>
                </c:pt>
                <c:pt idx="52">
                  <c:v>65.6221923828125</c:v>
                </c:pt>
                <c:pt idx="53">
                  <c:v>59.117229461669922</c:v>
                </c:pt>
                <c:pt idx="54">
                  <c:v>52.354736328125</c:v>
                </c:pt>
                <c:pt idx="55">
                  <c:v>45.901439666748047</c:v>
                </c:pt>
                <c:pt idx="56">
                  <c:v>39.671192169189453</c:v>
                </c:pt>
                <c:pt idx="57">
                  <c:v>33.754837036132813</c:v>
                </c:pt>
                <c:pt idx="58">
                  <c:v>28.224273681640625</c:v>
                </c:pt>
                <c:pt idx="59">
                  <c:v>23.447046279907227</c:v>
                </c:pt>
                <c:pt idx="60">
                  <c:v>19.246604919433594</c:v>
                </c:pt>
                <c:pt idx="61">
                  <c:v>15.562938690185547</c:v>
                </c:pt>
                <c:pt idx="62">
                  <c:v>12.636892318725586</c:v>
                </c:pt>
                <c:pt idx="63">
                  <c:v>10.098960876464844</c:v>
                </c:pt>
                <c:pt idx="64">
                  <c:v>8.1195926666259766</c:v>
                </c:pt>
                <c:pt idx="65">
                  <c:v>6.6365966796875</c:v>
                </c:pt>
                <c:pt idx="66">
                  <c:v>5.5454463958740234</c:v>
                </c:pt>
                <c:pt idx="67">
                  <c:v>4.7148799896240234</c:v>
                </c:pt>
                <c:pt idx="68">
                  <c:v>4.1294436454772949</c:v>
                </c:pt>
                <c:pt idx="69">
                  <c:v>3.7146451473236084</c:v>
                </c:pt>
                <c:pt idx="70">
                  <c:v>3.3769900798797607</c:v>
                </c:pt>
                <c:pt idx="71">
                  <c:v>3.2266669273376465</c:v>
                </c:pt>
                <c:pt idx="72">
                  <c:v>3.1366772651672363</c:v>
                </c:pt>
                <c:pt idx="73">
                  <c:v>3.0281720161437988</c:v>
                </c:pt>
                <c:pt idx="74">
                  <c:v>2.9895455837249756</c:v>
                </c:pt>
                <c:pt idx="75">
                  <c:v>2.9815158843994141</c:v>
                </c:pt>
                <c:pt idx="76">
                  <c:v>2.9863541126251221</c:v>
                </c:pt>
                <c:pt idx="77">
                  <c:v>3.0506513118743896</c:v>
                </c:pt>
                <c:pt idx="78">
                  <c:v>3.0640149116516113</c:v>
                </c:pt>
                <c:pt idx="79">
                  <c:v>3.0319247245788574</c:v>
                </c:pt>
                <c:pt idx="80">
                  <c:v>3.0673739910125732</c:v>
                </c:pt>
                <c:pt idx="81">
                  <c:v>3.0350871086120605</c:v>
                </c:pt>
                <c:pt idx="82">
                  <c:v>3.0730941295623779</c:v>
                </c:pt>
                <c:pt idx="83">
                  <c:v>3.1314525604248047</c:v>
                </c:pt>
                <c:pt idx="84">
                  <c:v>3.0739829540252686</c:v>
                </c:pt>
                <c:pt idx="85">
                  <c:v>3.0752072334289551</c:v>
                </c:pt>
                <c:pt idx="86">
                  <c:v>3.0912742614746094</c:v>
                </c:pt>
                <c:pt idx="87">
                  <c:v>3.0915000438690186</c:v>
                </c:pt>
                <c:pt idx="88">
                  <c:v>3.0293014049530029</c:v>
                </c:pt>
                <c:pt idx="89">
                  <c:v>3.0025303363800049</c:v>
                </c:pt>
                <c:pt idx="90">
                  <c:v>2.952857494354248</c:v>
                </c:pt>
                <c:pt idx="91">
                  <c:v>2.8601205348968506</c:v>
                </c:pt>
                <c:pt idx="92">
                  <c:v>2.8712692260742188</c:v>
                </c:pt>
                <c:pt idx="93">
                  <c:v>2.8078243732452393</c:v>
                </c:pt>
                <c:pt idx="94">
                  <c:v>2.7257988452911377</c:v>
                </c:pt>
                <c:pt idx="95">
                  <c:v>2.656933069229126</c:v>
                </c:pt>
                <c:pt idx="96">
                  <c:v>2.6227078437805176</c:v>
                </c:pt>
                <c:pt idx="97">
                  <c:v>2.608447790145874</c:v>
                </c:pt>
                <c:pt idx="98">
                  <c:v>2.5639774799346924</c:v>
                </c:pt>
                <c:pt idx="99">
                  <c:v>2.5326449871063232</c:v>
                </c:pt>
                <c:pt idx="100">
                  <c:v>2.4993088245391846</c:v>
                </c:pt>
                <c:pt idx="101">
                  <c:v>2.441737174987793</c:v>
                </c:pt>
                <c:pt idx="102">
                  <c:v>2.4598953723907471</c:v>
                </c:pt>
                <c:pt idx="103">
                  <c:v>2.4442875385284424</c:v>
                </c:pt>
                <c:pt idx="104">
                  <c:v>2.3392724990844727</c:v>
                </c:pt>
                <c:pt idx="105">
                  <c:v>2.3190157413482666</c:v>
                </c:pt>
                <c:pt idx="106">
                  <c:v>2.3532629013061523</c:v>
                </c:pt>
                <c:pt idx="107">
                  <c:v>2.3332099914550781</c:v>
                </c:pt>
                <c:pt idx="108">
                  <c:v>2.3904027938842773</c:v>
                </c:pt>
                <c:pt idx="109">
                  <c:v>2.3906869888305664</c:v>
                </c:pt>
                <c:pt idx="110">
                  <c:v>2.3212528228759766</c:v>
                </c:pt>
                <c:pt idx="111">
                  <c:v>2.3273079395294189</c:v>
                </c:pt>
                <c:pt idx="112">
                  <c:v>2.4293060302734375</c:v>
                </c:pt>
                <c:pt idx="113">
                  <c:v>2.4494755268096924</c:v>
                </c:pt>
                <c:pt idx="114">
                  <c:v>2.3415169715881348</c:v>
                </c:pt>
                <c:pt idx="115">
                  <c:v>2.3055791854858398</c:v>
                </c:pt>
                <c:pt idx="116">
                  <c:v>2.3514049053192139</c:v>
                </c:pt>
                <c:pt idx="117">
                  <c:v>2.3806533813476563</c:v>
                </c:pt>
                <c:pt idx="118">
                  <c:v>2.3580574989318848</c:v>
                </c:pt>
                <c:pt idx="119">
                  <c:v>2.3617372512817383</c:v>
                </c:pt>
                <c:pt idx="120">
                  <c:v>2.3388280868530273</c:v>
                </c:pt>
                <c:pt idx="121">
                  <c:v>2.3986730575561523</c:v>
                </c:pt>
                <c:pt idx="122">
                  <c:v>2.3702991008758545</c:v>
                </c:pt>
                <c:pt idx="123">
                  <c:v>2.2891843318939209</c:v>
                </c:pt>
                <c:pt idx="124">
                  <c:v>2.4027681350708008</c:v>
                </c:pt>
                <c:pt idx="125">
                  <c:v>2.391495943069458</c:v>
                </c:pt>
                <c:pt idx="126">
                  <c:v>2.3192853927612305</c:v>
                </c:pt>
                <c:pt idx="127">
                  <c:v>2.3511133193969727</c:v>
                </c:pt>
                <c:pt idx="128">
                  <c:v>2.4095594882965088</c:v>
                </c:pt>
                <c:pt idx="129">
                  <c:v>2.483715295791626</c:v>
                </c:pt>
                <c:pt idx="130">
                  <c:v>2.4416060447692871</c:v>
                </c:pt>
                <c:pt idx="131">
                  <c:v>2.3617954254150391</c:v>
                </c:pt>
                <c:pt idx="132">
                  <c:v>2.3649070262908936</c:v>
                </c:pt>
                <c:pt idx="133">
                  <c:v>2.4145653247833252</c:v>
                </c:pt>
                <c:pt idx="134">
                  <c:v>2.4784982204437256</c:v>
                </c:pt>
                <c:pt idx="135">
                  <c:v>2.4302315711975098</c:v>
                </c:pt>
                <c:pt idx="136">
                  <c:v>2.5865588188171387</c:v>
                </c:pt>
                <c:pt idx="137">
                  <c:v>2.7057242393493652</c:v>
                </c:pt>
                <c:pt idx="138">
                  <c:v>2.391364574432373</c:v>
                </c:pt>
                <c:pt idx="139">
                  <c:v>2.1655957698822021</c:v>
                </c:pt>
                <c:pt idx="140">
                  <c:v>2.204193115234375</c:v>
                </c:pt>
                <c:pt idx="141">
                  <c:v>2.2585148811340332</c:v>
                </c:pt>
                <c:pt idx="142">
                  <c:v>2.2460110187530518</c:v>
                </c:pt>
                <c:pt idx="143">
                  <c:v>2.2965292930603027</c:v>
                </c:pt>
                <c:pt idx="144">
                  <c:v>2.4169552326202393</c:v>
                </c:pt>
                <c:pt idx="145">
                  <c:v>2.3409266471862793</c:v>
                </c:pt>
                <c:pt idx="146">
                  <c:v>2.3905339241027832</c:v>
                </c:pt>
                <c:pt idx="147">
                  <c:v>2.3354544639587402</c:v>
                </c:pt>
                <c:pt idx="148">
                  <c:v>2.1669292449951172</c:v>
                </c:pt>
                <c:pt idx="149">
                  <c:v>2.2036831378936768</c:v>
                </c:pt>
                <c:pt idx="150">
                  <c:v>2.2962961196899414</c:v>
                </c:pt>
                <c:pt idx="151">
                  <c:v>2.1827995777130127</c:v>
                </c:pt>
                <c:pt idx="152">
                  <c:v>2.0775225162506104</c:v>
                </c:pt>
                <c:pt idx="153">
                  <c:v>2.0334019660949707</c:v>
                </c:pt>
                <c:pt idx="154">
                  <c:v>2.0659875869750977</c:v>
                </c:pt>
                <c:pt idx="155">
                  <c:v>2.1784348487854004</c:v>
                </c:pt>
                <c:pt idx="156">
                  <c:v>2.1912813186645508</c:v>
                </c:pt>
                <c:pt idx="157">
                  <c:v>2.1495215892791748</c:v>
                </c:pt>
                <c:pt idx="158">
                  <c:v>2.1954345703125</c:v>
                </c:pt>
                <c:pt idx="159">
                  <c:v>2.1747040748596191</c:v>
                </c:pt>
                <c:pt idx="160">
                  <c:v>2.1630308628082275</c:v>
                </c:pt>
                <c:pt idx="161">
                  <c:v>2.1529316902160645</c:v>
                </c:pt>
                <c:pt idx="162">
                  <c:v>2.0403168201446533</c:v>
                </c:pt>
                <c:pt idx="163">
                  <c:v>2.1134819984436035</c:v>
                </c:pt>
                <c:pt idx="164">
                  <c:v>2.1849782466888428</c:v>
                </c:pt>
                <c:pt idx="165">
                  <c:v>2.1669437885284424</c:v>
                </c:pt>
                <c:pt idx="166">
                  <c:v>2.126838207244873</c:v>
                </c:pt>
                <c:pt idx="167">
                  <c:v>2.177910327911377</c:v>
                </c:pt>
                <c:pt idx="168">
                  <c:v>2.2486779689788818</c:v>
                </c:pt>
                <c:pt idx="169">
                  <c:v>2.1288712024688721</c:v>
                </c:pt>
                <c:pt idx="170">
                  <c:v>2.1832294464111328</c:v>
                </c:pt>
                <c:pt idx="171">
                  <c:v>2.2029762268066406</c:v>
                </c:pt>
                <c:pt idx="172">
                  <c:v>2.0447471141815186</c:v>
                </c:pt>
                <c:pt idx="173">
                  <c:v>2.0384078025817871</c:v>
                </c:pt>
                <c:pt idx="174">
                  <c:v>2.0164749622344971</c:v>
                </c:pt>
                <c:pt idx="175">
                  <c:v>2.0048530101776123</c:v>
                </c:pt>
                <c:pt idx="176">
                  <c:v>2.1446468830108643</c:v>
                </c:pt>
                <c:pt idx="177">
                  <c:v>2.1498932838439941</c:v>
                </c:pt>
                <c:pt idx="178">
                  <c:v>2.0861790180206299</c:v>
                </c:pt>
                <c:pt idx="179">
                  <c:v>2.0309245586395264</c:v>
                </c:pt>
                <c:pt idx="180">
                  <c:v>2.0502047538757324</c:v>
                </c:pt>
                <c:pt idx="181">
                  <c:v>2.0371108055114746</c:v>
                </c:pt>
                <c:pt idx="182">
                  <c:v>2</c:v>
                </c:pt>
                <c:pt idx="183">
                  <c:v>2.0844883918762207</c:v>
                </c:pt>
                <c:pt idx="184">
                  <c:v>2.1783473491668701</c:v>
                </c:pt>
                <c:pt idx="185">
                  <c:v>2.141265869140625</c:v>
                </c:pt>
                <c:pt idx="186">
                  <c:v>2.1267509460449219</c:v>
                </c:pt>
                <c:pt idx="187">
                  <c:v>2.0965039730072021</c:v>
                </c:pt>
                <c:pt idx="188">
                  <c:v>2.1322376728057861</c:v>
                </c:pt>
                <c:pt idx="189">
                  <c:v>2.2320425510406494</c:v>
                </c:pt>
                <c:pt idx="190">
                  <c:v>2.2068455219268799</c:v>
                </c:pt>
                <c:pt idx="191">
                  <c:v>2.1481297016143799</c:v>
                </c:pt>
                <c:pt idx="192">
                  <c:v>2.12857985496521</c:v>
                </c:pt>
                <c:pt idx="193">
                  <c:v>2.1649401187896729</c:v>
                </c:pt>
                <c:pt idx="194">
                  <c:v>2.205803394317627</c:v>
                </c:pt>
                <c:pt idx="195">
                  <c:v>2.1655011177062988</c:v>
                </c:pt>
                <c:pt idx="196">
                  <c:v>2.2392563819885254</c:v>
                </c:pt>
                <c:pt idx="197">
                  <c:v>2.1586370468139648</c:v>
                </c:pt>
                <c:pt idx="198">
                  <c:v>2.1152234077453613</c:v>
                </c:pt>
                <c:pt idx="199">
                  <c:v>2.2188901901245117</c:v>
                </c:pt>
                <c:pt idx="200">
                  <c:v>2.1879804134368896</c:v>
                </c:pt>
                <c:pt idx="201">
                  <c:v>2.1492519378662109</c:v>
                </c:pt>
                <c:pt idx="202">
                  <c:v>2.145054817199707</c:v>
                </c:pt>
                <c:pt idx="203">
                  <c:v>2.1402676105499268</c:v>
                </c:pt>
                <c:pt idx="204">
                  <c:v>2.1265103816986084</c:v>
                </c:pt>
                <c:pt idx="205">
                  <c:v>2.2009942531585693</c:v>
                </c:pt>
                <c:pt idx="206">
                  <c:v>2.1913249492645264</c:v>
                </c:pt>
                <c:pt idx="207">
                  <c:v>2.2362761497497559</c:v>
                </c:pt>
                <c:pt idx="208">
                  <c:v>2.1832659244537354</c:v>
                </c:pt>
                <c:pt idx="209">
                  <c:v>2.1759500503540039</c:v>
                </c:pt>
                <c:pt idx="210">
                  <c:v>2.1800744533538818</c:v>
                </c:pt>
                <c:pt idx="211">
                  <c:v>2.2234225273132324</c:v>
                </c:pt>
                <c:pt idx="212">
                  <c:v>2.2864007949829102</c:v>
                </c:pt>
                <c:pt idx="213">
                  <c:v>2.1847670078277588</c:v>
                </c:pt>
                <c:pt idx="214">
                  <c:v>2.2229561805725098</c:v>
                </c:pt>
                <c:pt idx="215">
                  <c:v>2.2204058170318604</c:v>
                </c:pt>
                <c:pt idx="216">
                  <c:v>2.2185478210449219</c:v>
                </c:pt>
                <c:pt idx="217">
                  <c:v>2.1914050579071045</c:v>
                </c:pt>
                <c:pt idx="218">
                  <c:v>2.2351758480072021</c:v>
                </c:pt>
                <c:pt idx="219">
                  <c:v>2.2982997894287109</c:v>
                </c:pt>
                <c:pt idx="220">
                  <c:v>2.183870792388916</c:v>
                </c:pt>
                <c:pt idx="221">
                  <c:v>2.1399614810943604</c:v>
                </c:pt>
                <c:pt idx="222">
                  <c:v>2.3251512050628662</c:v>
                </c:pt>
                <c:pt idx="223">
                  <c:v>2.3242111206054688</c:v>
                </c:pt>
                <c:pt idx="224">
                  <c:v>2.2703046798706055</c:v>
                </c:pt>
                <c:pt idx="225">
                  <c:v>2.1198940277099609</c:v>
                </c:pt>
              </c:numCache>
            </c:numRef>
          </c:yVal>
          <c:smooth val="1"/>
          <c:extLst>
            <c:ext xmlns:c15="http://schemas.microsoft.com/office/drawing/2012/chart" uri="{02D57815-91ED-43cb-92C2-25804820EDAC}">
              <c15:datalabelsRange>
                <c15:f>PeakLabels!$E$2:$E$300</c15:f>
                <c15:dlblRangeCache>
                  <c:ptCount val="299"/>
                  <c:pt idx="1">
                    <c:v>192</c:v>
                  </c:pt>
                  <c:pt idx="43">
                    <c:v>276</c:v>
                  </c:pt>
                </c15:dlblRangeCache>
              </c15:datalabelsRange>
            </c:ext>
            <c:ext xmlns:c16="http://schemas.microsoft.com/office/drawing/2014/chart" uri="{C3380CC4-5D6E-409C-BE32-E72D297353CC}">
              <c16:uniqueId val="{00000000-AAAE-4C4E-B521-E0B9974BDE0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210200D-8B96-432A-9EB4-60B180A21E63}"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AE-4C4E-B521-E0B9974BDE05}"/>
                </c:ext>
              </c:extLst>
            </c:dLbl>
            <c:dLbl>
              <c:idx val="1"/>
              <c:tx>
                <c:rich>
                  <a:bodyPr/>
                  <a:lstStyle/>
                  <a:p>
                    <a:fld id="{D5E363A3-8D2C-4B39-A4F6-7B4EDE0FCD2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AE-4C4E-B521-E0B9974BDE05}"/>
                </c:ext>
              </c:extLst>
            </c:dLbl>
            <c:dLbl>
              <c:idx val="2"/>
              <c:tx>
                <c:rich>
                  <a:bodyPr/>
                  <a:lstStyle/>
                  <a:p>
                    <a:fld id="{7E68833A-71E3-4F95-99C5-CB8E1A1B164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AE-4C4E-B521-E0B9974BDE05}"/>
                </c:ext>
              </c:extLst>
            </c:dLbl>
            <c:dLbl>
              <c:idx val="3"/>
              <c:tx>
                <c:rich>
                  <a:bodyPr/>
                  <a:lstStyle/>
                  <a:p>
                    <a:fld id="{A8D3EACC-EB11-442E-A787-CE2A2CB96B6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AE-4C4E-B521-E0B9974BDE05}"/>
                </c:ext>
              </c:extLst>
            </c:dLbl>
            <c:dLbl>
              <c:idx val="4"/>
              <c:tx>
                <c:rich>
                  <a:bodyPr/>
                  <a:lstStyle/>
                  <a:p>
                    <a:fld id="{5F0BD057-3BCE-4D2C-9861-6AA209CC8F3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AE-4C4E-B521-E0B9974BDE0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AAAE-4C4E-B521-E0B9974BDE05}"/>
            </c:ext>
          </c:extLst>
        </c:ser>
        <c:dLbls>
          <c:showLegendKey val="0"/>
          <c:showVal val="0"/>
          <c:showCatName val="0"/>
          <c:showSerName val="0"/>
          <c:showPercent val="0"/>
          <c:showBubbleSize val="0"/>
        </c:dLbls>
        <c:axId val="1569266832"/>
        <c:axId val="1569267920"/>
      </c:scatterChart>
      <c:valAx>
        <c:axId val="1569266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7920"/>
        <c:crossesAt val="0"/>
        <c:crossBetween val="midCat"/>
        <c:majorUnit val="100"/>
      </c:valAx>
      <c:valAx>
        <c:axId val="156926792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6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A6E640F2-3273-4266-8DCD-3939500F5B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8A0-4D14-ABD5-6CCCB4A472B5}"/>
                </c:ext>
              </c:extLst>
            </c:dLbl>
            <c:dLbl>
              <c:idx val="1"/>
              <c:tx>
                <c:rich>
                  <a:bodyPr/>
                  <a:lstStyle/>
                  <a:p>
                    <a:fld id="{E39A485D-D35D-4503-AE0D-6AE81F98AD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8A0-4D14-ABD5-6CCCB4A472B5}"/>
                </c:ext>
              </c:extLst>
            </c:dLbl>
            <c:dLbl>
              <c:idx val="2"/>
              <c:tx>
                <c:rich>
                  <a:bodyPr/>
                  <a:lstStyle/>
                  <a:p>
                    <a:fld id="{BC6622D2-0ECD-42EE-A626-8DCDB7C4B5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8A0-4D14-ABD5-6CCCB4A472B5}"/>
                </c:ext>
              </c:extLst>
            </c:dLbl>
            <c:dLbl>
              <c:idx val="3"/>
              <c:tx>
                <c:rich>
                  <a:bodyPr/>
                  <a:lstStyle/>
                  <a:p>
                    <a:fld id="{72950376-1267-4C68-ADFE-A11DB57181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8A0-4D14-ABD5-6CCCB4A472B5}"/>
                </c:ext>
              </c:extLst>
            </c:dLbl>
            <c:dLbl>
              <c:idx val="4"/>
              <c:tx>
                <c:rich>
                  <a:bodyPr/>
                  <a:lstStyle/>
                  <a:p>
                    <a:fld id="{B5CCBC41-DEDB-486A-AC43-6C065F3B00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8A0-4D14-ABD5-6CCCB4A472B5}"/>
                </c:ext>
              </c:extLst>
            </c:dLbl>
            <c:dLbl>
              <c:idx val="5"/>
              <c:tx>
                <c:rich>
                  <a:bodyPr/>
                  <a:lstStyle/>
                  <a:p>
                    <a:fld id="{5984B53D-E794-430E-A553-E0A31FCAA4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8A0-4D14-ABD5-6CCCB4A472B5}"/>
                </c:ext>
              </c:extLst>
            </c:dLbl>
            <c:dLbl>
              <c:idx val="6"/>
              <c:tx>
                <c:rich>
                  <a:bodyPr/>
                  <a:lstStyle/>
                  <a:p>
                    <a:fld id="{5D2CADA8-A12D-46EE-A950-AA084F6A3F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8A0-4D14-ABD5-6CCCB4A472B5}"/>
                </c:ext>
              </c:extLst>
            </c:dLbl>
            <c:dLbl>
              <c:idx val="7"/>
              <c:tx>
                <c:rich>
                  <a:bodyPr/>
                  <a:lstStyle/>
                  <a:p>
                    <a:fld id="{EDA029B6-BEB1-4EDB-B9D4-D61791150D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8A0-4D14-ABD5-6CCCB4A472B5}"/>
                </c:ext>
              </c:extLst>
            </c:dLbl>
            <c:dLbl>
              <c:idx val="8"/>
              <c:tx>
                <c:rich>
                  <a:bodyPr/>
                  <a:lstStyle/>
                  <a:p>
                    <a:fld id="{E5CED6EB-6AFA-478A-8482-4AFE710E7B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8A0-4D14-ABD5-6CCCB4A472B5}"/>
                </c:ext>
              </c:extLst>
            </c:dLbl>
            <c:dLbl>
              <c:idx val="9"/>
              <c:tx>
                <c:rich>
                  <a:bodyPr/>
                  <a:lstStyle/>
                  <a:p>
                    <a:fld id="{7F7FC83C-77DD-4866-9191-B02F36504F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8A0-4D14-ABD5-6CCCB4A472B5}"/>
                </c:ext>
              </c:extLst>
            </c:dLbl>
            <c:dLbl>
              <c:idx val="10"/>
              <c:tx>
                <c:rich>
                  <a:bodyPr/>
                  <a:lstStyle/>
                  <a:p>
                    <a:fld id="{4CD8D13E-319A-4AE1-8BCF-AF33B24FD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8A0-4D14-ABD5-6CCCB4A472B5}"/>
                </c:ext>
              </c:extLst>
            </c:dLbl>
            <c:dLbl>
              <c:idx val="11"/>
              <c:tx>
                <c:rich>
                  <a:bodyPr/>
                  <a:lstStyle/>
                  <a:p>
                    <a:fld id="{02453BCF-F6A2-4929-92C6-E82F452842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8A0-4D14-ABD5-6CCCB4A472B5}"/>
                </c:ext>
              </c:extLst>
            </c:dLbl>
            <c:dLbl>
              <c:idx val="12"/>
              <c:tx>
                <c:rich>
                  <a:bodyPr/>
                  <a:lstStyle/>
                  <a:p>
                    <a:fld id="{5852B72B-6367-4164-8FDB-E50B51DD76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8A0-4D14-ABD5-6CCCB4A472B5}"/>
                </c:ext>
              </c:extLst>
            </c:dLbl>
            <c:dLbl>
              <c:idx val="13"/>
              <c:tx>
                <c:rich>
                  <a:bodyPr/>
                  <a:lstStyle/>
                  <a:p>
                    <a:fld id="{E1331936-BC13-4763-AEB4-43242B1634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8A0-4D14-ABD5-6CCCB4A472B5}"/>
                </c:ext>
              </c:extLst>
            </c:dLbl>
            <c:dLbl>
              <c:idx val="14"/>
              <c:tx>
                <c:rich>
                  <a:bodyPr/>
                  <a:lstStyle/>
                  <a:p>
                    <a:fld id="{53E27D40-78AB-4048-8BC7-5BFC6FAE9D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8A0-4D14-ABD5-6CCCB4A472B5}"/>
                </c:ext>
              </c:extLst>
            </c:dLbl>
            <c:dLbl>
              <c:idx val="15"/>
              <c:tx>
                <c:rich>
                  <a:bodyPr/>
                  <a:lstStyle/>
                  <a:p>
                    <a:fld id="{E4AEB9C9-2501-46E5-826F-90858038F5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8A0-4D14-ABD5-6CCCB4A472B5}"/>
                </c:ext>
              </c:extLst>
            </c:dLbl>
            <c:dLbl>
              <c:idx val="16"/>
              <c:tx>
                <c:rich>
                  <a:bodyPr/>
                  <a:lstStyle/>
                  <a:p>
                    <a:fld id="{D4629961-F9EF-4E43-9904-D6E3DA0AEC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8A0-4D14-ABD5-6CCCB4A472B5}"/>
                </c:ext>
              </c:extLst>
            </c:dLbl>
            <c:dLbl>
              <c:idx val="17"/>
              <c:tx>
                <c:rich>
                  <a:bodyPr/>
                  <a:lstStyle/>
                  <a:p>
                    <a:fld id="{A4315D5F-1B15-48B0-A78C-3307BE6C70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8A0-4D14-ABD5-6CCCB4A472B5}"/>
                </c:ext>
              </c:extLst>
            </c:dLbl>
            <c:dLbl>
              <c:idx val="18"/>
              <c:tx>
                <c:rich>
                  <a:bodyPr/>
                  <a:lstStyle/>
                  <a:p>
                    <a:fld id="{DB6622F8-6B79-4DF0-8599-E1A2C54A13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8A0-4D14-ABD5-6CCCB4A472B5}"/>
                </c:ext>
              </c:extLst>
            </c:dLbl>
            <c:dLbl>
              <c:idx val="19"/>
              <c:tx>
                <c:rich>
                  <a:bodyPr/>
                  <a:lstStyle/>
                  <a:p>
                    <a:fld id="{70EE1E98-9797-4BC6-8AE1-4B314D240A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8A0-4D14-ABD5-6CCCB4A472B5}"/>
                </c:ext>
              </c:extLst>
            </c:dLbl>
            <c:dLbl>
              <c:idx val="20"/>
              <c:tx>
                <c:rich>
                  <a:bodyPr/>
                  <a:lstStyle/>
                  <a:p>
                    <a:fld id="{B9CA6DF2-D1A3-4C5E-8D9F-AF75DCE6B2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8A0-4D14-ABD5-6CCCB4A472B5}"/>
                </c:ext>
              </c:extLst>
            </c:dLbl>
            <c:dLbl>
              <c:idx val="21"/>
              <c:tx>
                <c:rich>
                  <a:bodyPr/>
                  <a:lstStyle/>
                  <a:p>
                    <a:fld id="{E73911B9-68B3-4E6D-B612-8906764550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8A0-4D14-ABD5-6CCCB4A472B5}"/>
                </c:ext>
              </c:extLst>
            </c:dLbl>
            <c:dLbl>
              <c:idx val="22"/>
              <c:tx>
                <c:rich>
                  <a:bodyPr/>
                  <a:lstStyle/>
                  <a:p>
                    <a:fld id="{FC0CF5C2-F114-41B9-90FC-5ED14FE5AE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8A0-4D14-ABD5-6CCCB4A472B5}"/>
                </c:ext>
              </c:extLst>
            </c:dLbl>
            <c:dLbl>
              <c:idx val="23"/>
              <c:tx>
                <c:rich>
                  <a:bodyPr/>
                  <a:lstStyle/>
                  <a:p>
                    <a:fld id="{75C5F13D-E667-449C-B9FD-6966547C77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8A0-4D14-ABD5-6CCCB4A472B5}"/>
                </c:ext>
              </c:extLst>
            </c:dLbl>
            <c:dLbl>
              <c:idx val="24"/>
              <c:tx>
                <c:rich>
                  <a:bodyPr/>
                  <a:lstStyle/>
                  <a:p>
                    <a:fld id="{6DFD275E-85B3-4FF8-8533-F74E7B5712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8A0-4D14-ABD5-6CCCB4A472B5}"/>
                </c:ext>
              </c:extLst>
            </c:dLbl>
            <c:dLbl>
              <c:idx val="25"/>
              <c:tx>
                <c:rich>
                  <a:bodyPr/>
                  <a:lstStyle/>
                  <a:p>
                    <a:fld id="{76F8CDA1-904C-46BE-92B6-6D277C0716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8A0-4D14-ABD5-6CCCB4A472B5}"/>
                </c:ext>
              </c:extLst>
            </c:dLbl>
            <c:dLbl>
              <c:idx val="26"/>
              <c:tx>
                <c:rich>
                  <a:bodyPr/>
                  <a:lstStyle/>
                  <a:p>
                    <a:fld id="{039790C6-1E69-4B8A-9BD7-ECD148E06A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8A0-4D14-ABD5-6CCCB4A472B5}"/>
                </c:ext>
              </c:extLst>
            </c:dLbl>
            <c:dLbl>
              <c:idx val="27"/>
              <c:tx>
                <c:rich>
                  <a:bodyPr/>
                  <a:lstStyle/>
                  <a:p>
                    <a:fld id="{E2C38A61-F27E-4C34-8DD0-B92F1AA2C9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8A0-4D14-ABD5-6CCCB4A472B5}"/>
                </c:ext>
              </c:extLst>
            </c:dLbl>
            <c:dLbl>
              <c:idx val="28"/>
              <c:tx>
                <c:rich>
                  <a:bodyPr/>
                  <a:lstStyle/>
                  <a:p>
                    <a:fld id="{F25F4120-7F06-4BE3-B46B-8FB2BD35B0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8A0-4D14-ABD5-6CCCB4A472B5}"/>
                </c:ext>
              </c:extLst>
            </c:dLbl>
            <c:dLbl>
              <c:idx val="29"/>
              <c:tx>
                <c:rich>
                  <a:bodyPr/>
                  <a:lstStyle/>
                  <a:p>
                    <a:fld id="{9DE0CC09-FC82-41B8-95F6-EFB427A034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8A0-4D14-ABD5-6CCCB4A472B5}"/>
                </c:ext>
              </c:extLst>
            </c:dLbl>
            <c:dLbl>
              <c:idx val="30"/>
              <c:tx>
                <c:rich>
                  <a:bodyPr/>
                  <a:lstStyle/>
                  <a:p>
                    <a:fld id="{EF01257B-40D6-4598-8114-C1C6574FF3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8A0-4D14-ABD5-6CCCB4A472B5}"/>
                </c:ext>
              </c:extLst>
            </c:dLbl>
            <c:dLbl>
              <c:idx val="31"/>
              <c:tx>
                <c:rich>
                  <a:bodyPr/>
                  <a:lstStyle/>
                  <a:p>
                    <a:fld id="{D3F7F03B-BA9A-4C03-9CAB-B9FB1EA9F6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8A0-4D14-ABD5-6CCCB4A472B5}"/>
                </c:ext>
              </c:extLst>
            </c:dLbl>
            <c:dLbl>
              <c:idx val="32"/>
              <c:tx>
                <c:rich>
                  <a:bodyPr/>
                  <a:lstStyle/>
                  <a:p>
                    <a:fld id="{3850139E-8054-44B6-A049-6E70CE6F98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8A0-4D14-ABD5-6CCCB4A472B5}"/>
                </c:ext>
              </c:extLst>
            </c:dLbl>
            <c:dLbl>
              <c:idx val="33"/>
              <c:tx>
                <c:rich>
                  <a:bodyPr/>
                  <a:lstStyle/>
                  <a:p>
                    <a:fld id="{8265B111-5E6E-4FD4-BD6F-77D3A4D408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8A0-4D14-ABD5-6CCCB4A472B5}"/>
                </c:ext>
              </c:extLst>
            </c:dLbl>
            <c:dLbl>
              <c:idx val="34"/>
              <c:tx>
                <c:rich>
                  <a:bodyPr/>
                  <a:lstStyle/>
                  <a:p>
                    <a:fld id="{9D0D5FC1-E7F3-4C3A-BE41-39DB79AC10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8A0-4D14-ABD5-6CCCB4A472B5}"/>
                </c:ext>
              </c:extLst>
            </c:dLbl>
            <c:dLbl>
              <c:idx val="35"/>
              <c:tx>
                <c:rich>
                  <a:bodyPr/>
                  <a:lstStyle/>
                  <a:p>
                    <a:fld id="{1EDBDA34-F6BF-4B39-A24A-23CFB8AAAC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8A0-4D14-ABD5-6CCCB4A472B5}"/>
                </c:ext>
              </c:extLst>
            </c:dLbl>
            <c:dLbl>
              <c:idx val="36"/>
              <c:tx>
                <c:rich>
                  <a:bodyPr/>
                  <a:lstStyle/>
                  <a:p>
                    <a:fld id="{87B32120-52CE-4934-BA75-125E094A66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8A0-4D14-ABD5-6CCCB4A472B5}"/>
                </c:ext>
              </c:extLst>
            </c:dLbl>
            <c:dLbl>
              <c:idx val="37"/>
              <c:tx>
                <c:rich>
                  <a:bodyPr/>
                  <a:lstStyle/>
                  <a:p>
                    <a:fld id="{81C3CDE0-54D2-437D-99C4-6383BD4801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8A0-4D14-ABD5-6CCCB4A472B5}"/>
                </c:ext>
              </c:extLst>
            </c:dLbl>
            <c:dLbl>
              <c:idx val="38"/>
              <c:tx>
                <c:rich>
                  <a:bodyPr/>
                  <a:lstStyle/>
                  <a:p>
                    <a:fld id="{C773A30C-CCEF-4A9C-B721-DA9DB007D5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8A0-4D14-ABD5-6CCCB4A472B5}"/>
                </c:ext>
              </c:extLst>
            </c:dLbl>
            <c:dLbl>
              <c:idx val="39"/>
              <c:tx>
                <c:rich>
                  <a:bodyPr/>
                  <a:lstStyle/>
                  <a:p>
                    <a:fld id="{CFE27B21-273D-4058-8EDE-932BF60E7F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8A0-4D14-ABD5-6CCCB4A472B5}"/>
                </c:ext>
              </c:extLst>
            </c:dLbl>
            <c:dLbl>
              <c:idx val="40"/>
              <c:tx>
                <c:rich>
                  <a:bodyPr/>
                  <a:lstStyle/>
                  <a:p>
                    <a:fld id="{69A43B99-37E9-4643-961A-384E7FEB7B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8A0-4D14-ABD5-6CCCB4A472B5}"/>
                </c:ext>
              </c:extLst>
            </c:dLbl>
            <c:dLbl>
              <c:idx val="41"/>
              <c:tx>
                <c:rich>
                  <a:bodyPr/>
                  <a:lstStyle/>
                  <a:p>
                    <a:fld id="{41B9AD2A-4AEB-46BC-BA6E-7C62BD5F0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8A0-4D14-ABD5-6CCCB4A472B5}"/>
                </c:ext>
              </c:extLst>
            </c:dLbl>
            <c:dLbl>
              <c:idx val="42"/>
              <c:tx>
                <c:rich>
                  <a:bodyPr/>
                  <a:lstStyle/>
                  <a:p>
                    <a:fld id="{FEE84ADB-E3AC-43A3-BFE8-2D0F33E22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8A0-4D14-ABD5-6CCCB4A472B5}"/>
                </c:ext>
              </c:extLst>
            </c:dLbl>
            <c:dLbl>
              <c:idx val="43"/>
              <c:tx>
                <c:rich>
                  <a:bodyPr/>
                  <a:lstStyle/>
                  <a:p>
                    <a:fld id="{D63FB1C1-974A-4EC1-AC3B-92CB2CF265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8A0-4D14-ABD5-6CCCB4A472B5}"/>
                </c:ext>
              </c:extLst>
            </c:dLbl>
            <c:dLbl>
              <c:idx val="44"/>
              <c:tx>
                <c:rich>
                  <a:bodyPr/>
                  <a:lstStyle/>
                  <a:p>
                    <a:fld id="{69484B29-53C1-46DE-9436-472F8733D5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8A0-4D14-ABD5-6CCCB4A472B5}"/>
                </c:ext>
              </c:extLst>
            </c:dLbl>
            <c:dLbl>
              <c:idx val="45"/>
              <c:tx>
                <c:rich>
                  <a:bodyPr/>
                  <a:lstStyle/>
                  <a:p>
                    <a:fld id="{89C89752-12E3-467F-BB90-56EAA81274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8A0-4D14-ABD5-6CCCB4A472B5}"/>
                </c:ext>
              </c:extLst>
            </c:dLbl>
            <c:dLbl>
              <c:idx val="46"/>
              <c:tx>
                <c:rich>
                  <a:bodyPr/>
                  <a:lstStyle/>
                  <a:p>
                    <a:fld id="{D7B33CF8-B524-4D83-B671-3BB655D69D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8A0-4D14-ABD5-6CCCB4A472B5}"/>
                </c:ext>
              </c:extLst>
            </c:dLbl>
            <c:dLbl>
              <c:idx val="47"/>
              <c:tx>
                <c:rich>
                  <a:bodyPr/>
                  <a:lstStyle/>
                  <a:p>
                    <a:fld id="{7B354731-6C9A-4493-95CB-5AC7EA45F3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8A0-4D14-ABD5-6CCCB4A472B5}"/>
                </c:ext>
              </c:extLst>
            </c:dLbl>
            <c:dLbl>
              <c:idx val="48"/>
              <c:tx>
                <c:rich>
                  <a:bodyPr/>
                  <a:lstStyle/>
                  <a:p>
                    <a:fld id="{EFDC53A4-D1A0-4BE3-B1F3-15AD748C3E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8A0-4D14-ABD5-6CCCB4A472B5}"/>
                </c:ext>
              </c:extLst>
            </c:dLbl>
            <c:dLbl>
              <c:idx val="49"/>
              <c:tx>
                <c:rich>
                  <a:bodyPr/>
                  <a:lstStyle/>
                  <a:p>
                    <a:fld id="{72E4D152-D467-4F38-8AA1-44FE3F6B08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8A0-4D14-ABD5-6CCCB4A472B5}"/>
                </c:ext>
              </c:extLst>
            </c:dLbl>
            <c:dLbl>
              <c:idx val="50"/>
              <c:tx>
                <c:rich>
                  <a:bodyPr/>
                  <a:lstStyle/>
                  <a:p>
                    <a:fld id="{D0DF06F2-8269-4A83-B806-66A9B866BF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8A0-4D14-ABD5-6CCCB4A472B5}"/>
                </c:ext>
              </c:extLst>
            </c:dLbl>
            <c:dLbl>
              <c:idx val="51"/>
              <c:tx>
                <c:rich>
                  <a:bodyPr/>
                  <a:lstStyle/>
                  <a:p>
                    <a:fld id="{9A94EBE2-C0EB-4580-9F64-1FDD88E1E8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8A0-4D14-ABD5-6CCCB4A472B5}"/>
                </c:ext>
              </c:extLst>
            </c:dLbl>
            <c:dLbl>
              <c:idx val="52"/>
              <c:tx>
                <c:rich>
                  <a:bodyPr/>
                  <a:lstStyle/>
                  <a:p>
                    <a:fld id="{E384547F-DEAC-4BDB-A431-E2EC981931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8A0-4D14-ABD5-6CCCB4A472B5}"/>
                </c:ext>
              </c:extLst>
            </c:dLbl>
            <c:dLbl>
              <c:idx val="53"/>
              <c:tx>
                <c:rich>
                  <a:bodyPr/>
                  <a:lstStyle/>
                  <a:p>
                    <a:fld id="{480FB4EC-17BD-453F-B254-85F1EF88D1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8A0-4D14-ABD5-6CCCB4A472B5}"/>
                </c:ext>
              </c:extLst>
            </c:dLbl>
            <c:dLbl>
              <c:idx val="54"/>
              <c:tx>
                <c:rich>
                  <a:bodyPr/>
                  <a:lstStyle/>
                  <a:p>
                    <a:fld id="{2C7BFC2E-D5B5-4800-AF45-AA4B557CFD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8A0-4D14-ABD5-6CCCB4A472B5}"/>
                </c:ext>
              </c:extLst>
            </c:dLbl>
            <c:dLbl>
              <c:idx val="55"/>
              <c:tx>
                <c:rich>
                  <a:bodyPr/>
                  <a:lstStyle/>
                  <a:p>
                    <a:fld id="{01B341ED-2F97-4959-9F55-B9E9B8C48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8A0-4D14-ABD5-6CCCB4A472B5}"/>
                </c:ext>
              </c:extLst>
            </c:dLbl>
            <c:dLbl>
              <c:idx val="56"/>
              <c:tx>
                <c:rich>
                  <a:bodyPr/>
                  <a:lstStyle/>
                  <a:p>
                    <a:fld id="{79BDF2A0-5313-46DB-8296-C8DC46DBE8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8A0-4D14-ABD5-6CCCB4A472B5}"/>
                </c:ext>
              </c:extLst>
            </c:dLbl>
            <c:dLbl>
              <c:idx val="57"/>
              <c:tx>
                <c:rich>
                  <a:bodyPr/>
                  <a:lstStyle/>
                  <a:p>
                    <a:fld id="{9B8B2221-0822-456B-900F-1EE33C331E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8A0-4D14-ABD5-6CCCB4A472B5}"/>
                </c:ext>
              </c:extLst>
            </c:dLbl>
            <c:dLbl>
              <c:idx val="58"/>
              <c:tx>
                <c:rich>
                  <a:bodyPr/>
                  <a:lstStyle/>
                  <a:p>
                    <a:fld id="{BE833F22-BCE4-41A9-9342-17D9FF21A7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8A0-4D14-ABD5-6CCCB4A472B5}"/>
                </c:ext>
              </c:extLst>
            </c:dLbl>
            <c:dLbl>
              <c:idx val="59"/>
              <c:tx>
                <c:rich>
                  <a:bodyPr/>
                  <a:lstStyle/>
                  <a:p>
                    <a:fld id="{E71B1DC2-E8AA-4AF8-AA9F-75305F4223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8A0-4D14-ABD5-6CCCB4A472B5}"/>
                </c:ext>
              </c:extLst>
            </c:dLbl>
            <c:dLbl>
              <c:idx val="60"/>
              <c:tx>
                <c:rich>
                  <a:bodyPr/>
                  <a:lstStyle/>
                  <a:p>
                    <a:fld id="{DFB6F605-A313-4CE4-9791-7E25190BC9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8A0-4D14-ABD5-6CCCB4A472B5}"/>
                </c:ext>
              </c:extLst>
            </c:dLbl>
            <c:dLbl>
              <c:idx val="61"/>
              <c:tx>
                <c:rich>
                  <a:bodyPr/>
                  <a:lstStyle/>
                  <a:p>
                    <a:fld id="{4A065ADF-EA88-40A6-857C-90936724BF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8A0-4D14-ABD5-6CCCB4A472B5}"/>
                </c:ext>
              </c:extLst>
            </c:dLbl>
            <c:dLbl>
              <c:idx val="62"/>
              <c:tx>
                <c:rich>
                  <a:bodyPr/>
                  <a:lstStyle/>
                  <a:p>
                    <a:fld id="{81FCD1E2-F699-4573-8FF4-741D325448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8A0-4D14-ABD5-6CCCB4A472B5}"/>
                </c:ext>
              </c:extLst>
            </c:dLbl>
            <c:dLbl>
              <c:idx val="63"/>
              <c:tx>
                <c:rich>
                  <a:bodyPr/>
                  <a:lstStyle/>
                  <a:p>
                    <a:fld id="{B7316B07-A845-49D9-9871-8861700A26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8A0-4D14-ABD5-6CCCB4A472B5}"/>
                </c:ext>
              </c:extLst>
            </c:dLbl>
            <c:dLbl>
              <c:idx val="64"/>
              <c:tx>
                <c:rich>
                  <a:bodyPr/>
                  <a:lstStyle/>
                  <a:p>
                    <a:fld id="{F96422CB-8C85-4A20-BFD1-39B6377401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8A0-4D14-ABD5-6CCCB4A472B5}"/>
                </c:ext>
              </c:extLst>
            </c:dLbl>
            <c:dLbl>
              <c:idx val="65"/>
              <c:tx>
                <c:rich>
                  <a:bodyPr/>
                  <a:lstStyle/>
                  <a:p>
                    <a:fld id="{122EB528-0A41-4233-B17E-73069606C3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8A0-4D14-ABD5-6CCCB4A472B5}"/>
                </c:ext>
              </c:extLst>
            </c:dLbl>
            <c:dLbl>
              <c:idx val="66"/>
              <c:tx>
                <c:rich>
                  <a:bodyPr/>
                  <a:lstStyle/>
                  <a:p>
                    <a:fld id="{9731CFF6-0B0A-4C29-9550-2EAA22351C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8A0-4D14-ABD5-6CCCB4A472B5}"/>
                </c:ext>
              </c:extLst>
            </c:dLbl>
            <c:dLbl>
              <c:idx val="67"/>
              <c:tx>
                <c:rich>
                  <a:bodyPr/>
                  <a:lstStyle/>
                  <a:p>
                    <a:fld id="{610F57A5-598C-4F26-A80D-A9DB9E2B1B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8A0-4D14-ABD5-6CCCB4A472B5}"/>
                </c:ext>
              </c:extLst>
            </c:dLbl>
            <c:dLbl>
              <c:idx val="68"/>
              <c:tx>
                <c:rich>
                  <a:bodyPr/>
                  <a:lstStyle/>
                  <a:p>
                    <a:fld id="{704FA8D6-EF35-4A04-BD22-0D99FB0617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8A0-4D14-ABD5-6CCCB4A472B5}"/>
                </c:ext>
              </c:extLst>
            </c:dLbl>
            <c:dLbl>
              <c:idx val="69"/>
              <c:tx>
                <c:rich>
                  <a:bodyPr/>
                  <a:lstStyle/>
                  <a:p>
                    <a:fld id="{E9DC7EAD-39BF-4CB7-AB0D-C90503921E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8A0-4D14-ABD5-6CCCB4A472B5}"/>
                </c:ext>
              </c:extLst>
            </c:dLbl>
            <c:dLbl>
              <c:idx val="70"/>
              <c:tx>
                <c:rich>
                  <a:bodyPr/>
                  <a:lstStyle/>
                  <a:p>
                    <a:fld id="{002958E1-3718-4E09-848B-92F7CC7E2A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8A0-4D14-ABD5-6CCCB4A472B5}"/>
                </c:ext>
              </c:extLst>
            </c:dLbl>
            <c:dLbl>
              <c:idx val="71"/>
              <c:tx>
                <c:rich>
                  <a:bodyPr/>
                  <a:lstStyle/>
                  <a:p>
                    <a:fld id="{12C77FA3-50A1-4D4C-A567-0AC8C38BCA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8A0-4D14-ABD5-6CCCB4A472B5}"/>
                </c:ext>
              </c:extLst>
            </c:dLbl>
            <c:dLbl>
              <c:idx val="72"/>
              <c:tx>
                <c:rich>
                  <a:bodyPr/>
                  <a:lstStyle/>
                  <a:p>
                    <a:fld id="{DE31C233-6A38-4A97-8759-7EEE0EBAD8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8A0-4D14-ABD5-6CCCB4A472B5}"/>
                </c:ext>
              </c:extLst>
            </c:dLbl>
            <c:dLbl>
              <c:idx val="73"/>
              <c:tx>
                <c:rich>
                  <a:bodyPr/>
                  <a:lstStyle/>
                  <a:p>
                    <a:fld id="{AA8B7944-18AA-43DC-90A6-63E10B0B7A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8A0-4D14-ABD5-6CCCB4A472B5}"/>
                </c:ext>
              </c:extLst>
            </c:dLbl>
            <c:dLbl>
              <c:idx val="74"/>
              <c:tx>
                <c:rich>
                  <a:bodyPr/>
                  <a:lstStyle/>
                  <a:p>
                    <a:fld id="{D90B8CDA-73F1-4673-B407-BE83E11063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8A0-4D14-ABD5-6CCCB4A472B5}"/>
                </c:ext>
              </c:extLst>
            </c:dLbl>
            <c:dLbl>
              <c:idx val="75"/>
              <c:tx>
                <c:rich>
                  <a:bodyPr/>
                  <a:lstStyle/>
                  <a:p>
                    <a:fld id="{7E9D20D8-D695-413A-906A-05422F4137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8A0-4D14-ABD5-6CCCB4A472B5}"/>
                </c:ext>
              </c:extLst>
            </c:dLbl>
            <c:dLbl>
              <c:idx val="76"/>
              <c:tx>
                <c:rich>
                  <a:bodyPr/>
                  <a:lstStyle/>
                  <a:p>
                    <a:fld id="{8DFFE386-869B-4039-A534-B6C3F9F81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8A0-4D14-ABD5-6CCCB4A472B5}"/>
                </c:ext>
              </c:extLst>
            </c:dLbl>
            <c:dLbl>
              <c:idx val="77"/>
              <c:tx>
                <c:rich>
                  <a:bodyPr/>
                  <a:lstStyle/>
                  <a:p>
                    <a:fld id="{773BD239-E698-4302-A383-C68F123CB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8A0-4D14-ABD5-6CCCB4A472B5}"/>
                </c:ext>
              </c:extLst>
            </c:dLbl>
            <c:dLbl>
              <c:idx val="78"/>
              <c:tx>
                <c:rich>
                  <a:bodyPr/>
                  <a:lstStyle/>
                  <a:p>
                    <a:fld id="{2843FE86-BC42-42E7-970E-5A3777B1A4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8A0-4D14-ABD5-6CCCB4A472B5}"/>
                </c:ext>
              </c:extLst>
            </c:dLbl>
            <c:dLbl>
              <c:idx val="79"/>
              <c:tx>
                <c:rich>
                  <a:bodyPr/>
                  <a:lstStyle/>
                  <a:p>
                    <a:fld id="{B838C7AC-62CD-4697-80FB-BC29BBB5A1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8A0-4D14-ABD5-6CCCB4A472B5}"/>
                </c:ext>
              </c:extLst>
            </c:dLbl>
            <c:dLbl>
              <c:idx val="80"/>
              <c:tx>
                <c:rich>
                  <a:bodyPr/>
                  <a:lstStyle/>
                  <a:p>
                    <a:fld id="{CED374DF-1641-46E7-81AD-722104E905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8A0-4D14-ABD5-6CCCB4A472B5}"/>
                </c:ext>
              </c:extLst>
            </c:dLbl>
            <c:dLbl>
              <c:idx val="81"/>
              <c:tx>
                <c:rich>
                  <a:bodyPr/>
                  <a:lstStyle/>
                  <a:p>
                    <a:fld id="{2CCA1C97-1559-4D96-849F-0FC6E4F049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8A0-4D14-ABD5-6CCCB4A472B5}"/>
                </c:ext>
              </c:extLst>
            </c:dLbl>
            <c:dLbl>
              <c:idx val="82"/>
              <c:tx>
                <c:rich>
                  <a:bodyPr/>
                  <a:lstStyle/>
                  <a:p>
                    <a:fld id="{82AB570C-A159-45BD-88E8-4D1D4BD7C5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8A0-4D14-ABD5-6CCCB4A472B5}"/>
                </c:ext>
              </c:extLst>
            </c:dLbl>
            <c:dLbl>
              <c:idx val="83"/>
              <c:tx>
                <c:rich>
                  <a:bodyPr/>
                  <a:lstStyle/>
                  <a:p>
                    <a:fld id="{FB969FAC-10E1-4CDC-8C78-95F7BD8748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8A0-4D14-ABD5-6CCCB4A472B5}"/>
                </c:ext>
              </c:extLst>
            </c:dLbl>
            <c:dLbl>
              <c:idx val="84"/>
              <c:tx>
                <c:rich>
                  <a:bodyPr/>
                  <a:lstStyle/>
                  <a:p>
                    <a:fld id="{F0AECD8F-7A57-4DFD-BCF0-F13F8CB50E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8A0-4D14-ABD5-6CCCB4A472B5}"/>
                </c:ext>
              </c:extLst>
            </c:dLbl>
            <c:dLbl>
              <c:idx val="85"/>
              <c:tx>
                <c:rich>
                  <a:bodyPr/>
                  <a:lstStyle/>
                  <a:p>
                    <a:fld id="{EB4D8FD5-6F7C-4BBB-9F58-E07123D32A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8A0-4D14-ABD5-6CCCB4A472B5}"/>
                </c:ext>
              </c:extLst>
            </c:dLbl>
            <c:dLbl>
              <c:idx val="86"/>
              <c:tx>
                <c:rich>
                  <a:bodyPr/>
                  <a:lstStyle/>
                  <a:p>
                    <a:fld id="{EFF171B9-730D-4AD0-B5E7-FB6057A4B8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8A0-4D14-ABD5-6CCCB4A472B5}"/>
                </c:ext>
              </c:extLst>
            </c:dLbl>
            <c:dLbl>
              <c:idx val="87"/>
              <c:tx>
                <c:rich>
                  <a:bodyPr/>
                  <a:lstStyle/>
                  <a:p>
                    <a:fld id="{6C9AE8F6-1213-481B-94B0-7E7FC207E5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8A0-4D14-ABD5-6CCCB4A472B5}"/>
                </c:ext>
              </c:extLst>
            </c:dLbl>
            <c:dLbl>
              <c:idx val="88"/>
              <c:tx>
                <c:rich>
                  <a:bodyPr/>
                  <a:lstStyle/>
                  <a:p>
                    <a:fld id="{38F64E63-10FF-4E1D-9EBB-042E13ECD1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8A0-4D14-ABD5-6CCCB4A472B5}"/>
                </c:ext>
              </c:extLst>
            </c:dLbl>
            <c:dLbl>
              <c:idx val="89"/>
              <c:tx>
                <c:rich>
                  <a:bodyPr/>
                  <a:lstStyle/>
                  <a:p>
                    <a:fld id="{CD3E0C5E-C657-4991-9432-DCA0405E56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8A0-4D14-ABD5-6CCCB4A472B5}"/>
                </c:ext>
              </c:extLst>
            </c:dLbl>
            <c:dLbl>
              <c:idx val="90"/>
              <c:tx>
                <c:rich>
                  <a:bodyPr/>
                  <a:lstStyle/>
                  <a:p>
                    <a:fld id="{D3FF978D-5E71-4B6B-8C6B-075B9A21A8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8A0-4D14-ABD5-6CCCB4A472B5}"/>
                </c:ext>
              </c:extLst>
            </c:dLbl>
            <c:dLbl>
              <c:idx val="91"/>
              <c:tx>
                <c:rich>
                  <a:bodyPr/>
                  <a:lstStyle/>
                  <a:p>
                    <a:fld id="{67A5A876-A987-4A7B-9D10-334AA6EBEC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8A0-4D14-ABD5-6CCCB4A472B5}"/>
                </c:ext>
              </c:extLst>
            </c:dLbl>
            <c:dLbl>
              <c:idx val="92"/>
              <c:tx>
                <c:rich>
                  <a:bodyPr/>
                  <a:lstStyle/>
                  <a:p>
                    <a:fld id="{5E46625A-60E5-4BD6-B9A5-D5CB7BCA95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8A0-4D14-ABD5-6CCCB4A472B5}"/>
                </c:ext>
              </c:extLst>
            </c:dLbl>
            <c:dLbl>
              <c:idx val="93"/>
              <c:tx>
                <c:rich>
                  <a:bodyPr/>
                  <a:lstStyle/>
                  <a:p>
                    <a:fld id="{0AC25759-6CB1-41C3-8701-3082D2F8FE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8A0-4D14-ABD5-6CCCB4A472B5}"/>
                </c:ext>
              </c:extLst>
            </c:dLbl>
            <c:dLbl>
              <c:idx val="94"/>
              <c:tx>
                <c:rich>
                  <a:bodyPr/>
                  <a:lstStyle/>
                  <a:p>
                    <a:fld id="{3D8D47A1-E42E-4AB1-82B1-ABB9BF398B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8A0-4D14-ABD5-6CCCB4A472B5}"/>
                </c:ext>
              </c:extLst>
            </c:dLbl>
            <c:dLbl>
              <c:idx val="95"/>
              <c:tx>
                <c:rich>
                  <a:bodyPr/>
                  <a:lstStyle/>
                  <a:p>
                    <a:fld id="{B2C976ED-EEF5-4C36-B73B-9E65D2D9CD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8A0-4D14-ABD5-6CCCB4A472B5}"/>
                </c:ext>
              </c:extLst>
            </c:dLbl>
            <c:dLbl>
              <c:idx val="96"/>
              <c:tx>
                <c:rich>
                  <a:bodyPr/>
                  <a:lstStyle/>
                  <a:p>
                    <a:fld id="{3886B33D-5E04-49CF-85E7-9540F39810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8A0-4D14-ABD5-6CCCB4A472B5}"/>
                </c:ext>
              </c:extLst>
            </c:dLbl>
            <c:dLbl>
              <c:idx val="97"/>
              <c:tx>
                <c:rich>
                  <a:bodyPr/>
                  <a:lstStyle/>
                  <a:p>
                    <a:fld id="{ABF3A97B-E2CE-4339-93E9-BDC61C4EF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8A0-4D14-ABD5-6CCCB4A472B5}"/>
                </c:ext>
              </c:extLst>
            </c:dLbl>
            <c:dLbl>
              <c:idx val="98"/>
              <c:tx>
                <c:rich>
                  <a:bodyPr/>
                  <a:lstStyle/>
                  <a:p>
                    <a:fld id="{B9DB39FC-0413-48A8-8479-2B3D75352E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8A0-4D14-ABD5-6CCCB4A472B5}"/>
                </c:ext>
              </c:extLst>
            </c:dLbl>
            <c:dLbl>
              <c:idx val="99"/>
              <c:tx>
                <c:rich>
                  <a:bodyPr/>
                  <a:lstStyle/>
                  <a:p>
                    <a:fld id="{796F1259-D304-427C-9404-20ADAECA31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8A0-4D14-ABD5-6CCCB4A472B5}"/>
                </c:ext>
              </c:extLst>
            </c:dLbl>
            <c:dLbl>
              <c:idx val="100"/>
              <c:tx>
                <c:rich>
                  <a:bodyPr/>
                  <a:lstStyle/>
                  <a:p>
                    <a:fld id="{BECEB1E5-0496-4D27-9C18-C6A5EAE2FD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8A0-4D14-ABD5-6CCCB4A472B5}"/>
                </c:ext>
              </c:extLst>
            </c:dLbl>
            <c:dLbl>
              <c:idx val="101"/>
              <c:tx>
                <c:rich>
                  <a:bodyPr/>
                  <a:lstStyle/>
                  <a:p>
                    <a:fld id="{E005E469-1F46-4E81-ACC5-9633D3D32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8A0-4D14-ABD5-6CCCB4A472B5}"/>
                </c:ext>
              </c:extLst>
            </c:dLbl>
            <c:dLbl>
              <c:idx val="102"/>
              <c:tx>
                <c:rich>
                  <a:bodyPr/>
                  <a:lstStyle/>
                  <a:p>
                    <a:fld id="{186F712F-E4DE-493B-8D45-E3CC6715BC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8A0-4D14-ABD5-6CCCB4A472B5}"/>
                </c:ext>
              </c:extLst>
            </c:dLbl>
            <c:dLbl>
              <c:idx val="103"/>
              <c:tx>
                <c:rich>
                  <a:bodyPr/>
                  <a:lstStyle/>
                  <a:p>
                    <a:fld id="{3CFFB15C-514A-4715-92F8-683DCD602C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8A0-4D14-ABD5-6CCCB4A472B5}"/>
                </c:ext>
              </c:extLst>
            </c:dLbl>
            <c:dLbl>
              <c:idx val="104"/>
              <c:tx>
                <c:rich>
                  <a:bodyPr/>
                  <a:lstStyle/>
                  <a:p>
                    <a:fld id="{2B65B73D-7C41-474D-83CD-3648E6C3DE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8A0-4D14-ABD5-6CCCB4A472B5}"/>
                </c:ext>
              </c:extLst>
            </c:dLbl>
            <c:dLbl>
              <c:idx val="105"/>
              <c:tx>
                <c:rich>
                  <a:bodyPr/>
                  <a:lstStyle/>
                  <a:p>
                    <a:fld id="{0669AE73-F80F-4D6B-88F5-075794DFD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8A0-4D14-ABD5-6CCCB4A472B5}"/>
                </c:ext>
              </c:extLst>
            </c:dLbl>
            <c:dLbl>
              <c:idx val="106"/>
              <c:tx>
                <c:rich>
                  <a:bodyPr/>
                  <a:lstStyle/>
                  <a:p>
                    <a:fld id="{5E0FE33F-434C-4F0F-B428-2DD4106896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8A0-4D14-ABD5-6CCCB4A472B5}"/>
                </c:ext>
              </c:extLst>
            </c:dLbl>
            <c:dLbl>
              <c:idx val="107"/>
              <c:tx>
                <c:rich>
                  <a:bodyPr/>
                  <a:lstStyle/>
                  <a:p>
                    <a:fld id="{DE19E3C8-2BE9-422C-B458-65E48B4701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8A0-4D14-ABD5-6CCCB4A472B5}"/>
                </c:ext>
              </c:extLst>
            </c:dLbl>
            <c:dLbl>
              <c:idx val="108"/>
              <c:tx>
                <c:rich>
                  <a:bodyPr/>
                  <a:lstStyle/>
                  <a:p>
                    <a:fld id="{6BD756ED-E429-4BCE-AA2B-CE651771F9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8A0-4D14-ABD5-6CCCB4A472B5}"/>
                </c:ext>
              </c:extLst>
            </c:dLbl>
            <c:dLbl>
              <c:idx val="109"/>
              <c:tx>
                <c:rich>
                  <a:bodyPr/>
                  <a:lstStyle/>
                  <a:p>
                    <a:fld id="{7B087D02-9512-4612-B4D2-07680D1F07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8A0-4D14-ABD5-6CCCB4A472B5}"/>
                </c:ext>
              </c:extLst>
            </c:dLbl>
            <c:dLbl>
              <c:idx val="110"/>
              <c:tx>
                <c:rich>
                  <a:bodyPr/>
                  <a:lstStyle/>
                  <a:p>
                    <a:fld id="{0A5D4BBA-BD09-4DDB-9D72-CE2E64CE17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8A0-4D14-ABD5-6CCCB4A472B5}"/>
                </c:ext>
              </c:extLst>
            </c:dLbl>
            <c:dLbl>
              <c:idx val="111"/>
              <c:tx>
                <c:rich>
                  <a:bodyPr/>
                  <a:lstStyle/>
                  <a:p>
                    <a:fld id="{56FF679D-30DD-416F-AD85-4DF21D5E44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8A0-4D14-ABD5-6CCCB4A472B5}"/>
                </c:ext>
              </c:extLst>
            </c:dLbl>
            <c:dLbl>
              <c:idx val="112"/>
              <c:tx>
                <c:rich>
                  <a:bodyPr/>
                  <a:lstStyle/>
                  <a:p>
                    <a:fld id="{C2616294-D5E1-47C1-9E75-8BCCACC50D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8A0-4D14-ABD5-6CCCB4A472B5}"/>
                </c:ext>
              </c:extLst>
            </c:dLbl>
            <c:dLbl>
              <c:idx val="113"/>
              <c:tx>
                <c:rich>
                  <a:bodyPr/>
                  <a:lstStyle/>
                  <a:p>
                    <a:fld id="{6BA9A3FC-D573-4E9D-B309-3475183ADE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8A0-4D14-ABD5-6CCCB4A472B5}"/>
                </c:ext>
              </c:extLst>
            </c:dLbl>
            <c:dLbl>
              <c:idx val="114"/>
              <c:tx>
                <c:rich>
                  <a:bodyPr/>
                  <a:lstStyle/>
                  <a:p>
                    <a:fld id="{56777978-E05A-4B63-A553-D65BC869BC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8A0-4D14-ABD5-6CCCB4A472B5}"/>
                </c:ext>
              </c:extLst>
            </c:dLbl>
            <c:dLbl>
              <c:idx val="115"/>
              <c:tx>
                <c:rich>
                  <a:bodyPr/>
                  <a:lstStyle/>
                  <a:p>
                    <a:fld id="{8F1B997D-9419-43E2-A756-1AFDBCA6F7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8A0-4D14-ABD5-6CCCB4A472B5}"/>
                </c:ext>
              </c:extLst>
            </c:dLbl>
            <c:dLbl>
              <c:idx val="116"/>
              <c:tx>
                <c:rich>
                  <a:bodyPr/>
                  <a:lstStyle/>
                  <a:p>
                    <a:fld id="{868381C5-1A75-44CF-AF06-ED07FA570A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8A0-4D14-ABD5-6CCCB4A472B5}"/>
                </c:ext>
              </c:extLst>
            </c:dLbl>
            <c:dLbl>
              <c:idx val="117"/>
              <c:tx>
                <c:rich>
                  <a:bodyPr/>
                  <a:lstStyle/>
                  <a:p>
                    <a:fld id="{2F143C30-F88F-4D35-81A7-23E25F76E4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8A0-4D14-ABD5-6CCCB4A472B5}"/>
                </c:ext>
              </c:extLst>
            </c:dLbl>
            <c:dLbl>
              <c:idx val="118"/>
              <c:tx>
                <c:rich>
                  <a:bodyPr/>
                  <a:lstStyle/>
                  <a:p>
                    <a:fld id="{59B92A09-EB99-427F-A9C0-D1CAA9BBB6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8A0-4D14-ABD5-6CCCB4A472B5}"/>
                </c:ext>
              </c:extLst>
            </c:dLbl>
            <c:dLbl>
              <c:idx val="119"/>
              <c:tx>
                <c:rich>
                  <a:bodyPr/>
                  <a:lstStyle/>
                  <a:p>
                    <a:fld id="{217D007F-9969-44E9-88DB-FF0586CD37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8A0-4D14-ABD5-6CCCB4A472B5}"/>
                </c:ext>
              </c:extLst>
            </c:dLbl>
            <c:dLbl>
              <c:idx val="120"/>
              <c:tx>
                <c:rich>
                  <a:bodyPr/>
                  <a:lstStyle/>
                  <a:p>
                    <a:fld id="{31A46935-AD67-4430-93C9-D8E3DF80C3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8A0-4D14-ABD5-6CCCB4A472B5}"/>
                </c:ext>
              </c:extLst>
            </c:dLbl>
            <c:dLbl>
              <c:idx val="121"/>
              <c:tx>
                <c:rich>
                  <a:bodyPr/>
                  <a:lstStyle/>
                  <a:p>
                    <a:fld id="{B6474D8D-3CDD-491F-B6E7-CA717B9DD4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8A0-4D14-ABD5-6CCCB4A472B5}"/>
                </c:ext>
              </c:extLst>
            </c:dLbl>
            <c:dLbl>
              <c:idx val="122"/>
              <c:tx>
                <c:rich>
                  <a:bodyPr/>
                  <a:lstStyle/>
                  <a:p>
                    <a:fld id="{0B849261-7911-4CD5-ADA6-058130F218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8A0-4D14-ABD5-6CCCB4A472B5}"/>
                </c:ext>
              </c:extLst>
            </c:dLbl>
            <c:dLbl>
              <c:idx val="123"/>
              <c:tx>
                <c:rich>
                  <a:bodyPr/>
                  <a:lstStyle/>
                  <a:p>
                    <a:fld id="{2DE9BD09-A741-4D22-A348-492A66D2FD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8A0-4D14-ABD5-6CCCB4A472B5}"/>
                </c:ext>
              </c:extLst>
            </c:dLbl>
            <c:dLbl>
              <c:idx val="124"/>
              <c:tx>
                <c:rich>
                  <a:bodyPr/>
                  <a:lstStyle/>
                  <a:p>
                    <a:fld id="{5ADFACA1-1691-4F4E-A82B-B27AF4B7F9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8A0-4D14-ABD5-6CCCB4A472B5}"/>
                </c:ext>
              </c:extLst>
            </c:dLbl>
            <c:dLbl>
              <c:idx val="125"/>
              <c:tx>
                <c:rich>
                  <a:bodyPr/>
                  <a:lstStyle/>
                  <a:p>
                    <a:fld id="{15963F97-D080-4665-96F3-5F11F19E59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8A0-4D14-ABD5-6CCCB4A472B5}"/>
                </c:ext>
              </c:extLst>
            </c:dLbl>
            <c:dLbl>
              <c:idx val="126"/>
              <c:tx>
                <c:rich>
                  <a:bodyPr/>
                  <a:lstStyle/>
                  <a:p>
                    <a:fld id="{F58133FD-E7AE-4378-A802-BC300EF5AC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8A0-4D14-ABD5-6CCCB4A472B5}"/>
                </c:ext>
              </c:extLst>
            </c:dLbl>
            <c:dLbl>
              <c:idx val="127"/>
              <c:tx>
                <c:rich>
                  <a:bodyPr/>
                  <a:lstStyle/>
                  <a:p>
                    <a:fld id="{CE72D77A-A51E-4B3F-AB42-B336FCDE69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8A0-4D14-ABD5-6CCCB4A472B5}"/>
                </c:ext>
              </c:extLst>
            </c:dLbl>
            <c:dLbl>
              <c:idx val="128"/>
              <c:tx>
                <c:rich>
                  <a:bodyPr/>
                  <a:lstStyle/>
                  <a:p>
                    <a:fld id="{46A87FA0-36AB-46BA-BD97-4B91626EDE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8A0-4D14-ABD5-6CCCB4A472B5}"/>
                </c:ext>
              </c:extLst>
            </c:dLbl>
            <c:dLbl>
              <c:idx val="129"/>
              <c:tx>
                <c:rich>
                  <a:bodyPr/>
                  <a:lstStyle/>
                  <a:p>
                    <a:fld id="{4877A15B-F147-4301-B318-DC06E4560D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8A0-4D14-ABD5-6CCCB4A472B5}"/>
                </c:ext>
              </c:extLst>
            </c:dLbl>
            <c:dLbl>
              <c:idx val="130"/>
              <c:tx>
                <c:rich>
                  <a:bodyPr/>
                  <a:lstStyle/>
                  <a:p>
                    <a:fld id="{AAD63DCB-E512-443F-A6EA-C6D772DFA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8A0-4D14-ABD5-6CCCB4A472B5}"/>
                </c:ext>
              </c:extLst>
            </c:dLbl>
            <c:dLbl>
              <c:idx val="131"/>
              <c:tx>
                <c:rich>
                  <a:bodyPr/>
                  <a:lstStyle/>
                  <a:p>
                    <a:fld id="{9AC77BB6-57AE-4010-92BF-EE94D0BE92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8A0-4D14-ABD5-6CCCB4A472B5}"/>
                </c:ext>
              </c:extLst>
            </c:dLbl>
            <c:dLbl>
              <c:idx val="132"/>
              <c:tx>
                <c:rich>
                  <a:bodyPr/>
                  <a:lstStyle/>
                  <a:p>
                    <a:fld id="{F5414DE5-44D3-4F83-80BF-5AFF8CF2B9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8A0-4D14-ABD5-6CCCB4A472B5}"/>
                </c:ext>
              </c:extLst>
            </c:dLbl>
            <c:dLbl>
              <c:idx val="133"/>
              <c:tx>
                <c:rich>
                  <a:bodyPr/>
                  <a:lstStyle/>
                  <a:p>
                    <a:fld id="{CB61F05E-6976-49A7-BDFD-6B34756AB9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8A0-4D14-ABD5-6CCCB4A472B5}"/>
                </c:ext>
              </c:extLst>
            </c:dLbl>
            <c:dLbl>
              <c:idx val="134"/>
              <c:tx>
                <c:rich>
                  <a:bodyPr/>
                  <a:lstStyle/>
                  <a:p>
                    <a:fld id="{A365D9FA-3FD4-4B4B-9054-F0B21CED24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8A0-4D14-ABD5-6CCCB4A472B5}"/>
                </c:ext>
              </c:extLst>
            </c:dLbl>
            <c:dLbl>
              <c:idx val="135"/>
              <c:tx>
                <c:rich>
                  <a:bodyPr/>
                  <a:lstStyle/>
                  <a:p>
                    <a:fld id="{6D982312-66E7-4FE4-BE5F-26829F65F7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8A0-4D14-ABD5-6CCCB4A472B5}"/>
                </c:ext>
              </c:extLst>
            </c:dLbl>
            <c:dLbl>
              <c:idx val="136"/>
              <c:tx>
                <c:rich>
                  <a:bodyPr/>
                  <a:lstStyle/>
                  <a:p>
                    <a:fld id="{818E7480-1EA7-4D5F-A5D0-AD9A1AB685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8A0-4D14-ABD5-6CCCB4A472B5}"/>
                </c:ext>
              </c:extLst>
            </c:dLbl>
            <c:dLbl>
              <c:idx val="137"/>
              <c:tx>
                <c:rich>
                  <a:bodyPr/>
                  <a:lstStyle/>
                  <a:p>
                    <a:fld id="{AF26BB0F-956A-4C48-9A79-7A9A052F9C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8A0-4D14-ABD5-6CCCB4A472B5}"/>
                </c:ext>
              </c:extLst>
            </c:dLbl>
            <c:dLbl>
              <c:idx val="138"/>
              <c:tx>
                <c:rich>
                  <a:bodyPr/>
                  <a:lstStyle/>
                  <a:p>
                    <a:fld id="{EE3696E5-9DE4-4453-911D-72B9634D33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8A0-4D14-ABD5-6CCCB4A472B5}"/>
                </c:ext>
              </c:extLst>
            </c:dLbl>
            <c:dLbl>
              <c:idx val="139"/>
              <c:tx>
                <c:rich>
                  <a:bodyPr/>
                  <a:lstStyle/>
                  <a:p>
                    <a:fld id="{DBE832F9-098B-4BD1-A1B6-F0C4AA658E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8A0-4D14-ABD5-6CCCB4A472B5}"/>
                </c:ext>
              </c:extLst>
            </c:dLbl>
            <c:dLbl>
              <c:idx val="140"/>
              <c:tx>
                <c:rich>
                  <a:bodyPr/>
                  <a:lstStyle/>
                  <a:p>
                    <a:fld id="{DEB88581-474A-40DF-AA3D-77493DC818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8A0-4D14-ABD5-6CCCB4A472B5}"/>
                </c:ext>
              </c:extLst>
            </c:dLbl>
            <c:dLbl>
              <c:idx val="141"/>
              <c:tx>
                <c:rich>
                  <a:bodyPr/>
                  <a:lstStyle/>
                  <a:p>
                    <a:fld id="{4A7D1F82-2467-4A87-ADEB-0948619331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8A0-4D14-ABD5-6CCCB4A472B5}"/>
                </c:ext>
              </c:extLst>
            </c:dLbl>
            <c:dLbl>
              <c:idx val="142"/>
              <c:tx>
                <c:rich>
                  <a:bodyPr/>
                  <a:lstStyle/>
                  <a:p>
                    <a:fld id="{16402A68-C6C2-423E-A2C6-1BD154E4AF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8A0-4D14-ABD5-6CCCB4A472B5}"/>
                </c:ext>
              </c:extLst>
            </c:dLbl>
            <c:dLbl>
              <c:idx val="143"/>
              <c:tx>
                <c:rich>
                  <a:bodyPr/>
                  <a:lstStyle/>
                  <a:p>
                    <a:fld id="{A39BA75C-CB13-494F-BAF0-E4157B96B8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8A0-4D14-ABD5-6CCCB4A472B5}"/>
                </c:ext>
              </c:extLst>
            </c:dLbl>
            <c:dLbl>
              <c:idx val="144"/>
              <c:tx>
                <c:rich>
                  <a:bodyPr/>
                  <a:lstStyle/>
                  <a:p>
                    <a:fld id="{AB1176D1-997D-44FD-ADF3-DFD129AB5A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8A0-4D14-ABD5-6CCCB4A472B5}"/>
                </c:ext>
              </c:extLst>
            </c:dLbl>
            <c:dLbl>
              <c:idx val="145"/>
              <c:tx>
                <c:rich>
                  <a:bodyPr/>
                  <a:lstStyle/>
                  <a:p>
                    <a:fld id="{EF6EABA6-739C-415E-902F-C548759DCE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8A0-4D14-ABD5-6CCCB4A472B5}"/>
                </c:ext>
              </c:extLst>
            </c:dLbl>
            <c:dLbl>
              <c:idx val="146"/>
              <c:tx>
                <c:rich>
                  <a:bodyPr/>
                  <a:lstStyle/>
                  <a:p>
                    <a:fld id="{EDA6C626-6456-4F05-8584-7D90E31AE7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8A0-4D14-ABD5-6CCCB4A472B5}"/>
                </c:ext>
              </c:extLst>
            </c:dLbl>
            <c:dLbl>
              <c:idx val="147"/>
              <c:tx>
                <c:rich>
                  <a:bodyPr/>
                  <a:lstStyle/>
                  <a:p>
                    <a:fld id="{EE748520-0137-4C8E-AB10-A81AD559C0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8A0-4D14-ABD5-6CCCB4A472B5}"/>
                </c:ext>
              </c:extLst>
            </c:dLbl>
            <c:dLbl>
              <c:idx val="148"/>
              <c:tx>
                <c:rich>
                  <a:bodyPr/>
                  <a:lstStyle/>
                  <a:p>
                    <a:fld id="{967A5A2B-6A68-47E9-84D8-E8F8D5966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8A0-4D14-ABD5-6CCCB4A472B5}"/>
                </c:ext>
              </c:extLst>
            </c:dLbl>
            <c:dLbl>
              <c:idx val="149"/>
              <c:tx>
                <c:rich>
                  <a:bodyPr/>
                  <a:lstStyle/>
                  <a:p>
                    <a:fld id="{F3FFB728-EE12-4C18-97CA-2A5201D538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8A0-4D14-ABD5-6CCCB4A472B5}"/>
                </c:ext>
              </c:extLst>
            </c:dLbl>
            <c:dLbl>
              <c:idx val="150"/>
              <c:tx>
                <c:rich>
                  <a:bodyPr/>
                  <a:lstStyle/>
                  <a:p>
                    <a:fld id="{1A652712-9923-4808-A6DC-36755D3996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8A0-4D14-ABD5-6CCCB4A472B5}"/>
                </c:ext>
              </c:extLst>
            </c:dLbl>
            <c:dLbl>
              <c:idx val="151"/>
              <c:tx>
                <c:rich>
                  <a:bodyPr/>
                  <a:lstStyle/>
                  <a:p>
                    <a:fld id="{A511261E-A4A3-416E-B77F-02B70F672A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8A0-4D14-ABD5-6CCCB4A472B5}"/>
                </c:ext>
              </c:extLst>
            </c:dLbl>
            <c:dLbl>
              <c:idx val="152"/>
              <c:tx>
                <c:rich>
                  <a:bodyPr/>
                  <a:lstStyle/>
                  <a:p>
                    <a:fld id="{4BE36B5B-54DB-4267-A3F0-0A310B0C2B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8A0-4D14-ABD5-6CCCB4A472B5}"/>
                </c:ext>
              </c:extLst>
            </c:dLbl>
            <c:dLbl>
              <c:idx val="153"/>
              <c:tx>
                <c:rich>
                  <a:bodyPr/>
                  <a:lstStyle/>
                  <a:p>
                    <a:fld id="{5F6A5C59-F131-4858-9538-C23BCF1E96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8A0-4D14-ABD5-6CCCB4A472B5}"/>
                </c:ext>
              </c:extLst>
            </c:dLbl>
            <c:dLbl>
              <c:idx val="154"/>
              <c:tx>
                <c:rich>
                  <a:bodyPr/>
                  <a:lstStyle/>
                  <a:p>
                    <a:fld id="{817C6B7C-5756-444F-A501-E0CB678823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8A0-4D14-ABD5-6CCCB4A472B5}"/>
                </c:ext>
              </c:extLst>
            </c:dLbl>
            <c:dLbl>
              <c:idx val="155"/>
              <c:tx>
                <c:rich>
                  <a:bodyPr/>
                  <a:lstStyle/>
                  <a:p>
                    <a:fld id="{6AE0D3BC-38FC-4EF5-AB42-3DCAA6F556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8A0-4D14-ABD5-6CCCB4A472B5}"/>
                </c:ext>
              </c:extLst>
            </c:dLbl>
            <c:dLbl>
              <c:idx val="156"/>
              <c:tx>
                <c:rich>
                  <a:bodyPr/>
                  <a:lstStyle/>
                  <a:p>
                    <a:fld id="{85A43741-C443-4211-86F1-A616C7C6E1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8A0-4D14-ABD5-6CCCB4A472B5}"/>
                </c:ext>
              </c:extLst>
            </c:dLbl>
            <c:dLbl>
              <c:idx val="157"/>
              <c:tx>
                <c:rich>
                  <a:bodyPr/>
                  <a:lstStyle/>
                  <a:p>
                    <a:fld id="{B064FC6C-ABF8-409A-8480-602FAB72F3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8A0-4D14-ABD5-6CCCB4A472B5}"/>
                </c:ext>
              </c:extLst>
            </c:dLbl>
            <c:dLbl>
              <c:idx val="158"/>
              <c:tx>
                <c:rich>
                  <a:bodyPr/>
                  <a:lstStyle/>
                  <a:p>
                    <a:fld id="{5EEC4959-A3AF-4B98-B3A8-1DDA623A02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8A0-4D14-ABD5-6CCCB4A472B5}"/>
                </c:ext>
              </c:extLst>
            </c:dLbl>
            <c:dLbl>
              <c:idx val="159"/>
              <c:tx>
                <c:rich>
                  <a:bodyPr/>
                  <a:lstStyle/>
                  <a:p>
                    <a:fld id="{5CA438B2-1667-4369-94A2-9CED9076F8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8A0-4D14-ABD5-6CCCB4A472B5}"/>
                </c:ext>
              </c:extLst>
            </c:dLbl>
            <c:dLbl>
              <c:idx val="160"/>
              <c:tx>
                <c:rich>
                  <a:bodyPr/>
                  <a:lstStyle/>
                  <a:p>
                    <a:fld id="{BB1F4E76-1ED4-4540-835E-5805A9CD15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8A0-4D14-ABD5-6CCCB4A472B5}"/>
                </c:ext>
              </c:extLst>
            </c:dLbl>
            <c:dLbl>
              <c:idx val="161"/>
              <c:tx>
                <c:rich>
                  <a:bodyPr/>
                  <a:lstStyle/>
                  <a:p>
                    <a:fld id="{0C8A3495-4FAB-4079-920B-636CFB9FA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8A0-4D14-ABD5-6CCCB4A472B5}"/>
                </c:ext>
              </c:extLst>
            </c:dLbl>
            <c:dLbl>
              <c:idx val="162"/>
              <c:tx>
                <c:rich>
                  <a:bodyPr/>
                  <a:lstStyle/>
                  <a:p>
                    <a:fld id="{BD6A1D95-E8DF-4B1C-A627-E394D81F9D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8A0-4D14-ABD5-6CCCB4A472B5}"/>
                </c:ext>
              </c:extLst>
            </c:dLbl>
            <c:dLbl>
              <c:idx val="163"/>
              <c:tx>
                <c:rich>
                  <a:bodyPr/>
                  <a:lstStyle/>
                  <a:p>
                    <a:fld id="{F8B8DF17-8AE5-43F9-873D-96251EC9C9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8A0-4D14-ABD5-6CCCB4A472B5}"/>
                </c:ext>
              </c:extLst>
            </c:dLbl>
            <c:dLbl>
              <c:idx val="164"/>
              <c:tx>
                <c:rich>
                  <a:bodyPr/>
                  <a:lstStyle/>
                  <a:p>
                    <a:fld id="{3545AF0C-2099-4499-9A9E-EFCDB6BEA2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8A0-4D14-ABD5-6CCCB4A472B5}"/>
                </c:ext>
              </c:extLst>
            </c:dLbl>
            <c:dLbl>
              <c:idx val="165"/>
              <c:tx>
                <c:rich>
                  <a:bodyPr/>
                  <a:lstStyle/>
                  <a:p>
                    <a:fld id="{885722A3-E8F5-4D93-ABEF-82BD22C3ED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8A0-4D14-ABD5-6CCCB4A472B5}"/>
                </c:ext>
              </c:extLst>
            </c:dLbl>
            <c:dLbl>
              <c:idx val="166"/>
              <c:tx>
                <c:rich>
                  <a:bodyPr/>
                  <a:lstStyle/>
                  <a:p>
                    <a:fld id="{6CD67BAD-1FD5-45E9-95F5-D8EDDF89A5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8A0-4D14-ABD5-6CCCB4A472B5}"/>
                </c:ext>
              </c:extLst>
            </c:dLbl>
            <c:dLbl>
              <c:idx val="167"/>
              <c:tx>
                <c:rich>
                  <a:bodyPr/>
                  <a:lstStyle/>
                  <a:p>
                    <a:fld id="{0953945C-52DF-49D0-9A77-DD9C2AFCFE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8A0-4D14-ABD5-6CCCB4A472B5}"/>
                </c:ext>
              </c:extLst>
            </c:dLbl>
            <c:dLbl>
              <c:idx val="168"/>
              <c:tx>
                <c:rich>
                  <a:bodyPr/>
                  <a:lstStyle/>
                  <a:p>
                    <a:fld id="{176441A5-DA38-4C04-81F5-8242CC6115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8A0-4D14-ABD5-6CCCB4A472B5}"/>
                </c:ext>
              </c:extLst>
            </c:dLbl>
            <c:dLbl>
              <c:idx val="169"/>
              <c:tx>
                <c:rich>
                  <a:bodyPr/>
                  <a:lstStyle/>
                  <a:p>
                    <a:fld id="{4BD5E2B2-7BC7-4ED1-BDA6-136A2F217C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8A0-4D14-ABD5-6CCCB4A472B5}"/>
                </c:ext>
              </c:extLst>
            </c:dLbl>
            <c:dLbl>
              <c:idx val="170"/>
              <c:tx>
                <c:rich>
                  <a:bodyPr/>
                  <a:lstStyle/>
                  <a:p>
                    <a:fld id="{0745B50C-96F1-4C27-A923-74D386205E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8A0-4D14-ABD5-6CCCB4A472B5}"/>
                </c:ext>
              </c:extLst>
            </c:dLbl>
            <c:dLbl>
              <c:idx val="171"/>
              <c:tx>
                <c:rich>
                  <a:bodyPr/>
                  <a:lstStyle/>
                  <a:p>
                    <a:fld id="{14473F31-6E0D-4965-8F73-261AEABF06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8A0-4D14-ABD5-6CCCB4A472B5}"/>
                </c:ext>
              </c:extLst>
            </c:dLbl>
            <c:dLbl>
              <c:idx val="172"/>
              <c:tx>
                <c:rich>
                  <a:bodyPr/>
                  <a:lstStyle/>
                  <a:p>
                    <a:fld id="{DA763BC5-35BA-4EF7-A1B3-734E6F7FD9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8A0-4D14-ABD5-6CCCB4A472B5}"/>
                </c:ext>
              </c:extLst>
            </c:dLbl>
            <c:dLbl>
              <c:idx val="173"/>
              <c:tx>
                <c:rich>
                  <a:bodyPr/>
                  <a:lstStyle/>
                  <a:p>
                    <a:fld id="{95E02B69-008B-4250-974D-6043447C5D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8A0-4D14-ABD5-6CCCB4A472B5}"/>
                </c:ext>
              </c:extLst>
            </c:dLbl>
            <c:dLbl>
              <c:idx val="174"/>
              <c:tx>
                <c:rich>
                  <a:bodyPr/>
                  <a:lstStyle/>
                  <a:p>
                    <a:fld id="{963C3824-5604-40E3-B2E0-DB852E6A7C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8A0-4D14-ABD5-6CCCB4A472B5}"/>
                </c:ext>
              </c:extLst>
            </c:dLbl>
            <c:dLbl>
              <c:idx val="175"/>
              <c:tx>
                <c:rich>
                  <a:bodyPr/>
                  <a:lstStyle/>
                  <a:p>
                    <a:fld id="{1C21F63D-9C52-4810-A5D0-995C587E2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8A0-4D14-ABD5-6CCCB4A472B5}"/>
                </c:ext>
              </c:extLst>
            </c:dLbl>
            <c:dLbl>
              <c:idx val="176"/>
              <c:tx>
                <c:rich>
                  <a:bodyPr/>
                  <a:lstStyle/>
                  <a:p>
                    <a:fld id="{E9C89CA7-795C-4260-96F5-14FD32F73D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8A0-4D14-ABD5-6CCCB4A472B5}"/>
                </c:ext>
              </c:extLst>
            </c:dLbl>
            <c:dLbl>
              <c:idx val="177"/>
              <c:tx>
                <c:rich>
                  <a:bodyPr/>
                  <a:lstStyle/>
                  <a:p>
                    <a:fld id="{C3538E6B-301C-4BDD-A93E-A10E75B7E5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8A0-4D14-ABD5-6CCCB4A472B5}"/>
                </c:ext>
              </c:extLst>
            </c:dLbl>
            <c:dLbl>
              <c:idx val="178"/>
              <c:tx>
                <c:rich>
                  <a:bodyPr/>
                  <a:lstStyle/>
                  <a:p>
                    <a:fld id="{3B0D165A-7C94-4F4F-B46C-39A1B44AB7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8A0-4D14-ABD5-6CCCB4A472B5}"/>
                </c:ext>
              </c:extLst>
            </c:dLbl>
            <c:dLbl>
              <c:idx val="179"/>
              <c:tx>
                <c:rich>
                  <a:bodyPr/>
                  <a:lstStyle/>
                  <a:p>
                    <a:fld id="{6D262CE6-AEEB-4381-9CAA-4EC68673B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8A0-4D14-ABD5-6CCCB4A472B5}"/>
                </c:ext>
              </c:extLst>
            </c:dLbl>
            <c:dLbl>
              <c:idx val="180"/>
              <c:tx>
                <c:rich>
                  <a:bodyPr/>
                  <a:lstStyle/>
                  <a:p>
                    <a:fld id="{5E270C86-7318-446F-A760-0C7A255045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8A0-4D14-ABD5-6CCCB4A472B5}"/>
                </c:ext>
              </c:extLst>
            </c:dLbl>
            <c:dLbl>
              <c:idx val="181"/>
              <c:tx>
                <c:rich>
                  <a:bodyPr/>
                  <a:lstStyle/>
                  <a:p>
                    <a:fld id="{A3162BA7-8011-4421-95C0-846EB79F40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8A0-4D14-ABD5-6CCCB4A472B5}"/>
                </c:ext>
              </c:extLst>
            </c:dLbl>
            <c:dLbl>
              <c:idx val="182"/>
              <c:tx>
                <c:rich>
                  <a:bodyPr/>
                  <a:lstStyle/>
                  <a:p>
                    <a:fld id="{E54362C8-1CEF-4A7B-90DF-6C974B87D4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8A0-4D14-ABD5-6CCCB4A472B5}"/>
                </c:ext>
              </c:extLst>
            </c:dLbl>
            <c:dLbl>
              <c:idx val="183"/>
              <c:tx>
                <c:rich>
                  <a:bodyPr/>
                  <a:lstStyle/>
                  <a:p>
                    <a:fld id="{B4F63B00-A98C-4F17-9F37-AEB7483ED1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8A0-4D14-ABD5-6CCCB4A472B5}"/>
                </c:ext>
              </c:extLst>
            </c:dLbl>
            <c:dLbl>
              <c:idx val="184"/>
              <c:tx>
                <c:rich>
                  <a:bodyPr/>
                  <a:lstStyle/>
                  <a:p>
                    <a:fld id="{F6D91992-6472-43D9-93B4-D58B95CD32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8A0-4D14-ABD5-6CCCB4A472B5}"/>
                </c:ext>
              </c:extLst>
            </c:dLbl>
            <c:dLbl>
              <c:idx val="185"/>
              <c:tx>
                <c:rich>
                  <a:bodyPr/>
                  <a:lstStyle/>
                  <a:p>
                    <a:fld id="{FB358944-8E0E-4A45-B344-F33B2BDA3F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8A0-4D14-ABD5-6CCCB4A472B5}"/>
                </c:ext>
              </c:extLst>
            </c:dLbl>
            <c:dLbl>
              <c:idx val="186"/>
              <c:tx>
                <c:rich>
                  <a:bodyPr/>
                  <a:lstStyle/>
                  <a:p>
                    <a:fld id="{1E4641BF-8C97-43F4-9F31-7D2DA4A01A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8A0-4D14-ABD5-6CCCB4A472B5}"/>
                </c:ext>
              </c:extLst>
            </c:dLbl>
            <c:dLbl>
              <c:idx val="187"/>
              <c:tx>
                <c:rich>
                  <a:bodyPr/>
                  <a:lstStyle/>
                  <a:p>
                    <a:fld id="{606B9B46-5981-4049-A939-3EA9F41D41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8A0-4D14-ABD5-6CCCB4A472B5}"/>
                </c:ext>
              </c:extLst>
            </c:dLbl>
            <c:dLbl>
              <c:idx val="188"/>
              <c:tx>
                <c:rich>
                  <a:bodyPr/>
                  <a:lstStyle/>
                  <a:p>
                    <a:fld id="{9F5F8DDB-0124-49FD-9EF2-60C7396244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8A0-4D14-ABD5-6CCCB4A472B5}"/>
                </c:ext>
              </c:extLst>
            </c:dLbl>
            <c:dLbl>
              <c:idx val="189"/>
              <c:tx>
                <c:rich>
                  <a:bodyPr/>
                  <a:lstStyle/>
                  <a:p>
                    <a:fld id="{CB5860EF-0C20-4341-9559-4AA9950189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8A0-4D14-ABD5-6CCCB4A472B5}"/>
                </c:ext>
              </c:extLst>
            </c:dLbl>
            <c:dLbl>
              <c:idx val="190"/>
              <c:tx>
                <c:rich>
                  <a:bodyPr/>
                  <a:lstStyle/>
                  <a:p>
                    <a:fld id="{23D9E40C-2B0D-4252-BA7B-63BC2C34F0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8A0-4D14-ABD5-6CCCB4A472B5}"/>
                </c:ext>
              </c:extLst>
            </c:dLbl>
            <c:dLbl>
              <c:idx val="191"/>
              <c:tx>
                <c:rich>
                  <a:bodyPr/>
                  <a:lstStyle/>
                  <a:p>
                    <a:fld id="{DA467327-1FA5-4A92-9B17-BDDFD27EB6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8A0-4D14-ABD5-6CCCB4A472B5}"/>
                </c:ext>
              </c:extLst>
            </c:dLbl>
            <c:dLbl>
              <c:idx val="192"/>
              <c:tx>
                <c:rich>
                  <a:bodyPr/>
                  <a:lstStyle/>
                  <a:p>
                    <a:fld id="{4F30CDAE-5990-4238-893B-BE4B06423A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8A0-4D14-ABD5-6CCCB4A472B5}"/>
                </c:ext>
              </c:extLst>
            </c:dLbl>
            <c:dLbl>
              <c:idx val="193"/>
              <c:tx>
                <c:rich>
                  <a:bodyPr/>
                  <a:lstStyle/>
                  <a:p>
                    <a:fld id="{0E10F97D-C908-499D-AB5A-2A1D1CEA92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8A0-4D14-ABD5-6CCCB4A472B5}"/>
                </c:ext>
              </c:extLst>
            </c:dLbl>
            <c:dLbl>
              <c:idx val="194"/>
              <c:tx>
                <c:rich>
                  <a:bodyPr/>
                  <a:lstStyle/>
                  <a:p>
                    <a:fld id="{C74B67DF-1E91-4970-BD59-F2C0E4924E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8A0-4D14-ABD5-6CCCB4A472B5}"/>
                </c:ext>
              </c:extLst>
            </c:dLbl>
            <c:dLbl>
              <c:idx val="195"/>
              <c:tx>
                <c:rich>
                  <a:bodyPr/>
                  <a:lstStyle/>
                  <a:p>
                    <a:fld id="{69BD5949-C21E-4B10-8D9E-8700256EB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8A0-4D14-ABD5-6CCCB4A472B5}"/>
                </c:ext>
              </c:extLst>
            </c:dLbl>
            <c:dLbl>
              <c:idx val="196"/>
              <c:tx>
                <c:rich>
                  <a:bodyPr/>
                  <a:lstStyle/>
                  <a:p>
                    <a:fld id="{CE60E445-0885-4335-8591-E2F6272B37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8A0-4D14-ABD5-6CCCB4A472B5}"/>
                </c:ext>
              </c:extLst>
            </c:dLbl>
            <c:dLbl>
              <c:idx val="197"/>
              <c:tx>
                <c:rich>
                  <a:bodyPr/>
                  <a:lstStyle/>
                  <a:p>
                    <a:fld id="{2271EFEB-B76E-4620-877A-B107544B60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8A0-4D14-ABD5-6CCCB4A472B5}"/>
                </c:ext>
              </c:extLst>
            </c:dLbl>
            <c:dLbl>
              <c:idx val="198"/>
              <c:tx>
                <c:rich>
                  <a:bodyPr/>
                  <a:lstStyle/>
                  <a:p>
                    <a:fld id="{4E53FE3F-71FB-4B53-BE94-CC25D73C88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8A0-4D14-ABD5-6CCCB4A472B5}"/>
                </c:ext>
              </c:extLst>
            </c:dLbl>
            <c:dLbl>
              <c:idx val="199"/>
              <c:tx>
                <c:rich>
                  <a:bodyPr/>
                  <a:lstStyle/>
                  <a:p>
                    <a:fld id="{F7F76761-FF5E-47F6-841F-AF5BC03048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8A0-4D14-ABD5-6CCCB4A472B5}"/>
                </c:ext>
              </c:extLst>
            </c:dLbl>
            <c:dLbl>
              <c:idx val="200"/>
              <c:tx>
                <c:rich>
                  <a:bodyPr/>
                  <a:lstStyle/>
                  <a:p>
                    <a:fld id="{BBA89BFA-5021-4D08-9001-D385AA402E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8A0-4D14-ABD5-6CCCB4A472B5}"/>
                </c:ext>
              </c:extLst>
            </c:dLbl>
            <c:dLbl>
              <c:idx val="201"/>
              <c:tx>
                <c:rich>
                  <a:bodyPr/>
                  <a:lstStyle/>
                  <a:p>
                    <a:fld id="{CA464FB6-EF37-4DAB-B8F9-1C9246917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8A0-4D14-ABD5-6CCCB4A472B5}"/>
                </c:ext>
              </c:extLst>
            </c:dLbl>
            <c:dLbl>
              <c:idx val="202"/>
              <c:tx>
                <c:rich>
                  <a:bodyPr/>
                  <a:lstStyle/>
                  <a:p>
                    <a:fld id="{7A5CD28A-D8A0-4AC3-AF8F-749BFA8AA8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8A0-4D14-ABD5-6CCCB4A472B5}"/>
                </c:ext>
              </c:extLst>
            </c:dLbl>
            <c:dLbl>
              <c:idx val="203"/>
              <c:tx>
                <c:rich>
                  <a:bodyPr/>
                  <a:lstStyle/>
                  <a:p>
                    <a:fld id="{823789A4-542D-499C-B322-3F8EFADA26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8A0-4D14-ABD5-6CCCB4A472B5}"/>
                </c:ext>
              </c:extLst>
            </c:dLbl>
            <c:dLbl>
              <c:idx val="204"/>
              <c:tx>
                <c:rich>
                  <a:bodyPr/>
                  <a:lstStyle/>
                  <a:p>
                    <a:fld id="{13208DD1-41BC-4739-B24F-28411F0F4D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8A0-4D14-ABD5-6CCCB4A472B5}"/>
                </c:ext>
              </c:extLst>
            </c:dLbl>
            <c:dLbl>
              <c:idx val="205"/>
              <c:tx>
                <c:rich>
                  <a:bodyPr/>
                  <a:lstStyle/>
                  <a:p>
                    <a:fld id="{93DA993F-26F3-4044-A777-AE8E2325D0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8A0-4D14-ABD5-6CCCB4A472B5}"/>
                </c:ext>
              </c:extLst>
            </c:dLbl>
            <c:dLbl>
              <c:idx val="206"/>
              <c:tx>
                <c:rich>
                  <a:bodyPr/>
                  <a:lstStyle/>
                  <a:p>
                    <a:fld id="{CF8D703E-E9E1-4BB3-BF1A-380918D668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8A0-4D14-ABD5-6CCCB4A472B5}"/>
                </c:ext>
              </c:extLst>
            </c:dLbl>
            <c:dLbl>
              <c:idx val="207"/>
              <c:tx>
                <c:rich>
                  <a:bodyPr/>
                  <a:lstStyle/>
                  <a:p>
                    <a:fld id="{667A0895-6D77-476B-A446-0138CCD36E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8A0-4D14-ABD5-6CCCB4A472B5}"/>
                </c:ext>
              </c:extLst>
            </c:dLbl>
            <c:dLbl>
              <c:idx val="208"/>
              <c:tx>
                <c:rich>
                  <a:bodyPr/>
                  <a:lstStyle/>
                  <a:p>
                    <a:fld id="{7157B95D-243F-40EB-9C55-EFE23BCC3B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8A0-4D14-ABD5-6CCCB4A472B5}"/>
                </c:ext>
              </c:extLst>
            </c:dLbl>
            <c:dLbl>
              <c:idx val="209"/>
              <c:tx>
                <c:rich>
                  <a:bodyPr/>
                  <a:lstStyle/>
                  <a:p>
                    <a:fld id="{B1AC786C-E383-4797-AAB4-2EDB55DBFF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8A0-4D14-ABD5-6CCCB4A472B5}"/>
                </c:ext>
              </c:extLst>
            </c:dLbl>
            <c:dLbl>
              <c:idx val="210"/>
              <c:tx>
                <c:rich>
                  <a:bodyPr/>
                  <a:lstStyle/>
                  <a:p>
                    <a:fld id="{979E8077-1357-4915-B07D-086EE8BD29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8A0-4D14-ABD5-6CCCB4A472B5}"/>
                </c:ext>
              </c:extLst>
            </c:dLbl>
            <c:dLbl>
              <c:idx val="211"/>
              <c:tx>
                <c:rich>
                  <a:bodyPr/>
                  <a:lstStyle/>
                  <a:p>
                    <a:fld id="{6CC95BE3-6C54-4633-89CA-DDD9C07848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8A0-4D14-ABD5-6CCCB4A472B5}"/>
                </c:ext>
              </c:extLst>
            </c:dLbl>
            <c:dLbl>
              <c:idx val="212"/>
              <c:tx>
                <c:rich>
                  <a:bodyPr/>
                  <a:lstStyle/>
                  <a:p>
                    <a:fld id="{7335A31E-6EF0-46F6-B5D0-836B3726ED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8A0-4D14-ABD5-6CCCB4A472B5}"/>
                </c:ext>
              </c:extLst>
            </c:dLbl>
            <c:dLbl>
              <c:idx val="213"/>
              <c:tx>
                <c:rich>
                  <a:bodyPr/>
                  <a:lstStyle/>
                  <a:p>
                    <a:fld id="{D65E913B-4930-462E-8124-F86A4EDFEA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8A0-4D14-ABD5-6CCCB4A472B5}"/>
                </c:ext>
              </c:extLst>
            </c:dLbl>
            <c:dLbl>
              <c:idx val="214"/>
              <c:tx>
                <c:rich>
                  <a:bodyPr/>
                  <a:lstStyle/>
                  <a:p>
                    <a:fld id="{D27C66EF-F4F5-4F3B-99EC-1131DDFFD2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8A0-4D14-ABD5-6CCCB4A472B5}"/>
                </c:ext>
              </c:extLst>
            </c:dLbl>
            <c:dLbl>
              <c:idx val="215"/>
              <c:tx>
                <c:rich>
                  <a:bodyPr/>
                  <a:lstStyle/>
                  <a:p>
                    <a:fld id="{753A86D2-1303-42E4-8A9F-91044AD748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8A0-4D14-ABD5-6CCCB4A472B5}"/>
                </c:ext>
              </c:extLst>
            </c:dLbl>
            <c:dLbl>
              <c:idx val="216"/>
              <c:tx>
                <c:rich>
                  <a:bodyPr/>
                  <a:lstStyle/>
                  <a:p>
                    <a:fld id="{431D0760-22DC-4D9D-B612-6F48B751AC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8A0-4D14-ABD5-6CCCB4A472B5}"/>
                </c:ext>
              </c:extLst>
            </c:dLbl>
            <c:dLbl>
              <c:idx val="217"/>
              <c:tx>
                <c:rich>
                  <a:bodyPr/>
                  <a:lstStyle/>
                  <a:p>
                    <a:fld id="{56F3674F-8091-4D8A-9268-FA3B0FE66C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8A0-4D14-ABD5-6CCCB4A472B5}"/>
                </c:ext>
              </c:extLst>
            </c:dLbl>
            <c:dLbl>
              <c:idx val="218"/>
              <c:tx>
                <c:rich>
                  <a:bodyPr/>
                  <a:lstStyle/>
                  <a:p>
                    <a:fld id="{AF6E6DF8-3501-423B-B7F7-6C74638006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8A0-4D14-ABD5-6CCCB4A472B5}"/>
                </c:ext>
              </c:extLst>
            </c:dLbl>
            <c:dLbl>
              <c:idx val="219"/>
              <c:tx>
                <c:rich>
                  <a:bodyPr/>
                  <a:lstStyle/>
                  <a:p>
                    <a:fld id="{432C8458-64AC-42D0-B20B-4C3B6257FF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8A0-4D14-ABD5-6CCCB4A472B5}"/>
                </c:ext>
              </c:extLst>
            </c:dLbl>
            <c:dLbl>
              <c:idx val="220"/>
              <c:tx>
                <c:rich>
                  <a:bodyPr/>
                  <a:lstStyle/>
                  <a:p>
                    <a:fld id="{6522433B-343F-4F52-9045-1D855BC8AA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8A0-4D14-ABD5-6CCCB4A472B5}"/>
                </c:ext>
              </c:extLst>
            </c:dLbl>
            <c:dLbl>
              <c:idx val="221"/>
              <c:tx>
                <c:rich>
                  <a:bodyPr/>
                  <a:lstStyle/>
                  <a:p>
                    <a:fld id="{CFA7143E-C2D4-4B08-94FA-82D18FF15D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8A0-4D14-ABD5-6CCCB4A472B5}"/>
                </c:ext>
              </c:extLst>
            </c:dLbl>
            <c:dLbl>
              <c:idx val="222"/>
              <c:tx>
                <c:rich>
                  <a:bodyPr/>
                  <a:lstStyle/>
                  <a:p>
                    <a:fld id="{4BD82CE6-D0FA-4071-BE4A-92794D252D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8A0-4D14-ABD5-6CCCB4A472B5}"/>
                </c:ext>
              </c:extLst>
            </c:dLbl>
            <c:dLbl>
              <c:idx val="223"/>
              <c:tx>
                <c:rich>
                  <a:bodyPr/>
                  <a:lstStyle/>
                  <a:p>
                    <a:fld id="{66555D23-886C-442D-B575-7813CA6A83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8A0-4D14-ABD5-6CCCB4A472B5}"/>
                </c:ext>
              </c:extLst>
            </c:dLbl>
            <c:dLbl>
              <c:idx val="224"/>
              <c:tx>
                <c:rich>
                  <a:bodyPr/>
                  <a:lstStyle/>
                  <a:p>
                    <a:fld id="{9E4A0064-00DB-48DE-86B9-8D3F1F1530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8A0-4D14-ABD5-6CCCB4A472B5}"/>
                </c:ext>
              </c:extLst>
            </c:dLbl>
            <c:dLbl>
              <c:idx val="225"/>
              <c:tx>
                <c:rich>
                  <a:bodyPr/>
                  <a:lstStyle/>
                  <a:p>
                    <a:fld id="{74EF37D8-CCEA-4BCA-88AC-5F5CF9109D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28A0-4D14-ABD5-6CCCB4A472B5}"/>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8A0-4D14-ABD5-6CCCB4A472B5}"/>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8A0-4D14-ABD5-6CCCB4A472B5}"/>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8A0-4D14-ABD5-6CCCB4A472B5}"/>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8A0-4D14-ABD5-6CCCB4A472B5}"/>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8A0-4D14-ABD5-6CCCB4A472B5}"/>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8A0-4D14-ABD5-6CCCB4A472B5}"/>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8A0-4D14-ABD5-6CCCB4A472B5}"/>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8A0-4D14-ABD5-6CCCB4A472B5}"/>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8A0-4D14-ABD5-6CCCB4A472B5}"/>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8A0-4D14-ABD5-6CCCB4A472B5}"/>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8A0-4D14-ABD5-6CCCB4A472B5}"/>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8A0-4D14-ABD5-6CCCB4A472B5}"/>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8A0-4D14-ABD5-6CCCB4A472B5}"/>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8A0-4D14-ABD5-6CCCB4A472B5}"/>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8A0-4D14-ABD5-6CCCB4A472B5}"/>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8A0-4D14-ABD5-6CCCB4A472B5}"/>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8A0-4D14-ABD5-6CCCB4A472B5}"/>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8A0-4D14-ABD5-6CCCB4A472B5}"/>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8A0-4D14-ABD5-6CCCB4A472B5}"/>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8A0-4D14-ABD5-6CCCB4A472B5}"/>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8A0-4D14-ABD5-6CCCB4A472B5}"/>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8A0-4D14-ABD5-6CCCB4A472B5}"/>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8A0-4D14-ABD5-6CCCB4A472B5}"/>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8A0-4D14-ABD5-6CCCB4A472B5}"/>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8A0-4D14-ABD5-6CCCB4A472B5}"/>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8A0-4D14-ABD5-6CCCB4A472B5}"/>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8A0-4D14-ABD5-6CCCB4A472B5}"/>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8A0-4D14-ABD5-6CCCB4A472B5}"/>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8A0-4D14-ABD5-6CCCB4A472B5}"/>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8A0-4D14-ABD5-6CCCB4A472B5}"/>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8A0-4D14-ABD5-6CCCB4A472B5}"/>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8A0-4D14-ABD5-6CCCB4A472B5}"/>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8A0-4D14-ABD5-6CCCB4A472B5}"/>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8A0-4D14-ABD5-6CCCB4A472B5}"/>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8A0-4D14-ABD5-6CCCB4A472B5}"/>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8A0-4D14-ABD5-6CCCB4A472B5}"/>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8A0-4D14-ABD5-6CCCB4A472B5}"/>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8A0-4D14-ABD5-6CCCB4A472B5}"/>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8A0-4D14-ABD5-6CCCB4A472B5}"/>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8A0-4D14-ABD5-6CCCB4A472B5}"/>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8A0-4D14-ABD5-6CCCB4A472B5}"/>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8A0-4D14-ABD5-6CCCB4A472B5}"/>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8A0-4D14-ABD5-6CCCB4A472B5}"/>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8A0-4D14-ABD5-6CCCB4A472B5}"/>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8A0-4D14-ABD5-6CCCB4A472B5}"/>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8A0-4D14-ABD5-6CCCB4A472B5}"/>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8A0-4D14-ABD5-6CCCB4A472B5}"/>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8A0-4D14-ABD5-6CCCB4A472B5}"/>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8A0-4D14-ABD5-6CCCB4A472B5}"/>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8A0-4D14-ABD5-6CCCB4A472B5}"/>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8A0-4D14-ABD5-6CCCB4A472B5}"/>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8A0-4D14-ABD5-6CCCB4A472B5}"/>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8A0-4D14-ABD5-6CCCB4A472B5}"/>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8A0-4D14-ABD5-6CCCB4A472B5}"/>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8A0-4D14-ABD5-6CCCB4A472B5}"/>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8A0-4D14-ABD5-6CCCB4A472B5}"/>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8A0-4D14-ABD5-6CCCB4A472B5}"/>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8A0-4D14-ABD5-6CCCB4A472B5}"/>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8A0-4D14-ABD5-6CCCB4A472B5}"/>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8A0-4D14-ABD5-6CCCB4A472B5}"/>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8A0-4D14-ABD5-6CCCB4A472B5}"/>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8A0-4D14-ABD5-6CCCB4A472B5}"/>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8A0-4D14-ABD5-6CCCB4A472B5}"/>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8A0-4D14-ABD5-6CCCB4A472B5}"/>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8A0-4D14-ABD5-6CCCB4A472B5}"/>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8A0-4D14-ABD5-6CCCB4A472B5}"/>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8A0-4D14-ABD5-6CCCB4A472B5}"/>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8A0-4D14-ABD5-6CCCB4A472B5}"/>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8A0-4D14-ABD5-6CCCB4A472B5}"/>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8A0-4D14-ABD5-6CCCB4A472B5}"/>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8A0-4D14-ABD5-6CCCB4A472B5}"/>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8A0-4D14-ABD5-6CCCB4A472B5}"/>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28A0-4D14-ABD5-6CCCB4A472B5}"/>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53.616268157958984</c:v>
                </c:pt>
                <c:pt idx="1">
                  <c:v>53.537857055664063</c:v>
                </c:pt>
                <c:pt idx="2">
                  <c:v>52.605644226074219</c:v>
                </c:pt>
                <c:pt idx="3">
                  <c:v>51.028617858886719</c:v>
                </c:pt>
                <c:pt idx="4">
                  <c:v>48.918498992919922</c:v>
                </c:pt>
                <c:pt idx="5">
                  <c:v>46.237205505371094</c:v>
                </c:pt>
                <c:pt idx="6">
                  <c:v>42.834297180175781</c:v>
                </c:pt>
                <c:pt idx="7">
                  <c:v>39.311515808105469</c:v>
                </c:pt>
                <c:pt idx="8">
                  <c:v>36.319751739501953</c:v>
                </c:pt>
                <c:pt idx="9">
                  <c:v>34.085926055908203</c:v>
                </c:pt>
                <c:pt idx="10">
                  <c:v>32.714595794677734</c:v>
                </c:pt>
                <c:pt idx="11">
                  <c:v>31.774242401123047</c:v>
                </c:pt>
                <c:pt idx="12">
                  <c:v>31.00274658203125</c:v>
                </c:pt>
                <c:pt idx="13">
                  <c:v>30.18675422668457</c:v>
                </c:pt>
                <c:pt idx="14">
                  <c:v>29.231618881225586</c:v>
                </c:pt>
                <c:pt idx="15">
                  <c:v>28.141170501708984</c:v>
                </c:pt>
                <c:pt idx="16">
                  <c:v>26.989545822143555</c:v>
                </c:pt>
                <c:pt idx="17">
                  <c:v>25.931913375854492</c:v>
                </c:pt>
                <c:pt idx="18">
                  <c:v>25.078027725219727</c:v>
                </c:pt>
                <c:pt idx="19">
                  <c:v>24.479574203491211</c:v>
                </c:pt>
                <c:pt idx="20">
                  <c:v>24.268815994262695</c:v>
                </c:pt>
                <c:pt idx="21">
                  <c:v>24.503765106201172</c:v>
                </c:pt>
                <c:pt idx="22">
                  <c:v>25.292140960693359</c:v>
                </c:pt>
                <c:pt idx="23">
                  <c:v>26.620220184326172</c:v>
                </c:pt>
                <c:pt idx="24">
                  <c:v>28.621458053588867</c:v>
                </c:pt>
                <c:pt idx="25">
                  <c:v>31.220388412475586</c:v>
                </c:pt>
                <c:pt idx="26">
                  <c:v>34.519115447998047</c:v>
                </c:pt>
                <c:pt idx="27">
                  <c:v>38.274173736572266</c:v>
                </c:pt>
                <c:pt idx="28">
                  <c:v>42.584056854248047</c:v>
                </c:pt>
                <c:pt idx="29">
                  <c:v>47.162578582763672</c:v>
                </c:pt>
                <c:pt idx="30">
                  <c:v>52.131343841552734</c:v>
                </c:pt>
                <c:pt idx="31">
                  <c:v>57.126369476318359</c:v>
                </c:pt>
                <c:pt idx="32">
                  <c:v>62.365249633789063</c:v>
                </c:pt>
                <c:pt idx="33">
                  <c:v>67.641593933105469</c:v>
                </c:pt>
                <c:pt idx="34">
                  <c:v>72.696571350097656</c:v>
                </c:pt>
                <c:pt idx="35">
                  <c:v>77.738334655761719</c:v>
                </c:pt>
                <c:pt idx="36">
                  <c:v>82.564735412597656</c:v>
                </c:pt>
                <c:pt idx="37">
                  <c:v>87.031990051269531</c:v>
                </c:pt>
                <c:pt idx="38">
                  <c:v>90.962135314941406</c:v>
                </c:pt>
                <c:pt idx="39">
                  <c:v>94.437843322753906</c:v>
                </c:pt>
                <c:pt idx="40">
                  <c:v>97.199508666992188</c:v>
                </c:pt>
                <c:pt idx="41">
                  <c:v>99.088386535644531</c:v>
                </c:pt>
                <c:pt idx="42">
                  <c:v>100</c:v>
                </c:pt>
                <c:pt idx="43">
                  <c:v>99.886451721191406</c:v>
                </c:pt>
                <c:pt idx="44">
                  <c:v>98.715118408203125</c:v>
                </c:pt>
                <c:pt idx="45">
                  <c:v>96.540023803710938</c:v>
                </c:pt>
                <c:pt idx="46">
                  <c:v>93.416221618652344</c:v>
                </c:pt>
                <c:pt idx="47">
                  <c:v>89.414047241210938</c:v>
                </c:pt>
                <c:pt idx="48">
                  <c:v>84.641891479492188</c:v>
                </c:pt>
                <c:pt idx="49">
                  <c:v>79.243431091308594</c:v>
                </c:pt>
                <c:pt idx="50">
                  <c:v>73.315544128417969</c:v>
                </c:pt>
                <c:pt idx="51">
                  <c:v>66.9573974609375</c:v>
                </c:pt>
                <c:pt idx="52">
                  <c:v>60.396209716796875</c:v>
                </c:pt>
                <c:pt idx="53">
                  <c:v>53.744045257568359</c:v>
                </c:pt>
                <c:pt idx="54">
                  <c:v>46.959270477294922</c:v>
                </c:pt>
                <c:pt idx="55">
                  <c:v>40.602321624755859</c:v>
                </c:pt>
                <c:pt idx="56">
                  <c:v>34.614891052246094</c:v>
                </c:pt>
                <c:pt idx="57">
                  <c:v>29.08502197265625</c:v>
                </c:pt>
                <c:pt idx="58">
                  <c:v>23.966131210327148</c:v>
                </c:pt>
                <c:pt idx="59">
                  <c:v>19.575227737426758</c:v>
                </c:pt>
                <c:pt idx="60">
                  <c:v>15.818838119506836</c:v>
                </c:pt>
                <c:pt idx="61">
                  <c:v>12.620382308959961</c:v>
                </c:pt>
                <c:pt idx="62">
                  <c:v>10.086158752441406</c:v>
                </c:pt>
                <c:pt idx="63">
                  <c:v>8.0124073028564453</c:v>
                </c:pt>
                <c:pt idx="64">
                  <c:v>6.4110894203186035</c:v>
                </c:pt>
                <c:pt idx="65">
                  <c:v>5.1893839836120605</c:v>
                </c:pt>
                <c:pt idx="66">
                  <c:v>4.312568187713623</c:v>
                </c:pt>
                <c:pt idx="67">
                  <c:v>3.6094627380371094</c:v>
                </c:pt>
                <c:pt idx="68">
                  <c:v>3.1649141311645508</c:v>
                </c:pt>
                <c:pt idx="69">
                  <c:v>2.8513917922973633</c:v>
                </c:pt>
                <c:pt idx="70">
                  <c:v>2.6045284271240234</c:v>
                </c:pt>
                <c:pt idx="71">
                  <c:v>2.4619264602661133</c:v>
                </c:pt>
                <c:pt idx="72">
                  <c:v>2.3776686191558838</c:v>
                </c:pt>
                <c:pt idx="73">
                  <c:v>2.299372673034668</c:v>
                </c:pt>
                <c:pt idx="74">
                  <c:v>2.2380120754241943</c:v>
                </c:pt>
                <c:pt idx="75">
                  <c:v>2.2120656967163086</c:v>
                </c:pt>
                <c:pt idx="76">
                  <c:v>2.2295563220977783</c:v>
                </c:pt>
                <c:pt idx="77">
                  <c:v>2.212573766708374</c:v>
                </c:pt>
                <c:pt idx="78">
                  <c:v>2.1951303482055664</c:v>
                </c:pt>
                <c:pt idx="79">
                  <c:v>2.2057178020477295</c:v>
                </c:pt>
                <c:pt idx="80">
                  <c:v>2.1835639476776123</c:v>
                </c:pt>
                <c:pt idx="81">
                  <c:v>2.1695272922515869</c:v>
                </c:pt>
                <c:pt idx="82">
                  <c:v>2.1820158958435059</c:v>
                </c:pt>
                <c:pt idx="83">
                  <c:v>2.1839780807495117</c:v>
                </c:pt>
                <c:pt idx="84">
                  <c:v>2.1939115524291992</c:v>
                </c:pt>
                <c:pt idx="85">
                  <c:v>2.2054591178894043</c:v>
                </c:pt>
                <c:pt idx="86">
                  <c:v>2.2281398773193359</c:v>
                </c:pt>
                <c:pt idx="87">
                  <c:v>2.2420542240142822</c:v>
                </c:pt>
                <c:pt idx="88">
                  <c:v>2.2028710842132568</c:v>
                </c:pt>
                <c:pt idx="89">
                  <c:v>2.1926882266998291</c:v>
                </c:pt>
                <c:pt idx="90">
                  <c:v>2.2022168636322021</c:v>
                </c:pt>
                <c:pt idx="91">
                  <c:v>2.210413932800293</c:v>
                </c:pt>
                <c:pt idx="92">
                  <c:v>2.18522047996521</c:v>
                </c:pt>
                <c:pt idx="93">
                  <c:v>2.1602997779846191</c:v>
                </c:pt>
                <c:pt idx="94">
                  <c:v>2.1545307636260986</c:v>
                </c:pt>
                <c:pt idx="95">
                  <c:v>2.1250126361846924</c:v>
                </c:pt>
                <c:pt idx="96">
                  <c:v>2.1287112236022949</c:v>
                </c:pt>
                <c:pt idx="97">
                  <c:v>2.1794326305389404</c:v>
                </c:pt>
                <c:pt idx="98">
                  <c:v>2.1473782062530518</c:v>
                </c:pt>
                <c:pt idx="99">
                  <c:v>2.1258456707000732</c:v>
                </c:pt>
                <c:pt idx="100">
                  <c:v>2.1385929584503174</c:v>
                </c:pt>
                <c:pt idx="101">
                  <c:v>2.1625490188598633</c:v>
                </c:pt>
                <c:pt idx="102">
                  <c:v>2.1833100318908691</c:v>
                </c:pt>
                <c:pt idx="103">
                  <c:v>2.1529026031494141</c:v>
                </c:pt>
                <c:pt idx="104">
                  <c:v>2.131943941116333</c:v>
                </c:pt>
                <c:pt idx="105">
                  <c:v>2.1263585090637207</c:v>
                </c:pt>
                <c:pt idx="106">
                  <c:v>2.1403622627258301</c:v>
                </c:pt>
                <c:pt idx="107">
                  <c:v>2.1127028465270996</c:v>
                </c:pt>
                <c:pt idx="108">
                  <c:v>2.0746443271636963</c:v>
                </c:pt>
                <c:pt idx="109">
                  <c:v>2.070155143737793</c:v>
                </c:pt>
                <c:pt idx="110">
                  <c:v>2.0615394115447998</c:v>
                </c:pt>
                <c:pt idx="111">
                  <c:v>2.0731196403503418</c:v>
                </c:pt>
                <c:pt idx="112">
                  <c:v>2.0842719078063965</c:v>
                </c:pt>
                <c:pt idx="113">
                  <c:v>2.1252102851867676</c:v>
                </c:pt>
                <c:pt idx="114">
                  <c:v>2.1579751968383789</c:v>
                </c:pt>
                <c:pt idx="115">
                  <c:v>2.1439855098724365</c:v>
                </c:pt>
                <c:pt idx="116">
                  <c:v>2.1201660633087158</c:v>
                </c:pt>
                <c:pt idx="117">
                  <c:v>2.094200611114502</c:v>
                </c:pt>
                <c:pt idx="118">
                  <c:v>2.0623817443847656</c:v>
                </c:pt>
                <c:pt idx="119">
                  <c:v>2.0380115509033203</c:v>
                </c:pt>
                <c:pt idx="120">
                  <c:v>2.0327131748199463</c:v>
                </c:pt>
                <c:pt idx="121">
                  <c:v>2.0616617202758789</c:v>
                </c:pt>
                <c:pt idx="122">
                  <c:v>2.0691623687744141</c:v>
                </c:pt>
                <c:pt idx="123">
                  <c:v>2.1077761650085449</c:v>
                </c:pt>
                <c:pt idx="124">
                  <c:v>2.1176674365997314</c:v>
                </c:pt>
                <c:pt idx="125">
                  <c:v>2.0956735610961914</c:v>
                </c:pt>
                <c:pt idx="126">
                  <c:v>2.1179919242858887</c:v>
                </c:pt>
                <c:pt idx="127">
                  <c:v>2.0781264305114746</c:v>
                </c:pt>
                <c:pt idx="128">
                  <c:v>2.1050987243652344</c:v>
                </c:pt>
                <c:pt idx="129">
                  <c:v>2.1624832153320313</c:v>
                </c:pt>
                <c:pt idx="130">
                  <c:v>2.1338968276977539</c:v>
                </c:pt>
                <c:pt idx="131">
                  <c:v>2.1213846206665039</c:v>
                </c:pt>
                <c:pt idx="132">
                  <c:v>2.1351861953735352</c:v>
                </c:pt>
                <c:pt idx="133">
                  <c:v>2.1308052539825439</c:v>
                </c:pt>
                <c:pt idx="134">
                  <c:v>2.1090562343597412</c:v>
                </c:pt>
                <c:pt idx="135">
                  <c:v>2.0974380970001221</c:v>
                </c:pt>
                <c:pt idx="136">
                  <c:v>2.5845298767089844</c:v>
                </c:pt>
                <c:pt idx="137">
                  <c:v>2.9322240352630615</c:v>
                </c:pt>
                <c:pt idx="138">
                  <c:v>2.4608018398284912</c:v>
                </c:pt>
                <c:pt idx="139">
                  <c:v>2.1120584011077881</c:v>
                </c:pt>
                <c:pt idx="140">
                  <c:v>2.1655511856079102</c:v>
                </c:pt>
                <c:pt idx="141">
                  <c:v>2.1887354850769043</c:v>
                </c:pt>
                <c:pt idx="142">
                  <c:v>2.1614665985107422</c:v>
                </c:pt>
                <c:pt idx="143">
                  <c:v>2.1177520751953125</c:v>
                </c:pt>
                <c:pt idx="144">
                  <c:v>2.0887892246246338</c:v>
                </c:pt>
                <c:pt idx="145">
                  <c:v>2.0620334148406982</c:v>
                </c:pt>
                <c:pt idx="146">
                  <c:v>2.0637602806091309</c:v>
                </c:pt>
                <c:pt idx="147">
                  <c:v>2.0798628330230713</c:v>
                </c:pt>
                <c:pt idx="148">
                  <c:v>2.0569467544555664</c:v>
                </c:pt>
                <c:pt idx="149">
                  <c:v>2.0759806632995605</c:v>
                </c:pt>
                <c:pt idx="150">
                  <c:v>2.1513168811798096</c:v>
                </c:pt>
                <c:pt idx="151">
                  <c:v>2.0956499576568604</c:v>
                </c:pt>
                <c:pt idx="152">
                  <c:v>2.0811474323272705</c:v>
                </c:pt>
                <c:pt idx="153">
                  <c:v>2.1478769779205322</c:v>
                </c:pt>
                <c:pt idx="154">
                  <c:v>2.1462395191192627</c:v>
                </c:pt>
                <c:pt idx="155">
                  <c:v>2.1471147537231445</c:v>
                </c:pt>
                <c:pt idx="156">
                  <c:v>2.1629114151000977</c:v>
                </c:pt>
                <c:pt idx="157">
                  <c:v>2.1494958400726318</c:v>
                </c:pt>
                <c:pt idx="158">
                  <c:v>2.111060619354248</c:v>
                </c:pt>
                <c:pt idx="159">
                  <c:v>2.1248526573181152</c:v>
                </c:pt>
                <c:pt idx="160">
                  <c:v>2.1657347679138184</c:v>
                </c:pt>
                <c:pt idx="161">
                  <c:v>2.1014237403869629</c:v>
                </c:pt>
                <c:pt idx="162">
                  <c:v>2.0625417232513428</c:v>
                </c:pt>
                <c:pt idx="163">
                  <c:v>2.1322970390319824</c:v>
                </c:pt>
                <c:pt idx="164">
                  <c:v>2.191544771194458</c:v>
                </c:pt>
                <c:pt idx="165">
                  <c:v>2.1460230350494385</c:v>
                </c:pt>
                <c:pt idx="166">
                  <c:v>2.135106086730957</c:v>
                </c:pt>
                <c:pt idx="167">
                  <c:v>2.2786400318145752</c:v>
                </c:pt>
                <c:pt idx="168">
                  <c:v>2.2414565086364746</c:v>
                </c:pt>
                <c:pt idx="169">
                  <c:v>2.1034471988677979</c:v>
                </c:pt>
                <c:pt idx="170">
                  <c:v>2.1065340042114258</c:v>
                </c:pt>
                <c:pt idx="171">
                  <c:v>2.1909658908843994</c:v>
                </c:pt>
                <c:pt idx="172">
                  <c:v>2.1458394527435303</c:v>
                </c:pt>
                <c:pt idx="173">
                  <c:v>2.0720655918121338</c:v>
                </c:pt>
                <c:pt idx="174">
                  <c:v>2.1241939067840576</c:v>
                </c:pt>
                <c:pt idx="175">
                  <c:v>2.1938080787658691</c:v>
                </c:pt>
                <c:pt idx="176">
                  <c:v>2.257516622543335</c:v>
                </c:pt>
                <c:pt idx="177">
                  <c:v>2.1786420345306396</c:v>
                </c:pt>
                <c:pt idx="178">
                  <c:v>2.1249420642852783</c:v>
                </c:pt>
                <c:pt idx="179">
                  <c:v>2.1378917694091797</c:v>
                </c:pt>
                <c:pt idx="180">
                  <c:v>2.1238126754760742</c:v>
                </c:pt>
                <c:pt idx="181">
                  <c:v>2.0945017337799072</c:v>
                </c:pt>
                <c:pt idx="182">
                  <c:v>2</c:v>
                </c:pt>
                <c:pt idx="183">
                  <c:v>2.025151252746582</c:v>
                </c:pt>
                <c:pt idx="184">
                  <c:v>2.1342685222625732</c:v>
                </c:pt>
                <c:pt idx="185">
                  <c:v>2.1369836330413818</c:v>
                </c:pt>
                <c:pt idx="186">
                  <c:v>2.0552761554718018</c:v>
                </c:pt>
                <c:pt idx="187">
                  <c:v>2.008441686630249</c:v>
                </c:pt>
                <c:pt idx="188">
                  <c:v>2.1505687236785889</c:v>
                </c:pt>
                <c:pt idx="189">
                  <c:v>2.2026214599609375</c:v>
                </c:pt>
                <c:pt idx="190">
                  <c:v>2.1448843479156494</c:v>
                </c:pt>
                <c:pt idx="191">
                  <c:v>2.0974476337432861</c:v>
                </c:pt>
                <c:pt idx="192">
                  <c:v>2.0788087844848633</c:v>
                </c:pt>
                <c:pt idx="193">
                  <c:v>2.1140627861022949</c:v>
                </c:pt>
                <c:pt idx="194">
                  <c:v>2.0939984321594238</c:v>
                </c:pt>
                <c:pt idx="195">
                  <c:v>2.0567114353179932</c:v>
                </c:pt>
                <c:pt idx="196">
                  <c:v>2.0968639850616455</c:v>
                </c:pt>
                <c:pt idx="197">
                  <c:v>2.1023037433624268</c:v>
                </c:pt>
                <c:pt idx="198">
                  <c:v>2.0777876377105713</c:v>
                </c:pt>
                <c:pt idx="199">
                  <c:v>2.0959510803222656</c:v>
                </c:pt>
                <c:pt idx="200">
                  <c:v>2.0787994861602783</c:v>
                </c:pt>
                <c:pt idx="201">
                  <c:v>2.0981016159057617</c:v>
                </c:pt>
                <c:pt idx="202">
                  <c:v>2.120438814163208</c:v>
                </c:pt>
                <c:pt idx="203">
                  <c:v>2.1361930370330811</c:v>
                </c:pt>
                <c:pt idx="204">
                  <c:v>2.1420092582702637</c:v>
                </c:pt>
                <c:pt idx="205">
                  <c:v>2.0692846775054932</c:v>
                </c:pt>
                <c:pt idx="206">
                  <c:v>2.0526034832000732</c:v>
                </c:pt>
                <c:pt idx="207">
                  <c:v>2.0683953762054443</c:v>
                </c:pt>
                <c:pt idx="208">
                  <c:v>2.0835049152374268</c:v>
                </c:pt>
                <c:pt idx="209">
                  <c:v>2.0850200653076172</c:v>
                </c:pt>
                <c:pt idx="210">
                  <c:v>2.1317510604858398</c:v>
                </c:pt>
                <c:pt idx="211">
                  <c:v>2.1532695293426514</c:v>
                </c:pt>
                <c:pt idx="212">
                  <c:v>2.081599235534668</c:v>
                </c:pt>
                <c:pt idx="213">
                  <c:v>2.0797121524810791</c:v>
                </c:pt>
                <c:pt idx="214">
                  <c:v>2.1310687065124512</c:v>
                </c:pt>
                <c:pt idx="215">
                  <c:v>2.0854482650756836</c:v>
                </c:pt>
                <c:pt idx="216">
                  <c:v>2.0551304817199707</c:v>
                </c:pt>
                <c:pt idx="217">
                  <c:v>2.0215468406677246</c:v>
                </c:pt>
                <c:pt idx="218">
                  <c:v>2.0310425758361816</c:v>
                </c:pt>
                <c:pt idx="219">
                  <c:v>2.0757548809051514</c:v>
                </c:pt>
                <c:pt idx="220">
                  <c:v>2.0987274646759033</c:v>
                </c:pt>
                <c:pt idx="221">
                  <c:v>2.0812697410583496</c:v>
                </c:pt>
                <c:pt idx="222">
                  <c:v>2.1358120441436768</c:v>
                </c:pt>
                <c:pt idx="223">
                  <c:v>2.2467174530029297</c:v>
                </c:pt>
                <c:pt idx="224">
                  <c:v>2.1113994121551514</c:v>
                </c:pt>
                <c:pt idx="225">
                  <c:v>2.1500086784362793</c:v>
                </c:pt>
              </c:numCache>
            </c:numRef>
          </c:yVal>
          <c:smooth val="1"/>
          <c:extLst>
            <c:ext xmlns:c15="http://schemas.microsoft.com/office/drawing/2012/chart" uri="{02D57815-91ED-43cb-92C2-25804820EDAC}">
              <c15:datalabelsRange>
                <c15:f>PeakLabels!$F$2:$F$300</c15:f>
                <c15:dlblRangeCache>
                  <c:ptCount val="299"/>
                  <c:pt idx="42">
                    <c:v>274</c:v>
                  </c:pt>
                </c15:dlblRangeCache>
              </c15:datalabelsRange>
            </c:ext>
            <c:ext xmlns:c16="http://schemas.microsoft.com/office/drawing/2014/chart" uri="{C3380CC4-5D6E-409C-BE32-E72D297353CC}">
              <c16:uniqueId val="{00000000-9522-4649-85B0-3ECCE8C0D8B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4BFD036-319C-46CD-90D8-58799BE37549}"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522-4649-85B0-3ECCE8C0D8BF}"/>
                </c:ext>
              </c:extLst>
            </c:dLbl>
            <c:dLbl>
              <c:idx val="1"/>
              <c:tx>
                <c:rich>
                  <a:bodyPr/>
                  <a:lstStyle/>
                  <a:p>
                    <a:fld id="{191A3B17-5005-441D-9256-09D11CBD4C9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522-4649-85B0-3ECCE8C0D8BF}"/>
                </c:ext>
              </c:extLst>
            </c:dLbl>
            <c:dLbl>
              <c:idx val="2"/>
              <c:tx>
                <c:rich>
                  <a:bodyPr/>
                  <a:lstStyle/>
                  <a:p>
                    <a:fld id="{A234A532-5882-469E-85D9-106D4D7EA40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522-4649-85B0-3ECCE8C0D8BF}"/>
                </c:ext>
              </c:extLst>
            </c:dLbl>
            <c:dLbl>
              <c:idx val="3"/>
              <c:tx>
                <c:rich>
                  <a:bodyPr/>
                  <a:lstStyle/>
                  <a:p>
                    <a:fld id="{9C1D80FE-9C9B-44CB-A07D-18CCE59EDCE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522-4649-85B0-3ECCE8C0D8BF}"/>
                </c:ext>
              </c:extLst>
            </c:dLbl>
            <c:dLbl>
              <c:idx val="4"/>
              <c:tx>
                <c:rich>
                  <a:bodyPr/>
                  <a:lstStyle/>
                  <a:p>
                    <a:fld id="{D4292B2C-EE81-4813-89A6-D6AB90FFFA2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522-4649-85B0-3ECCE8C0D8B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522-4649-85B0-3ECCE8C0D8BF}"/>
            </c:ext>
          </c:extLst>
        </c:ser>
        <c:dLbls>
          <c:showLegendKey val="0"/>
          <c:showVal val="0"/>
          <c:showCatName val="0"/>
          <c:showSerName val="0"/>
          <c:showPercent val="0"/>
          <c:showBubbleSize val="0"/>
        </c:dLbls>
        <c:axId val="1767905184"/>
        <c:axId val="1767909536"/>
      </c:scatterChart>
      <c:valAx>
        <c:axId val="176790518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9536"/>
        <c:crossesAt val="0"/>
        <c:crossBetween val="midCat"/>
        <c:majorUnit val="100"/>
      </c:valAx>
      <c:valAx>
        <c:axId val="176790953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18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DDDD6D73-69C6-4452-B27D-A1E7388F7B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717-4E87-B088-6119FD480FFF}"/>
                </c:ext>
              </c:extLst>
            </c:dLbl>
            <c:dLbl>
              <c:idx val="1"/>
              <c:tx>
                <c:rich>
                  <a:bodyPr/>
                  <a:lstStyle/>
                  <a:p>
                    <a:fld id="{987E7AEC-48CE-4B50-8473-367A4A6007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717-4E87-B088-6119FD480FFF}"/>
                </c:ext>
              </c:extLst>
            </c:dLbl>
            <c:dLbl>
              <c:idx val="2"/>
              <c:tx>
                <c:rich>
                  <a:bodyPr/>
                  <a:lstStyle/>
                  <a:p>
                    <a:fld id="{B41C433E-5FF2-40A9-92E8-88B1A76B41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717-4E87-B088-6119FD480FFF}"/>
                </c:ext>
              </c:extLst>
            </c:dLbl>
            <c:dLbl>
              <c:idx val="3"/>
              <c:tx>
                <c:rich>
                  <a:bodyPr/>
                  <a:lstStyle/>
                  <a:p>
                    <a:fld id="{B587740C-6552-4514-B259-027B8D7493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717-4E87-B088-6119FD480FFF}"/>
                </c:ext>
              </c:extLst>
            </c:dLbl>
            <c:dLbl>
              <c:idx val="4"/>
              <c:tx>
                <c:rich>
                  <a:bodyPr/>
                  <a:lstStyle/>
                  <a:p>
                    <a:fld id="{AD27B17B-067F-4D52-8322-36B9310BCD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717-4E87-B088-6119FD480FFF}"/>
                </c:ext>
              </c:extLst>
            </c:dLbl>
            <c:dLbl>
              <c:idx val="5"/>
              <c:tx>
                <c:rich>
                  <a:bodyPr/>
                  <a:lstStyle/>
                  <a:p>
                    <a:fld id="{F75866C2-6FC7-4AA9-B4B2-8DE959F5C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717-4E87-B088-6119FD480FFF}"/>
                </c:ext>
              </c:extLst>
            </c:dLbl>
            <c:dLbl>
              <c:idx val="6"/>
              <c:tx>
                <c:rich>
                  <a:bodyPr/>
                  <a:lstStyle/>
                  <a:p>
                    <a:fld id="{C640CF8E-99C3-4177-AAF9-2BBAAB61EC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717-4E87-B088-6119FD480FFF}"/>
                </c:ext>
              </c:extLst>
            </c:dLbl>
            <c:dLbl>
              <c:idx val="7"/>
              <c:tx>
                <c:rich>
                  <a:bodyPr/>
                  <a:lstStyle/>
                  <a:p>
                    <a:fld id="{41A4D1C4-9DA8-4BE4-B099-9028401E04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717-4E87-B088-6119FD480FFF}"/>
                </c:ext>
              </c:extLst>
            </c:dLbl>
            <c:dLbl>
              <c:idx val="8"/>
              <c:tx>
                <c:rich>
                  <a:bodyPr/>
                  <a:lstStyle/>
                  <a:p>
                    <a:fld id="{13A90491-F0FA-4E39-A12C-3E4C20FDBB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717-4E87-B088-6119FD480FFF}"/>
                </c:ext>
              </c:extLst>
            </c:dLbl>
            <c:dLbl>
              <c:idx val="9"/>
              <c:tx>
                <c:rich>
                  <a:bodyPr/>
                  <a:lstStyle/>
                  <a:p>
                    <a:fld id="{8F1C2959-308F-4CAD-A281-0D1B7FB7C1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717-4E87-B088-6119FD480FFF}"/>
                </c:ext>
              </c:extLst>
            </c:dLbl>
            <c:dLbl>
              <c:idx val="10"/>
              <c:tx>
                <c:rich>
                  <a:bodyPr/>
                  <a:lstStyle/>
                  <a:p>
                    <a:fld id="{9DF63248-2652-43D8-B4F4-994C05F327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717-4E87-B088-6119FD480FFF}"/>
                </c:ext>
              </c:extLst>
            </c:dLbl>
            <c:dLbl>
              <c:idx val="11"/>
              <c:tx>
                <c:rich>
                  <a:bodyPr/>
                  <a:lstStyle/>
                  <a:p>
                    <a:fld id="{DAA569CD-A920-42D2-B01C-137871B75D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717-4E87-B088-6119FD480FFF}"/>
                </c:ext>
              </c:extLst>
            </c:dLbl>
            <c:dLbl>
              <c:idx val="12"/>
              <c:tx>
                <c:rich>
                  <a:bodyPr/>
                  <a:lstStyle/>
                  <a:p>
                    <a:fld id="{A0424004-8D91-493A-990F-1BCF6D91C8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717-4E87-B088-6119FD480FFF}"/>
                </c:ext>
              </c:extLst>
            </c:dLbl>
            <c:dLbl>
              <c:idx val="13"/>
              <c:tx>
                <c:rich>
                  <a:bodyPr/>
                  <a:lstStyle/>
                  <a:p>
                    <a:fld id="{80B9A949-6301-45CA-A5CF-831D7271A5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717-4E87-B088-6119FD480FFF}"/>
                </c:ext>
              </c:extLst>
            </c:dLbl>
            <c:dLbl>
              <c:idx val="14"/>
              <c:tx>
                <c:rich>
                  <a:bodyPr/>
                  <a:lstStyle/>
                  <a:p>
                    <a:fld id="{BEE2A97D-44A4-441F-B977-D727494DCC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717-4E87-B088-6119FD480FFF}"/>
                </c:ext>
              </c:extLst>
            </c:dLbl>
            <c:dLbl>
              <c:idx val="15"/>
              <c:tx>
                <c:rich>
                  <a:bodyPr/>
                  <a:lstStyle/>
                  <a:p>
                    <a:fld id="{439A6B66-28A6-4D9A-BD43-F320D52C63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6717-4E87-B088-6119FD480FFF}"/>
                </c:ext>
              </c:extLst>
            </c:dLbl>
            <c:dLbl>
              <c:idx val="16"/>
              <c:tx>
                <c:rich>
                  <a:bodyPr/>
                  <a:lstStyle/>
                  <a:p>
                    <a:fld id="{7F367AA4-CFDA-40A9-8F3D-02A37E9A09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6717-4E87-B088-6119FD480FFF}"/>
                </c:ext>
              </c:extLst>
            </c:dLbl>
            <c:dLbl>
              <c:idx val="17"/>
              <c:tx>
                <c:rich>
                  <a:bodyPr/>
                  <a:lstStyle/>
                  <a:p>
                    <a:fld id="{9E952CF9-F2E9-4E0D-B1BB-ADF7A7B6F2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6717-4E87-B088-6119FD480FFF}"/>
                </c:ext>
              </c:extLst>
            </c:dLbl>
            <c:dLbl>
              <c:idx val="18"/>
              <c:tx>
                <c:rich>
                  <a:bodyPr/>
                  <a:lstStyle/>
                  <a:p>
                    <a:fld id="{6A3533E5-10A8-47A4-98BC-E94635FDB1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6717-4E87-B088-6119FD480FFF}"/>
                </c:ext>
              </c:extLst>
            </c:dLbl>
            <c:dLbl>
              <c:idx val="19"/>
              <c:tx>
                <c:rich>
                  <a:bodyPr/>
                  <a:lstStyle/>
                  <a:p>
                    <a:fld id="{4484E7AC-EECA-4B66-8E8D-188F25AC65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6717-4E87-B088-6119FD480FFF}"/>
                </c:ext>
              </c:extLst>
            </c:dLbl>
            <c:dLbl>
              <c:idx val="20"/>
              <c:tx>
                <c:rich>
                  <a:bodyPr/>
                  <a:lstStyle/>
                  <a:p>
                    <a:fld id="{18952640-863A-445C-846F-A9DC24292C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6717-4E87-B088-6119FD480FFF}"/>
                </c:ext>
              </c:extLst>
            </c:dLbl>
            <c:dLbl>
              <c:idx val="21"/>
              <c:tx>
                <c:rich>
                  <a:bodyPr/>
                  <a:lstStyle/>
                  <a:p>
                    <a:fld id="{43EF5C17-8961-4584-AD1A-869315678B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6717-4E87-B088-6119FD480FFF}"/>
                </c:ext>
              </c:extLst>
            </c:dLbl>
            <c:dLbl>
              <c:idx val="22"/>
              <c:tx>
                <c:rich>
                  <a:bodyPr/>
                  <a:lstStyle/>
                  <a:p>
                    <a:fld id="{E2EF93C0-4C92-46C1-89A3-374024566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6717-4E87-B088-6119FD480FFF}"/>
                </c:ext>
              </c:extLst>
            </c:dLbl>
            <c:dLbl>
              <c:idx val="23"/>
              <c:tx>
                <c:rich>
                  <a:bodyPr/>
                  <a:lstStyle/>
                  <a:p>
                    <a:fld id="{6E6B13B7-94AF-468D-92FD-B8A6E17EEC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6717-4E87-B088-6119FD480FFF}"/>
                </c:ext>
              </c:extLst>
            </c:dLbl>
            <c:dLbl>
              <c:idx val="24"/>
              <c:tx>
                <c:rich>
                  <a:bodyPr/>
                  <a:lstStyle/>
                  <a:p>
                    <a:fld id="{7104DC52-B053-493C-AF26-CB94653FA2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6717-4E87-B088-6119FD480FFF}"/>
                </c:ext>
              </c:extLst>
            </c:dLbl>
            <c:dLbl>
              <c:idx val="25"/>
              <c:tx>
                <c:rich>
                  <a:bodyPr/>
                  <a:lstStyle/>
                  <a:p>
                    <a:fld id="{A6B784A5-88CF-4ED2-A66F-B94D954A2B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6717-4E87-B088-6119FD480FFF}"/>
                </c:ext>
              </c:extLst>
            </c:dLbl>
            <c:dLbl>
              <c:idx val="26"/>
              <c:tx>
                <c:rich>
                  <a:bodyPr/>
                  <a:lstStyle/>
                  <a:p>
                    <a:fld id="{5FAA3EB8-78B4-417D-B289-08AD555D4F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6717-4E87-B088-6119FD480FFF}"/>
                </c:ext>
              </c:extLst>
            </c:dLbl>
            <c:dLbl>
              <c:idx val="27"/>
              <c:tx>
                <c:rich>
                  <a:bodyPr/>
                  <a:lstStyle/>
                  <a:p>
                    <a:fld id="{712822A3-9FFE-4FC6-B390-CF3DA41800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6717-4E87-B088-6119FD480FFF}"/>
                </c:ext>
              </c:extLst>
            </c:dLbl>
            <c:dLbl>
              <c:idx val="28"/>
              <c:tx>
                <c:rich>
                  <a:bodyPr/>
                  <a:lstStyle/>
                  <a:p>
                    <a:fld id="{8D09A349-38C1-4D38-81CF-316821D7F2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6717-4E87-B088-6119FD480FFF}"/>
                </c:ext>
              </c:extLst>
            </c:dLbl>
            <c:dLbl>
              <c:idx val="29"/>
              <c:tx>
                <c:rich>
                  <a:bodyPr/>
                  <a:lstStyle/>
                  <a:p>
                    <a:fld id="{0726A8F9-E5B8-4DB5-9109-CB3DF57589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6717-4E87-B088-6119FD480FFF}"/>
                </c:ext>
              </c:extLst>
            </c:dLbl>
            <c:dLbl>
              <c:idx val="30"/>
              <c:tx>
                <c:rich>
                  <a:bodyPr/>
                  <a:lstStyle/>
                  <a:p>
                    <a:fld id="{01439753-00B9-40E1-A8B3-63B5E2575B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6717-4E87-B088-6119FD480FFF}"/>
                </c:ext>
              </c:extLst>
            </c:dLbl>
            <c:dLbl>
              <c:idx val="31"/>
              <c:tx>
                <c:rich>
                  <a:bodyPr/>
                  <a:lstStyle/>
                  <a:p>
                    <a:fld id="{A4AF221A-0C92-4903-8A0E-1EF7F6AC99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6717-4E87-B088-6119FD480FFF}"/>
                </c:ext>
              </c:extLst>
            </c:dLbl>
            <c:dLbl>
              <c:idx val="32"/>
              <c:tx>
                <c:rich>
                  <a:bodyPr/>
                  <a:lstStyle/>
                  <a:p>
                    <a:fld id="{CE589815-A5A8-490F-840A-B2E8D17DE9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6717-4E87-B088-6119FD480FFF}"/>
                </c:ext>
              </c:extLst>
            </c:dLbl>
            <c:dLbl>
              <c:idx val="33"/>
              <c:tx>
                <c:rich>
                  <a:bodyPr/>
                  <a:lstStyle/>
                  <a:p>
                    <a:fld id="{0B69F34F-A73C-4A78-98BD-44491B8838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6717-4E87-B088-6119FD480FFF}"/>
                </c:ext>
              </c:extLst>
            </c:dLbl>
            <c:dLbl>
              <c:idx val="34"/>
              <c:tx>
                <c:rich>
                  <a:bodyPr/>
                  <a:lstStyle/>
                  <a:p>
                    <a:fld id="{08E931C5-A506-4002-86C9-02485DDC8C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6717-4E87-B088-6119FD480FFF}"/>
                </c:ext>
              </c:extLst>
            </c:dLbl>
            <c:dLbl>
              <c:idx val="35"/>
              <c:tx>
                <c:rich>
                  <a:bodyPr/>
                  <a:lstStyle/>
                  <a:p>
                    <a:fld id="{5DCADA39-5D20-4F4F-B554-68D51D45FC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6717-4E87-B088-6119FD480FFF}"/>
                </c:ext>
              </c:extLst>
            </c:dLbl>
            <c:dLbl>
              <c:idx val="36"/>
              <c:tx>
                <c:rich>
                  <a:bodyPr/>
                  <a:lstStyle/>
                  <a:p>
                    <a:fld id="{23A27B90-9922-4FD4-9D86-F67604461E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6717-4E87-B088-6119FD480FFF}"/>
                </c:ext>
              </c:extLst>
            </c:dLbl>
            <c:dLbl>
              <c:idx val="37"/>
              <c:tx>
                <c:rich>
                  <a:bodyPr/>
                  <a:lstStyle/>
                  <a:p>
                    <a:fld id="{EA086070-AA66-45EF-8008-C3855CE583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6717-4E87-B088-6119FD480FFF}"/>
                </c:ext>
              </c:extLst>
            </c:dLbl>
            <c:dLbl>
              <c:idx val="38"/>
              <c:tx>
                <c:rich>
                  <a:bodyPr/>
                  <a:lstStyle/>
                  <a:p>
                    <a:fld id="{48062CBC-0C29-4B64-9A3D-0AA4061048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6717-4E87-B088-6119FD480FFF}"/>
                </c:ext>
              </c:extLst>
            </c:dLbl>
            <c:dLbl>
              <c:idx val="39"/>
              <c:tx>
                <c:rich>
                  <a:bodyPr/>
                  <a:lstStyle/>
                  <a:p>
                    <a:fld id="{70A1C715-FA6C-4467-AD40-DDB0F84F72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6717-4E87-B088-6119FD480FFF}"/>
                </c:ext>
              </c:extLst>
            </c:dLbl>
            <c:dLbl>
              <c:idx val="40"/>
              <c:tx>
                <c:rich>
                  <a:bodyPr/>
                  <a:lstStyle/>
                  <a:p>
                    <a:fld id="{69AE31B8-9B7A-4BCA-8AAA-766CFAD632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6717-4E87-B088-6119FD480FFF}"/>
                </c:ext>
              </c:extLst>
            </c:dLbl>
            <c:dLbl>
              <c:idx val="41"/>
              <c:tx>
                <c:rich>
                  <a:bodyPr/>
                  <a:lstStyle/>
                  <a:p>
                    <a:fld id="{E6FC6D90-B24E-4B11-A634-696B70FE1C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6717-4E87-B088-6119FD480FFF}"/>
                </c:ext>
              </c:extLst>
            </c:dLbl>
            <c:dLbl>
              <c:idx val="42"/>
              <c:tx>
                <c:rich>
                  <a:bodyPr/>
                  <a:lstStyle/>
                  <a:p>
                    <a:fld id="{E88A320D-FAE8-4629-B23C-9085609DE9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6717-4E87-B088-6119FD480FFF}"/>
                </c:ext>
              </c:extLst>
            </c:dLbl>
            <c:dLbl>
              <c:idx val="43"/>
              <c:tx>
                <c:rich>
                  <a:bodyPr/>
                  <a:lstStyle/>
                  <a:p>
                    <a:fld id="{DFDE3FC5-E4AD-4619-8433-41C36ECF91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6717-4E87-B088-6119FD480FFF}"/>
                </c:ext>
              </c:extLst>
            </c:dLbl>
            <c:dLbl>
              <c:idx val="44"/>
              <c:tx>
                <c:rich>
                  <a:bodyPr/>
                  <a:lstStyle/>
                  <a:p>
                    <a:fld id="{B8114296-B1DD-4BF6-A34D-F72C4950FF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6717-4E87-B088-6119FD480FFF}"/>
                </c:ext>
              </c:extLst>
            </c:dLbl>
            <c:dLbl>
              <c:idx val="45"/>
              <c:tx>
                <c:rich>
                  <a:bodyPr/>
                  <a:lstStyle/>
                  <a:p>
                    <a:fld id="{14514003-EE2B-410D-99DE-3015800D7C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6717-4E87-B088-6119FD480FFF}"/>
                </c:ext>
              </c:extLst>
            </c:dLbl>
            <c:dLbl>
              <c:idx val="46"/>
              <c:tx>
                <c:rich>
                  <a:bodyPr/>
                  <a:lstStyle/>
                  <a:p>
                    <a:fld id="{82D389EF-2CAA-48D4-A3FA-78EB18FAF7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6717-4E87-B088-6119FD480FFF}"/>
                </c:ext>
              </c:extLst>
            </c:dLbl>
            <c:dLbl>
              <c:idx val="47"/>
              <c:tx>
                <c:rich>
                  <a:bodyPr/>
                  <a:lstStyle/>
                  <a:p>
                    <a:fld id="{27CA9771-8ADE-45FF-834F-2881FF0D7B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6717-4E87-B088-6119FD480FFF}"/>
                </c:ext>
              </c:extLst>
            </c:dLbl>
            <c:dLbl>
              <c:idx val="48"/>
              <c:tx>
                <c:rich>
                  <a:bodyPr/>
                  <a:lstStyle/>
                  <a:p>
                    <a:fld id="{D0AC82A1-A499-4E27-9B59-298AB5D351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6717-4E87-B088-6119FD480FFF}"/>
                </c:ext>
              </c:extLst>
            </c:dLbl>
            <c:dLbl>
              <c:idx val="49"/>
              <c:tx>
                <c:rich>
                  <a:bodyPr/>
                  <a:lstStyle/>
                  <a:p>
                    <a:fld id="{CF9353BF-94EA-4B13-9245-347F45FE2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6717-4E87-B088-6119FD480FFF}"/>
                </c:ext>
              </c:extLst>
            </c:dLbl>
            <c:dLbl>
              <c:idx val="50"/>
              <c:tx>
                <c:rich>
                  <a:bodyPr/>
                  <a:lstStyle/>
                  <a:p>
                    <a:fld id="{A57F710C-564A-4E6F-922D-D278C84F3A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6717-4E87-B088-6119FD480FFF}"/>
                </c:ext>
              </c:extLst>
            </c:dLbl>
            <c:dLbl>
              <c:idx val="51"/>
              <c:tx>
                <c:rich>
                  <a:bodyPr/>
                  <a:lstStyle/>
                  <a:p>
                    <a:fld id="{96C651D4-165E-42AD-B386-6F12A9252A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6717-4E87-B088-6119FD480FFF}"/>
                </c:ext>
              </c:extLst>
            </c:dLbl>
            <c:dLbl>
              <c:idx val="52"/>
              <c:tx>
                <c:rich>
                  <a:bodyPr/>
                  <a:lstStyle/>
                  <a:p>
                    <a:fld id="{2BBC83AF-77FE-44A8-AF06-53816E4E9F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6717-4E87-B088-6119FD480FFF}"/>
                </c:ext>
              </c:extLst>
            </c:dLbl>
            <c:dLbl>
              <c:idx val="53"/>
              <c:tx>
                <c:rich>
                  <a:bodyPr/>
                  <a:lstStyle/>
                  <a:p>
                    <a:fld id="{6E872D51-2C68-4C6A-A1CB-99625D9AA5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6717-4E87-B088-6119FD480FFF}"/>
                </c:ext>
              </c:extLst>
            </c:dLbl>
            <c:dLbl>
              <c:idx val="54"/>
              <c:tx>
                <c:rich>
                  <a:bodyPr/>
                  <a:lstStyle/>
                  <a:p>
                    <a:fld id="{3DA1EB53-3014-47B2-8F34-93B44AC464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6717-4E87-B088-6119FD480FFF}"/>
                </c:ext>
              </c:extLst>
            </c:dLbl>
            <c:dLbl>
              <c:idx val="55"/>
              <c:tx>
                <c:rich>
                  <a:bodyPr/>
                  <a:lstStyle/>
                  <a:p>
                    <a:fld id="{FC3639AD-9A3A-479F-BAA4-14A0D914EF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6717-4E87-B088-6119FD480FFF}"/>
                </c:ext>
              </c:extLst>
            </c:dLbl>
            <c:dLbl>
              <c:idx val="56"/>
              <c:tx>
                <c:rich>
                  <a:bodyPr/>
                  <a:lstStyle/>
                  <a:p>
                    <a:fld id="{17B88F9A-776A-4664-8797-8C36E01F46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6717-4E87-B088-6119FD480FFF}"/>
                </c:ext>
              </c:extLst>
            </c:dLbl>
            <c:dLbl>
              <c:idx val="57"/>
              <c:tx>
                <c:rich>
                  <a:bodyPr/>
                  <a:lstStyle/>
                  <a:p>
                    <a:fld id="{2454D423-9091-464E-BFBF-8424B21373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6717-4E87-B088-6119FD480FFF}"/>
                </c:ext>
              </c:extLst>
            </c:dLbl>
            <c:dLbl>
              <c:idx val="58"/>
              <c:tx>
                <c:rich>
                  <a:bodyPr/>
                  <a:lstStyle/>
                  <a:p>
                    <a:fld id="{20438BC8-B247-4DA8-9337-A3D565726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6717-4E87-B088-6119FD480FFF}"/>
                </c:ext>
              </c:extLst>
            </c:dLbl>
            <c:dLbl>
              <c:idx val="59"/>
              <c:tx>
                <c:rich>
                  <a:bodyPr/>
                  <a:lstStyle/>
                  <a:p>
                    <a:fld id="{CCD71A18-7E0D-42DB-87A5-D966016185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6717-4E87-B088-6119FD480FFF}"/>
                </c:ext>
              </c:extLst>
            </c:dLbl>
            <c:dLbl>
              <c:idx val="60"/>
              <c:tx>
                <c:rich>
                  <a:bodyPr/>
                  <a:lstStyle/>
                  <a:p>
                    <a:fld id="{45E59165-FBBB-4A53-A16D-9E7D606758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6717-4E87-B088-6119FD480FFF}"/>
                </c:ext>
              </c:extLst>
            </c:dLbl>
            <c:dLbl>
              <c:idx val="61"/>
              <c:tx>
                <c:rich>
                  <a:bodyPr/>
                  <a:lstStyle/>
                  <a:p>
                    <a:fld id="{4AE986E6-DDA1-4813-861B-2A14EE5F8D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6717-4E87-B088-6119FD480FFF}"/>
                </c:ext>
              </c:extLst>
            </c:dLbl>
            <c:dLbl>
              <c:idx val="62"/>
              <c:tx>
                <c:rich>
                  <a:bodyPr/>
                  <a:lstStyle/>
                  <a:p>
                    <a:fld id="{1EADFBE0-39CF-40EC-BA86-416C7F1436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6717-4E87-B088-6119FD480FFF}"/>
                </c:ext>
              </c:extLst>
            </c:dLbl>
            <c:dLbl>
              <c:idx val="63"/>
              <c:tx>
                <c:rich>
                  <a:bodyPr/>
                  <a:lstStyle/>
                  <a:p>
                    <a:fld id="{926AB610-0599-48E3-9855-7ED9CE12D2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6717-4E87-B088-6119FD480FFF}"/>
                </c:ext>
              </c:extLst>
            </c:dLbl>
            <c:dLbl>
              <c:idx val="64"/>
              <c:tx>
                <c:rich>
                  <a:bodyPr/>
                  <a:lstStyle/>
                  <a:p>
                    <a:fld id="{AAFF18D0-6D87-40D2-B8C8-26443AB960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6717-4E87-B088-6119FD480FFF}"/>
                </c:ext>
              </c:extLst>
            </c:dLbl>
            <c:dLbl>
              <c:idx val="65"/>
              <c:tx>
                <c:rich>
                  <a:bodyPr/>
                  <a:lstStyle/>
                  <a:p>
                    <a:fld id="{956279BF-1E77-4D55-938F-AEBF019BC0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6717-4E87-B088-6119FD480FFF}"/>
                </c:ext>
              </c:extLst>
            </c:dLbl>
            <c:dLbl>
              <c:idx val="66"/>
              <c:tx>
                <c:rich>
                  <a:bodyPr/>
                  <a:lstStyle/>
                  <a:p>
                    <a:fld id="{DA86CD80-892C-4FFE-9749-0C09B614D9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6717-4E87-B088-6119FD480FFF}"/>
                </c:ext>
              </c:extLst>
            </c:dLbl>
            <c:dLbl>
              <c:idx val="67"/>
              <c:tx>
                <c:rich>
                  <a:bodyPr/>
                  <a:lstStyle/>
                  <a:p>
                    <a:fld id="{5435B24A-8EB1-45F1-A09C-211A7D388A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6717-4E87-B088-6119FD480FFF}"/>
                </c:ext>
              </c:extLst>
            </c:dLbl>
            <c:dLbl>
              <c:idx val="68"/>
              <c:tx>
                <c:rich>
                  <a:bodyPr/>
                  <a:lstStyle/>
                  <a:p>
                    <a:fld id="{F3A9DEC1-D5AD-4314-9421-07B7EA2EA3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6717-4E87-B088-6119FD480FFF}"/>
                </c:ext>
              </c:extLst>
            </c:dLbl>
            <c:dLbl>
              <c:idx val="69"/>
              <c:tx>
                <c:rich>
                  <a:bodyPr/>
                  <a:lstStyle/>
                  <a:p>
                    <a:fld id="{CF0A222C-FDA9-4B9D-A30B-F1F54BA8AC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6717-4E87-B088-6119FD480FFF}"/>
                </c:ext>
              </c:extLst>
            </c:dLbl>
            <c:dLbl>
              <c:idx val="70"/>
              <c:tx>
                <c:rich>
                  <a:bodyPr/>
                  <a:lstStyle/>
                  <a:p>
                    <a:fld id="{EE866C64-5780-44C4-9E40-EC641D17BB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6717-4E87-B088-6119FD480FFF}"/>
                </c:ext>
              </c:extLst>
            </c:dLbl>
            <c:dLbl>
              <c:idx val="71"/>
              <c:tx>
                <c:rich>
                  <a:bodyPr/>
                  <a:lstStyle/>
                  <a:p>
                    <a:fld id="{FED89DEA-F57C-447B-8E98-5F47A36385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6717-4E87-B088-6119FD480FFF}"/>
                </c:ext>
              </c:extLst>
            </c:dLbl>
            <c:dLbl>
              <c:idx val="72"/>
              <c:tx>
                <c:rich>
                  <a:bodyPr/>
                  <a:lstStyle/>
                  <a:p>
                    <a:fld id="{ADC26559-2BC3-4D8A-BD50-CCCCC38B4D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6717-4E87-B088-6119FD480FFF}"/>
                </c:ext>
              </c:extLst>
            </c:dLbl>
            <c:dLbl>
              <c:idx val="73"/>
              <c:tx>
                <c:rich>
                  <a:bodyPr/>
                  <a:lstStyle/>
                  <a:p>
                    <a:fld id="{57BD3574-BF66-4A89-9965-941C0E5B08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6717-4E87-B088-6119FD480FFF}"/>
                </c:ext>
              </c:extLst>
            </c:dLbl>
            <c:dLbl>
              <c:idx val="74"/>
              <c:tx>
                <c:rich>
                  <a:bodyPr/>
                  <a:lstStyle/>
                  <a:p>
                    <a:fld id="{F67788C9-9DB8-4877-B10B-B8EC00F97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6717-4E87-B088-6119FD480FFF}"/>
                </c:ext>
              </c:extLst>
            </c:dLbl>
            <c:dLbl>
              <c:idx val="75"/>
              <c:tx>
                <c:rich>
                  <a:bodyPr/>
                  <a:lstStyle/>
                  <a:p>
                    <a:fld id="{A1C05273-946B-4ADB-B192-D49B86D39E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6717-4E87-B088-6119FD480FFF}"/>
                </c:ext>
              </c:extLst>
            </c:dLbl>
            <c:dLbl>
              <c:idx val="76"/>
              <c:tx>
                <c:rich>
                  <a:bodyPr/>
                  <a:lstStyle/>
                  <a:p>
                    <a:fld id="{E92C244A-F7DA-4605-B68A-E0AB8AC02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6717-4E87-B088-6119FD480FFF}"/>
                </c:ext>
              </c:extLst>
            </c:dLbl>
            <c:dLbl>
              <c:idx val="77"/>
              <c:tx>
                <c:rich>
                  <a:bodyPr/>
                  <a:lstStyle/>
                  <a:p>
                    <a:fld id="{A2E991EC-D3A1-472F-9419-687A189ED0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6717-4E87-B088-6119FD480FFF}"/>
                </c:ext>
              </c:extLst>
            </c:dLbl>
            <c:dLbl>
              <c:idx val="78"/>
              <c:tx>
                <c:rich>
                  <a:bodyPr/>
                  <a:lstStyle/>
                  <a:p>
                    <a:fld id="{4214A1C5-9728-4143-8BCC-597602A2CC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6717-4E87-B088-6119FD480FFF}"/>
                </c:ext>
              </c:extLst>
            </c:dLbl>
            <c:dLbl>
              <c:idx val="79"/>
              <c:tx>
                <c:rich>
                  <a:bodyPr/>
                  <a:lstStyle/>
                  <a:p>
                    <a:fld id="{CF2BFFF5-97B9-4DBC-8435-BED8C6EA07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6717-4E87-B088-6119FD480FFF}"/>
                </c:ext>
              </c:extLst>
            </c:dLbl>
            <c:dLbl>
              <c:idx val="80"/>
              <c:tx>
                <c:rich>
                  <a:bodyPr/>
                  <a:lstStyle/>
                  <a:p>
                    <a:fld id="{EF6AF517-8F7B-4929-AC95-5B2C08BCF7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6717-4E87-B088-6119FD480FFF}"/>
                </c:ext>
              </c:extLst>
            </c:dLbl>
            <c:dLbl>
              <c:idx val="81"/>
              <c:tx>
                <c:rich>
                  <a:bodyPr/>
                  <a:lstStyle/>
                  <a:p>
                    <a:fld id="{FC64A205-9C4D-4B75-9E45-58C5FBBD92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6717-4E87-B088-6119FD480FFF}"/>
                </c:ext>
              </c:extLst>
            </c:dLbl>
            <c:dLbl>
              <c:idx val="82"/>
              <c:tx>
                <c:rich>
                  <a:bodyPr/>
                  <a:lstStyle/>
                  <a:p>
                    <a:fld id="{927A5858-ECDF-4657-B423-7B3ADB532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6717-4E87-B088-6119FD480FFF}"/>
                </c:ext>
              </c:extLst>
            </c:dLbl>
            <c:dLbl>
              <c:idx val="83"/>
              <c:tx>
                <c:rich>
                  <a:bodyPr/>
                  <a:lstStyle/>
                  <a:p>
                    <a:fld id="{2E8E3D09-8BE2-4D05-A777-6DC1D90E28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6717-4E87-B088-6119FD480FFF}"/>
                </c:ext>
              </c:extLst>
            </c:dLbl>
            <c:dLbl>
              <c:idx val="84"/>
              <c:tx>
                <c:rich>
                  <a:bodyPr/>
                  <a:lstStyle/>
                  <a:p>
                    <a:fld id="{DE045236-3C3B-48B9-B4E1-0BC2B21CB2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6717-4E87-B088-6119FD480FFF}"/>
                </c:ext>
              </c:extLst>
            </c:dLbl>
            <c:dLbl>
              <c:idx val="85"/>
              <c:tx>
                <c:rich>
                  <a:bodyPr/>
                  <a:lstStyle/>
                  <a:p>
                    <a:fld id="{18691FA3-5037-4AD8-BC4B-8E1F0A2BAA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6717-4E87-B088-6119FD480FFF}"/>
                </c:ext>
              </c:extLst>
            </c:dLbl>
            <c:dLbl>
              <c:idx val="86"/>
              <c:tx>
                <c:rich>
                  <a:bodyPr/>
                  <a:lstStyle/>
                  <a:p>
                    <a:fld id="{A9D10436-736B-4FEB-915C-3E71F7155D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6717-4E87-B088-6119FD480FFF}"/>
                </c:ext>
              </c:extLst>
            </c:dLbl>
            <c:dLbl>
              <c:idx val="87"/>
              <c:tx>
                <c:rich>
                  <a:bodyPr/>
                  <a:lstStyle/>
                  <a:p>
                    <a:fld id="{171CD1B0-4A73-4050-B250-27451E741C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6717-4E87-B088-6119FD480FFF}"/>
                </c:ext>
              </c:extLst>
            </c:dLbl>
            <c:dLbl>
              <c:idx val="88"/>
              <c:tx>
                <c:rich>
                  <a:bodyPr/>
                  <a:lstStyle/>
                  <a:p>
                    <a:fld id="{258EBFB5-9E74-4FD5-A726-1B09C928EF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6717-4E87-B088-6119FD480FFF}"/>
                </c:ext>
              </c:extLst>
            </c:dLbl>
            <c:dLbl>
              <c:idx val="89"/>
              <c:tx>
                <c:rich>
                  <a:bodyPr/>
                  <a:lstStyle/>
                  <a:p>
                    <a:fld id="{5B5F5DA2-AEC0-4911-A3B4-25901036C2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6717-4E87-B088-6119FD480FFF}"/>
                </c:ext>
              </c:extLst>
            </c:dLbl>
            <c:dLbl>
              <c:idx val="90"/>
              <c:tx>
                <c:rich>
                  <a:bodyPr/>
                  <a:lstStyle/>
                  <a:p>
                    <a:fld id="{6B54ED0A-15FB-43D1-9638-A6AD1B8375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6717-4E87-B088-6119FD480FFF}"/>
                </c:ext>
              </c:extLst>
            </c:dLbl>
            <c:dLbl>
              <c:idx val="91"/>
              <c:tx>
                <c:rich>
                  <a:bodyPr/>
                  <a:lstStyle/>
                  <a:p>
                    <a:fld id="{9C6B9D0A-3A38-43CC-B9CC-1C495E1EE8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6717-4E87-B088-6119FD480FFF}"/>
                </c:ext>
              </c:extLst>
            </c:dLbl>
            <c:dLbl>
              <c:idx val="92"/>
              <c:tx>
                <c:rich>
                  <a:bodyPr/>
                  <a:lstStyle/>
                  <a:p>
                    <a:fld id="{8B849CD0-0F45-4177-BF61-5914FB079C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6717-4E87-B088-6119FD480FFF}"/>
                </c:ext>
              </c:extLst>
            </c:dLbl>
            <c:dLbl>
              <c:idx val="93"/>
              <c:tx>
                <c:rich>
                  <a:bodyPr/>
                  <a:lstStyle/>
                  <a:p>
                    <a:fld id="{5E03B224-482F-40CF-BEA1-0FEE1181D4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6717-4E87-B088-6119FD480FFF}"/>
                </c:ext>
              </c:extLst>
            </c:dLbl>
            <c:dLbl>
              <c:idx val="94"/>
              <c:tx>
                <c:rich>
                  <a:bodyPr/>
                  <a:lstStyle/>
                  <a:p>
                    <a:fld id="{6086C47F-6B97-4840-8F17-D8844486C9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6717-4E87-B088-6119FD480FFF}"/>
                </c:ext>
              </c:extLst>
            </c:dLbl>
            <c:dLbl>
              <c:idx val="95"/>
              <c:tx>
                <c:rich>
                  <a:bodyPr/>
                  <a:lstStyle/>
                  <a:p>
                    <a:fld id="{3ADA02D2-0051-4764-8B8F-78358F46DE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6717-4E87-B088-6119FD480FFF}"/>
                </c:ext>
              </c:extLst>
            </c:dLbl>
            <c:dLbl>
              <c:idx val="96"/>
              <c:tx>
                <c:rich>
                  <a:bodyPr/>
                  <a:lstStyle/>
                  <a:p>
                    <a:fld id="{B614259D-DD62-4982-B09A-CF75E560BE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6717-4E87-B088-6119FD480FFF}"/>
                </c:ext>
              </c:extLst>
            </c:dLbl>
            <c:dLbl>
              <c:idx val="97"/>
              <c:tx>
                <c:rich>
                  <a:bodyPr/>
                  <a:lstStyle/>
                  <a:p>
                    <a:fld id="{74D1E06B-0936-46CC-8DA4-CB6DA49D07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6717-4E87-B088-6119FD480FFF}"/>
                </c:ext>
              </c:extLst>
            </c:dLbl>
            <c:dLbl>
              <c:idx val="98"/>
              <c:tx>
                <c:rich>
                  <a:bodyPr/>
                  <a:lstStyle/>
                  <a:p>
                    <a:fld id="{4970ED1C-2391-4F18-AA7B-3AFF702402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6717-4E87-B088-6119FD480FFF}"/>
                </c:ext>
              </c:extLst>
            </c:dLbl>
            <c:dLbl>
              <c:idx val="99"/>
              <c:tx>
                <c:rich>
                  <a:bodyPr/>
                  <a:lstStyle/>
                  <a:p>
                    <a:fld id="{B71BFBEC-E986-468C-B6A4-E528AC118C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6717-4E87-B088-6119FD480FFF}"/>
                </c:ext>
              </c:extLst>
            </c:dLbl>
            <c:dLbl>
              <c:idx val="100"/>
              <c:tx>
                <c:rich>
                  <a:bodyPr/>
                  <a:lstStyle/>
                  <a:p>
                    <a:fld id="{CD1AA585-FA13-4EC4-BF9A-2BFCB3AC6A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6717-4E87-B088-6119FD480FFF}"/>
                </c:ext>
              </c:extLst>
            </c:dLbl>
            <c:dLbl>
              <c:idx val="101"/>
              <c:tx>
                <c:rich>
                  <a:bodyPr/>
                  <a:lstStyle/>
                  <a:p>
                    <a:fld id="{D5CD864D-8706-4206-94E2-D35AC0C40C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6717-4E87-B088-6119FD480FFF}"/>
                </c:ext>
              </c:extLst>
            </c:dLbl>
            <c:dLbl>
              <c:idx val="102"/>
              <c:tx>
                <c:rich>
                  <a:bodyPr/>
                  <a:lstStyle/>
                  <a:p>
                    <a:fld id="{8BC4354D-7384-4C21-8CE8-0AFE92D9A4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6717-4E87-B088-6119FD480FFF}"/>
                </c:ext>
              </c:extLst>
            </c:dLbl>
            <c:dLbl>
              <c:idx val="103"/>
              <c:tx>
                <c:rich>
                  <a:bodyPr/>
                  <a:lstStyle/>
                  <a:p>
                    <a:fld id="{9FA6BFAA-2A1D-4528-8492-8CE54F6065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6717-4E87-B088-6119FD480FFF}"/>
                </c:ext>
              </c:extLst>
            </c:dLbl>
            <c:dLbl>
              <c:idx val="104"/>
              <c:tx>
                <c:rich>
                  <a:bodyPr/>
                  <a:lstStyle/>
                  <a:p>
                    <a:fld id="{DA6049B1-84E1-463A-B6FF-698D1A9924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6717-4E87-B088-6119FD480FFF}"/>
                </c:ext>
              </c:extLst>
            </c:dLbl>
            <c:dLbl>
              <c:idx val="105"/>
              <c:tx>
                <c:rich>
                  <a:bodyPr/>
                  <a:lstStyle/>
                  <a:p>
                    <a:fld id="{F7BBEFC9-4DBA-4283-9F54-8CF38478EC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6717-4E87-B088-6119FD480FFF}"/>
                </c:ext>
              </c:extLst>
            </c:dLbl>
            <c:dLbl>
              <c:idx val="106"/>
              <c:tx>
                <c:rich>
                  <a:bodyPr/>
                  <a:lstStyle/>
                  <a:p>
                    <a:fld id="{DD66D6CD-2851-46D7-BC8C-94E59097A8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6717-4E87-B088-6119FD480FFF}"/>
                </c:ext>
              </c:extLst>
            </c:dLbl>
            <c:dLbl>
              <c:idx val="107"/>
              <c:tx>
                <c:rich>
                  <a:bodyPr/>
                  <a:lstStyle/>
                  <a:p>
                    <a:fld id="{FDBF77D3-8884-46B5-B0F3-D0F141AA54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6717-4E87-B088-6119FD480FFF}"/>
                </c:ext>
              </c:extLst>
            </c:dLbl>
            <c:dLbl>
              <c:idx val="108"/>
              <c:tx>
                <c:rich>
                  <a:bodyPr/>
                  <a:lstStyle/>
                  <a:p>
                    <a:fld id="{7C67E07E-DFC2-44A1-8B39-5C7E5C9219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6717-4E87-B088-6119FD480FFF}"/>
                </c:ext>
              </c:extLst>
            </c:dLbl>
            <c:dLbl>
              <c:idx val="109"/>
              <c:tx>
                <c:rich>
                  <a:bodyPr/>
                  <a:lstStyle/>
                  <a:p>
                    <a:fld id="{B07CD0F3-B182-453A-9BEE-E3278694D2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6717-4E87-B088-6119FD480FFF}"/>
                </c:ext>
              </c:extLst>
            </c:dLbl>
            <c:dLbl>
              <c:idx val="110"/>
              <c:tx>
                <c:rich>
                  <a:bodyPr/>
                  <a:lstStyle/>
                  <a:p>
                    <a:fld id="{8A3E60C5-EF1E-469B-8B5C-D72D5114EB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6717-4E87-B088-6119FD480FFF}"/>
                </c:ext>
              </c:extLst>
            </c:dLbl>
            <c:dLbl>
              <c:idx val="111"/>
              <c:tx>
                <c:rich>
                  <a:bodyPr/>
                  <a:lstStyle/>
                  <a:p>
                    <a:fld id="{A55EFAD3-30EE-4A02-BB49-FAF1B94142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6717-4E87-B088-6119FD480FFF}"/>
                </c:ext>
              </c:extLst>
            </c:dLbl>
            <c:dLbl>
              <c:idx val="112"/>
              <c:tx>
                <c:rich>
                  <a:bodyPr/>
                  <a:lstStyle/>
                  <a:p>
                    <a:fld id="{96D7E9A3-700E-4598-B840-C51D6AD86E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6717-4E87-B088-6119FD480FFF}"/>
                </c:ext>
              </c:extLst>
            </c:dLbl>
            <c:dLbl>
              <c:idx val="113"/>
              <c:tx>
                <c:rich>
                  <a:bodyPr/>
                  <a:lstStyle/>
                  <a:p>
                    <a:fld id="{A341FBF6-FA01-46F0-A50E-18305682BF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6717-4E87-B088-6119FD480FFF}"/>
                </c:ext>
              </c:extLst>
            </c:dLbl>
            <c:dLbl>
              <c:idx val="114"/>
              <c:tx>
                <c:rich>
                  <a:bodyPr/>
                  <a:lstStyle/>
                  <a:p>
                    <a:fld id="{BD80B86C-0961-4EAC-AF68-1D41100FB3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6717-4E87-B088-6119FD480FFF}"/>
                </c:ext>
              </c:extLst>
            </c:dLbl>
            <c:dLbl>
              <c:idx val="115"/>
              <c:tx>
                <c:rich>
                  <a:bodyPr/>
                  <a:lstStyle/>
                  <a:p>
                    <a:fld id="{A9A6E5D1-2D26-4AAC-9DD2-0570D24EDE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6717-4E87-B088-6119FD480FFF}"/>
                </c:ext>
              </c:extLst>
            </c:dLbl>
            <c:dLbl>
              <c:idx val="116"/>
              <c:tx>
                <c:rich>
                  <a:bodyPr/>
                  <a:lstStyle/>
                  <a:p>
                    <a:fld id="{FEC90C1D-AB36-4B41-83D0-D7FAC5D8B2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6717-4E87-B088-6119FD480FFF}"/>
                </c:ext>
              </c:extLst>
            </c:dLbl>
            <c:dLbl>
              <c:idx val="117"/>
              <c:tx>
                <c:rich>
                  <a:bodyPr/>
                  <a:lstStyle/>
                  <a:p>
                    <a:fld id="{50531674-964A-4959-9291-48173CC95A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6717-4E87-B088-6119FD480FFF}"/>
                </c:ext>
              </c:extLst>
            </c:dLbl>
            <c:dLbl>
              <c:idx val="118"/>
              <c:tx>
                <c:rich>
                  <a:bodyPr/>
                  <a:lstStyle/>
                  <a:p>
                    <a:fld id="{E690365A-8E8D-4B57-A320-552D7812A2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6717-4E87-B088-6119FD480FFF}"/>
                </c:ext>
              </c:extLst>
            </c:dLbl>
            <c:dLbl>
              <c:idx val="119"/>
              <c:tx>
                <c:rich>
                  <a:bodyPr/>
                  <a:lstStyle/>
                  <a:p>
                    <a:fld id="{87508742-4BE3-496F-A587-32370BED1B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6717-4E87-B088-6119FD480FFF}"/>
                </c:ext>
              </c:extLst>
            </c:dLbl>
            <c:dLbl>
              <c:idx val="120"/>
              <c:tx>
                <c:rich>
                  <a:bodyPr/>
                  <a:lstStyle/>
                  <a:p>
                    <a:fld id="{42C7A862-B7E0-4DA1-B5E9-3E5710385A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6717-4E87-B088-6119FD480FFF}"/>
                </c:ext>
              </c:extLst>
            </c:dLbl>
            <c:dLbl>
              <c:idx val="121"/>
              <c:tx>
                <c:rich>
                  <a:bodyPr/>
                  <a:lstStyle/>
                  <a:p>
                    <a:fld id="{B944BD41-9B91-4C18-98B7-15CF0163C5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6717-4E87-B088-6119FD480FFF}"/>
                </c:ext>
              </c:extLst>
            </c:dLbl>
            <c:dLbl>
              <c:idx val="122"/>
              <c:tx>
                <c:rich>
                  <a:bodyPr/>
                  <a:lstStyle/>
                  <a:p>
                    <a:fld id="{37DA274E-FC9F-4C05-9795-E33830DC2C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6717-4E87-B088-6119FD480FFF}"/>
                </c:ext>
              </c:extLst>
            </c:dLbl>
            <c:dLbl>
              <c:idx val="123"/>
              <c:tx>
                <c:rich>
                  <a:bodyPr/>
                  <a:lstStyle/>
                  <a:p>
                    <a:fld id="{C7779216-AE08-40B1-B96E-513FCD1B09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6717-4E87-B088-6119FD480FFF}"/>
                </c:ext>
              </c:extLst>
            </c:dLbl>
            <c:dLbl>
              <c:idx val="124"/>
              <c:tx>
                <c:rich>
                  <a:bodyPr/>
                  <a:lstStyle/>
                  <a:p>
                    <a:fld id="{6A9AFA54-08CF-4890-9E68-0BF597590F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6717-4E87-B088-6119FD480FFF}"/>
                </c:ext>
              </c:extLst>
            </c:dLbl>
            <c:dLbl>
              <c:idx val="125"/>
              <c:tx>
                <c:rich>
                  <a:bodyPr/>
                  <a:lstStyle/>
                  <a:p>
                    <a:fld id="{6BC705BC-A5F9-4045-A6FF-3E0DA4ACBD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6717-4E87-B088-6119FD480FFF}"/>
                </c:ext>
              </c:extLst>
            </c:dLbl>
            <c:dLbl>
              <c:idx val="126"/>
              <c:tx>
                <c:rich>
                  <a:bodyPr/>
                  <a:lstStyle/>
                  <a:p>
                    <a:fld id="{52BB7718-23FF-4D4D-86B3-D675C723F4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6717-4E87-B088-6119FD480FFF}"/>
                </c:ext>
              </c:extLst>
            </c:dLbl>
            <c:dLbl>
              <c:idx val="127"/>
              <c:tx>
                <c:rich>
                  <a:bodyPr/>
                  <a:lstStyle/>
                  <a:p>
                    <a:fld id="{E74082DD-7E5B-4BEB-9E4B-A3D101A0DC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6717-4E87-B088-6119FD480FFF}"/>
                </c:ext>
              </c:extLst>
            </c:dLbl>
            <c:dLbl>
              <c:idx val="128"/>
              <c:tx>
                <c:rich>
                  <a:bodyPr/>
                  <a:lstStyle/>
                  <a:p>
                    <a:fld id="{7D15C67A-DAFC-4B5F-91E5-17FC6279EF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6717-4E87-B088-6119FD480FFF}"/>
                </c:ext>
              </c:extLst>
            </c:dLbl>
            <c:dLbl>
              <c:idx val="129"/>
              <c:tx>
                <c:rich>
                  <a:bodyPr/>
                  <a:lstStyle/>
                  <a:p>
                    <a:fld id="{82D3A57F-DD98-429C-B178-93D98C3F8C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6717-4E87-B088-6119FD480FFF}"/>
                </c:ext>
              </c:extLst>
            </c:dLbl>
            <c:dLbl>
              <c:idx val="130"/>
              <c:tx>
                <c:rich>
                  <a:bodyPr/>
                  <a:lstStyle/>
                  <a:p>
                    <a:fld id="{715F83BB-40A9-4642-9756-A1A7FA5AAC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6717-4E87-B088-6119FD480FFF}"/>
                </c:ext>
              </c:extLst>
            </c:dLbl>
            <c:dLbl>
              <c:idx val="131"/>
              <c:tx>
                <c:rich>
                  <a:bodyPr/>
                  <a:lstStyle/>
                  <a:p>
                    <a:fld id="{A2F19B69-F257-45FF-900E-7F3D30F7BD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6717-4E87-B088-6119FD480FFF}"/>
                </c:ext>
              </c:extLst>
            </c:dLbl>
            <c:dLbl>
              <c:idx val="132"/>
              <c:tx>
                <c:rich>
                  <a:bodyPr/>
                  <a:lstStyle/>
                  <a:p>
                    <a:fld id="{1D22D07A-BD55-4C49-9BD3-15686AA91A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6717-4E87-B088-6119FD480FFF}"/>
                </c:ext>
              </c:extLst>
            </c:dLbl>
            <c:dLbl>
              <c:idx val="133"/>
              <c:tx>
                <c:rich>
                  <a:bodyPr/>
                  <a:lstStyle/>
                  <a:p>
                    <a:fld id="{66308BC2-1928-4B9C-B4C9-67830FE34A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6717-4E87-B088-6119FD480FFF}"/>
                </c:ext>
              </c:extLst>
            </c:dLbl>
            <c:dLbl>
              <c:idx val="134"/>
              <c:tx>
                <c:rich>
                  <a:bodyPr/>
                  <a:lstStyle/>
                  <a:p>
                    <a:fld id="{F5420D0E-BE0C-443F-A571-014BA94268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6717-4E87-B088-6119FD480FFF}"/>
                </c:ext>
              </c:extLst>
            </c:dLbl>
            <c:dLbl>
              <c:idx val="135"/>
              <c:tx>
                <c:rich>
                  <a:bodyPr/>
                  <a:lstStyle/>
                  <a:p>
                    <a:fld id="{A883BD33-D30F-497E-A0BD-90F24014A9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6717-4E87-B088-6119FD480FFF}"/>
                </c:ext>
              </c:extLst>
            </c:dLbl>
            <c:dLbl>
              <c:idx val="136"/>
              <c:tx>
                <c:rich>
                  <a:bodyPr/>
                  <a:lstStyle/>
                  <a:p>
                    <a:fld id="{18A7E0BD-3B0E-4D9A-892F-C7A3950D8C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6717-4E87-B088-6119FD480FFF}"/>
                </c:ext>
              </c:extLst>
            </c:dLbl>
            <c:dLbl>
              <c:idx val="137"/>
              <c:tx>
                <c:rich>
                  <a:bodyPr/>
                  <a:lstStyle/>
                  <a:p>
                    <a:fld id="{593EF181-603C-4EBE-84DC-E14E16239E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6717-4E87-B088-6119FD480FFF}"/>
                </c:ext>
              </c:extLst>
            </c:dLbl>
            <c:dLbl>
              <c:idx val="138"/>
              <c:tx>
                <c:rich>
                  <a:bodyPr/>
                  <a:lstStyle/>
                  <a:p>
                    <a:fld id="{C530BF56-58C0-4AF7-9A4C-25A81D2942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6717-4E87-B088-6119FD480FFF}"/>
                </c:ext>
              </c:extLst>
            </c:dLbl>
            <c:dLbl>
              <c:idx val="139"/>
              <c:tx>
                <c:rich>
                  <a:bodyPr/>
                  <a:lstStyle/>
                  <a:p>
                    <a:fld id="{3B9F4C1F-B13F-40E5-878E-8AE40AC3CF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6717-4E87-B088-6119FD480FFF}"/>
                </c:ext>
              </c:extLst>
            </c:dLbl>
            <c:dLbl>
              <c:idx val="140"/>
              <c:tx>
                <c:rich>
                  <a:bodyPr/>
                  <a:lstStyle/>
                  <a:p>
                    <a:fld id="{4D68BBE0-778F-4CE4-B5A5-D12C23B128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6717-4E87-B088-6119FD480FFF}"/>
                </c:ext>
              </c:extLst>
            </c:dLbl>
            <c:dLbl>
              <c:idx val="141"/>
              <c:tx>
                <c:rich>
                  <a:bodyPr/>
                  <a:lstStyle/>
                  <a:p>
                    <a:fld id="{3020FF80-2867-4DD1-9D37-C25AB67C00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6717-4E87-B088-6119FD480FFF}"/>
                </c:ext>
              </c:extLst>
            </c:dLbl>
            <c:dLbl>
              <c:idx val="142"/>
              <c:tx>
                <c:rich>
                  <a:bodyPr/>
                  <a:lstStyle/>
                  <a:p>
                    <a:fld id="{B1968B92-3D47-4AC8-BCE9-AA2487DD7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6717-4E87-B088-6119FD480FFF}"/>
                </c:ext>
              </c:extLst>
            </c:dLbl>
            <c:dLbl>
              <c:idx val="143"/>
              <c:tx>
                <c:rich>
                  <a:bodyPr/>
                  <a:lstStyle/>
                  <a:p>
                    <a:fld id="{1F004314-31B7-453E-B69F-74EAEF73D1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6717-4E87-B088-6119FD480FFF}"/>
                </c:ext>
              </c:extLst>
            </c:dLbl>
            <c:dLbl>
              <c:idx val="144"/>
              <c:tx>
                <c:rich>
                  <a:bodyPr/>
                  <a:lstStyle/>
                  <a:p>
                    <a:fld id="{5F15BD23-394B-46DE-8988-06E8C57BF4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6717-4E87-B088-6119FD480FFF}"/>
                </c:ext>
              </c:extLst>
            </c:dLbl>
            <c:dLbl>
              <c:idx val="145"/>
              <c:tx>
                <c:rich>
                  <a:bodyPr/>
                  <a:lstStyle/>
                  <a:p>
                    <a:fld id="{3E2439E1-044F-45A7-99BC-E90DABB455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6717-4E87-B088-6119FD480FFF}"/>
                </c:ext>
              </c:extLst>
            </c:dLbl>
            <c:dLbl>
              <c:idx val="146"/>
              <c:tx>
                <c:rich>
                  <a:bodyPr/>
                  <a:lstStyle/>
                  <a:p>
                    <a:fld id="{D6E4AE48-9F3B-490A-BC67-E889F57203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6717-4E87-B088-6119FD480FFF}"/>
                </c:ext>
              </c:extLst>
            </c:dLbl>
            <c:dLbl>
              <c:idx val="147"/>
              <c:tx>
                <c:rich>
                  <a:bodyPr/>
                  <a:lstStyle/>
                  <a:p>
                    <a:fld id="{222B5411-496F-446E-A41E-B21B8D23B3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6717-4E87-B088-6119FD480FFF}"/>
                </c:ext>
              </c:extLst>
            </c:dLbl>
            <c:dLbl>
              <c:idx val="148"/>
              <c:tx>
                <c:rich>
                  <a:bodyPr/>
                  <a:lstStyle/>
                  <a:p>
                    <a:fld id="{B965716F-3537-4B78-A91A-03DB676E5C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6717-4E87-B088-6119FD480FFF}"/>
                </c:ext>
              </c:extLst>
            </c:dLbl>
            <c:dLbl>
              <c:idx val="149"/>
              <c:tx>
                <c:rich>
                  <a:bodyPr/>
                  <a:lstStyle/>
                  <a:p>
                    <a:fld id="{11B7A033-74B5-4AA0-9990-B5A1ADC3ED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6717-4E87-B088-6119FD480FFF}"/>
                </c:ext>
              </c:extLst>
            </c:dLbl>
            <c:dLbl>
              <c:idx val="150"/>
              <c:tx>
                <c:rich>
                  <a:bodyPr/>
                  <a:lstStyle/>
                  <a:p>
                    <a:fld id="{97232B4D-55FA-4E17-833E-18D39967A1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6717-4E87-B088-6119FD480FFF}"/>
                </c:ext>
              </c:extLst>
            </c:dLbl>
            <c:dLbl>
              <c:idx val="151"/>
              <c:tx>
                <c:rich>
                  <a:bodyPr/>
                  <a:lstStyle/>
                  <a:p>
                    <a:fld id="{1086E7D2-92E8-4D1F-904E-089245D28C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6717-4E87-B088-6119FD480FFF}"/>
                </c:ext>
              </c:extLst>
            </c:dLbl>
            <c:dLbl>
              <c:idx val="152"/>
              <c:tx>
                <c:rich>
                  <a:bodyPr/>
                  <a:lstStyle/>
                  <a:p>
                    <a:fld id="{1E45B914-6ADC-421E-A3EA-0F9A173FE6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6717-4E87-B088-6119FD480FFF}"/>
                </c:ext>
              </c:extLst>
            </c:dLbl>
            <c:dLbl>
              <c:idx val="153"/>
              <c:tx>
                <c:rich>
                  <a:bodyPr/>
                  <a:lstStyle/>
                  <a:p>
                    <a:fld id="{B5EFE083-BB6A-4032-A370-DCF30494D6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6717-4E87-B088-6119FD480FFF}"/>
                </c:ext>
              </c:extLst>
            </c:dLbl>
            <c:dLbl>
              <c:idx val="154"/>
              <c:tx>
                <c:rich>
                  <a:bodyPr/>
                  <a:lstStyle/>
                  <a:p>
                    <a:fld id="{7D0FC674-C22D-4628-BF3C-69A0ACA47E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6717-4E87-B088-6119FD480FFF}"/>
                </c:ext>
              </c:extLst>
            </c:dLbl>
            <c:dLbl>
              <c:idx val="155"/>
              <c:tx>
                <c:rich>
                  <a:bodyPr/>
                  <a:lstStyle/>
                  <a:p>
                    <a:fld id="{480AE0C5-E60D-4BB5-9515-2FA63C037A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6717-4E87-B088-6119FD480FFF}"/>
                </c:ext>
              </c:extLst>
            </c:dLbl>
            <c:dLbl>
              <c:idx val="156"/>
              <c:tx>
                <c:rich>
                  <a:bodyPr/>
                  <a:lstStyle/>
                  <a:p>
                    <a:fld id="{0F5E105A-17BC-4C13-B162-843EC5D93F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6717-4E87-B088-6119FD480FFF}"/>
                </c:ext>
              </c:extLst>
            </c:dLbl>
            <c:dLbl>
              <c:idx val="157"/>
              <c:tx>
                <c:rich>
                  <a:bodyPr/>
                  <a:lstStyle/>
                  <a:p>
                    <a:fld id="{F053C792-C637-417B-8B9C-9D9979432D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6717-4E87-B088-6119FD480FFF}"/>
                </c:ext>
              </c:extLst>
            </c:dLbl>
            <c:dLbl>
              <c:idx val="158"/>
              <c:tx>
                <c:rich>
                  <a:bodyPr/>
                  <a:lstStyle/>
                  <a:p>
                    <a:fld id="{A68E024C-69CD-43A5-B768-7CFB6655AC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6717-4E87-B088-6119FD480FFF}"/>
                </c:ext>
              </c:extLst>
            </c:dLbl>
            <c:dLbl>
              <c:idx val="159"/>
              <c:tx>
                <c:rich>
                  <a:bodyPr/>
                  <a:lstStyle/>
                  <a:p>
                    <a:fld id="{488C4C4D-6141-4C62-B31F-08FC6BDC53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6717-4E87-B088-6119FD480FFF}"/>
                </c:ext>
              </c:extLst>
            </c:dLbl>
            <c:dLbl>
              <c:idx val="160"/>
              <c:tx>
                <c:rich>
                  <a:bodyPr/>
                  <a:lstStyle/>
                  <a:p>
                    <a:fld id="{70F13C4D-D554-40CE-9B1F-D8C43D3D20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6717-4E87-B088-6119FD480FFF}"/>
                </c:ext>
              </c:extLst>
            </c:dLbl>
            <c:dLbl>
              <c:idx val="161"/>
              <c:tx>
                <c:rich>
                  <a:bodyPr/>
                  <a:lstStyle/>
                  <a:p>
                    <a:fld id="{6633A40B-9969-4EC6-8C3E-4234ABFBFF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6717-4E87-B088-6119FD480FFF}"/>
                </c:ext>
              </c:extLst>
            </c:dLbl>
            <c:dLbl>
              <c:idx val="162"/>
              <c:tx>
                <c:rich>
                  <a:bodyPr/>
                  <a:lstStyle/>
                  <a:p>
                    <a:fld id="{37F29365-3488-4FAA-BDDE-49A6F381E1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6717-4E87-B088-6119FD480FFF}"/>
                </c:ext>
              </c:extLst>
            </c:dLbl>
            <c:dLbl>
              <c:idx val="163"/>
              <c:tx>
                <c:rich>
                  <a:bodyPr/>
                  <a:lstStyle/>
                  <a:p>
                    <a:fld id="{DCBFD753-7CDC-410A-82F9-00FD550554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6717-4E87-B088-6119FD480FFF}"/>
                </c:ext>
              </c:extLst>
            </c:dLbl>
            <c:dLbl>
              <c:idx val="164"/>
              <c:tx>
                <c:rich>
                  <a:bodyPr/>
                  <a:lstStyle/>
                  <a:p>
                    <a:fld id="{39C98920-4D02-4A21-B85A-266790C8E2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6717-4E87-B088-6119FD480FFF}"/>
                </c:ext>
              </c:extLst>
            </c:dLbl>
            <c:dLbl>
              <c:idx val="165"/>
              <c:tx>
                <c:rich>
                  <a:bodyPr/>
                  <a:lstStyle/>
                  <a:p>
                    <a:fld id="{DEA1A0B1-0B0B-466E-987A-5A0C13C1A0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6717-4E87-B088-6119FD480FFF}"/>
                </c:ext>
              </c:extLst>
            </c:dLbl>
            <c:dLbl>
              <c:idx val="166"/>
              <c:tx>
                <c:rich>
                  <a:bodyPr/>
                  <a:lstStyle/>
                  <a:p>
                    <a:fld id="{8DCEADD3-8DA3-4566-B1C9-FA5C644DCF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6717-4E87-B088-6119FD480FFF}"/>
                </c:ext>
              </c:extLst>
            </c:dLbl>
            <c:dLbl>
              <c:idx val="167"/>
              <c:tx>
                <c:rich>
                  <a:bodyPr/>
                  <a:lstStyle/>
                  <a:p>
                    <a:fld id="{52CA9B18-BC5A-4FDC-BFEC-C532E88706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6717-4E87-B088-6119FD480FFF}"/>
                </c:ext>
              </c:extLst>
            </c:dLbl>
            <c:dLbl>
              <c:idx val="168"/>
              <c:tx>
                <c:rich>
                  <a:bodyPr/>
                  <a:lstStyle/>
                  <a:p>
                    <a:fld id="{1A1473D7-5734-485A-B42E-5370BACA5F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6717-4E87-B088-6119FD480FFF}"/>
                </c:ext>
              </c:extLst>
            </c:dLbl>
            <c:dLbl>
              <c:idx val="169"/>
              <c:tx>
                <c:rich>
                  <a:bodyPr/>
                  <a:lstStyle/>
                  <a:p>
                    <a:fld id="{12BFB75C-9D60-4BE4-A92E-6CC52C0B38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6717-4E87-B088-6119FD480FFF}"/>
                </c:ext>
              </c:extLst>
            </c:dLbl>
            <c:dLbl>
              <c:idx val="170"/>
              <c:tx>
                <c:rich>
                  <a:bodyPr/>
                  <a:lstStyle/>
                  <a:p>
                    <a:fld id="{95076F98-7CB1-4733-A974-8B7ADC4EE4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6717-4E87-B088-6119FD480FFF}"/>
                </c:ext>
              </c:extLst>
            </c:dLbl>
            <c:dLbl>
              <c:idx val="171"/>
              <c:tx>
                <c:rich>
                  <a:bodyPr/>
                  <a:lstStyle/>
                  <a:p>
                    <a:fld id="{8B508B08-0019-427B-9D78-3B0430E19E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6717-4E87-B088-6119FD480FFF}"/>
                </c:ext>
              </c:extLst>
            </c:dLbl>
            <c:dLbl>
              <c:idx val="172"/>
              <c:tx>
                <c:rich>
                  <a:bodyPr/>
                  <a:lstStyle/>
                  <a:p>
                    <a:fld id="{4EC687F0-0AC4-4A3C-8488-7480FDD0B8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6717-4E87-B088-6119FD480FFF}"/>
                </c:ext>
              </c:extLst>
            </c:dLbl>
            <c:dLbl>
              <c:idx val="173"/>
              <c:tx>
                <c:rich>
                  <a:bodyPr/>
                  <a:lstStyle/>
                  <a:p>
                    <a:fld id="{4F24A444-2D29-4D36-A7F5-3BDCF31805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6717-4E87-B088-6119FD480FFF}"/>
                </c:ext>
              </c:extLst>
            </c:dLbl>
            <c:dLbl>
              <c:idx val="174"/>
              <c:tx>
                <c:rich>
                  <a:bodyPr/>
                  <a:lstStyle/>
                  <a:p>
                    <a:fld id="{D91394B9-D46F-46E3-A2CB-B7215724F3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6717-4E87-B088-6119FD480FFF}"/>
                </c:ext>
              </c:extLst>
            </c:dLbl>
            <c:dLbl>
              <c:idx val="175"/>
              <c:tx>
                <c:rich>
                  <a:bodyPr/>
                  <a:lstStyle/>
                  <a:p>
                    <a:fld id="{8E587771-B913-40B9-993C-170E9CD602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6717-4E87-B088-6119FD480FFF}"/>
                </c:ext>
              </c:extLst>
            </c:dLbl>
            <c:dLbl>
              <c:idx val="176"/>
              <c:tx>
                <c:rich>
                  <a:bodyPr/>
                  <a:lstStyle/>
                  <a:p>
                    <a:fld id="{F129CDC6-FBDD-473A-A36E-82F402E708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6717-4E87-B088-6119FD480FFF}"/>
                </c:ext>
              </c:extLst>
            </c:dLbl>
            <c:dLbl>
              <c:idx val="177"/>
              <c:tx>
                <c:rich>
                  <a:bodyPr/>
                  <a:lstStyle/>
                  <a:p>
                    <a:fld id="{EC0F867E-7933-4FB3-9176-9E2DEA2B11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6717-4E87-B088-6119FD480FFF}"/>
                </c:ext>
              </c:extLst>
            </c:dLbl>
            <c:dLbl>
              <c:idx val="178"/>
              <c:tx>
                <c:rich>
                  <a:bodyPr/>
                  <a:lstStyle/>
                  <a:p>
                    <a:fld id="{CBF0002E-4C28-4597-A703-0ECDA52F75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6717-4E87-B088-6119FD480FFF}"/>
                </c:ext>
              </c:extLst>
            </c:dLbl>
            <c:dLbl>
              <c:idx val="179"/>
              <c:tx>
                <c:rich>
                  <a:bodyPr/>
                  <a:lstStyle/>
                  <a:p>
                    <a:fld id="{042A1361-5635-4C33-BEAC-0BD36BCA62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6717-4E87-B088-6119FD480FFF}"/>
                </c:ext>
              </c:extLst>
            </c:dLbl>
            <c:dLbl>
              <c:idx val="180"/>
              <c:tx>
                <c:rich>
                  <a:bodyPr/>
                  <a:lstStyle/>
                  <a:p>
                    <a:fld id="{1F6CFA80-2DD7-4E5D-8210-DA1B0CDC05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6717-4E87-B088-6119FD480FFF}"/>
                </c:ext>
              </c:extLst>
            </c:dLbl>
            <c:dLbl>
              <c:idx val="181"/>
              <c:tx>
                <c:rich>
                  <a:bodyPr/>
                  <a:lstStyle/>
                  <a:p>
                    <a:fld id="{8095A729-C3E8-4242-8492-23E49C11CF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6717-4E87-B088-6119FD480FFF}"/>
                </c:ext>
              </c:extLst>
            </c:dLbl>
            <c:dLbl>
              <c:idx val="182"/>
              <c:tx>
                <c:rich>
                  <a:bodyPr/>
                  <a:lstStyle/>
                  <a:p>
                    <a:fld id="{1CC4ED47-8310-4325-B7E4-AD7B7DD75C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6717-4E87-B088-6119FD480FFF}"/>
                </c:ext>
              </c:extLst>
            </c:dLbl>
            <c:dLbl>
              <c:idx val="183"/>
              <c:tx>
                <c:rich>
                  <a:bodyPr/>
                  <a:lstStyle/>
                  <a:p>
                    <a:fld id="{FFC0AD21-12E2-4AC8-BF1F-705153F6EF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6717-4E87-B088-6119FD480FFF}"/>
                </c:ext>
              </c:extLst>
            </c:dLbl>
            <c:dLbl>
              <c:idx val="184"/>
              <c:tx>
                <c:rich>
                  <a:bodyPr/>
                  <a:lstStyle/>
                  <a:p>
                    <a:fld id="{46A9A2C6-2F6A-4B02-B145-164B4DBF22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6717-4E87-B088-6119FD480FFF}"/>
                </c:ext>
              </c:extLst>
            </c:dLbl>
            <c:dLbl>
              <c:idx val="185"/>
              <c:tx>
                <c:rich>
                  <a:bodyPr/>
                  <a:lstStyle/>
                  <a:p>
                    <a:fld id="{792D668F-4224-4B38-A26F-7CA647B4C7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6717-4E87-B088-6119FD480FFF}"/>
                </c:ext>
              </c:extLst>
            </c:dLbl>
            <c:dLbl>
              <c:idx val="186"/>
              <c:tx>
                <c:rich>
                  <a:bodyPr/>
                  <a:lstStyle/>
                  <a:p>
                    <a:fld id="{564D8D1C-C918-42FF-B288-6F8371A302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6717-4E87-B088-6119FD480FFF}"/>
                </c:ext>
              </c:extLst>
            </c:dLbl>
            <c:dLbl>
              <c:idx val="187"/>
              <c:tx>
                <c:rich>
                  <a:bodyPr/>
                  <a:lstStyle/>
                  <a:p>
                    <a:fld id="{AA794F22-1380-4747-895B-EF397D6C8F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6717-4E87-B088-6119FD480FFF}"/>
                </c:ext>
              </c:extLst>
            </c:dLbl>
            <c:dLbl>
              <c:idx val="188"/>
              <c:tx>
                <c:rich>
                  <a:bodyPr/>
                  <a:lstStyle/>
                  <a:p>
                    <a:fld id="{94B6229C-F7AF-4884-B799-7129526214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6717-4E87-B088-6119FD480FFF}"/>
                </c:ext>
              </c:extLst>
            </c:dLbl>
            <c:dLbl>
              <c:idx val="189"/>
              <c:tx>
                <c:rich>
                  <a:bodyPr/>
                  <a:lstStyle/>
                  <a:p>
                    <a:fld id="{336B69B6-FBEA-41CE-8C43-6257DC88C2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6717-4E87-B088-6119FD480FFF}"/>
                </c:ext>
              </c:extLst>
            </c:dLbl>
            <c:dLbl>
              <c:idx val="190"/>
              <c:tx>
                <c:rich>
                  <a:bodyPr/>
                  <a:lstStyle/>
                  <a:p>
                    <a:fld id="{8B724416-12F8-4F85-8AA2-30A8A87516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6717-4E87-B088-6119FD480FFF}"/>
                </c:ext>
              </c:extLst>
            </c:dLbl>
            <c:dLbl>
              <c:idx val="191"/>
              <c:tx>
                <c:rich>
                  <a:bodyPr/>
                  <a:lstStyle/>
                  <a:p>
                    <a:fld id="{9D7A7F85-1651-4982-A418-26DE69CA99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6717-4E87-B088-6119FD480FFF}"/>
                </c:ext>
              </c:extLst>
            </c:dLbl>
            <c:dLbl>
              <c:idx val="192"/>
              <c:tx>
                <c:rich>
                  <a:bodyPr/>
                  <a:lstStyle/>
                  <a:p>
                    <a:fld id="{07F0054A-C99F-49D3-98A8-A9C6E6DD2E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6717-4E87-B088-6119FD480FFF}"/>
                </c:ext>
              </c:extLst>
            </c:dLbl>
            <c:dLbl>
              <c:idx val="193"/>
              <c:tx>
                <c:rich>
                  <a:bodyPr/>
                  <a:lstStyle/>
                  <a:p>
                    <a:fld id="{6A2068EB-E147-4A7B-BF98-ED046E1BC3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6717-4E87-B088-6119FD480FFF}"/>
                </c:ext>
              </c:extLst>
            </c:dLbl>
            <c:dLbl>
              <c:idx val="194"/>
              <c:tx>
                <c:rich>
                  <a:bodyPr/>
                  <a:lstStyle/>
                  <a:p>
                    <a:fld id="{4312CC23-2BCB-45D6-8E0E-EA5F7C2CD4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6717-4E87-B088-6119FD480FFF}"/>
                </c:ext>
              </c:extLst>
            </c:dLbl>
            <c:dLbl>
              <c:idx val="195"/>
              <c:tx>
                <c:rich>
                  <a:bodyPr/>
                  <a:lstStyle/>
                  <a:p>
                    <a:fld id="{8CD581BD-DE9A-4355-95DD-3B3E55C4E9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6717-4E87-B088-6119FD480FFF}"/>
                </c:ext>
              </c:extLst>
            </c:dLbl>
            <c:dLbl>
              <c:idx val="196"/>
              <c:tx>
                <c:rich>
                  <a:bodyPr/>
                  <a:lstStyle/>
                  <a:p>
                    <a:fld id="{235D7F91-7B0A-401F-A618-235E258CFA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6717-4E87-B088-6119FD480FFF}"/>
                </c:ext>
              </c:extLst>
            </c:dLbl>
            <c:dLbl>
              <c:idx val="197"/>
              <c:tx>
                <c:rich>
                  <a:bodyPr/>
                  <a:lstStyle/>
                  <a:p>
                    <a:fld id="{3194290A-4094-4300-A801-0E43CD4644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6717-4E87-B088-6119FD480FFF}"/>
                </c:ext>
              </c:extLst>
            </c:dLbl>
            <c:dLbl>
              <c:idx val="198"/>
              <c:tx>
                <c:rich>
                  <a:bodyPr/>
                  <a:lstStyle/>
                  <a:p>
                    <a:fld id="{691AB9EC-ABB4-4558-9F63-16C59D4936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6717-4E87-B088-6119FD480FFF}"/>
                </c:ext>
              </c:extLst>
            </c:dLbl>
            <c:dLbl>
              <c:idx val="199"/>
              <c:tx>
                <c:rich>
                  <a:bodyPr/>
                  <a:lstStyle/>
                  <a:p>
                    <a:fld id="{F96644CF-FDB1-420E-8EC2-02FE07F853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6717-4E87-B088-6119FD480FFF}"/>
                </c:ext>
              </c:extLst>
            </c:dLbl>
            <c:dLbl>
              <c:idx val="200"/>
              <c:tx>
                <c:rich>
                  <a:bodyPr/>
                  <a:lstStyle/>
                  <a:p>
                    <a:fld id="{9574D966-764F-4566-9BC3-D0013FE00E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6717-4E87-B088-6119FD480FFF}"/>
                </c:ext>
              </c:extLst>
            </c:dLbl>
            <c:dLbl>
              <c:idx val="201"/>
              <c:tx>
                <c:rich>
                  <a:bodyPr/>
                  <a:lstStyle/>
                  <a:p>
                    <a:fld id="{CDCA2B66-A59C-4869-A31E-0CB5E868B8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6717-4E87-B088-6119FD480FFF}"/>
                </c:ext>
              </c:extLst>
            </c:dLbl>
            <c:dLbl>
              <c:idx val="202"/>
              <c:tx>
                <c:rich>
                  <a:bodyPr/>
                  <a:lstStyle/>
                  <a:p>
                    <a:fld id="{3E7D5DD0-A71B-4C7B-944D-FBDF67A06E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6717-4E87-B088-6119FD480FFF}"/>
                </c:ext>
              </c:extLst>
            </c:dLbl>
            <c:dLbl>
              <c:idx val="203"/>
              <c:tx>
                <c:rich>
                  <a:bodyPr/>
                  <a:lstStyle/>
                  <a:p>
                    <a:fld id="{24714CA0-DC00-4248-AB35-13D2F0256F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6717-4E87-B088-6119FD480FFF}"/>
                </c:ext>
              </c:extLst>
            </c:dLbl>
            <c:dLbl>
              <c:idx val="204"/>
              <c:tx>
                <c:rich>
                  <a:bodyPr/>
                  <a:lstStyle/>
                  <a:p>
                    <a:fld id="{E908AF0F-34C4-41CA-992C-C7E12A60BA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6717-4E87-B088-6119FD480FFF}"/>
                </c:ext>
              </c:extLst>
            </c:dLbl>
            <c:dLbl>
              <c:idx val="205"/>
              <c:tx>
                <c:rich>
                  <a:bodyPr/>
                  <a:lstStyle/>
                  <a:p>
                    <a:fld id="{830A4DF3-27DF-488A-B915-C48F2EE3CA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6717-4E87-B088-6119FD480FFF}"/>
                </c:ext>
              </c:extLst>
            </c:dLbl>
            <c:dLbl>
              <c:idx val="206"/>
              <c:tx>
                <c:rich>
                  <a:bodyPr/>
                  <a:lstStyle/>
                  <a:p>
                    <a:fld id="{24380460-691A-4CCA-B9FB-74D42DBDA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6717-4E87-B088-6119FD480FFF}"/>
                </c:ext>
              </c:extLst>
            </c:dLbl>
            <c:dLbl>
              <c:idx val="207"/>
              <c:tx>
                <c:rich>
                  <a:bodyPr/>
                  <a:lstStyle/>
                  <a:p>
                    <a:fld id="{069225F7-2371-4FB8-B78E-A316AA1A5A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6717-4E87-B088-6119FD480FFF}"/>
                </c:ext>
              </c:extLst>
            </c:dLbl>
            <c:dLbl>
              <c:idx val="208"/>
              <c:tx>
                <c:rich>
                  <a:bodyPr/>
                  <a:lstStyle/>
                  <a:p>
                    <a:fld id="{5200FF1B-3277-4576-AC4E-5EC630B0D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6717-4E87-B088-6119FD480FFF}"/>
                </c:ext>
              </c:extLst>
            </c:dLbl>
            <c:dLbl>
              <c:idx val="209"/>
              <c:tx>
                <c:rich>
                  <a:bodyPr/>
                  <a:lstStyle/>
                  <a:p>
                    <a:fld id="{7D3B246F-98FA-4FA4-B697-B82133AEE7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6717-4E87-B088-6119FD480FFF}"/>
                </c:ext>
              </c:extLst>
            </c:dLbl>
            <c:dLbl>
              <c:idx val="210"/>
              <c:tx>
                <c:rich>
                  <a:bodyPr/>
                  <a:lstStyle/>
                  <a:p>
                    <a:fld id="{D8643A0F-0655-4EDA-8420-9C92417E67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6717-4E87-B088-6119FD480FFF}"/>
                </c:ext>
              </c:extLst>
            </c:dLbl>
            <c:dLbl>
              <c:idx val="211"/>
              <c:tx>
                <c:rich>
                  <a:bodyPr/>
                  <a:lstStyle/>
                  <a:p>
                    <a:fld id="{13743DFC-FF8B-4BAE-87FA-9C1318E2D7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6717-4E87-B088-6119FD480FFF}"/>
                </c:ext>
              </c:extLst>
            </c:dLbl>
            <c:dLbl>
              <c:idx val="212"/>
              <c:tx>
                <c:rich>
                  <a:bodyPr/>
                  <a:lstStyle/>
                  <a:p>
                    <a:fld id="{D57373D8-0E1F-4C83-9D4B-D85C7DA9D9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6717-4E87-B088-6119FD480FFF}"/>
                </c:ext>
              </c:extLst>
            </c:dLbl>
            <c:dLbl>
              <c:idx val="213"/>
              <c:tx>
                <c:rich>
                  <a:bodyPr/>
                  <a:lstStyle/>
                  <a:p>
                    <a:fld id="{CF31129D-7F91-4BAD-A81A-3302745410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6717-4E87-B088-6119FD480FFF}"/>
                </c:ext>
              </c:extLst>
            </c:dLbl>
            <c:dLbl>
              <c:idx val="214"/>
              <c:tx>
                <c:rich>
                  <a:bodyPr/>
                  <a:lstStyle/>
                  <a:p>
                    <a:fld id="{8D195CE3-992D-44C9-810C-579DDC5CA5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6717-4E87-B088-6119FD480FFF}"/>
                </c:ext>
              </c:extLst>
            </c:dLbl>
            <c:dLbl>
              <c:idx val="215"/>
              <c:tx>
                <c:rich>
                  <a:bodyPr/>
                  <a:lstStyle/>
                  <a:p>
                    <a:fld id="{A4EA4C1A-BF12-498C-A115-F390920404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6717-4E87-B088-6119FD480FFF}"/>
                </c:ext>
              </c:extLst>
            </c:dLbl>
            <c:dLbl>
              <c:idx val="216"/>
              <c:tx>
                <c:rich>
                  <a:bodyPr/>
                  <a:lstStyle/>
                  <a:p>
                    <a:fld id="{67DF44A1-4B43-4432-A1E5-F498C607B1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6717-4E87-B088-6119FD480FFF}"/>
                </c:ext>
              </c:extLst>
            </c:dLbl>
            <c:dLbl>
              <c:idx val="217"/>
              <c:tx>
                <c:rich>
                  <a:bodyPr/>
                  <a:lstStyle/>
                  <a:p>
                    <a:fld id="{F1B8F77A-D89C-42E7-807E-5D7E2C9015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6717-4E87-B088-6119FD480FFF}"/>
                </c:ext>
              </c:extLst>
            </c:dLbl>
            <c:dLbl>
              <c:idx val="218"/>
              <c:tx>
                <c:rich>
                  <a:bodyPr/>
                  <a:lstStyle/>
                  <a:p>
                    <a:fld id="{3FC4FEAA-45A1-4F79-93C5-348A4773A3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6717-4E87-B088-6119FD480FFF}"/>
                </c:ext>
              </c:extLst>
            </c:dLbl>
            <c:dLbl>
              <c:idx val="219"/>
              <c:tx>
                <c:rich>
                  <a:bodyPr/>
                  <a:lstStyle/>
                  <a:p>
                    <a:fld id="{6A82D709-7823-4334-AE7C-7CC002BDD4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6717-4E87-B088-6119FD480FFF}"/>
                </c:ext>
              </c:extLst>
            </c:dLbl>
            <c:dLbl>
              <c:idx val="220"/>
              <c:tx>
                <c:rich>
                  <a:bodyPr/>
                  <a:lstStyle/>
                  <a:p>
                    <a:fld id="{37C1D93F-EC9C-4D51-9F23-3B93672C50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6717-4E87-B088-6119FD480FFF}"/>
                </c:ext>
              </c:extLst>
            </c:dLbl>
            <c:dLbl>
              <c:idx val="221"/>
              <c:tx>
                <c:rich>
                  <a:bodyPr/>
                  <a:lstStyle/>
                  <a:p>
                    <a:fld id="{9BCDFBC7-67EA-4DF1-B8E7-3D1D48BBA2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6717-4E87-B088-6119FD480FFF}"/>
                </c:ext>
              </c:extLst>
            </c:dLbl>
            <c:dLbl>
              <c:idx val="222"/>
              <c:tx>
                <c:rich>
                  <a:bodyPr/>
                  <a:lstStyle/>
                  <a:p>
                    <a:fld id="{95A18300-675E-4269-9212-7FAEAB19D8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6717-4E87-B088-6119FD480FFF}"/>
                </c:ext>
              </c:extLst>
            </c:dLbl>
            <c:dLbl>
              <c:idx val="223"/>
              <c:tx>
                <c:rich>
                  <a:bodyPr/>
                  <a:lstStyle/>
                  <a:p>
                    <a:fld id="{CFF56DC6-A4BF-48BE-8230-6C1ADC2F8D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6717-4E87-B088-6119FD480FFF}"/>
                </c:ext>
              </c:extLst>
            </c:dLbl>
            <c:dLbl>
              <c:idx val="224"/>
              <c:tx>
                <c:rich>
                  <a:bodyPr/>
                  <a:lstStyle/>
                  <a:p>
                    <a:fld id="{B6C33D79-CA3F-4F64-A979-6F4E42F8FE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6717-4E87-B088-6119FD480FFF}"/>
                </c:ext>
              </c:extLst>
            </c:dLbl>
            <c:dLbl>
              <c:idx val="225"/>
              <c:tx>
                <c:rich>
                  <a:bodyPr/>
                  <a:lstStyle/>
                  <a:p>
                    <a:fld id="{A324AE21-D9F0-4432-A5ED-2727595ABF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6717-4E87-B088-6119FD480FFF}"/>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717-4E87-B088-6119FD480FFF}"/>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717-4E87-B088-6119FD480FFF}"/>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717-4E87-B088-6119FD480FFF}"/>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717-4E87-B088-6119FD480FFF}"/>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717-4E87-B088-6119FD480FFF}"/>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717-4E87-B088-6119FD480FFF}"/>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717-4E87-B088-6119FD480FFF}"/>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717-4E87-B088-6119FD480FFF}"/>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717-4E87-B088-6119FD480FFF}"/>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717-4E87-B088-6119FD480FFF}"/>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717-4E87-B088-6119FD480FFF}"/>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717-4E87-B088-6119FD480FFF}"/>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717-4E87-B088-6119FD480FFF}"/>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717-4E87-B088-6119FD480FFF}"/>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717-4E87-B088-6119FD480FFF}"/>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717-4E87-B088-6119FD480FFF}"/>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717-4E87-B088-6119FD480FFF}"/>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717-4E87-B088-6119FD480FFF}"/>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717-4E87-B088-6119FD480FFF}"/>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717-4E87-B088-6119FD480FFF}"/>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717-4E87-B088-6119FD480FFF}"/>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717-4E87-B088-6119FD480FFF}"/>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717-4E87-B088-6119FD480FFF}"/>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717-4E87-B088-6119FD480FFF}"/>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717-4E87-B088-6119FD480FFF}"/>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717-4E87-B088-6119FD480FFF}"/>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717-4E87-B088-6119FD480FFF}"/>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717-4E87-B088-6119FD480FFF}"/>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717-4E87-B088-6119FD480FFF}"/>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717-4E87-B088-6119FD480FFF}"/>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717-4E87-B088-6119FD480FFF}"/>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717-4E87-B088-6119FD480FFF}"/>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717-4E87-B088-6119FD480FFF}"/>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717-4E87-B088-6119FD480FFF}"/>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717-4E87-B088-6119FD480FFF}"/>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717-4E87-B088-6119FD480FFF}"/>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717-4E87-B088-6119FD480FFF}"/>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717-4E87-B088-6119FD480FFF}"/>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717-4E87-B088-6119FD480FFF}"/>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717-4E87-B088-6119FD480FFF}"/>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717-4E87-B088-6119FD480FFF}"/>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717-4E87-B088-6119FD480FFF}"/>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717-4E87-B088-6119FD480FFF}"/>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717-4E87-B088-6119FD480FFF}"/>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717-4E87-B088-6119FD480FFF}"/>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717-4E87-B088-6119FD480FFF}"/>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717-4E87-B088-6119FD480FFF}"/>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717-4E87-B088-6119FD480FFF}"/>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717-4E87-B088-6119FD480FFF}"/>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717-4E87-B088-6119FD480FFF}"/>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717-4E87-B088-6119FD480FFF}"/>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717-4E87-B088-6119FD480FFF}"/>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717-4E87-B088-6119FD480FFF}"/>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717-4E87-B088-6119FD480FFF}"/>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717-4E87-B088-6119FD480FFF}"/>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717-4E87-B088-6119FD480FFF}"/>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717-4E87-B088-6119FD480FFF}"/>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717-4E87-B088-6119FD480FFF}"/>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717-4E87-B088-6119FD480FFF}"/>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717-4E87-B088-6119FD480FFF}"/>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717-4E87-B088-6119FD480FFF}"/>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717-4E87-B088-6119FD480FFF}"/>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717-4E87-B088-6119FD480FFF}"/>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717-4E87-B088-6119FD480FFF}"/>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717-4E87-B088-6119FD480FFF}"/>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717-4E87-B088-6119FD480FFF}"/>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717-4E87-B088-6119FD480FFF}"/>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717-4E87-B088-6119FD480FFF}"/>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717-4E87-B088-6119FD480FFF}"/>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717-4E87-B088-6119FD480FFF}"/>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717-4E87-B088-6119FD480FFF}"/>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717-4E87-B088-6119FD480FFF}"/>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717-4E87-B088-6119FD480FFF}"/>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99.126754760742188</c:v>
                </c:pt>
                <c:pt idx="1">
                  <c:v>100</c:v>
                </c:pt>
                <c:pt idx="2">
                  <c:v>96.951248168945313</c:v>
                </c:pt>
                <c:pt idx="3">
                  <c:v>94.502891540527344</c:v>
                </c:pt>
                <c:pt idx="4">
                  <c:v>92.957923889160156</c:v>
                </c:pt>
                <c:pt idx="5">
                  <c:v>91.250022888183594</c:v>
                </c:pt>
                <c:pt idx="6">
                  <c:v>89.168502807617188</c:v>
                </c:pt>
                <c:pt idx="7">
                  <c:v>88.352706909179688</c:v>
                </c:pt>
                <c:pt idx="8">
                  <c:v>89.126426696777344</c:v>
                </c:pt>
                <c:pt idx="9">
                  <c:v>90.662948608398438</c:v>
                </c:pt>
                <c:pt idx="10">
                  <c:v>92.83453369140625</c:v>
                </c:pt>
                <c:pt idx="11">
                  <c:v>94.951469421386719</c:v>
                </c:pt>
                <c:pt idx="12">
                  <c:v>96.775779724121094</c:v>
                </c:pt>
                <c:pt idx="13">
                  <c:v>98.357231140136719</c:v>
                </c:pt>
                <c:pt idx="14">
                  <c:v>98.474014282226563</c:v>
                </c:pt>
                <c:pt idx="15">
                  <c:v>97.50811767578125</c:v>
                </c:pt>
                <c:pt idx="16">
                  <c:v>95.554344177246094</c:v>
                </c:pt>
                <c:pt idx="17">
                  <c:v>91.636367797851563</c:v>
                </c:pt>
                <c:pt idx="18">
                  <c:v>86.346855163574219</c:v>
                </c:pt>
                <c:pt idx="19">
                  <c:v>80.023040771484375</c:v>
                </c:pt>
                <c:pt idx="20">
                  <c:v>72.805122375488281</c:v>
                </c:pt>
                <c:pt idx="21">
                  <c:v>65.172904968261719</c:v>
                </c:pt>
                <c:pt idx="22">
                  <c:v>57.113182067871094</c:v>
                </c:pt>
                <c:pt idx="23">
                  <c:v>49.385040283203125</c:v>
                </c:pt>
                <c:pt idx="24">
                  <c:v>41.567852020263672</c:v>
                </c:pt>
                <c:pt idx="25">
                  <c:v>34.811733245849609</c:v>
                </c:pt>
                <c:pt idx="26">
                  <c:v>28.853946685791016</c:v>
                </c:pt>
                <c:pt idx="27">
                  <c:v>23.523860931396484</c:v>
                </c:pt>
                <c:pt idx="28">
                  <c:v>18.974533081054688</c:v>
                </c:pt>
                <c:pt idx="29">
                  <c:v>15.889500617980957</c:v>
                </c:pt>
                <c:pt idx="30">
                  <c:v>13.377029418945313</c:v>
                </c:pt>
                <c:pt idx="31">
                  <c:v>11.52617073059082</c:v>
                </c:pt>
                <c:pt idx="32">
                  <c:v>10.160813331604004</c:v>
                </c:pt>
                <c:pt idx="33">
                  <c:v>9.1645526885986328</c:v>
                </c:pt>
                <c:pt idx="34">
                  <c:v>8.4575290679931641</c:v>
                </c:pt>
                <c:pt idx="35">
                  <c:v>7.8905024528503418</c:v>
                </c:pt>
                <c:pt idx="36">
                  <c:v>7.4681477546691895</c:v>
                </c:pt>
                <c:pt idx="37">
                  <c:v>7.2148637771606445</c:v>
                </c:pt>
                <c:pt idx="38">
                  <c:v>7.0390214920043945</c:v>
                </c:pt>
                <c:pt idx="39">
                  <c:v>7.059443473815918</c:v>
                </c:pt>
                <c:pt idx="40">
                  <c:v>7.1260290145874023</c:v>
                </c:pt>
                <c:pt idx="41">
                  <c:v>6.5857114791870117</c:v>
                </c:pt>
                <c:pt idx="42">
                  <c:v>6.2396159172058105</c:v>
                </c:pt>
                <c:pt idx="43">
                  <c:v>6.4666743278503418</c:v>
                </c:pt>
                <c:pt idx="44">
                  <c:v>6.5842070579528809</c:v>
                </c:pt>
                <c:pt idx="45">
                  <c:v>6.7197432518005371</c:v>
                </c:pt>
                <c:pt idx="46">
                  <c:v>6.3982610702514648</c:v>
                </c:pt>
                <c:pt idx="47">
                  <c:v>5.970639705657959</c:v>
                </c:pt>
                <c:pt idx="48">
                  <c:v>5.9912228584289551</c:v>
                </c:pt>
                <c:pt idx="49">
                  <c:v>6.0257248878479004</c:v>
                </c:pt>
                <c:pt idx="50">
                  <c:v>5.8974437713623047</c:v>
                </c:pt>
                <c:pt idx="51">
                  <c:v>5.6265864372253418</c:v>
                </c:pt>
                <c:pt idx="52">
                  <c:v>5.2723221778869629</c:v>
                </c:pt>
                <c:pt idx="53">
                  <c:v>5.309941291809082</c:v>
                </c:pt>
                <c:pt idx="54">
                  <c:v>5.3384780883789063</c:v>
                </c:pt>
                <c:pt idx="55">
                  <c:v>5.2087998390197754</c:v>
                </c:pt>
                <c:pt idx="56">
                  <c:v>5.2084774971008301</c:v>
                </c:pt>
                <c:pt idx="57">
                  <c:v>5.2876925468444824</c:v>
                </c:pt>
                <c:pt idx="58">
                  <c:v>4.9362225532531738</c:v>
                </c:pt>
                <c:pt idx="59">
                  <c:v>4.7267918586730957</c:v>
                </c:pt>
                <c:pt idx="60">
                  <c:v>4.5324625968933105</c:v>
                </c:pt>
                <c:pt idx="61">
                  <c:v>4.6571426391601563</c:v>
                </c:pt>
                <c:pt idx="62">
                  <c:v>4.547295093536377</c:v>
                </c:pt>
                <c:pt idx="63">
                  <c:v>4.2808985710144043</c:v>
                </c:pt>
                <c:pt idx="64">
                  <c:v>4.7686567306518555</c:v>
                </c:pt>
                <c:pt idx="65">
                  <c:v>4.943692684173584</c:v>
                </c:pt>
                <c:pt idx="66">
                  <c:v>4.5351495742797852</c:v>
                </c:pt>
                <c:pt idx="67">
                  <c:v>4.6195774078369141</c:v>
                </c:pt>
                <c:pt idx="68">
                  <c:v>5.1257152557373047</c:v>
                </c:pt>
                <c:pt idx="69">
                  <c:v>5.0622467994689941</c:v>
                </c:pt>
                <c:pt idx="70">
                  <c:v>4.7762880325317383</c:v>
                </c:pt>
                <c:pt idx="71">
                  <c:v>4.5250997543334961</c:v>
                </c:pt>
                <c:pt idx="72">
                  <c:v>4.3919820785522461</c:v>
                </c:pt>
                <c:pt idx="73">
                  <c:v>4.7524805068969727</c:v>
                </c:pt>
                <c:pt idx="74">
                  <c:v>4.6916985511779785</c:v>
                </c:pt>
                <c:pt idx="75">
                  <c:v>4.5062365531921387</c:v>
                </c:pt>
                <c:pt idx="76">
                  <c:v>4.6993837356567383</c:v>
                </c:pt>
                <c:pt idx="77">
                  <c:v>4.6753072738647461</c:v>
                </c:pt>
                <c:pt idx="78">
                  <c:v>4.6059269905090332</c:v>
                </c:pt>
                <c:pt idx="79">
                  <c:v>4.6743941307067871</c:v>
                </c:pt>
                <c:pt idx="80">
                  <c:v>5.0825610160827637</c:v>
                </c:pt>
                <c:pt idx="81">
                  <c:v>4.8162178993225098</c:v>
                </c:pt>
                <c:pt idx="82">
                  <c:v>4.3191084861755371</c:v>
                </c:pt>
                <c:pt idx="83">
                  <c:v>4.6349477767944336</c:v>
                </c:pt>
                <c:pt idx="84">
                  <c:v>4.6991686820983887</c:v>
                </c:pt>
                <c:pt idx="85">
                  <c:v>4.8007402420043945</c:v>
                </c:pt>
                <c:pt idx="86">
                  <c:v>5.1207709312438965</c:v>
                </c:pt>
                <c:pt idx="87">
                  <c:v>5.0384926795959473</c:v>
                </c:pt>
                <c:pt idx="88">
                  <c:v>4.8792028427124023</c:v>
                </c:pt>
                <c:pt idx="89">
                  <c:v>4.4146075248718262</c:v>
                </c:pt>
                <c:pt idx="90">
                  <c:v>4.4364261627197266</c:v>
                </c:pt>
                <c:pt idx="91">
                  <c:v>4.7049727439880371</c:v>
                </c:pt>
                <c:pt idx="92">
                  <c:v>5.0555286407470703</c:v>
                </c:pt>
                <c:pt idx="93">
                  <c:v>5.0195755958557129</c:v>
                </c:pt>
                <c:pt idx="94">
                  <c:v>4.799933910369873</c:v>
                </c:pt>
                <c:pt idx="95">
                  <c:v>5.1370549201965332</c:v>
                </c:pt>
                <c:pt idx="96">
                  <c:v>5.1176543235778809</c:v>
                </c:pt>
                <c:pt idx="97">
                  <c:v>4.9453587532043457</c:v>
                </c:pt>
                <c:pt idx="98">
                  <c:v>5.1734375953674316</c:v>
                </c:pt>
                <c:pt idx="99">
                  <c:v>5.1880555152893066</c:v>
                </c:pt>
                <c:pt idx="100">
                  <c:v>4.9453587532043457</c:v>
                </c:pt>
                <c:pt idx="101">
                  <c:v>4.8909721374511719</c:v>
                </c:pt>
                <c:pt idx="102">
                  <c:v>5.1467819213867188</c:v>
                </c:pt>
                <c:pt idx="103">
                  <c:v>5.1086254119873047</c:v>
                </c:pt>
                <c:pt idx="104">
                  <c:v>4.8394341468811035</c:v>
                </c:pt>
                <c:pt idx="105">
                  <c:v>4.8930144309997559</c:v>
                </c:pt>
                <c:pt idx="106">
                  <c:v>5.1103453636169434</c:v>
                </c:pt>
                <c:pt idx="107">
                  <c:v>5.4761638641357422</c:v>
                </c:pt>
                <c:pt idx="108">
                  <c:v>5.5809597969055176</c:v>
                </c:pt>
                <c:pt idx="109">
                  <c:v>5.3583621978759766</c:v>
                </c:pt>
                <c:pt idx="110">
                  <c:v>5.2392711639404297</c:v>
                </c:pt>
                <c:pt idx="111">
                  <c:v>4.8453993797302246</c:v>
                </c:pt>
                <c:pt idx="112">
                  <c:v>4.7642498016357422</c:v>
                </c:pt>
                <c:pt idx="113">
                  <c:v>5.2381424903869629</c:v>
                </c:pt>
                <c:pt idx="114">
                  <c:v>5.2808670997619629</c:v>
                </c:pt>
                <c:pt idx="115">
                  <c:v>5.0117831230163574</c:v>
                </c:pt>
                <c:pt idx="116">
                  <c:v>5.2306723594665527</c:v>
                </c:pt>
                <c:pt idx="117">
                  <c:v>5.2930126190185547</c:v>
                </c:pt>
                <c:pt idx="118">
                  <c:v>5.4800868034362793</c:v>
                </c:pt>
                <c:pt idx="119">
                  <c:v>5.523993968963623</c:v>
                </c:pt>
                <c:pt idx="120">
                  <c:v>5.2151951789855957</c:v>
                </c:pt>
                <c:pt idx="121">
                  <c:v>5.2176132202148438</c:v>
                </c:pt>
                <c:pt idx="122">
                  <c:v>5.4938449859619141</c:v>
                </c:pt>
                <c:pt idx="123">
                  <c:v>5.5659661293029785</c:v>
                </c:pt>
                <c:pt idx="124">
                  <c:v>5.8548803329467773</c:v>
                </c:pt>
                <c:pt idx="125">
                  <c:v>5.5107736587524414</c:v>
                </c:pt>
                <c:pt idx="126">
                  <c:v>4.9883518218994141</c:v>
                </c:pt>
                <c:pt idx="127">
                  <c:v>5.2384114265441895</c:v>
                </c:pt>
                <c:pt idx="128">
                  <c:v>5.1819291114807129</c:v>
                </c:pt>
                <c:pt idx="129">
                  <c:v>5.3414340019226074</c:v>
                </c:pt>
                <c:pt idx="130">
                  <c:v>5.1244254112243652</c:v>
                </c:pt>
                <c:pt idx="131">
                  <c:v>4.4301385879516602</c:v>
                </c:pt>
                <c:pt idx="132">
                  <c:v>4.2181282043457031</c:v>
                </c:pt>
                <c:pt idx="133">
                  <c:v>4.7112607955932617</c:v>
                </c:pt>
                <c:pt idx="134">
                  <c:v>5.4701986312866211</c:v>
                </c:pt>
                <c:pt idx="135">
                  <c:v>5.0655245780944824</c:v>
                </c:pt>
                <c:pt idx="136">
                  <c:v>3.4748289585113525</c:v>
                </c:pt>
                <c:pt idx="137">
                  <c:v>3.1466832160949707</c:v>
                </c:pt>
                <c:pt idx="138">
                  <c:v>4.2420430183410645</c:v>
                </c:pt>
                <c:pt idx="139">
                  <c:v>5.1096467971801758</c:v>
                </c:pt>
                <c:pt idx="140">
                  <c:v>5.2743105888366699</c:v>
                </c:pt>
                <c:pt idx="141">
                  <c:v>4.8054156303405762</c:v>
                </c:pt>
                <c:pt idx="142">
                  <c:v>4.5292916297912598</c:v>
                </c:pt>
                <c:pt idx="143">
                  <c:v>4.4376626014709473</c:v>
                </c:pt>
                <c:pt idx="144">
                  <c:v>4.995445728302002</c:v>
                </c:pt>
                <c:pt idx="145">
                  <c:v>5.6163754463195801</c:v>
                </c:pt>
                <c:pt idx="146">
                  <c:v>5.3518595695495605</c:v>
                </c:pt>
                <c:pt idx="147">
                  <c:v>5.2347030639648438</c:v>
                </c:pt>
                <c:pt idx="148">
                  <c:v>5.4983053207397461</c:v>
                </c:pt>
                <c:pt idx="149">
                  <c:v>5.8863730430603027</c:v>
                </c:pt>
                <c:pt idx="150">
                  <c:v>5.653080940246582</c:v>
                </c:pt>
                <c:pt idx="151">
                  <c:v>4.9674463272094727</c:v>
                </c:pt>
                <c:pt idx="152">
                  <c:v>4.6663327217102051</c:v>
                </c:pt>
                <c:pt idx="153">
                  <c:v>4.3223867416381836</c:v>
                </c:pt>
                <c:pt idx="154">
                  <c:v>4.8347048759460449</c:v>
                </c:pt>
                <c:pt idx="155">
                  <c:v>4.8709268569946289</c:v>
                </c:pt>
                <c:pt idx="156">
                  <c:v>5.2623801231384277</c:v>
                </c:pt>
                <c:pt idx="157">
                  <c:v>6.0242199897766113</c:v>
                </c:pt>
                <c:pt idx="158">
                  <c:v>5.4213476181030273</c:v>
                </c:pt>
                <c:pt idx="159">
                  <c:v>5.7248258590698242</c:v>
                </c:pt>
                <c:pt idx="160">
                  <c:v>5.8267736434936523</c:v>
                </c:pt>
                <c:pt idx="161">
                  <c:v>4.6066794395446777</c:v>
                </c:pt>
                <c:pt idx="162">
                  <c:v>4.8929071426391602</c:v>
                </c:pt>
                <c:pt idx="163">
                  <c:v>4.6549396514892578</c:v>
                </c:pt>
                <c:pt idx="164">
                  <c:v>4.4390597343444824</c:v>
                </c:pt>
                <c:pt idx="165">
                  <c:v>4.5547113418579102</c:v>
                </c:pt>
                <c:pt idx="166">
                  <c:v>4.838681697845459</c:v>
                </c:pt>
                <c:pt idx="167">
                  <c:v>5.5311951637268066</c:v>
                </c:pt>
                <c:pt idx="168">
                  <c:v>5.0664920806884766</c:v>
                </c:pt>
                <c:pt idx="169">
                  <c:v>5.294947624206543</c:v>
                </c:pt>
                <c:pt idx="170">
                  <c:v>5.7705063819885254</c:v>
                </c:pt>
                <c:pt idx="171">
                  <c:v>4.8178300857543945</c:v>
                </c:pt>
                <c:pt idx="172">
                  <c:v>4.4758725166320801</c:v>
                </c:pt>
                <c:pt idx="173">
                  <c:v>5.2775888442993164</c:v>
                </c:pt>
                <c:pt idx="174">
                  <c:v>5.7022008895874023</c:v>
                </c:pt>
                <c:pt idx="175">
                  <c:v>5.5538206100463867</c:v>
                </c:pt>
                <c:pt idx="176">
                  <c:v>5.0790138244628906</c:v>
                </c:pt>
                <c:pt idx="177">
                  <c:v>5.2960758209228516</c:v>
                </c:pt>
                <c:pt idx="178">
                  <c:v>5.1606473922729492</c:v>
                </c:pt>
                <c:pt idx="179">
                  <c:v>4.8183674812316895</c:v>
                </c:pt>
                <c:pt idx="180">
                  <c:v>5.1246404647827148</c:v>
                </c:pt>
                <c:pt idx="181">
                  <c:v>5.6782855987548828</c:v>
                </c:pt>
                <c:pt idx="182">
                  <c:v>6.7680568695068359</c:v>
                </c:pt>
                <c:pt idx="183">
                  <c:v>5.9167909622192383</c:v>
                </c:pt>
                <c:pt idx="184">
                  <c:v>4.8603935241699219</c:v>
                </c:pt>
                <c:pt idx="185">
                  <c:v>5.3887262344360352</c:v>
                </c:pt>
                <c:pt idx="186">
                  <c:v>4.1816916465759277</c:v>
                </c:pt>
                <c:pt idx="187">
                  <c:v>4.2144737243652344</c:v>
                </c:pt>
                <c:pt idx="188">
                  <c:v>5.1224370002746582</c:v>
                </c:pt>
                <c:pt idx="189">
                  <c:v>4.8903274536132813</c:v>
                </c:pt>
                <c:pt idx="190">
                  <c:v>4.8021373748779297</c:v>
                </c:pt>
                <c:pt idx="191">
                  <c:v>5.0728335380554199</c:v>
                </c:pt>
                <c:pt idx="192">
                  <c:v>5.1715030670166016</c:v>
                </c:pt>
                <c:pt idx="193">
                  <c:v>5.1027674674987793</c:v>
                </c:pt>
                <c:pt idx="194">
                  <c:v>5.1536073684692383</c:v>
                </c:pt>
                <c:pt idx="195">
                  <c:v>4.9859871864318848</c:v>
                </c:pt>
                <c:pt idx="196">
                  <c:v>5.0403738021850586</c:v>
                </c:pt>
                <c:pt idx="197">
                  <c:v>5.324988842010498</c:v>
                </c:pt>
                <c:pt idx="198">
                  <c:v>5.3678207397460938</c:v>
                </c:pt>
                <c:pt idx="199">
                  <c:v>5.3915748596191406</c:v>
                </c:pt>
                <c:pt idx="200">
                  <c:v>5.4438114166259766</c:v>
                </c:pt>
                <c:pt idx="201">
                  <c:v>5.132594108581543</c:v>
                </c:pt>
                <c:pt idx="202">
                  <c:v>5.2372288703918457</c:v>
                </c:pt>
                <c:pt idx="203">
                  <c:v>5.3393378257751465</c:v>
                </c:pt>
                <c:pt idx="204">
                  <c:v>5.550112247467041</c:v>
                </c:pt>
                <c:pt idx="205">
                  <c:v>5.2718386650085449</c:v>
                </c:pt>
                <c:pt idx="206">
                  <c:v>5.372227668762207</c:v>
                </c:pt>
                <c:pt idx="207">
                  <c:v>5.6326594352722168</c:v>
                </c:pt>
                <c:pt idx="208">
                  <c:v>5.4309134483337402</c:v>
                </c:pt>
                <c:pt idx="209">
                  <c:v>5.4216160774230957</c:v>
                </c:pt>
                <c:pt idx="210">
                  <c:v>5.5625267028808594</c:v>
                </c:pt>
                <c:pt idx="211">
                  <c:v>4.9028491973876953</c:v>
                </c:pt>
                <c:pt idx="212">
                  <c:v>4.8048782348632813</c:v>
                </c:pt>
                <c:pt idx="213">
                  <c:v>4.7215251922607422</c:v>
                </c:pt>
                <c:pt idx="214">
                  <c:v>4.4395432472229004</c:v>
                </c:pt>
                <c:pt idx="215">
                  <c:v>5.3460021018981934</c:v>
                </c:pt>
                <c:pt idx="216">
                  <c:v>5.8241939544677734</c:v>
                </c:pt>
                <c:pt idx="217">
                  <c:v>5.0663309097290039</c:v>
                </c:pt>
                <c:pt idx="218">
                  <c:v>4.5373530387878418</c:v>
                </c:pt>
                <c:pt idx="219">
                  <c:v>5.7315435409545898</c:v>
                </c:pt>
                <c:pt idx="220">
                  <c:v>6.0510907173156738</c:v>
                </c:pt>
                <c:pt idx="221">
                  <c:v>6.0226078033447266</c:v>
                </c:pt>
                <c:pt idx="222">
                  <c:v>5.5137829780578613</c:v>
                </c:pt>
                <c:pt idx="223">
                  <c:v>4.2437090873718262</c:v>
                </c:pt>
                <c:pt idx="224">
                  <c:v>3.967961311340332</c:v>
                </c:pt>
                <c:pt idx="225">
                  <c:v>2</c:v>
                </c:pt>
              </c:numCache>
            </c:numRef>
          </c:yVal>
          <c:smooth val="1"/>
          <c:extLst>
            <c:ext xmlns:c15="http://schemas.microsoft.com/office/drawing/2012/chart" uri="{02D57815-91ED-43cb-92C2-25804820EDAC}">
              <c15:datalabelsRange>
                <c15:f>PeakLabels!$G$2:$G$300</c15:f>
                <c15:dlblRangeCache>
                  <c:ptCount val="299"/>
                  <c:pt idx="1">
                    <c:v>192</c:v>
                  </c:pt>
                  <c:pt idx="14">
                    <c:v>218</c:v>
                  </c:pt>
                </c15:dlblRangeCache>
              </c15:datalabelsRange>
            </c:ext>
            <c:ext xmlns:c16="http://schemas.microsoft.com/office/drawing/2014/chart" uri="{C3380CC4-5D6E-409C-BE32-E72D297353CC}">
              <c16:uniqueId val="{00000000-F3B2-46DE-AC41-2C44E136DB0E}"/>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549710C0-D16E-4A16-A5CD-D7086FC132A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3B2-46DE-AC41-2C44E136DB0E}"/>
                </c:ext>
              </c:extLst>
            </c:dLbl>
            <c:dLbl>
              <c:idx val="1"/>
              <c:tx>
                <c:rich>
                  <a:bodyPr/>
                  <a:lstStyle/>
                  <a:p>
                    <a:fld id="{AE7494A4-28CE-441C-87D2-B5A2DB22B1D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3B2-46DE-AC41-2C44E136DB0E}"/>
                </c:ext>
              </c:extLst>
            </c:dLbl>
            <c:dLbl>
              <c:idx val="2"/>
              <c:tx>
                <c:rich>
                  <a:bodyPr/>
                  <a:lstStyle/>
                  <a:p>
                    <a:fld id="{608FF399-6C6E-4453-B807-986F8E5B7C97}"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3B2-46DE-AC41-2C44E136DB0E}"/>
                </c:ext>
              </c:extLst>
            </c:dLbl>
            <c:dLbl>
              <c:idx val="3"/>
              <c:tx>
                <c:rich>
                  <a:bodyPr/>
                  <a:lstStyle/>
                  <a:p>
                    <a:fld id="{27750FE6-FCB1-4344-B790-5E37C76B09A8}"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3B2-46DE-AC41-2C44E136DB0E}"/>
                </c:ext>
              </c:extLst>
            </c:dLbl>
            <c:dLbl>
              <c:idx val="4"/>
              <c:tx>
                <c:rich>
                  <a:bodyPr/>
                  <a:lstStyle/>
                  <a:p>
                    <a:fld id="{DE3F9159-69B1-4096-8C9E-BF6BB123E94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3B2-46DE-AC41-2C44E136DB0E}"/>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F3B2-46DE-AC41-2C44E136DB0E}"/>
            </c:ext>
          </c:extLst>
        </c:ser>
        <c:dLbls>
          <c:showLegendKey val="0"/>
          <c:showVal val="0"/>
          <c:showCatName val="0"/>
          <c:showSerName val="0"/>
          <c:showPercent val="0"/>
          <c:showBubbleSize val="0"/>
        </c:dLbls>
        <c:axId val="1767907360"/>
        <c:axId val="1767900288"/>
      </c:scatterChart>
      <c:valAx>
        <c:axId val="1767907360"/>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0288"/>
        <c:crossesAt val="0"/>
        <c:crossBetween val="midCat"/>
        <c:majorUnit val="100"/>
      </c:valAx>
      <c:valAx>
        <c:axId val="1767900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7360"/>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E728FD86-1640-4E71-A862-5E02BB156A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993-42BC-B8F2-CF7F0830D4C2}"/>
                </c:ext>
              </c:extLst>
            </c:dLbl>
            <c:dLbl>
              <c:idx val="1"/>
              <c:tx>
                <c:rich>
                  <a:bodyPr/>
                  <a:lstStyle/>
                  <a:p>
                    <a:fld id="{2C02A6A8-A8A9-4449-ADAA-3C7622FD5F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993-42BC-B8F2-CF7F0830D4C2}"/>
                </c:ext>
              </c:extLst>
            </c:dLbl>
            <c:dLbl>
              <c:idx val="2"/>
              <c:tx>
                <c:rich>
                  <a:bodyPr/>
                  <a:lstStyle/>
                  <a:p>
                    <a:fld id="{C011C322-1640-45F3-BBC5-74116F9195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993-42BC-B8F2-CF7F0830D4C2}"/>
                </c:ext>
              </c:extLst>
            </c:dLbl>
            <c:dLbl>
              <c:idx val="3"/>
              <c:tx>
                <c:rich>
                  <a:bodyPr/>
                  <a:lstStyle/>
                  <a:p>
                    <a:fld id="{AC11EA55-C755-42CB-988B-79BC0E9B17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993-42BC-B8F2-CF7F0830D4C2}"/>
                </c:ext>
              </c:extLst>
            </c:dLbl>
            <c:dLbl>
              <c:idx val="4"/>
              <c:tx>
                <c:rich>
                  <a:bodyPr/>
                  <a:lstStyle/>
                  <a:p>
                    <a:fld id="{FA824383-5B3E-4A2D-AE53-179BFE31D6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993-42BC-B8F2-CF7F0830D4C2}"/>
                </c:ext>
              </c:extLst>
            </c:dLbl>
            <c:dLbl>
              <c:idx val="5"/>
              <c:tx>
                <c:rich>
                  <a:bodyPr/>
                  <a:lstStyle/>
                  <a:p>
                    <a:fld id="{6DDC1FBA-43B0-4A5C-8EC3-669366F6A6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993-42BC-B8F2-CF7F0830D4C2}"/>
                </c:ext>
              </c:extLst>
            </c:dLbl>
            <c:dLbl>
              <c:idx val="6"/>
              <c:tx>
                <c:rich>
                  <a:bodyPr/>
                  <a:lstStyle/>
                  <a:p>
                    <a:fld id="{A05899D7-41A9-4990-9EC3-9D866F5C8A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993-42BC-B8F2-CF7F0830D4C2}"/>
                </c:ext>
              </c:extLst>
            </c:dLbl>
            <c:dLbl>
              <c:idx val="7"/>
              <c:tx>
                <c:rich>
                  <a:bodyPr/>
                  <a:lstStyle/>
                  <a:p>
                    <a:fld id="{97E81661-8A60-45EE-9184-3712019140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993-42BC-B8F2-CF7F0830D4C2}"/>
                </c:ext>
              </c:extLst>
            </c:dLbl>
            <c:dLbl>
              <c:idx val="8"/>
              <c:tx>
                <c:rich>
                  <a:bodyPr/>
                  <a:lstStyle/>
                  <a:p>
                    <a:fld id="{A3EAE8E0-0920-455B-86DE-25A2ED5FC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993-42BC-B8F2-CF7F0830D4C2}"/>
                </c:ext>
              </c:extLst>
            </c:dLbl>
            <c:dLbl>
              <c:idx val="9"/>
              <c:tx>
                <c:rich>
                  <a:bodyPr/>
                  <a:lstStyle/>
                  <a:p>
                    <a:fld id="{AD1D73DE-515B-4C43-922B-B0D8D46DC2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993-42BC-B8F2-CF7F0830D4C2}"/>
                </c:ext>
              </c:extLst>
            </c:dLbl>
            <c:dLbl>
              <c:idx val="10"/>
              <c:tx>
                <c:rich>
                  <a:bodyPr/>
                  <a:lstStyle/>
                  <a:p>
                    <a:fld id="{41AB3A68-0849-47E3-A3F4-7A75846297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993-42BC-B8F2-CF7F0830D4C2}"/>
                </c:ext>
              </c:extLst>
            </c:dLbl>
            <c:dLbl>
              <c:idx val="11"/>
              <c:tx>
                <c:rich>
                  <a:bodyPr/>
                  <a:lstStyle/>
                  <a:p>
                    <a:fld id="{2351463A-C7DA-48BA-AC8A-1CD718D5D9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993-42BC-B8F2-CF7F0830D4C2}"/>
                </c:ext>
              </c:extLst>
            </c:dLbl>
            <c:dLbl>
              <c:idx val="12"/>
              <c:tx>
                <c:rich>
                  <a:bodyPr/>
                  <a:lstStyle/>
                  <a:p>
                    <a:fld id="{3FED95EE-1F1D-49A5-9B50-3F359BD693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993-42BC-B8F2-CF7F0830D4C2}"/>
                </c:ext>
              </c:extLst>
            </c:dLbl>
            <c:dLbl>
              <c:idx val="13"/>
              <c:tx>
                <c:rich>
                  <a:bodyPr/>
                  <a:lstStyle/>
                  <a:p>
                    <a:fld id="{414B5754-1375-4BAA-9ECC-7110801B47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993-42BC-B8F2-CF7F0830D4C2}"/>
                </c:ext>
              </c:extLst>
            </c:dLbl>
            <c:dLbl>
              <c:idx val="14"/>
              <c:tx>
                <c:rich>
                  <a:bodyPr/>
                  <a:lstStyle/>
                  <a:p>
                    <a:fld id="{EFD5CB08-1407-4DE7-829B-76F45A33D1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993-42BC-B8F2-CF7F0830D4C2}"/>
                </c:ext>
              </c:extLst>
            </c:dLbl>
            <c:dLbl>
              <c:idx val="15"/>
              <c:tx>
                <c:rich>
                  <a:bodyPr/>
                  <a:lstStyle/>
                  <a:p>
                    <a:fld id="{A6B6E878-3922-4849-80BA-AA1D085F15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993-42BC-B8F2-CF7F0830D4C2}"/>
                </c:ext>
              </c:extLst>
            </c:dLbl>
            <c:dLbl>
              <c:idx val="16"/>
              <c:tx>
                <c:rich>
                  <a:bodyPr/>
                  <a:lstStyle/>
                  <a:p>
                    <a:fld id="{75EDB9D9-31CE-4481-9BC5-AE2703ABFB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993-42BC-B8F2-CF7F0830D4C2}"/>
                </c:ext>
              </c:extLst>
            </c:dLbl>
            <c:dLbl>
              <c:idx val="17"/>
              <c:tx>
                <c:rich>
                  <a:bodyPr/>
                  <a:lstStyle/>
                  <a:p>
                    <a:fld id="{C2539004-D001-4B2C-A179-64450948A8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993-42BC-B8F2-CF7F0830D4C2}"/>
                </c:ext>
              </c:extLst>
            </c:dLbl>
            <c:dLbl>
              <c:idx val="18"/>
              <c:tx>
                <c:rich>
                  <a:bodyPr/>
                  <a:lstStyle/>
                  <a:p>
                    <a:fld id="{CC56B831-CDCF-4D6D-A57B-CE6CCF5CAC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993-42BC-B8F2-CF7F0830D4C2}"/>
                </c:ext>
              </c:extLst>
            </c:dLbl>
            <c:dLbl>
              <c:idx val="19"/>
              <c:tx>
                <c:rich>
                  <a:bodyPr/>
                  <a:lstStyle/>
                  <a:p>
                    <a:fld id="{65F1AF79-9136-4208-9A18-E12F59D782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993-42BC-B8F2-CF7F0830D4C2}"/>
                </c:ext>
              </c:extLst>
            </c:dLbl>
            <c:dLbl>
              <c:idx val="20"/>
              <c:tx>
                <c:rich>
                  <a:bodyPr/>
                  <a:lstStyle/>
                  <a:p>
                    <a:fld id="{049B35D2-25D4-4C2B-B291-771A827B67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993-42BC-B8F2-CF7F0830D4C2}"/>
                </c:ext>
              </c:extLst>
            </c:dLbl>
            <c:dLbl>
              <c:idx val="21"/>
              <c:tx>
                <c:rich>
                  <a:bodyPr/>
                  <a:lstStyle/>
                  <a:p>
                    <a:fld id="{08C90C5C-413F-43EC-9A7E-22768A36ED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993-42BC-B8F2-CF7F0830D4C2}"/>
                </c:ext>
              </c:extLst>
            </c:dLbl>
            <c:dLbl>
              <c:idx val="22"/>
              <c:tx>
                <c:rich>
                  <a:bodyPr/>
                  <a:lstStyle/>
                  <a:p>
                    <a:fld id="{76D4DACC-D181-473C-9BAB-B19701F595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993-42BC-B8F2-CF7F0830D4C2}"/>
                </c:ext>
              </c:extLst>
            </c:dLbl>
            <c:dLbl>
              <c:idx val="23"/>
              <c:tx>
                <c:rich>
                  <a:bodyPr/>
                  <a:lstStyle/>
                  <a:p>
                    <a:fld id="{D0D7DF14-9D28-40DB-AE45-8BD8B3953D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993-42BC-B8F2-CF7F0830D4C2}"/>
                </c:ext>
              </c:extLst>
            </c:dLbl>
            <c:dLbl>
              <c:idx val="24"/>
              <c:tx>
                <c:rich>
                  <a:bodyPr/>
                  <a:lstStyle/>
                  <a:p>
                    <a:fld id="{EF671EE1-3784-4FD1-999C-7941D7A57C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993-42BC-B8F2-CF7F0830D4C2}"/>
                </c:ext>
              </c:extLst>
            </c:dLbl>
            <c:dLbl>
              <c:idx val="25"/>
              <c:tx>
                <c:rich>
                  <a:bodyPr/>
                  <a:lstStyle/>
                  <a:p>
                    <a:fld id="{263E13C3-0F78-42BA-AE22-E7F5350AA8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993-42BC-B8F2-CF7F0830D4C2}"/>
                </c:ext>
              </c:extLst>
            </c:dLbl>
            <c:dLbl>
              <c:idx val="26"/>
              <c:tx>
                <c:rich>
                  <a:bodyPr/>
                  <a:lstStyle/>
                  <a:p>
                    <a:fld id="{2BD14247-7910-4CA8-99D7-CDE40083DA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993-42BC-B8F2-CF7F0830D4C2}"/>
                </c:ext>
              </c:extLst>
            </c:dLbl>
            <c:dLbl>
              <c:idx val="27"/>
              <c:tx>
                <c:rich>
                  <a:bodyPr/>
                  <a:lstStyle/>
                  <a:p>
                    <a:fld id="{994A560A-077E-452F-B709-EE68545370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993-42BC-B8F2-CF7F0830D4C2}"/>
                </c:ext>
              </c:extLst>
            </c:dLbl>
            <c:dLbl>
              <c:idx val="28"/>
              <c:tx>
                <c:rich>
                  <a:bodyPr/>
                  <a:lstStyle/>
                  <a:p>
                    <a:fld id="{1713881A-6F52-4170-B695-439AAFB8A0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993-42BC-B8F2-CF7F0830D4C2}"/>
                </c:ext>
              </c:extLst>
            </c:dLbl>
            <c:dLbl>
              <c:idx val="29"/>
              <c:tx>
                <c:rich>
                  <a:bodyPr/>
                  <a:lstStyle/>
                  <a:p>
                    <a:fld id="{FCAD9ED3-6F65-4945-8631-9C6761D923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993-42BC-B8F2-CF7F0830D4C2}"/>
                </c:ext>
              </c:extLst>
            </c:dLbl>
            <c:dLbl>
              <c:idx val="30"/>
              <c:tx>
                <c:rich>
                  <a:bodyPr/>
                  <a:lstStyle/>
                  <a:p>
                    <a:fld id="{A534A13A-5B86-402C-9A7F-8537491F42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993-42BC-B8F2-CF7F0830D4C2}"/>
                </c:ext>
              </c:extLst>
            </c:dLbl>
            <c:dLbl>
              <c:idx val="31"/>
              <c:tx>
                <c:rich>
                  <a:bodyPr/>
                  <a:lstStyle/>
                  <a:p>
                    <a:fld id="{25F4F118-0444-46E9-B665-960A47883A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993-42BC-B8F2-CF7F0830D4C2}"/>
                </c:ext>
              </c:extLst>
            </c:dLbl>
            <c:dLbl>
              <c:idx val="32"/>
              <c:tx>
                <c:rich>
                  <a:bodyPr/>
                  <a:lstStyle/>
                  <a:p>
                    <a:fld id="{002E6C3A-1072-423A-A614-B7EBF1F1C7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993-42BC-B8F2-CF7F0830D4C2}"/>
                </c:ext>
              </c:extLst>
            </c:dLbl>
            <c:dLbl>
              <c:idx val="33"/>
              <c:tx>
                <c:rich>
                  <a:bodyPr/>
                  <a:lstStyle/>
                  <a:p>
                    <a:fld id="{C911891B-C285-42C0-B348-15C171F54B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993-42BC-B8F2-CF7F0830D4C2}"/>
                </c:ext>
              </c:extLst>
            </c:dLbl>
            <c:dLbl>
              <c:idx val="34"/>
              <c:tx>
                <c:rich>
                  <a:bodyPr/>
                  <a:lstStyle/>
                  <a:p>
                    <a:fld id="{A9D7C01F-3B48-4664-8783-0862D2FF64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993-42BC-B8F2-CF7F0830D4C2}"/>
                </c:ext>
              </c:extLst>
            </c:dLbl>
            <c:dLbl>
              <c:idx val="35"/>
              <c:tx>
                <c:rich>
                  <a:bodyPr/>
                  <a:lstStyle/>
                  <a:p>
                    <a:fld id="{C1BFA590-D170-4AAF-9459-430B305985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993-42BC-B8F2-CF7F0830D4C2}"/>
                </c:ext>
              </c:extLst>
            </c:dLbl>
            <c:dLbl>
              <c:idx val="36"/>
              <c:tx>
                <c:rich>
                  <a:bodyPr/>
                  <a:lstStyle/>
                  <a:p>
                    <a:fld id="{8A0D78B6-32C7-41D4-AB5C-2127843B5E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993-42BC-B8F2-CF7F0830D4C2}"/>
                </c:ext>
              </c:extLst>
            </c:dLbl>
            <c:dLbl>
              <c:idx val="37"/>
              <c:tx>
                <c:rich>
                  <a:bodyPr/>
                  <a:lstStyle/>
                  <a:p>
                    <a:fld id="{48EAAD3D-E783-46AE-979A-72DCA92D10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993-42BC-B8F2-CF7F0830D4C2}"/>
                </c:ext>
              </c:extLst>
            </c:dLbl>
            <c:dLbl>
              <c:idx val="38"/>
              <c:tx>
                <c:rich>
                  <a:bodyPr/>
                  <a:lstStyle/>
                  <a:p>
                    <a:fld id="{9207EA69-0426-4EB9-87A2-4C190AE036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993-42BC-B8F2-CF7F0830D4C2}"/>
                </c:ext>
              </c:extLst>
            </c:dLbl>
            <c:dLbl>
              <c:idx val="39"/>
              <c:tx>
                <c:rich>
                  <a:bodyPr/>
                  <a:lstStyle/>
                  <a:p>
                    <a:fld id="{F3D1DA98-1DA9-4128-9D1C-DD8082342E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993-42BC-B8F2-CF7F0830D4C2}"/>
                </c:ext>
              </c:extLst>
            </c:dLbl>
            <c:dLbl>
              <c:idx val="40"/>
              <c:tx>
                <c:rich>
                  <a:bodyPr/>
                  <a:lstStyle/>
                  <a:p>
                    <a:fld id="{9DCB53B8-1835-45BB-A8E0-30FD2FDF51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993-42BC-B8F2-CF7F0830D4C2}"/>
                </c:ext>
              </c:extLst>
            </c:dLbl>
            <c:dLbl>
              <c:idx val="41"/>
              <c:tx>
                <c:rich>
                  <a:bodyPr/>
                  <a:lstStyle/>
                  <a:p>
                    <a:fld id="{E1EE6F4B-17CD-433F-B1A4-84CABEEA72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993-42BC-B8F2-CF7F0830D4C2}"/>
                </c:ext>
              </c:extLst>
            </c:dLbl>
            <c:dLbl>
              <c:idx val="42"/>
              <c:tx>
                <c:rich>
                  <a:bodyPr/>
                  <a:lstStyle/>
                  <a:p>
                    <a:fld id="{F5EC9BD5-024B-46DE-9BCC-512A8C5562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993-42BC-B8F2-CF7F0830D4C2}"/>
                </c:ext>
              </c:extLst>
            </c:dLbl>
            <c:dLbl>
              <c:idx val="43"/>
              <c:tx>
                <c:rich>
                  <a:bodyPr/>
                  <a:lstStyle/>
                  <a:p>
                    <a:fld id="{69D4A17A-7471-4B2F-87D3-38E556C8DC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993-42BC-B8F2-CF7F0830D4C2}"/>
                </c:ext>
              </c:extLst>
            </c:dLbl>
            <c:dLbl>
              <c:idx val="44"/>
              <c:tx>
                <c:rich>
                  <a:bodyPr/>
                  <a:lstStyle/>
                  <a:p>
                    <a:fld id="{325B7004-A115-433E-B1AF-FC6434E5A2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993-42BC-B8F2-CF7F0830D4C2}"/>
                </c:ext>
              </c:extLst>
            </c:dLbl>
            <c:dLbl>
              <c:idx val="45"/>
              <c:tx>
                <c:rich>
                  <a:bodyPr/>
                  <a:lstStyle/>
                  <a:p>
                    <a:fld id="{D5D9657F-7334-4686-914F-9D81A393ED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993-42BC-B8F2-CF7F0830D4C2}"/>
                </c:ext>
              </c:extLst>
            </c:dLbl>
            <c:dLbl>
              <c:idx val="46"/>
              <c:tx>
                <c:rich>
                  <a:bodyPr/>
                  <a:lstStyle/>
                  <a:p>
                    <a:fld id="{F84D3FF1-F7AC-4E6D-8AC0-9A3DD542E9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993-42BC-B8F2-CF7F0830D4C2}"/>
                </c:ext>
              </c:extLst>
            </c:dLbl>
            <c:dLbl>
              <c:idx val="47"/>
              <c:tx>
                <c:rich>
                  <a:bodyPr/>
                  <a:lstStyle/>
                  <a:p>
                    <a:fld id="{B004AB5A-5932-46B8-8AB6-4797AA117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993-42BC-B8F2-CF7F0830D4C2}"/>
                </c:ext>
              </c:extLst>
            </c:dLbl>
            <c:dLbl>
              <c:idx val="48"/>
              <c:tx>
                <c:rich>
                  <a:bodyPr/>
                  <a:lstStyle/>
                  <a:p>
                    <a:fld id="{BF8B46F7-10B6-4134-80EE-75DAEBE98A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993-42BC-B8F2-CF7F0830D4C2}"/>
                </c:ext>
              </c:extLst>
            </c:dLbl>
            <c:dLbl>
              <c:idx val="49"/>
              <c:tx>
                <c:rich>
                  <a:bodyPr/>
                  <a:lstStyle/>
                  <a:p>
                    <a:fld id="{44B51BB9-7591-4A90-A400-A6C1ED36F9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993-42BC-B8F2-CF7F0830D4C2}"/>
                </c:ext>
              </c:extLst>
            </c:dLbl>
            <c:dLbl>
              <c:idx val="50"/>
              <c:tx>
                <c:rich>
                  <a:bodyPr/>
                  <a:lstStyle/>
                  <a:p>
                    <a:fld id="{63BDE563-C9F5-4262-847F-FB02B89677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993-42BC-B8F2-CF7F0830D4C2}"/>
                </c:ext>
              </c:extLst>
            </c:dLbl>
            <c:dLbl>
              <c:idx val="51"/>
              <c:tx>
                <c:rich>
                  <a:bodyPr/>
                  <a:lstStyle/>
                  <a:p>
                    <a:fld id="{EC373170-51E3-4E7C-870C-F78AC05FA4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993-42BC-B8F2-CF7F0830D4C2}"/>
                </c:ext>
              </c:extLst>
            </c:dLbl>
            <c:dLbl>
              <c:idx val="52"/>
              <c:tx>
                <c:rich>
                  <a:bodyPr/>
                  <a:lstStyle/>
                  <a:p>
                    <a:fld id="{2C593184-AE92-48EA-B518-B850DE7900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993-42BC-B8F2-CF7F0830D4C2}"/>
                </c:ext>
              </c:extLst>
            </c:dLbl>
            <c:dLbl>
              <c:idx val="53"/>
              <c:tx>
                <c:rich>
                  <a:bodyPr/>
                  <a:lstStyle/>
                  <a:p>
                    <a:fld id="{55097941-969F-40A1-94E6-5E9FAA4F7B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993-42BC-B8F2-CF7F0830D4C2}"/>
                </c:ext>
              </c:extLst>
            </c:dLbl>
            <c:dLbl>
              <c:idx val="54"/>
              <c:tx>
                <c:rich>
                  <a:bodyPr/>
                  <a:lstStyle/>
                  <a:p>
                    <a:fld id="{9169F3FD-F536-4CB8-800A-8521959FB9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993-42BC-B8F2-CF7F0830D4C2}"/>
                </c:ext>
              </c:extLst>
            </c:dLbl>
            <c:dLbl>
              <c:idx val="55"/>
              <c:tx>
                <c:rich>
                  <a:bodyPr/>
                  <a:lstStyle/>
                  <a:p>
                    <a:fld id="{64C84F90-A393-4961-8182-287797BCBA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993-42BC-B8F2-CF7F0830D4C2}"/>
                </c:ext>
              </c:extLst>
            </c:dLbl>
            <c:dLbl>
              <c:idx val="56"/>
              <c:tx>
                <c:rich>
                  <a:bodyPr/>
                  <a:lstStyle/>
                  <a:p>
                    <a:fld id="{6AD14962-2491-49ED-89C2-A7CAD65AA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993-42BC-B8F2-CF7F0830D4C2}"/>
                </c:ext>
              </c:extLst>
            </c:dLbl>
            <c:dLbl>
              <c:idx val="57"/>
              <c:tx>
                <c:rich>
                  <a:bodyPr/>
                  <a:lstStyle/>
                  <a:p>
                    <a:fld id="{3868E835-6DBA-42EE-A35B-79C79D4677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993-42BC-B8F2-CF7F0830D4C2}"/>
                </c:ext>
              </c:extLst>
            </c:dLbl>
            <c:dLbl>
              <c:idx val="58"/>
              <c:tx>
                <c:rich>
                  <a:bodyPr/>
                  <a:lstStyle/>
                  <a:p>
                    <a:fld id="{ABDB8170-F491-4F48-B081-FD4A397CBF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993-42BC-B8F2-CF7F0830D4C2}"/>
                </c:ext>
              </c:extLst>
            </c:dLbl>
            <c:dLbl>
              <c:idx val="59"/>
              <c:tx>
                <c:rich>
                  <a:bodyPr/>
                  <a:lstStyle/>
                  <a:p>
                    <a:fld id="{A3C35326-9123-497B-9C9E-7546F2298D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993-42BC-B8F2-CF7F0830D4C2}"/>
                </c:ext>
              </c:extLst>
            </c:dLbl>
            <c:dLbl>
              <c:idx val="60"/>
              <c:tx>
                <c:rich>
                  <a:bodyPr/>
                  <a:lstStyle/>
                  <a:p>
                    <a:fld id="{7C445088-993F-4D06-86EC-BAF74C5CA1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993-42BC-B8F2-CF7F0830D4C2}"/>
                </c:ext>
              </c:extLst>
            </c:dLbl>
            <c:dLbl>
              <c:idx val="61"/>
              <c:tx>
                <c:rich>
                  <a:bodyPr/>
                  <a:lstStyle/>
                  <a:p>
                    <a:fld id="{FC4B95BF-7A01-47C1-A37A-A1650410EB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993-42BC-B8F2-CF7F0830D4C2}"/>
                </c:ext>
              </c:extLst>
            </c:dLbl>
            <c:dLbl>
              <c:idx val="62"/>
              <c:tx>
                <c:rich>
                  <a:bodyPr/>
                  <a:lstStyle/>
                  <a:p>
                    <a:fld id="{C0571497-0AC1-4F6D-BC42-3A973F2BA9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993-42BC-B8F2-CF7F0830D4C2}"/>
                </c:ext>
              </c:extLst>
            </c:dLbl>
            <c:dLbl>
              <c:idx val="63"/>
              <c:tx>
                <c:rich>
                  <a:bodyPr/>
                  <a:lstStyle/>
                  <a:p>
                    <a:fld id="{376E8AD6-BEA8-42A4-A9F9-5870658E7F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993-42BC-B8F2-CF7F0830D4C2}"/>
                </c:ext>
              </c:extLst>
            </c:dLbl>
            <c:dLbl>
              <c:idx val="64"/>
              <c:tx>
                <c:rich>
                  <a:bodyPr/>
                  <a:lstStyle/>
                  <a:p>
                    <a:fld id="{16F0C821-D05A-4DF8-9D71-5FC09D0F02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993-42BC-B8F2-CF7F0830D4C2}"/>
                </c:ext>
              </c:extLst>
            </c:dLbl>
            <c:dLbl>
              <c:idx val="65"/>
              <c:tx>
                <c:rich>
                  <a:bodyPr/>
                  <a:lstStyle/>
                  <a:p>
                    <a:fld id="{66007721-BA06-488B-96A5-AD13352143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993-42BC-B8F2-CF7F0830D4C2}"/>
                </c:ext>
              </c:extLst>
            </c:dLbl>
            <c:dLbl>
              <c:idx val="66"/>
              <c:tx>
                <c:rich>
                  <a:bodyPr/>
                  <a:lstStyle/>
                  <a:p>
                    <a:fld id="{C58CA220-EE34-4D5B-8A99-0EEB30F7E9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993-42BC-B8F2-CF7F0830D4C2}"/>
                </c:ext>
              </c:extLst>
            </c:dLbl>
            <c:dLbl>
              <c:idx val="67"/>
              <c:tx>
                <c:rich>
                  <a:bodyPr/>
                  <a:lstStyle/>
                  <a:p>
                    <a:fld id="{47E6AD44-2178-4B2F-9AD3-F81EF5B356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993-42BC-B8F2-CF7F0830D4C2}"/>
                </c:ext>
              </c:extLst>
            </c:dLbl>
            <c:dLbl>
              <c:idx val="68"/>
              <c:tx>
                <c:rich>
                  <a:bodyPr/>
                  <a:lstStyle/>
                  <a:p>
                    <a:fld id="{0FC06C42-1FB3-4543-A56F-81BB063096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993-42BC-B8F2-CF7F0830D4C2}"/>
                </c:ext>
              </c:extLst>
            </c:dLbl>
            <c:dLbl>
              <c:idx val="69"/>
              <c:tx>
                <c:rich>
                  <a:bodyPr/>
                  <a:lstStyle/>
                  <a:p>
                    <a:fld id="{CAB5FB80-901C-4849-8B50-809113237B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993-42BC-B8F2-CF7F0830D4C2}"/>
                </c:ext>
              </c:extLst>
            </c:dLbl>
            <c:dLbl>
              <c:idx val="70"/>
              <c:tx>
                <c:rich>
                  <a:bodyPr/>
                  <a:lstStyle/>
                  <a:p>
                    <a:fld id="{FD3D372B-B20C-42AB-9EE9-19FFB96DF5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993-42BC-B8F2-CF7F0830D4C2}"/>
                </c:ext>
              </c:extLst>
            </c:dLbl>
            <c:dLbl>
              <c:idx val="71"/>
              <c:tx>
                <c:rich>
                  <a:bodyPr/>
                  <a:lstStyle/>
                  <a:p>
                    <a:fld id="{AFCB5DB1-A8F1-4491-B531-DCF8700FB8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993-42BC-B8F2-CF7F0830D4C2}"/>
                </c:ext>
              </c:extLst>
            </c:dLbl>
            <c:dLbl>
              <c:idx val="72"/>
              <c:tx>
                <c:rich>
                  <a:bodyPr/>
                  <a:lstStyle/>
                  <a:p>
                    <a:fld id="{D8D98AC5-3568-4A71-9C99-F8FAD34A17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993-42BC-B8F2-CF7F0830D4C2}"/>
                </c:ext>
              </c:extLst>
            </c:dLbl>
            <c:dLbl>
              <c:idx val="73"/>
              <c:tx>
                <c:rich>
                  <a:bodyPr/>
                  <a:lstStyle/>
                  <a:p>
                    <a:fld id="{97D508C6-0509-46C7-BF8D-3C2F78C6CE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993-42BC-B8F2-CF7F0830D4C2}"/>
                </c:ext>
              </c:extLst>
            </c:dLbl>
            <c:dLbl>
              <c:idx val="74"/>
              <c:tx>
                <c:rich>
                  <a:bodyPr/>
                  <a:lstStyle/>
                  <a:p>
                    <a:fld id="{F9934C99-1AC3-4463-8AC7-2F788EA06D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993-42BC-B8F2-CF7F0830D4C2}"/>
                </c:ext>
              </c:extLst>
            </c:dLbl>
            <c:dLbl>
              <c:idx val="75"/>
              <c:tx>
                <c:rich>
                  <a:bodyPr/>
                  <a:lstStyle/>
                  <a:p>
                    <a:fld id="{FD273EAD-8CD6-4DB0-93AE-554A70BE30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993-42BC-B8F2-CF7F0830D4C2}"/>
                </c:ext>
              </c:extLst>
            </c:dLbl>
            <c:dLbl>
              <c:idx val="76"/>
              <c:tx>
                <c:rich>
                  <a:bodyPr/>
                  <a:lstStyle/>
                  <a:p>
                    <a:fld id="{71CEBD8C-6BCB-4DF3-9E4D-68598EEF05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993-42BC-B8F2-CF7F0830D4C2}"/>
                </c:ext>
              </c:extLst>
            </c:dLbl>
            <c:dLbl>
              <c:idx val="77"/>
              <c:tx>
                <c:rich>
                  <a:bodyPr/>
                  <a:lstStyle/>
                  <a:p>
                    <a:fld id="{2B8AEA4D-61C1-4FDF-9912-B0A8D364CC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993-42BC-B8F2-CF7F0830D4C2}"/>
                </c:ext>
              </c:extLst>
            </c:dLbl>
            <c:dLbl>
              <c:idx val="78"/>
              <c:tx>
                <c:rich>
                  <a:bodyPr/>
                  <a:lstStyle/>
                  <a:p>
                    <a:fld id="{10943946-0C36-45A2-B430-E9F0C9D93D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993-42BC-B8F2-CF7F0830D4C2}"/>
                </c:ext>
              </c:extLst>
            </c:dLbl>
            <c:dLbl>
              <c:idx val="79"/>
              <c:tx>
                <c:rich>
                  <a:bodyPr/>
                  <a:lstStyle/>
                  <a:p>
                    <a:fld id="{206A28D2-B257-4CB1-80D0-55C91ED21F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993-42BC-B8F2-CF7F0830D4C2}"/>
                </c:ext>
              </c:extLst>
            </c:dLbl>
            <c:dLbl>
              <c:idx val="80"/>
              <c:tx>
                <c:rich>
                  <a:bodyPr/>
                  <a:lstStyle/>
                  <a:p>
                    <a:fld id="{B0B5C7ED-423E-44F4-852F-9089052A0F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993-42BC-B8F2-CF7F0830D4C2}"/>
                </c:ext>
              </c:extLst>
            </c:dLbl>
            <c:dLbl>
              <c:idx val="81"/>
              <c:tx>
                <c:rich>
                  <a:bodyPr/>
                  <a:lstStyle/>
                  <a:p>
                    <a:fld id="{CD8DAE02-C8E1-4297-AF2F-E8493F1476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993-42BC-B8F2-CF7F0830D4C2}"/>
                </c:ext>
              </c:extLst>
            </c:dLbl>
            <c:dLbl>
              <c:idx val="82"/>
              <c:tx>
                <c:rich>
                  <a:bodyPr/>
                  <a:lstStyle/>
                  <a:p>
                    <a:fld id="{BFAC9340-68D1-421B-915C-99EDD1566E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993-42BC-B8F2-CF7F0830D4C2}"/>
                </c:ext>
              </c:extLst>
            </c:dLbl>
            <c:dLbl>
              <c:idx val="83"/>
              <c:tx>
                <c:rich>
                  <a:bodyPr/>
                  <a:lstStyle/>
                  <a:p>
                    <a:fld id="{23D1A842-47C4-44EB-8312-17F36E390D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993-42BC-B8F2-CF7F0830D4C2}"/>
                </c:ext>
              </c:extLst>
            </c:dLbl>
            <c:dLbl>
              <c:idx val="84"/>
              <c:tx>
                <c:rich>
                  <a:bodyPr/>
                  <a:lstStyle/>
                  <a:p>
                    <a:fld id="{98CAF615-4F08-4EA8-8A85-7DC1A7FEAF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C993-42BC-B8F2-CF7F0830D4C2}"/>
                </c:ext>
              </c:extLst>
            </c:dLbl>
            <c:dLbl>
              <c:idx val="85"/>
              <c:tx>
                <c:rich>
                  <a:bodyPr/>
                  <a:lstStyle/>
                  <a:p>
                    <a:fld id="{B62EF791-1021-4517-A2A4-02E7F872A8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993-42BC-B8F2-CF7F0830D4C2}"/>
                </c:ext>
              </c:extLst>
            </c:dLbl>
            <c:dLbl>
              <c:idx val="86"/>
              <c:tx>
                <c:rich>
                  <a:bodyPr/>
                  <a:lstStyle/>
                  <a:p>
                    <a:fld id="{889C14AD-89B4-46D3-B60D-C6F9728167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993-42BC-B8F2-CF7F0830D4C2}"/>
                </c:ext>
              </c:extLst>
            </c:dLbl>
            <c:dLbl>
              <c:idx val="87"/>
              <c:tx>
                <c:rich>
                  <a:bodyPr/>
                  <a:lstStyle/>
                  <a:p>
                    <a:fld id="{D11D94E5-7670-4462-A565-3BB35680A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993-42BC-B8F2-CF7F0830D4C2}"/>
                </c:ext>
              </c:extLst>
            </c:dLbl>
            <c:dLbl>
              <c:idx val="88"/>
              <c:tx>
                <c:rich>
                  <a:bodyPr/>
                  <a:lstStyle/>
                  <a:p>
                    <a:fld id="{4E2E9B01-7224-4059-9830-EA64F04883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993-42BC-B8F2-CF7F0830D4C2}"/>
                </c:ext>
              </c:extLst>
            </c:dLbl>
            <c:dLbl>
              <c:idx val="89"/>
              <c:tx>
                <c:rich>
                  <a:bodyPr/>
                  <a:lstStyle/>
                  <a:p>
                    <a:fld id="{D005B4D6-42B6-46CC-82A4-2FFF350234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993-42BC-B8F2-CF7F0830D4C2}"/>
                </c:ext>
              </c:extLst>
            </c:dLbl>
            <c:dLbl>
              <c:idx val="90"/>
              <c:tx>
                <c:rich>
                  <a:bodyPr/>
                  <a:lstStyle/>
                  <a:p>
                    <a:fld id="{3D511259-148F-4903-AB26-A73771112A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993-42BC-B8F2-CF7F0830D4C2}"/>
                </c:ext>
              </c:extLst>
            </c:dLbl>
            <c:dLbl>
              <c:idx val="91"/>
              <c:tx>
                <c:rich>
                  <a:bodyPr/>
                  <a:lstStyle/>
                  <a:p>
                    <a:fld id="{0BF85B66-6C39-4F8E-A287-807E27FBA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993-42BC-B8F2-CF7F0830D4C2}"/>
                </c:ext>
              </c:extLst>
            </c:dLbl>
            <c:dLbl>
              <c:idx val="92"/>
              <c:tx>
                <c:rich>
                  <a:bodyPr/>
                  <a:lstStyle/>
                  <a:p>
                    <a:fld id="{4C5946E0-0132-4A4F-866D-01920E69B1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993-42BC-B8F2-CF7F0830D4C2}"/>
                </c:ext>
              </c:extLst>
            </c:dLbl>
            <c:dLbl>
              <c:idx val="93"/>
              <c:tx>
                <c:rich>
                  <a:bodyPr/>
                  <a:lstStyle/>
                  <a:p>
                    <a:fld id="{5C0D174F-FE8E-416D-B2DF-7EF00643A8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993-42BC-B8F2-CF7F0830D4C2}"/>
                </c:ext>
              </c:extLst>
            </c:dLbl>
            <c:dLbl>
              <c:idx val="94"/>
              <c:tx>
                <c:rich>
                  <a:bodyPr/>
                  <a:lstStyle/>
                  <a:p>
                    <a:fld id="{6B4D03B1-5CCD-4CB3-A7CE-4678CEDAD0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993-42BC-B8F2-CF7F0830D4C2}"/>
                </c:ext>
              </c:extLst>
            </c:dLbl>
            <c:dLbl>
              <c:idx val="95"/>
              <c:tx>
                <c:rich>
                  <a:bodyPr/>
                  <a:lstStyle/>
                  <a:p>
                    <a:fld id="{609F18BA-A55C-41FC-AFED-BF77D7763B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993-42BC-B8F2-CF7F0830D4C2}"/>
                </c:ext>
              </c:extLst>
            </c:dLbl>
            <c:dLbl>
              <c:idx val="96"/>
              <c:tx>
                <c:rich>
                  <a:bodyPr/>
                  <a:lstStyle/>
                  <a:p>
                    <a:fld id="{A61D1B28-C7D0-46A1-9271-457C7EA916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993-42BC-B8F2-CF7F0830D4C2}"/>
                </c:ext>
              </c:extLst>
            </c:dLbl>
            <c:dLbl>
              <c:idx val="97"/>
              <c:tx>
                <c:rich>
                  <a:bodyPr/>
                  <a:lstStyle/>
                  <a:p>
                    <a:fld id="{7F00212E-EE68-4551-B7FE-46F5B1A111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993-42BC-B8F2-CF7F0830D4C2}"/>
                </c:ext>
              </c:extLst>
            </c:dLbl>
            <c:dLbl>
              <c:idx val="98"/>
              <c:tx>
                <c:rich>
                  <a:bodyPr/>
                  <a:lstStyle/>
                  <a:p>
                    <a:fld id="{4E57D107-E3C1-4B01-8CAE-456EE62A0C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993-42BC-B8F2-CF7F0830D4C2}"/>
                </c:ext>
              </c:extLst>
            </c:dLbl>
            <c:dLbl>
              <c:idx val="99"/>
              <c:tx>
                <c:rich>
                  <a:bodyPr/>
                  <a:lstStyle/>
                  <a:p>
                    <a:fld id="{D7F1D3DB-FDB9-425D-9DB3-E276CE65BA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993-42BC-B8F2-CF7F0830D4C2}"/>
                </c:ext>
              </c:extLst>
            </c:dLbl>
            <c:dLbl>
              <c:idx val="100"/>
              <c:tx>
                <c:rich>
                  <a:bodyPr/>
                  <a:lstStyle/>
                  <a:p>
                    <a:fld id="{B6B153D4-D32D-4F6D-A64C-6051950416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993-42BC-B8F2-CF7F0830D4C2}"/>
                </c:ext>
              </c:extLst>
            </c:dLbl>
            <c:dLbl>
              <c:idx val="101"/>
              <c:tx>
                <c:rich>
                  <a:bodyPr/>
                  <a:lstStyle/>
                  <a:p>
                    <a:fld id="{60E8801F-0044-4E48-BFD3-C43AA960F3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993-42BC-B8F2-CF7F0830D4C2}"/>
                </c:ext>
              </c:extLst>
            </c:dLbl>
            <c:dLbl>
              <c:idx val="102"/>
              <c:tx>
                <c:rich>
                  <a:bodyPr/>
                  <a:lstStyle/>
                  <a:p>
                    <a:fld id="{65CB2AAA-6AD3-48DB-82AF-9F6325C477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993-42BC-B8F2-CF7F0830D4C2}"/>
                </c:ext>
              </c:extLst>
            </c:dLbl>
            <c:dLbl>
              <c:idx val="103"/>
              <c:tx>
                <c:rich>
                  <a:bodyPr/>
                  <a:lstStyle/>
                  <a:p>
                    <a:fld id="{1FA767CB-DCA0-4831-9E5B-1A34940606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993-42BC-B8F2-CF7F0830D4C2}"/>
                </c:ext>
              </c:extLst>
            </c:dLbl>
            <c:dLbl>
              <c:idx val="104"/>
              <c:tx>
                <c:rich>
                  <a:bodyPr/>
                  <a:lstStyle/>
                  <a:p>
                    <a:fld id="{AC01E6BA-4F2A-49CD-B08C-4AC6DE7E7F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993-42BC-B8F2-CF7F0830D4C2}"/>
                </c:ext>
              </c:extLst>
            </c:dLbl>
            <c:dLbl>
              <c:idx val="105"/>
              <c:tx>
                <c:rich>
                  <a:bodyPr/>
                  <a:lstStyle/>
                  <a:p>
                    <a:fld id="{26CAD7C1-332C-440D-9A79-972048FD0E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993-42BC-B8F2-CF7F0830D4C2}"/>
                </c:ext>
              </c:extLst>
            </c:dLbl>
            <c:dLbl>
              <c:idx val="106"/>
              <c:tx>
                <c:rich>
                  <a:bodyPr/>
                  <a:lstStyle/>
                  <a:p>
                    <a:fld id="{2B283184-D212-42BD-8E30-CB8165ECFA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993-42BC-B8F2-CF7F0830D4C2}"/>
                </c:ext>
              </c:extLst>
            </c:dLbl>
            <c:dLbl>
              <c:idx val="107"/>
              <c:tx>
                <c:rich>
                  <a:bodyPr/>
                  <a:lstStyle/>
                  <a:p>
                    <a:fld id="{0CA16409-8FA3-4B6C-A577-BE75015D85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993-42BC-B8F2-CF7F0830D4C2}"/>
                </c:ext>
              </c:extLst>
            </c:dLbl>
            <c:dLbl>
              <c:idx val="108"/>
              <c:tx>
                <c:rich>
                  <a:bodyPr/>
                  <a:lstStyle/>
                  <a:p>
                    <a:fld id="{BE8A60BC-2FCF-4A14-9F37-E6176E42A5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993-42BC-B8F2-CF7F0830D4C2}"/>
                </c:ext>
              </c:extLst>
            </c:dLbl>
            <c:dLbl>
              <c:idx val="109"/>
              <c:tx>
                <c:rich>
                  <a:bodyPr/>
                  <a:lstStyle/>
                  <a:p>
                    <a:fld id="{399EC985-71F3-44C6-9FB8-98E6B75721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993-42BC-B8F2-CF7F0830D4C2}"/>
                </c:ext>
              </c:extLst>
            </c:dLbl>
            <c:dLbl>
              <c:idx val="110"/>
              <c:tx>
                <c:rich>
                  <a:bodyPr/>
                  <a:lstStyle/>
                  <a:p>
                    <a:fld id="{34939AAC-F9B3-4440-A663-D0ED705A3D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993-42BC-B8F2-CF7F0830D4C2}"/>
                </c:ext>
              </c:extLst>
            </c:dLbl>
            <c:dLbl>
              <c:idx val="111"/>
              <c:tx>
                <c:rich>
                  <a:bodyPr/>
                  <a:lstStyle/>
                  <a:p>
                    <a:fld id="{19F85AF9-9E99-4275-93F7-10767E5587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993-42BC-B8F2-CF7F0830D4C2}"/>
                </c:ext>
              </c:extLst>
            </c:dLbl>
            <c:dLbl>
              <c:idx val="112"/>
              <c:tx>
                <c:rich>
                  <a:bodyPr/>
                  <a:lstStyle/>
                  <a:p>
                    <a:fld id="{C9184664-4FEC-417E-9C59-05EC310F40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993-42BC-B8F2-CF7F0830D4C2}"/>
                </c:ext>
              </c:extLst>
            </c:dLbl>
            <c:dLbl>
              <c:idx val="113"/>
              <c:tx>
                <c:rich>
                  <a:bodyPr/>
                  <a:lstStyle/>
                  <a:p>
                    <a:fld id="{E7FB5957-7D41-4CAA-A0EC-DB2C22D01E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993-42BC-B8F2-CF7F0830D4C2}"/>
                </c:ext>
              </c:extLst>
            </c:dLbl>
            <c:dLbl>
              <c:idx val="114"/>
              <c:tx>
                <c:rich>
                  <a:bodyPr/>
                  <a:lstStyle/>
                  <a:p>
                    <a:fld id="{98C9E8C3-0E9F-4AA7-BE5B-98264F58E5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993-42BC-B8F2-CF7F0830D4C2}"/>
                </c:ext>
              </c:extLst>
            </c:dLbl>
            <c:dLbl>
              <c:idx val="115"/>
              <c:tx>
                <c:rich>
                  <a:bodyPr/>
                  <a:lstStyle/>
                  <a:p>
                    <a:fld id="{05FDE3AE-D6CE-41D1-B66C-3A18AB9429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993-42BC-B8F2-CF7F0830D4C2}"/>
                </c:ext>
              </c:extLst>
            </c:dLbl>
            <c:dLbl>
              <c:idx val="116"/>
              <c:tx>
                <c:rich>
                  <a:bodyPr/>
                  <a:lstStyle/>
                  <a:p>
                    <a:fld id="{49518681-4BFF-4F3D-8AAD-6C47599895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993-42BC-B8F2-CF7F0830D4C2}"/>
                </c:ext>
              </c:extLst>
            </c:dLbl>
            <c:dLbl>
              <c:idx val="117"/>
              <c:tx>
                <c:rich>
                  <a:bodyPr/>
                  <a:lstStyle/>
                  <a:p>
                    <a:fld id="{2974E1E1-DA9A-4DC5-B7DC-ED7FCC4BCD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993-42BC-B8F2-CF7F0830D4C2}"/>
                </c:ext>
              </c:extLst>
            </c:dLbl>
            <c:dLbl>
              <c:idx val="118"/>
              <c:tx>
                <c:rich>
                  <a:bodyPr/>
                  <a:lstStyle/>
                  <a:p>
                    <a:fld id="{73A481EA-AF07-4B61-A16E-D3628D8B89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993-42BC-B8F2-CF7F0830D4C2}"/>
                </c:ext>
              </c:extLst>
            </c:dLbl>
            <c:dLbl>
              <c:idx val="119"/>
              <c:tx>
                <c:rich>
                  <a:bodyPr/>
                  <a:lstStyle/>
                  <a:p>
                    <a:fld id="{CB1E72B8-CD8B-49C6-9AB8-093A3A8C16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993-42BC-B8F2-CF7F0830D4C2}"/>
                </c:ext>
              </c:extLst>
            </c:dLbl>
            <c:dLbl>
              <c:idx val="120"/>
              <c:tx>
                <c:rich>
                  <a:bodyPr/>
                  <a:lstStyle/>
                  <a:p>
                    <a:fld id="{B30A04CE-81A9-4811-9C59-576A5AE1F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993-42BC-B8F2-CF7F0830D4C2}"/>
                </c:ext>
              </c:extLst>
            </c:dLbl>
            <c:dLbl>
              <c:idx val="121"/>
              <c:tx>
                <c:rich>
                  <a:bodyPr/>
                  <a:lstStyle/>
                  <a:p>
                    <a:fld id="{862A1C28-EF96-44F5-B3CE-6D3CEFBB09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993-42BC-B8F2-CF7F0830D4C2}"/>
                </c:ext>
              </c:extLst>
            </c:dLbl>
            <c:dLbl>
              <c:idx val="122"/>
              <c:tx>
                <c:rich>
                  <a:bodyPr/>
                  <a:lstStyle/>
                  <a:p>
                    <a:fld id="{2E198D18-2626-41AA-AB76-0A1DA3AF1B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993-42BC-B8F2-CF7F0830D4C2}"/>
                </c:ext>
              </c:extLst>
            </c:dLbl>
            <c:dLbl>
              <c:idx val="123"/>
              <c:tx>
                <c:rich>
                  <a:bodyPr/>
                  <a:lstStyle/>
                  <a:p>
                    <a:fld id="{88AE4FA8-D529-4C2F-BE3F-197FD67B42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993-42BC-B8F2-CF7F0830D4C2}"/>
                </c:ext>
              </c:extLst>
            </c:dLbl>
            <c:dLbl>
              <c:idx val="124"/>
              <c:tx>
                <c:rich>
                  <a:bodyPr/>
                  <a:lstStyle/>
                  <a:p>
                    <a:fld id="{E682524E-B245-4216-AEA7-A69A12544B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993-42BC-B8F2-CF7F0830D4C2}"/>
                </c:ext>
              </c:extLst>
            </c:dLbl>
            <c:dLbl>
              <c:idx val="125"/>
              <c:tx>
                <c:rich>
                  <a:bodyPr/>
                  <a:lstStyle/>
                  <a:p>
                    <a:fld id="{A3D269D1-CFCE-4F5F-87DD-580C6BB661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993-42BC-B8F2-CF7F0830D4C2}"/>
                </c:ext>
              </c:extLst>
            </c:dLbl>
            <c:dLbl>
              <c:idx val="126"/>
              <c:tx>
                <c:rich>
                  <a:bodyPr/>
                  <a:lstStyle/>
                  <a:p>
                    <a:fld id="{816F5C96-E11B-4C28-91D7-095170F560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993-42BC-B8F2-CF7F0830D4C2}"/>
                </c:ext>
              </c:extLst>
            </c:dLbl>
            <c:dLbl>
              <c:idx val="127"/>
              <c:tx>
                <c:rich>
                  <a:bodyPr/>
                  <a:lstStyle/>
                  <a:p>
                    <a:fld id="{ED0CDCA6-9312-47E1-BE1B-879A3B0CFF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993-42BC-B8F2-CF7F0830D4C2}"/>
                </c:ext>
              </c:extLst>
            </c:dLbl>
            <c:dLbl>
              <c:idx val="128"/>
              <c:tx>
                <c:rich>
                  <a:bodyPr/>
                  <a:lstStyle/>
                  <a:p>
                    <a:fld id="{3FCFFE92-8F68-4CE5-B34B-4CA590AC48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993-42BC-B8F2-CF7F0830D4C2}"/>
                </c:ext>
              </c:extLst>
            </c:dLbl>
            <c:dLbl>
              <c:idx val="129"/>
              <c:tx>
                <c:rich>
                  <a:bodyPr/>
                  <a:lstStyle/>
                  <a:p>
                    <a:fld id="{9A59309A-0DB0-4558-AB52-5F99DF86D5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993-42BC-B8F2-CF7F0830D4C2}"/>
                </c:ext>
              </c:extLst>
            </c:dLbl>
            <c:dLbl>
              <c:idx val="130"/>
              <c:tx>
                <c:rich>
                  <a:bodyPr/>
                  <a:lstStyle/>
                  <a:p>
                    <a:fld id="{BB021BBE-55AD-414C-84A7-2516159CCA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993-42BC-B8F2-CF7F0830D4C2}"/>
                </c:ext>
              </c:extLst>
            </c:dLbl>
            <c:dLbl>
              <c:idx val="131"/>
              <c:tx>
                <c:rich>
                  <a:bodyPr/>
                  <a:lstStyle/>
                  <a:p>
                    <a:fld id="{98C21BFA-CF2D-4ED6-B087-D8A46DC214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993-42BC-B8F2-CF7F0830D4C2}"/>
                </c:ext>
              </c:extLst>
            </c:dLbl>
            <c:dLbl>
              <c:idx val="132"/>
              <c:tx>
                <c:rich>
                  <a:bodyPr/>
                  <a:lstStyle/>
                  <a:p>
                    <a:fld id="{12DC0FB0-24AA-43C9-9A96-845F2CACD0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993-42BC-B8F2-CF7F0830D4C2}"/>
                </c:ext>
              </c:extLst>
            </c:dLbl>
            <c:dLbl>
              <c:idx val="133"/>
              <c:tx>
                <c:rich>
                  <a:bodyPr/>
                  <a:lstStyle/>
                  <a:p>
                    <a:fld id="{4BF75464-591B-4351-BABA-9BCAE7C912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993-42BC-B8F2-CF7F0830D4C2}"/>
                </c:ext>
              </c:extLst>
            </c:dLbl>
            <c:dLbl>
              <c:idx val="134"/>
              <c:tx>
                <c:rich>
                  <a:bodyPr/>
                  <a:lstStyle/>
                  <a:p>
                    <a:fld id="{047BFF31-E806-41D0-BFE1-6A793AD094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993-42BC-B8F2-CF7F0830D4C2}"/>
                </c:ext>
              </c:extLst>
            </c:dLbl>
            <c:dLbl>
              <c:idx val="135"/>
              <c:tx>
                <c:rich>
                  <a:bodyPr/>
                  <a:lstStyle/>
                  <a:p>
                    <a:fld id="{16C21EE2-4E34-478A-A328-67FFA11475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993-42BC-B8F2-CF7F0830D4C2}"/>
                </c:ext>
              </c:extLst>
            </c:dLbl>
            <c:dLbl>
              <c:idx val="136"/>
              <c:tx>
                <c:rich>
                  <a:bodyPr/>
                  <a:lstStyle/>
                  <a:p>
                    <a:fld id="{BC4E4C5C-75EE-4B7B-A9BC-0B0008DAFA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993-42BC-B8F2-CF7F0830D4C2}"/>
                </c:ext>
              </c:extLst>
            </c:dLbl>
            <c:dLbl>
              <c:idx val="137"/>
              <c:tx>
                <c:rich>
                  <a:bodyPr/>
                  <a:lstStyle/>
                  <a:p>
                    <a:fld id="{F6A427AC-1C01-4D6A-9493-D2B8243DBE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993-42BC-B8F2-CF7F0830D4C2}"/>
                </c:ext>
              </c:extLst>
            </c:dLbl>
            <c:dLbl>
              <c:idx val="138"/>
              <c:tx>
                <c:rich>
                  <a:bodyPr/>
                  <a:lstStyle/>
                  <a:p>
                    <a:fld id="{77A1DFE4-F681-460D-82B3-56BEBFE7E0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993-42BC-B8F2-CF7F0830D4C2}"/>
                </c:ext>
              </c:extLst>
            </c:dLbl>
            <c:dLbl>
              <c:idx val="139"/>
              <c:tx>
                <c:rich>
                  <a:bodyPr/>
                  <a:lstStyle/>
                  <a:p>
                    <a:fld id="{20E94347-01F6-4D99-88EA-D2D3594BE5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993-42BC-B8F2-CF7F0830D4C2}"/>
                </c:ext>
              </c:extLst>
            </c:dLbl>
            <c:dLbl>
              <c:idx val="140"/>
              <c:tx>
                <c:rich>
                  <a:bodyPr/>
                  <a:lstStyle/>
                  <a:p>
                    <a:fld id="{C91C5662-2DAA-494D-9AAB-80ED1C1108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993-42BC-B8F2-CF7F0830D4C2}"/>
                </c:ext>
              </c:extLst>
            </c:dLbl>
            <c:dLbl>
              <c:idx val="141"/>
              <c:tx>
                <c:rich>
                  <a:bodyPr/>
                  <a:lstStyle/>
                  <a:p>
                    <a:fld id="{D0775BE8-653A-41A6-B31C-707CD96DFE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993-42BC-B8F2-CF7F0830D4C2}"/>
                </c:ext>
              </c:extLst>
            </c:dLbl>
            <c:dLbl>
              <c:idx val="142"/>
              <c:tx>
                <c:rich>
                  <a:bodyPr/>
                  <a:lstStyle/>
                  <a:p>
                    <a:fld id="{011F993A-65BD-42B7-AB40-2116AEFA35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993-42BC-B8F2-CF7F0830D4C2}"/>
                </c:ext>
              </c:extLst>
            </c:dLbl>
            <c:dLbl>
              <c:idx val="143"/>
              <c:tx>
                <c:rich>
                  <a:bodyPr/>
                  <a:lstStyle/>
                  <a:p>
                    <a:fld id="{ABB59754-E1F3-456D-914D-1FD9F70456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993-42BC-B8F2-CF7F0830D4C2}"/>
                </c:ext>
              </c:extLst>
            </c:dLbl>
            <c:dLbl>
              <c:idx val="144"/>
              <c:tx>
                <c:rich>
                  <a:bodyPr/>
                  <a:lstStyle/>
                  <a:p>
                    <a:fld id="{48E833E8-104A-4DE0-8D01-BF0EDE1C7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993-42BC-B8F2-CF7F0830D4C2}"/>
                </c:ext>
              </c:extLst>
            </c:dLbl>
            <c:dLbl>
              <c:idx val="145"/>
              <c:tx>
                <c:rich>
                  <a:bodyPr/>
                  <a:lstStyle/>
                  <a:p>
                    <a:fld id="{A429F52E-45E1-423A-AAB8-784CBC2B0E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993-42BC-B8F2-CF7F0830D4C2}"/>
                </c:ext>
              </c:extLst>
            </c:dLbl>
            <c:dLbl>
              <c:idx val="146"/>
              <c:tx>
                <c:rich>
                  <a:bodyPr/>
                  <a:lstStyle/>
                  <a:p>
                    <a:fld id="{FF0596A6-4DD5-46FE-9A3A-518EBAF1F8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993-42BC-B8F2-CF7F0830D4C2}"/>
                </c:ext>
              </c:extLst>
            </c:dLbl>
            <c:dLbl>
              <c:idx val="147"/>
              <c:tx>
                <c:rich>
                  <a:bodyPr/>
                  <a:lstStyle/>
                  <a:p>
                    <a:fld id="{CD33D292-651B-4B23-B341-25121DD491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993-42BC-B8F2-CF7F0830D4C2}"/>
                </c:ext>
              </c:extLst>
            </c:dLbl>
            <c:dLbl>
              <c:idx val="148"/>
              <c:tx>
                <c:rich>
                  <a:bodyPr/>
                  <a:lstStyle/>
                  <a:p>
                    <a:fld id="{D3ABE1E4-456E-4761-A06D-CCB4284CD9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993-42BC-B8F2-CF7F0830D4C2}"/>
                </c:ext>
              </c:extLst>
            </c:dLbl>
            <c:dLbl>
              <c:idx val="149"/>
              <c:tx>
                <c:rich>
                  <a:bodyPr/>
                  <a:lstStyle/>
                  <a:p>
                    <a:fld id="{D2074BCB-8CC6-4D98-9E72-1AC00D19A2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993-42BC-B8F2-CF7F0830D4C2}"/>
                </c:ext>
              </c:extLst>
            </c:dLbl>
            <c:dLbl>
              <c:idx val="150"/>
              <c:tx>
                <c:rich>
                  <a:bodyPr/>
                  <a:lstStyle/>
                  <a:p>
                    <a:fld id="{022ABFFD-82A8-4A03-9033-7CFFA7F310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993-42BC-B8F2-CF7F0830D4C2}"/>
                </c:ext>
              </c:extLst>
            </c:dLbl>
            <c:dLbl>
              <c:idx val="151"/>
              <c:tx>
                <c:rich>
                  <a:bodyPr/>
                  <a:lstStyle/>
                  <a:p>
                    <a:fld id="{85E9F649-FAD9-42C7-A74D-8AD7CB903C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993-42BC-B8F2-CF7F0830D4C2}"/>
                </c:ext>
              </c:extLst>
            </c:dLbl>
            <c:dLbl>
              <c:idx val="152"/>
              <c:tx>
                <c:rich>
                  <a:bodyPr/>
                  <a:lstStyle/>
                  <a:p>
                    <a:fld id="{356E4C58-441E-479D-AF6D-774674A33F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993-42BC-B8F2-CF7F0830D4C2}"/>
                </c:ext>
              </c:extLst>
            </c:dLbl>
            <c:dLbl>
              <c:idx val="153"/>
              <c:tx>
                <c:rich>
                  <a:bodyPr/>
                  <a:lstStyle/>
                  <a:p>
                    <a:fld id="{786E69C9-7AEE-4C0B-B165-08D607E903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993-42BC-B8F2-CF7F0830D4C2}"/>
                </c:ext>
              </c:extLst>
            </c:dLbl>
            <c:dLbl>
              <c:idx val="154"/>
              <c:tx>
                <c:rich>
                  <a:bodyPr/>
                  <a:lstStyle/>
                  <a:p>
                    <a:fld id="{772DFCE3-90BF-4373-8F67-FBE299AA6A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993-42BC-B8F2-CF7F0830D4C2}"/>
                </c:ext>
              </c:extLst>
            </c:dLbl>
            <c:dLbl>
              <c:idx val="155"/>
              <c:tx>
                <c:rich>
                  <a:bodyPr/>
                  <a:lstStyle/>
                  <a:p>
                    <a:fld id="{A9036897-962B-43B0-8359-9F84A09DFD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993-42BC-B8F2-CF7F0830D4C2}"/>
                </c:ext>
              </c:extLst>
            </c:dLbl>
            <c:dLbl>
              <c:idx val="156"/>
              <c:tx>
                <c:rich>
                  <a:bodyPr/>
                  <a:lstStyle/>
                  <a:p>
                    <a:fld id="{53263748-61C8-435B-9EC6-76B28052CC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993-42BC-B8F2-CF7F0830D4C2}"/>
                </c:ext>
              </c:extLst>
            </c:dLbl>
            <c:dLbl>
              <c:idx val="157"/>
              <c:tx>
                <c:rich>
                  <a:bodyPr/>
                  <a:lstStyle/>
                  <a:p>
                    <a:fld id="{CCA7F1AC-9124-41FE-966B-AE0D217E3F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993-42BC-B8F2-CF7F0830D4C2}"/>
                </c:ext>
              </c:extLst>
            </c:dLbl>
            <c:dLbl>
              <c:idx val="158"/>
              <c:tx>
                <c:rich>
                  <a:bodyPr/>
                  <a:lstStyle/>
                  <a:p>
                    <a:fld id="{8E4E5CD9-B00D-434A-911C-694FA3F497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993-42BC-B8F2-CF7F0830D4C2}"/>
                </c:ext>
              </c:extLst>
            </c:dLbl>
            <c:dLbl>
              <c:idx val="159"/>
              <c:tx>
                <c:rich>
                  <a:bodyPr/>
                  <a:lstStyle/>
                  <a:p>
                    <a:fld id="{48D6D62E-241E-4E4E-8568-EF247C7668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993-42BC-B8F2-CF7F0830D4C2}"/>
                </c:ext>
              </c:extLst>
            </c:dLbl>
            <c:dLbl>
              <c:idx val="160"/>
              <c:tx>
                <c:rich>
                  <a:bodyPr/>
                  <a:lstStyle/>
                  <a:p>
                    <a:fld id="{98AF9B34-0782-4270-9453-3F910800BF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993-42BC-B8F2-CF7F0830D4C2}"/>
                </c:ext>
              </c:extLst>
            </c:dLbl>
            <c:dLbl>
              <c:idx val="161"/>
              <c:tx>
                <c:rich>
                  <a:bodyPr/>
                  <a:lstStyle/>
                  <a:p>
                    <a:fld id="{699C6AFA-FDD4-41C3-80B7-DD6718E35E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993-42BC-B8F2-CF7F0830D4C2}"/>
                </c:ext>
              </c:extLst>
            </c:dLbl>
            <c:dLbl>
              <c:idx val="162"/>
              <c:tx>
                <c:rich>
                  <a:bodyPr/>
                  <a:lstStyle/>
                  <a:p>
                    <a:fld id="{8E849964-C54B-4A37-8028-58833DF37C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993-42BC-B8F2-CF7F0830D4C2}"/>
                </c:ext>
              </c:extLst>
            </c:dLbl>
            <c:dLbl>
              <c:idx val="163"/>
              <c:tx>
                <c:rich>
                  <a:bodyPr/>
                  <a:lstStyle/>
                  <a:p>
                    <a:fld id="{FC584849-9FA9-495C-8C10-913885523E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993-42BC-B8F2-CF7F0830D4C2}"/>
                </c:ext>
              </c:extLst>
            </c:dLbl>
            <c:dLbl>
              <c:idx val="164"/>
              <c:tx>
                <c:rich>
                  <a:bodyPr/>
                  <a:lstStyle/>
                  <a:p>
                    <a:fld id="{229AC09F-2F19-4382-9FBB-F144240C7E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993-42BC-B8F2-CF7F0830D4C2}"/>
                </c:ext>
              </c:extLst>
            </c:dLbl>
            <c:dLbl>
              <c:idx val="165"/>
              <c:tx>
                <c:rich>
                  <a:bodyPr/>
                  <a:lstStyle/>
                  <a:p>
                    <a:fld id="{53C3D28F-D468-4D43-AA77-079B48BB3D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993-42BC-B8F2-CF7F0830D4C2}"/>
                </c:ext>
              </c:extLst>
            </c:dLbl>
            <c:dLbl>
              <c:idx val="166"/>
              <c:tx>
                <c:rich>
                  <a:bodyPr/>
                  <a:lstStyle/>
                  <a:p>
                    <a:fld id="{91513682-B061-4C44-A866-F3C46FA286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993-42BC-B8F2-CF7F0830D4C2}"/>
                </c:ext>
              </c:extLst>
            </c:dLbl>
            <c:dLbl>
              <c:idx val="167"/>
              <c:tx>
                <c:rich>
                  <a:bodyPr/>
                  <a:lstStyle/>
                  <a:p>
                    <a:fld id="{0E355CB1-88EA-4239-A096-162B7EF140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993-42BC-B8F2-CF7F0830D4C2}"/>
                </c:ext>
              </c:extLst>
            </c:dLbl>
            <c:dLbl>
              <c:idx val="168"/>
              <c:tx>
                <c:rich>
                  <a:bodyPr/>
                  <a:lstStyle/>
                  <a:p>
                    <a:fld id="{7F08EFEC-53BD-46FB-B72B-CF4D062EAA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993-42BC-B8F2-CF7F0830D4C2}"/>
                </c:ext>
              </c:extLst>
            </c:dLbl>
            <c:dLbl>
              <c:idx val="169"/>
              <c:tx>
                <c:rich>
                  <a:bodyPr/>
                  <a:lstStyle/>
                  <a:p>
                    <a:fld id="{24B70B5E-12FD-4315-A746-F2F8947536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993-42BC-B8F2-CF7F0830D4C2}"/>
                </c:ext>
              </c:extLst>
            </c:dLbl>
            <c:dLbl>
              <c:idx val="170"/>
              <c:tx>
                <c:rich>
                  <a:bodyPr/>
                  <a:lstStyle/>
                  <a:p>
                    <a:fld id="{65B31B0D-4F10-4397-8B35-28309BFDE2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993-42BC-B8F2-CF7F0830D4C2}"/>
                </c:ext>
              </c:extLst>
            </c:dLbl>
            <c:dLbl>
              <c:idx val="171"/>
              <c:tx>
                <c:rich>
                  <a:bodyPr/>
                  <a:lstStyle/>
                  <a:p>
                    <a:fld id="{2263C4FA-1EAD-4753-9654-05EAF8D3A2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993-42BC-B8F2-CF7F0830D4C2}"/>
                </c:ext>
              </c:extLst>
            </c:dLbl>
            <c:dLbl>
              <c:idx val="172"/>
              <c:tx>
                <c:rich>
                  <a:bodyPr/>
                  <a:lstStyle/>
                  <a:p>
                    <a:fld id="{E1D738FB-1BAD-4CDD-B58D-E6EA4416D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993-42BC-B8F2-CF7F0830D4C2}"/>
                </c:ext>
              </c:extLst>
            </c:dLbl>
            <c:dLbl>
              <c:idx val="173"/>
              <c:tx>
                <c:rich>
                  <a:bodyPr/>
                  <a:lstStyle/>
                  <a:p>
                    <a:fld id="{BA03774C-3244-4630-99ED-09295730F0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993-42BC-B8F2-CF7F0830D4C2}"/>
                </c:ext>
              </c:extLst>
            </c:dLbl>
            <c:dLbl>
              <c:idx val="174"/>
              <c:tx>
                <c:rich>
                  <a:bodyPr/>
                  <a:lstStyle/>
                  <a:p>
                    <a:fld id="{01782A92-4BCC-4794-AE9F-1AEA6ABC32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993-42BC-B8F2-CF7F0830D4C2}"/>
                </c:ext>
              </c:extLst>
            </c:dLbl>
            <c:dLbl>
              <c:idx val="175"/>
              <c:tx>
                <c:rich>
                  <a:bodyPr/>
                  <a:lstStyle/>
                  <a:p>
                    <a:fld id="{8AD9C4CD-B610-4033-AEE5-A27B39FF93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993-42BC-B8F2-CF7F0830D4C2}"/>
                </c:ext>
              </c:extLst>
            </c:dLbl>
            <c:dLbl>
              <c:idx val="176"/>
              <c:tx>
                <c:rich>
                  <a:bodyPr/>
                  <a:lstStyle/>
                  <a:p>
                    <a:fld id="{C9598ED8-C756-41B0-BAA3-237338EEB3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993-42BC-B8F2-CF7F0830D4C2}"/>
                </c:ext>
              </c:extLst>
            </c:dLbl>
            <c:dLbl>
              <c:idx val="177"/>
              <c:tx>
                <c:rich>
                  <a:bodyPr/>
                  <a:lstStyle/>
                  <a:p>
                    <a:fld id="{F2C6E5FC-AD7E-4B0B-B1CC-2984675257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993-42BC-B8F2-CF7F0830D4C2}"/>
                </c:ext>
              </c:extLst>
            </c:dLbl>
            <c:dLbl>
              <c:idx val="178"/>
              <c:tx>
                <c:rich>
                  <a:bodyPr/>
                  <a:lstStyle/>
                  <a:p>
                    <a:fld id="{82B57CEB-9475-4CD9-8697-8BBC0F56CF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993-42BC-B8F2-CF7F0830D4C2}"/>
                </c:ext>
              </c:extLst>
            </c:dLbl>
            <c:dLbl>
              <c:idx val="179"/>
              <c:tx>
                <c:rich>
                  <a:bodyPr/>
                  <a:lstStyle/>
                  <a:p>
                    <a:fld id="{F9939FAA-D488-4F6D-8654-E251E74536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993-42BC-B8F2-CF7F0830D4C2}"/>
                </c:ext>
              </c:extLst>
            </c:dLbl>
            <c:dLbl>
              <c:idx val="180"/>
              <c:tx>
                <c:rich>
                  <a:bodyPr/>
                  <a:lstStyle/>
                  <a:p>
                    <a:fld id="{59D8E544-1C11-462B-BF22-2C60F543D8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993-42BC-B8F2-CF7F0830D4C2}"/>
                </c:ext>
              </c:extLst>
            </c:dLbl>
            <c:dLbl>
              <c:idx val="181"/>
              <c:tx>
                <c:rich>
                  <a:bodyPr/>
                  <a:lstStyle/>
                  <a:p>
                    <a:fld id="{0D527CC1-651E-46CD-BB1F-627DFC6799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993-42BC-B8F2-CF7F0830D4C2}"/>
                </c:ext>
              </c:extLst>
            </c:dLbl>
            <c:dLbl>
              <c:idx val="182"/>
              <c:tx>
                <c:rich>
                  <a:bodyPr/>
                  <a:lstStyle/>
                  <a:p>
                    <a:fld id="{BB20F3E4-D519-43CA-9E29-FDD3D78039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993-42BC-B8F2-CF7F0830D4C2}"/>
                </c:ext>
              </c:extLst>
            </c:dLbl>
            <c:dLbl>
              <c:idx val="183"/>
              <c:tx>
                <c:rich>
                  <a:bodyPr/>
                  <a:lstStyle/>
                  <a:p>
                    <a:fld id="{0E7D7F51-8301-458C-8A5D-69866A0A78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993-42BC-B8F2-CF7F0830D4C2}"/>
                </c:ext>
              </c:extLst>
            </c:dLbl>
            <c:dLbl>
              <c:idx val="184"/>
              <c:tx>
                <c:rich>
                  <a:bodyPr/>
                  <a:lstStyle/>
                  <a:p>
                    <a:fld id="{F900BB94-F75D-4033-8885-0AC577A080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993-42BC-B8F2-CF7F0830D4C2}"/>
                </c:ext>
              </c:extLst>
            </c:dLbl>
            <c:dLbl>
              <c:idx val="185"/>
              <c:tx>
                <c:rich>
                  <a:bodyPr/>
                  <a:lstStyle/>
                  <a:p>
                    <a:fld id="{547C39D7-3B3C-4EAA-91D3-8BAEB3DEA3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993-42BC-B8F2-CF7F0830D4C2}"/>
                </c:ext>
              </c:extLst>
            </c:dLbl>
            <c:dLbl>
              <c:idx val="186"/>
              <c:tx>
                <c:rich>
                  <a:bodyPr/>
                  <a:lstStyle/>
                  <a:p>
                    <a:fld id="{9B1F809C-22D3-4F9A-AA01-75F2D2481C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993-42BC-B8F2-CF7F0830D4C2}"/>
                </c:ext>
              </c:extLst>
            </c:dLbl>
            <c:dLbl>
              <c:idx val="187"/>
              <c:tx>
                <c:rich>
                  <a:bodyPr/>
                  <a:lstStyle/>
                  <a:p>
                    <a:fld id="{2ACF590A-CE72-4E1D-B989-8E57C2D8B3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993-42BC-B8F2-CF7F0830D4C2}"/>
                </c:ext>
              </c:extLst>
            </c:dLbl>
            <c:dLbl>
              <c:idx val="188"/>
              <c:tx>
                <c:rich>
                  <a:bodyPr/>
                  <a:lstStyle/>
                  <a:p>
                    <a:fld id="{455C2DAE-F7B2-408F-AFC8-A063DE525D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993-42BC-B8F2-CF7F0830D4C2}"/>
                </c:ext>
              </c:extLst>
            </c:dLbl>
            <c:dLbl>
              <c:idx val="189"/>
              <c:tx>
                <c:rich>
                  <a:bodyPr/>
                  <a:lstStyle/>
                  <a:p>
                    <a:fld id="{15921E24-8E25-494D-9E94-6BE7E90417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993-42BC-B8F2-CF7F0830D4C2}"/>
                </c:ext>
              </c:extLst>
            </c:dLbl>
            <c:dLbl>
              <c:idx val="190"/>
              <c:tx>
                <c:rich>
                  <a:bodyPr/>
                  <a:lstStyle/>
                  <a:p>
                    <a:fld id="{DF9BE0A2-179A-4298-B5AB-C38E14F93B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993-42BC-B8F2-CF7F0830D4C2}"/>
                </c:ext>
              </c:extLst>
            </c:dLbl>
            <c:dLbl>
              <c:idx val="191"/>
              <c:tx>
                <c:rich>
                  <a:bodyPr/>
                  <a:lstStyle/>
                  <a:p>
                    <a:fld id="{21CB57D4-50B1-437E-A354-2B49BB0ECF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993-42BC-B8F2-CF7F0830D4C2}"/>
                </c:ext>
              </c:extLst>
            </c:dLbl>
            <c:dLbl>
              <c:idx val="192"/>
              <c:tx>
                <c:rich>
                  <a:bodyPr/>
                  <a:lstStyle/>
                  <a:p>
                    <a:fld id="{EF5F2B92-A44B-4D8F-BCAC-BD869D21B6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993-42BC-B8F2-CF7F0830D4C2}"/>
                </c:ext>
              </c:extLst>
            </c:dLbl>
            <c:dLbl>
              <c:idx val="193"/>
              <c:tx>
                <c:rich>
                  <a:bodyPr/>
                  <a:lstStyle/>
                  <a:p>
                    <a:fld id="{D0767D03-2E8C-4384-A8F0-B95742F2A1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993-42BC-B8F2-CF7F0830D4C2}"/>
                </c:ext>
              </c:extLst>
            </c:dLbl>
            <c:dLbl>
              <c:idx val="194"/>
              <c:tx>
                <c:rich>
                  <a:bodyPr/>
                  <a:lstStyle/>
                  <a:p>
                    <a:fld id="{78ED3ED2-28F6-4543-8CEB-B6B0A43B25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993-42BC-B8F2-CF7F0830D4C2}"/>
                </c:ext>
              </c:extLst>
            </c:dLbl>
            <c:dLbl>
              <c:idx val="195"/>
              <c:tx>
                <c:rich>
                  <a:bodyPr/>
                  <a:lstStyle/>
                  <a:p>
                    <a:fld id="{EC5F3C96-8005-48A4-BA9E-31C9AC2F69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993-42BC-B8F2-CF7F0830D4C2}"/>
                </c:ext>
              </c:extLst>
            </c:dLbl>
            <c:dLbl>
              <c:idx val="196"/>
              <c:tx>
                <c:rich>
                  <a:bodyPr/>
                  <a:lstStyle/>
                  <a:p>
                    <a:fld id="{890D5EA8-A8AC-434C-A2AF-8692EDC99F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993-42BC-B8F2-CF7F0830D4C2}"/>
                </c:ext>
              </c:extLst>
            </c:dLbl>
            <c:dLbl>
              <c:idx val="197"/>
              <c:tx>
                <c:rich>
                  <a:bodyPr/>
                  <a:lstStyle/>
                  <a:p>
                    <a:fld id="{F0143F7B-326C-4BFF-BB46-7E7D55730A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993-42BC-B8F2-CF7F0830D4C2}"/>
                </c:ext>
              </c:extLst>
            </c:dLbl>
            <c:dLbl>
              <c:idx val="198"/>
              <c:tx>
                <c:rich>
                  <a:bodyPr/>
                  <a:lstStyle/>
                  <a:p>
                    <a:fld id="{8A25CB94-41EE-4D33-A8B6-B8DAFCD157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993-42BC-B8F2-CF7F0830D4C2}"/>
                </c:ext>
              </c:extLst>
            </c:dLbl>
            <c:dLbl>
              <c:idx val="199"/>
              <c:tx>
                <c:rich>
                  <a:bodyPr/>
                  <a:lstStyle/>
                  <a:p>
                    <a:fld id="{1FA417D8-0CDA-48AB-B6F9-2D361AC324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993-42BC-B8F2-CF7F0830D4C2}"/>
                </c:ext>
              </c:extLst>
            </c:dLbl>
            <c:dLbl>
              <c:idx val="200"/>
              <c:tx>
                <c:rich>
                  <a:bodyPr/>
                  <a:lstStyle/>
                  <a:p>
                    <a:fld id="{BFABE273-3A14-4699-9E18-7A5E8582F3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993-42BC-B8F2-CF7F0830D4C2}"/>
                </c:ext>
              </c:extLst>
            </c:dLbl>
            <c:dLbl>
              <c:idx val="201"/>
              <c:tx>
                <c:rich>
                  <a:bodyPr/>
                  <a:lstStyle/>
                  <a:p>
                    <a:fld id="{FF09246E-FCF7-4953-94C1-CEA7F4DB78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993-42BC-B8F2-CF7F0830D4C2}"/>
                </c:ext>
              </c:extLst>
            </c:dLbl>
            <c:dLbl>
              <c:idx val="202"/>
              <c:tx>
                <c:rich>
                  <a:bodyPr/>
                  <a:lstStyle/>
                  <a:p>
                    <a:fld id="{CD74F206-7056-4BB8-AA70-AB041EFC58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993-42BC-B8F2-CF7F0830D4C2}"/>
                </c:ext>
              </c:extLst>
            </c:dLbl>
            <c:dLbl>
              <c:idx val="203"/>
              <c:tx>
                <c:rich>
                  <a:bodyPr/>
                  <a:lstStyle/>
                  <a:p>
                    <a:fld id="{E439093B-0616-445E-8EA5-D6D24CFFD2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993-42BC-B8F2-CF7F0830D4C2}"/>
                </c:ext>
              </c:extLst>
            </c:dLbl>
            <c:dLbl>
              <c:idx val="204"/>
              <c:tx>
                <c:rich>
                  <a:bodyPr/>
                  <a:lstStyle/>
                  <a:p>
                    <a:fld id="{CD5AC819-A426-4ECC-9020-FAF546C778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993-42BC-B8F2-CF7F0830D4C2}"/>
                </c:ext>
              </c:extLst>
            </c:dLbl>
            <c:dLbl>
              <c:idx val="205"/>
              <c:tx>
                <c:rich>
                  <a:bodyPr/>
                  <a:lstStyle/>
                  <a:p>
                    <a:fld id="{BC6918E2-9704-4B0F-B8E5-2EDEE2326F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993-42BC-B8F2-CF7F0830D4C2}"/>
                </c:ext>
              </c:extLst>
            </c:dLbl>
            <c:dLbl>
              <c:idx val="206"/>
              <c:tx>
                <c:rich>
                  <a:bodyPr/>
                  <a:lstStyle/>
                  <a:p>
                    <a:fld id="{4B06BC65-55A8-4137-9DFB-96D10CB9EA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993-42BC-B8F2-CF7F0830D4C2}"/>
                </c:ext>
              </c:extLst>
            </c:dLbl>
            <c:dLbl>
              <c:idx val="207"/>
              <c:tx>
                <c:rich>
                  <a:bodyPr/>
                  <a:lstStyle/>
                  <a:p>
                    <a:fld id="{6A82F0B3-7911-4717-8AC1-7BB74C65A8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993-42BC-B8F2-CF7F0830D4C2}"/>
                </c:ext>
              </c:extLst>
            </c:dLbl>
            <c:dLbl>
              <c:idx val="208"/>
              <c:tx>
                <c:rich>
                  <a:bodyPr/>
                  <a:lstStyle/>
                  <a:p>
                    <a:fld id="{CF90344C-3D48-4795-A9C6-79E1A57D15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993-42BC-B8F2-CF7F0830D4C2}"/>
                </c:ext>
              </c:extLst>
            </c:dLbl>
            <c:dLbl>
              <c:idx val="209"/>
              <c:tx>
                <c:rich>
                  <a:bodyPr/>
                  <a:lstStyle/>
                  <a:p>
                    <a:fld id="{FF2C1918-3780-42D7-91F9-8B7A6B02F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993-42BC-B8F2-CF7F0830D4C2}"/>
                </c:ext>
              </c:extLst>
            </c:dLbl>
            <c:dLbl>
              <c:idx val="210"/>
              <c:tx>
                <c:rich>
                  <a:bodyPr/>
                  <a:lstStyle/>
                  <a:p>
                    <a:fld id="{90335163-B60F-47CB-BFF2-DD3C2F77C5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993-42BC-B8F2-CF7F0830D4C2}"/>
                </c:ext>
              </c:extLst>
            </c:dLbl>
            <c:dLbl>
              <c:idx val="211"/>
              <c:tx>
                <c:rich>
                  <a:bodyPr/>
                  <a:lstStyle/>
                  <a:p>
                    <a:fld id="{4B33C86E-AE79-4D56-AC33-B3986FB9D8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993-42BC-B8F2-CF7F0830D4C2}"/>
                </c:ext>
              </c:extLst>
            </c:dLbl>
            <c:dLbl>
              <c:idx val="212"/>
              <c:tx>
                <c:rich>
                  <a:bodyPr/>
                  <a:lstStyle/>
                  <a:p>
                    <a:fld id="{FFBC4008-5E15-4C34-89E2-2FE4B6AB03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C993-42BC-B8F2-CF7F0830D4C2}"/>
                </c:ext>
              </c:extLst>
            </c:dLbl>
            <c:dLbl>
              <c:idx val="213"/>
              <c:tx>
                <c:rich>
                  <a:bodyPr/>
                  <a:lstStyle/>
                  <a:p>
                    <a:fld id="{F8340D24-4A51-4C31-A250-7555B142B9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993-42BC-B8F2-CF7F0830D4C2}"/>
                </c:ext>
              </c:extLst>
            </c:dLbl>
            <c:dLbl>
              <c:idx val="214"/>
              <c:tx>
                <c:rich>
                  <a:bodyPr/>
                  <a:lstStyle/>
                  <a:p>
                    <a:fld id="{0A994637-7C80-4DA6-A55A-AD77104E7D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993-42BC-B8F2-CF7F0830D4C2}"/>
                </c:ext>
              </c:extLst>
            </c:dLbl>
            <c:dLbl>
              <c:idx val="215"/>
              <c:tx>
                <c:rich>
                  <a:bodyPr/>
                  <a:lstStyle/>
                  <a:p>
                    <a:fld id="{B65D08AF-42ED-40DA-9782-C3D8BD06B0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993-42BC-B8F2-CF7F0830D4C2}"/>
                </c:ext>
              </c:extLst>
            </c:dLbl>
            <c:dLbl>
              <c:idx val="216"/>
              <c:tx>
                <c:rich>
                  <a:bodyPr/>
                  <a:lstStyle/>
                  <a:p>
                    <a:fld id="{96202AF9-ABE2-49E8-BA1D-A53A0C3962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993-42BC-B8F2-CF7F0830D4C2}"/>
                </c:ext>
              </c:extLst>
            </c:dLbl>
            <c:dLbl>
              <c:idx val="217"/>
              <c:tx>
                <c:rich>
                  <a:bodyPr/>
                  <a:lstStyle/>
                  <a:p>
                    <a:fld id="{B9BBED36-8793-4717-B39E-519C0EBDB9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993-42BC-B8F2-CF7F0830D4C2}"/>
                </c:ext>
              </c:extLst>
            </c:dLbl>
            <c:dLbl>
              <c:idx val="218"/>
              <c:tx>
                <c:rich>
                  <a:bodyPr/>
                  <a:lstStyle/>
                  <a:p>
                    <a:fld id="{2850352D-A057-423B-A7AC-B06F43B4C2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993-42BC-B8F2-CF7F0830D4C2}"/>
                </c:ext>
              </c:extLst>
            </c:dLbl>
            <c:dLbl>
              <c:idx val="219"/>
              <c:tx>
                <c:rich>
                  <a:bodyPr/>
                  <a:lstStyle/>
                  <a:p>
                    <a:fld id="{9DB309E4-F091-4338-AAD7-053E8448DA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993-42BC-B8F2-CF7F0830D4C2}"/>
                </c:ext>
              </c:extLst>
            </c:dLbl>
            <c:dLbl>
              <c:idx val="220"/>
              <c:tx>
                <c:rich>
                  <a:bodyPr/>
                  <a:lstStyle/>
                  <a:p>
                    <a:fld id="{82AD2889-9117-4A97-B76C-03A795408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993-42BC-B8F2-CF7F0830D4C2}"/>
                </c:ext>
              </c:extLst>
            </c:dLbl>
            <c:dLbl>
              <c:idx val="221"/>
              <c:tx>
                <c:rich>
                  <a:bodyPr/>
                  <a:lstStyle/>
                  <a:p>
                    <a:fld id="{8E3FC05E-8DB3-47A6-86E4-669913DF5B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993-42BC-B8F2-CF7F0830D4C2}"/>
                </c:ext>
              </c:extLst>
            </c:dLbl>
            <c:dLbl>
              <c:idx val="222"/>
              <c:tx>
                <c:rich>
                  <a:bodyPr/>
                  <a:lstStyle/>
                  <a:p>
                    <a:fld id="{F20C331B-4235-44C6-97CA-82C4D38D11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993-42BC-B8F2-CF7F0830D4C2}"/>
                </c:ext>
              </c:extLst>
            </c:dLbl>
            <c:dLbl>
              <c:idx val="223"/>
              <c:tx>
                <c:rich>
                  <a:bodyPr/>
                  <a:lstStyle/>
                  <a:p>
                    <a:fld id="{FC1B8703-18E7-41F8-86AE-1737C74DE2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993-42BC-B8F2-CF7F0830D4C2}"/>
                </c:ext>
              </c:extLst>
            </c:dLbl>
            <c:dLbl>
              <c:idx val="224"/>
              <c:tx>
                <c:rich>
                  <a:bodyPr/>
                  <a:lstStyle/>
                  <a:p>
                    <a:fld id="{8C59D8B7-1E45-4D02-9107-34F1241055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993-42BC-B8F2-CF7F0830D4C2}"/>
                </c:ext>
              </c:extLst>
            </c:dLbl>
            <c:dLbl>
              <c:idx val="225"/>
              <c:tx>
                <c:rich>
                  <a:bodyPr/>
                  <a:lstStyle/>
                  <a:p>
                    <a:fld id="{24371A63-4F43-47C7-81DF-806329C684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993-42BC-B8F2-CF7F0830D4C2}"/>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C993-42BC-B8F2-CF7F0830D4C2}"/>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C993-42BC-B8F2-CF7F0830D4C2}"/>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C993-42BC-B8F2-CF7F0830D4C2}"/>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C993-42BC-B8F2-CF7F0830D4C2}"/>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C993-42BC-B8F2-CF7F0830D4C2}"/>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C993-42BC-B8F2-CF7F0830D4C2}"/>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C993-42BC-B8F2-CF7F0830D4C2}"/>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C993-42BC-B8F2-CF7F0830D4C2}"/>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C993-42BC-B8F2-CF7F0830D4C2}"/>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C993-42BC-B8F2-CF7F0830D4C2}"/>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C993-42BC-B8F2-CF7F0830D4C2}"/>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C993-42BC-B8F2-CF7F0830D4C2}"/>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C993-42BC-B8F2-CF7F0830D4C2}"/>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C993-42BC-B8F2-CF7F0830D4C2}"/>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C993-42BC-B8F2-CF7F0830D4C2}"/>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C993-42BC-B8F2-CF7F0830D4C2}"/>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C993-42BC-B8F2-CF7F0830D4C2}"/>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C993-42BC-B8F2-CF7F0830D4C2}"/>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C993-42BC-B8F2-CF7F0830D4C2}"/>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C993-42BC-B8F2-CF7F0830D4C2}"/>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C993-42BC-B8F2-CF7F0830D4C2}"/>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C993-42BC-B8F2-CF7F0830D4C2}"/>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C993-42BC-B8F2-CF7F0830D4C2}"/>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C993-42BC-B8F2-CF7F0830D4C2}"/>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C993-42BC-B8F2-CF7F0830D4C2}"/>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C993-42BC-B8F2-CF7F0830D4C2}"/>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C993-42BC-B8F2-CF7F0830D4C2}"/>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C993-42BC-B8F2-CF7F0830D4C2}"/>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C993-42BC-B8F2-CF7F0830D4C2}"/>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C993-42BC-B8F2-CF7F0830D4C2}"/>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C993-42BC-B8F2-CF7F0830D4C2}"/>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C993-42BC-B8F2-CF7F0830D4C2}"/>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C993-42BC-B8F2-CF7F0830D4C2}"/>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C993-42BC-B8F2-CF7F0830D4C2}"/>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C993-42BC-B8F2-CF7F0830D4C2}"/>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C993-42BC-B8F2-CF7F0830D4C2}"/>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C993-42BC-B8F2-CF7F0830D4C2}"/>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C993-42BC-B8F2-CF7F0830D4C2}"/>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C993-42BC-B8F2-CF7F0830D4C2}"/>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C993-42BC-B8F2-CF7F0830D4C2}"/>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C993-42BC-B8F2-CF7F0830D4C2}"/>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C993-42BC-B8F2-CF7F0830D4C2}"/>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C993-42BC-B8F2-CF7F0830D4C2}"/>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C993-42BC-B8F2-CF7F0830D4C2}"/>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C993-42BC-B8F2-CF7F0830D4C2}"/>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C993-42BC-B8F2-CF7F0830D4C2}"/>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C993-42BC-B8F2-CF7F0830D4C2}"/>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C993-42BC-B8F2-CF7F0830D4C2}"/>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C993-42BC-B8F2-CF7F0830D4C2}"/>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C993-42BC-B8F2-CF7F0830D4C2}"/>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C993-42BC-B8F2-CF7F0830D4C2}"/>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C993-42BC-B8F2-CF7F0830D4C2}"/>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C993-42BC-B8F2-CF7F0830D4C2}"/>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C993-42BC-B8F2-CF7F0830D4C2}"/>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C993-42BC-B8F2-CF7F0830D4C2}"/>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C993-42BC-B8F2-CF7F0830D4C2}"/>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C993-42BC-B8F2-CF7F0830D4C2}"/>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C993-42BC-B8F2-CF7F0830D4C2}"/>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C993-42BC-B8F2-CF7F0830D4C2}"/>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C993-42BC-B8F2-CF7F0830D4C2}"/>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C993-42BC-B8F2-CF7F0830D4C2}"/>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C993-42BC-B8F2-CF7F0830D4C2}"/>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C993-42BC-B8F2-CF7F0830D4C2}"/>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C993-42BC-B8F2-CF7F0830D4C2}"/>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C993-42BC-B8F2-CF7F0830D4C2}"/>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C993-42BC-B8F2-CF7F0830D4C2}"/>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C993-42BC-B8F2-CF7F0830D4C2}"/>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C993-42BC-B8F2-CF7F0830D4C2}"/>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C993-42BC-B8F2-CF7F0830D4C2}"/>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C993-42BC-B8F2-CF7F0830D4C2}"/>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C993-42BC-B8F2-CF7F0830D4C2}"/>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C993-42BC-B8F2-CF7F0830D4C2}"/>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C993-42BC-B8F2-CF7F0830D4C2}"/>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87.975540161132813</c:v>
                </c:pt>
                <c:pt idx="2">
                  <c:v>75.020713806152344</c:v>
                </c:pt>
                <c:pt idx="3">
                  <c:v>62.794326782226563</c:v>
                </c:pt>
                <c:pt idx="4">
                  <c:v>52.179828643798828</c:v>
                </c:pt>
                <c:pt idx="5">
                  <c:v>43.048679351806641</c:v>
                </c:pt>
                <c:pt idx="6">
                  <c:v>34.542354583740234</c:v>
                </c:pt>
                <c:pt idx="7">
                  <c:v>27.203861236572266</c:v>
                </c:pt>
                <c:pt idx="8">
                  <c:v>20.914424896240234</c:v>
                </c:pt>
                <c:pt idx="9">
                  <c:v>15.280494689941406</c:v>
                </c:pt>
                <c:pt idx="10">
                  <c:v>10.817873954772949</c:v>
                </c:pt>
                <c:pt idx="11">
                  <c:v>7.5409355163574219</c:v>
                </c:pt>
                <c:pt idx="12">
                  <c:v>5.3408198356628418</c:v>
                </c:pt>
                <c:pt idx="13">
                  <c:v>3.8985264301300049</c:v>
                </c:pt>
                <c:pt idx="14">
                  <c:v>3.0105817317962646</c:v>
                </c:pt>
                <c:pt idx="15">
                  <c:v>2.5014898777008057</c:v>
                </c:pt>
                <c:pt idx="16">
                  <c:v>2.2312688827514648</c:v>
                </c:pt>
                <c:pt idx="17">
                  <c:v>2.0939273834228516</c:v>
                </c:pt>
                <c:pt idx="18">
                  <c:v>2.0228128433227539</c:v>
                </c:pt>
                <c:pt idx="19">
                  <c:v>2</c:v>
                </c:pt>
                <c:pt idx="20">
                  <c:v>2.0145454406738281</c:v>
                </c:pt>
                <c:pt idx="21">
                  <c:v>2.0356333255767822</c:v>
                </c:pt>
                <c:pt idx="22">
                  <c:v>2.0754013061523438</c:v>
                </c:pt>
                <c:pt idx="23">
                  <c:v>2.1110560894012451</c:v>
                </c:pt>
                <c:pt idx="24">
                  <c:v>2.1529924869537354</c:v>
                </c:pt>
                <c:pt idx="25">
                  <c:v>2.2064058780670166</c:v>
                </c:pt>
                <c:pt idx="26">
                  <c:v>2.2473940849304199</c:v>
                </c:pt>
                <c:pt idx="27">
                  <c:v>2.2751874923706055</c:v>
                </c:pt>
                <c:pt idx="28">
                  <c:v>2.3052639961242676</c:v>
                </c:pt>
                <c:pt idx="29">
                  <c:v>2.3441016674041748</c:v>
                </c:pt>
                <c:pt idx="30">
                  <c:v>2.3671307563781738</c:v>
                </c:pt>
                <c:pt idx="31">
                  <c:v>2.3769600391387939</c:v>
                </c:pt>
                <c:pt idx="32">
                  <c:v>2.3889775276184082</c:v>
                </c:pt>
                <c:pt idx="33">
                  <c:v>2.3941962718963623</c:v>
                </c:pt>
                <c:pt idx="34">
                  <c:v>2.3977065086364746</c:v>
                </c:pt>
                <c:pt idx="35">
                  <c:v>2.40130615234375</c:v>
                </c:pt>
                <c:pt idx="36">
                  <c:v>2.4037070274353027</c:v>
                </c:pt>
                <c:pt idx="37">
                  <c:v>2.3996100425720215</c:v>
                </c:pt>
                <c:pt idx="38">
                  <c:v>2.4029824733734131</c:v>
                </c:pt>
                <c:pt idx="39">
                  <c:v>2.4076340198516846</c:v>
                </c:pt>
                <c:pt idx="40">
                  <c:v>2.4169659614562988</c:v>
                </c:pt>
                <c:pt idx="41">
                  <c:v>2.4162986278533936</c:v>
                </c:pt>
                <c:pt idx="42">
                  <c:v>2.4215927124023438</c:v>
                </c:pt>
                <c:pt idx="43">
                  <c:v>2.4273660182952881</c:v>
                </c:pt>
                <c:pt idx="44">
                  <c:v>2.4154918193817139</c:v>
                </c:pt>
                <c:pt idx="45">
                  <c:v>2.3998479843139648</c:v>
                </c:pt>
                <c:pt idx="46">
                  <c:v>2.3982841968536377</c:v>
                </c:pt>
                <c:pt idx="47">
                  <c:v>2.4020199775695801</c:v>
                </c:pt>
                <c:pt idx="48">
                  <c:v>2.414114236831665</c:v>
                </c:pt>
                <c:pt idx="49">
                  <c:v>2.4147100448608398</c:v>
                </c:pt>
                <c:pt idx="50">
                  <c:v>2.4155724048614502</c:v>
                </c:pt>
                <c:pt idx="51">
                  <c:v>2.4211275577545166</c:v>
                </c:pt>
                <c:pt idx="52">
                  <c:v>2.4202258586883545</c:v>
                </c:pt>
                <c:pt idx="53">
                  <c:v>2.4230685234069824</c:v>
                </c:pt>
                <c:pt idx="54">
                  <c:v>2.4298474788665771</c:v>
                </c:pt>
                <c:pt idx="55">
                  <c:v>2.4419901371002197</c:v>
                </c:pt>
                <c:pt idx="56">
                  <c:v>2.4495561122894287</c:v>
                </c:pt>
                <c:pt idx="57">
                  <c:v>2.4408378601074219</c:v>
                </c:pt>
                <c:pt idx="58">
                  <c:v>2.4495561122894287</c:v>
                </c:pt>
                <c:pt idx="59">
                  <c:v>2.4513328075408936</c:v>
                </c:pt>
                <c:pt idx="60">
                  <c:v>2.444814920425415</c:v>
                </c:pt>
                <c:pt idx="61">
                  <c:v>2.4527926445007324</c:v>
                </c:pt>
                <c:pt idx="62">
                  <c:v>2.4623963832855225</c:v>
                </c:pt>
                <c:pt idx="63">
                  <c:v>2.4594123363494873</c:v>
                </c:pt>
                <c:pt idx="64">
                  <c:v>2.4524097442626953</c:v>
                </c:pt>
                <c:pt idx="65">
                  <c:v>2.4624893665313721</c:v>
                </c:pt>
                <c:pt idx="66">
                  <c:v>2.4673235416412354</c:v>
                </c:pt>
                <c:pt idx="67">
                  <c:v>2.4553689956665039</c:v>
                </c:pt>
                <c:pt idx="68">
                  <c:v>2.4428524971008301</c:v>
                </c:pt>
                <c:pt idx="69">
                  <c:v>2.4352362155914307</c:v>
                </c:pt>
                <c:pt idx="70">
                  <c:v>2.452847957611084</c:v>
                </c:pt>
                <c:pt idx="71">
                  <c:v>2.4653680324554443</c:v>
                </c:pt>
                <c:pt idx="72">
                  <c:v>2.4568483829498291</c:v>
                </c:pt>
                <c:pt idx="73">
                  <c:v>2.4418110847473145</c:v>
                </c:pt>
                <c:pt idx="74">
                  <c:v>2.4348104000091553</c:v>
                </c:pt>
                <c:pt idx="75">
                  <c:v>2.449779748916626</c:v>
                </c:pt>
                <c:pt idx="76">
                  <c:v>2.4377892017364502</c:v>
                </c:pt>
                <c:pt idx="77">
                  <c:v>2.4217267036437988</c:v>
                </c:pt>
                <c:pt idx="78">
                  <c:v>2.4300103187561035</c:v>
                </c:pt>
                <c:pt idx="79">
                  <c:v>2.4551184177398682</c:v>
                </c:pt>
                <c:pt idx="80">
                  <c:v>2.4611387252807617</c:v>
                </c:pt>
                <c:pt idx="81">
                  <c:v>2.4396748542785645</c:v>
                </c:pt>
                <c:pt idx="82">
                  <c:v>2.4422547817230225</c:v>
                </c:pt>
                <c:pt idx="83">
                  <c:v>2.4458293914794922</c:v>
                </c:pt>
                <c:pt idx="84">
                  <c:v>2.4486095905303955</c:v>
                </c:pt>
                <c:pt idx="85">
                  <c:v>2.453773021697998</c:v>
                </c:pt>
                <c:pt idx="86">
                  <c:v>2.4607326984405518</c:v>
                </c:pt>
                <c:pt idx="87">
                  <c:v>2.4721202850341797</c:v>
                </c:pt>
                <c:pt idx="88">
                  <c:v>2.456963062286377</c:v>
                </c:pt>
                <c:pt idx="89">
                  <c:v>2.4476633071899414</c:v>
                </c:pt>
                <c:pt idx="90">
                  <c:v>2.457970142364502</c:v>
                </c:pt>
                <c:pt idx="91">
                  <c:v>2.4463984966278076</c:v>
                </c:pt>
                <c:pt idx="92">
                  <c:v>2.4499247074127197</c:v>
                </c:pt>
                <c:pt idx="93">
                  <c:v>2.4571454524993896</c:v>
                </c:pt>
                <c:pt idx="94">
                  <c:v>2.4539017677307129</c:v>
                </c:pt>
                <c:pt idx="95">
                  <c:v>2.4666848182678223</c:v>
                </c:pt>
                <c:pt idx="96">
                  <c:v>2.4670159816741943</c:v>
                </c:pt>
                <c:pt idx="97">
                  <c:v>2.4540987014770508</c:v>
                </c:pt>
                <c:pt idx="98">
                  <c:v>2.4394369125366211</c:v>
                </c:pt>
                <c:pt idx="99">
                  <c:v>2.444237232208252</c:v>
                </c:pt>
                <c:pt idx="100">
                  <c:v>2.4537122249603271</c:v>
                </c:pt>
                <c:pt idx="101">
                  <c:v>2.4378161430358887</c:v>
                </c:pt>
                <c:pt idx="102">
                  <c:v>2.4377946853637695</c:v>
                </c:pt>
                <c:pt idx="103">
                  <c:v>2.4634501934051514</c:v>
                </c:pt>
                <c:pt idx="104">
                  <c:v>2.4612157344818115</c:v>
                </c:pt>
                <c:pt idx="105">
                  <c:v>2.4492590427398682</c:v>
                </c:pt>
                <c:pt idx="106">
                  <c:v>2.4443175792694092</c:v>
                </c:pt>
                <c:pt idx="107">
                  <c:v>2.4458563327789307</c:v>
                </c:pt>
                <c:pt idx="108">
                  <c:v>2.456963062286377</c:v>
                </c:pt>
                <c:pt idx="109">
                  <c:v>2.4392116069793701</c:v>
                </c:pt>
                <c:pt idx="110">
                  <c:v>2.4226911067962646</c:v>
                </c:pt>
                <c:pt idx="111">
                  <c:v>2.4440779685974121</c:v>
                </c:pt>
                <c:pt idx="112">
                  <c:v>2.4572653770446777</c:v>
                </c:pt>
                <c:pt idx="113">
                  <c:v>2.4457614421844482</c:v>
                </c:pt>
                <c:pt idx="114">
                  <c:v>2.4413156509399414</c:v>
                </c:pt>
                <c:pt idx="115">
                  <c:v>2.4488208293914795</c:v>
                </c:pt>
                <c:pt idx="116">
                  <c:v>2.4547426700592041</c:v>
                </c:pt>
                <c:pt idx="117">
                  <c:v>2.4512860774993896</c:v>
                </c:pt>
                <c:pt idx="118">
                  <c:v>2.4607343673706055</c:v>
                </c:pt>
                <c:pt idx="119">
                  <c:v>2.445756196975708</c:v>
                </c:pt>
                <c:pt idx="120">
                  <c:v>2.4358749389648438</c:v>
                </c:pt>
                <c:pt idx="121">
                  <c:v>2.4488189220428467</c:v>
                </c:pt>
                <c:pt idx="122">
                  <c:v>2.4410400390625</c:v>
                </c:pt>
                <c:pt idx="123">
                  <c:v>2.4592761993408203</c:v>
                </c:pt>
                <c:pt idx="124">
                  <c:v>2.4670732021331787</c:v>
                </c:pt>
                <c:pt idx="125">
                  <c:v>2.4683542251586914</c:v>
                </c:pt>
                <c:pt idx="126">
                  <c:v>2.4631621837615967</c:v>
                </c:pt>
                <c:pt idx="127">
                  <c:v>2.4511787891387939</c:v>
                </c:pt>
                <c:pt idx="128">
                  <c:v>2.4541916847229004</c:v>
                </c:pt>
                <c:pt idx="129">
                  <c:v>2.4731810092926025</c:v>
                </c:pt>
                <c:pt idx="130">
                  <c:v>2.4695761203765869</c:v>
                </c:pt>
                <c:pt idx="131">
                  <c:v>2.4518086910247803</c:v>
                </c:pt>
                <c:pt idx="132">
                  <c:v>2.4448652267456055</c:v>
                </c:pt>
                <c:pt idx="133">
                  <c:v>2.4399559497833252</c:v>
                </c:pt>
                <c:pt idx="134">
                  <c:v>2.4560940265655518</c:v>
                </c:pt>
                <c:pt idx="135">
                  <c:v>2.4628670215606689</c:v>
                </c:pt>
                <c:pt idx="136">
                  <c:v>2.3260800838470459</c:v>
                </c:pt>
                <c:pt idx="137">
                  <c:v>2.2577672004699707</c:v>
                </c:pt>
                <c:pt idx="138">
                  <c:v>2.3749027252197266</c:v>
                </c:pt>
                <c:pt idx="139">
                  <c:v>2.4447433948516846</c:v>
                </c:pt>
                <c:pt idx="140">
                  <c:v>2.4375638961791992</c:v>
                </c:pt>
                <c:pt idx="141">
                  <c:v>2.4652500152587891</c:v>
                </c:pt>
                <c:pt idx="142">
                  <c:v>2.4691555500030518</c:v>
                </c:pt>
                <c:pt idx="143">
                  <c:v>2.4360449314117432</c:v>
                </c:pt>
                <c:pt idx="144">
                  <c:v>2.4518139362335205</c:v>
                </c:pt>
                <c:pt idx="145">
                  <c:v>2.4801836013793945</c:v>
                </c:pt>
                <c:pt idx="146">
                  <c:v>2.4440689086914063</c:v>
                </c:pt>
                <c:pt idx="147">
                  <c:v>2.4594266414642334</c:v>
                </c:pt>
                <c:pt idx="148">
                  <c:v>2.5428125858306885</c:v>
                </c:pt>
                <c:pt idx="149">
                  <c:v>2.5392720699310303</c:v>
                </c:pt>
                <c:pt idx="150">
                  <c:v>2.4584836959838867</c:v>
                </c:pt>
                <c:pt idx="151">
                  <c:v>2.4811265468597412</c:v>
                </c:pt>
                <c:pt idx="152">
                  <c:v>2.482210636138916</c:v>
                </c:pt>
                <c:pt idx="153">
                  <c:v>2.456676721572876</c:v>
                </c:pt>
                <c:pt idx="154">
                  <c:v>2.4582548141479492</c:v>
                </c:pt>
                <c:pt idx="155">
                  <c:v>2.4673182964324951</c:v>
                </c:pt>
                <c:pt idx="156">
                  <c:v>2.432142972946167</c:v>
                </c:pt>
                <c:pt idx="157">
                  <c:v>2.4256341457366943</c:v>
                </c:pt>
                <c:pt idx="158">
                  <c:v>2.4478957653045654</c:v>
                </c:pt>
                <c:pt idx="159">
                  <c:v>2.4453856945037842</c:v>
                </c:pt>
                <c:pt idx="160">
                  <c:v>2.4515671730041504</c:v>
                </c:pt>
                <c:pt idx="161">
                  <c:v>2.4269330501556396</c:v>
                </c:pt>
                <c:pt idx="162">
                  <c:v>2.4114413261413574</c:v>
                </c:pt>
                <c:pt idx="163">
                  <c:v>2.4572491645812988</c:v>
                </c:pt>
                <c:pt idx="164">
                  <c:v>2.4370522499084473</c:v>
                </c:pt>
                <c:pt idx="165">
                  <c:v>2.4338836669921875</c:v>
                </c:pt>
                <c:pt idx="166">
                  <c:v>2.46848464012146</c:v>
                </c:pt>
                <c:pt idx="167">
                  <c:v>2.4379448890686035</c:v>
                </c:pt>
                <c:pt idx="168">
                  <c:v>2.4679498672485352</c:v>
                </c:pt>
                <c:pt idx="169">
                  <c:v>2.4507172107696533</c:v>
                </c:pt>
                <c:pt idx="170">
                  <c:v>2.4302983283996582</c:v>
                </c:pt>
                <c:pt idx="171">
                  <c:v>2.4358983039855957</c:v>
                </c:pt>
                <c:pt idx="172">
                  <c:v>2.4501626491546631</c:v>
                </c:pt>
                <c:pt idx="173">
                  <c:v>2.4458205699920654</c:v>
                </c:pt>
                <c:pt idx="174">
                  <c:v>2.4321696758270264</c:v>
                </c:pt>
                <c:pt idx="175">
                  <c:v>2.4442265033721924</c:v>
                </c:pt>
                <c:pt idx="176">
                  <c:v>2.4334185123443604</c:v>
                </c:pt>
                <c:pt idx="177">
                  <c:v>2.446019172668457</c:v>
                </c:pt>
                <c:pt idx="178">
                  <c:v>2.4606823921203613</c:v>
                </c:pt>
                <c:pt idx="179">
                  <c:v>2.4660749435424805</c:v>
                </c:pt>
                <c:pt idx="180">
                  <c:v>2.4710342884063721</c:v>
                </c:pt>
                <c:pt idx="181">
                  <c:v>2.4669139385223389</c:v>
                </c:pt>
                <c:pt idx="182">
                  <c:v>2.4818313121795654</c:v>
                </c:pt>
                <c:pt idx="183">
                  <c:v>2.4483537673950195</c:v>
                </c:pt>
                <c:pt idx="184">
                  <c:v>2.4371719360351563</c:v>
                </c:pt>
                <c:pt idx="185">
                  <c:v>2.4388108253479004</c:v>
                </c:pt>
                <c:pt idx="186">
                  <c:v>2.4511091709136963</c:v>
                </c:pt>
                <c:pt idx="187">
                  <c:v>2.4691448211669922</c:v>
                </c:pt>
                <c:pt idx="188">
                  <c:v>2.4369287490844727</c:v>
                </c:pt>
                <c:pt idx="189">
                  <c:v>2.4443731307983398</c:v>
                </c:pt>
                <c:pt idx="190">
                  <c:v>2.4413084983825684</c:v>
                </c:pt>
                <c:pt idx="191">
                  <c:v>2.4202489852905273</c:v>
                </c:pt>
                <c:pt idx="192">
                  <c:v>2.4416053295135498</c:v>
                </c:pt>
                <c:pt idx="193">
                  <c:v>2.4296166896820068</c:v>
                </c:pt>
                <c:pt idx="194">
                  <c:v>2.4517083168029785</c:v>
                </c:pt>
                <c:pt idx="195">
                  <c:v>2.4635987281799316</c:v>
                </c:pt>
                <c:pt idx="196">
                  <c:v>2.5045385360717773</c:v>
                </c:pt>
                <c:pt idx="197">
                  <c:v>2.4911096096038818</c:v>
                </c:pt>
                <c:pt idx="198">
                  <c:v>2.4590544700622559</c:v>
                </c:pt>
                <c:pt idx="199">
                  <c:v>2.4731507301330566</c:v>
                </c:pt>
                <c:pt idx="200">
                  <c:v>2.4859015941619873</c:v>
                </c:pt>
                <c:pt idx="201">
                  <c:v>2.4770455360412598</c:v>
                </c:pt>
                <c:pt idx="202">
                  <c:v>2.4345600605010986</c:v>
                </c:pt>
                <c:pt idx="203">
                  <c:v>2.4676582813262939</c:v>
                </c:pt>
                <c:pt idx="204">
                  <c:v>2.4601778984069824</c:v>
                </c:pt>
                <c:pt idx="205">
                  <c:v>2.4731185436248779</c:v>
                </c:pt>
                <c:pt idx="206">
                  <c:v>2.4437916278839111</c:v>
                </c:pt>
                <c:pt idx="207">
                  <c:v>2.4493021965026855</c:v>
                </c:pt>
                <c:pt idx="208">
                  <c:v>2.4087505340576172</c:v>
                </c:pt>
                <c:pt idx="209">
                  <c:v>2.4048001766204834</c:v>
                </c:pt>
                <c:pt idx="210">
                  <c:v>2.4405891895294189</c:v>
                </c:pt>
                <c:pt idx="211">
                  <c:v>2.43532395362854</c:v>
                </c:pt>
                <c:pt idx="212">
                  <c:v>2.4787290096282959</c:v>
                </c:pt>
                <c:pt idx="213">
                  <c:v>2.4515528678894043</c:v>
                </c:pt>
                <c:pt idx="214">
                  <c:v>2.4751420021057129</c:v>
                </c:pt>
                <c:pt idx="215">
                  <c:v>2.4292285442352295</c:v>
                </c:pt>
                <c:pt idx="216">
                  <c:v>2.4432942867279053</c:v>
                </c:pt>
                <c:pt idx="217">
                  <c:v>2.4894332885742188</c:v>
                </c:pt>
                <c:pt idx="218">
                  <c:v>2.4359591007232666</c:v>
                </c:pt>
                <c:pt idx="219">
                  <c:v>2.4328835010528564</c:v>
                </c:pt>
                <c:pt idx="220">
                  <c:v>2.3790533542633057</c:v>
                </c:pt>
                <c:pt idx="221">
                  <c:v>2.4443159103393555</c:v>
                </c:pt>
                <c:pt idx="222">
                  <c:v>2.5484840869903564</c:v>
                </c:pt>
                <c:pt idx="223">
                  <c:v>2.4614894390106201</c:v>
                </c:pt>
                <c:pt idx="224">
                  <c:v>2.4795324802398682</c:v>
                </c:pt>
                <c:pt idx="225">
                  <c:v>2.3509252071380615</c:v>
                </c:pt>
              </c:numCache>
            </c:numRef>
          </c:yVal>
          <c:smooth val="1"/>
          <c:extLst>
            <c:ext xmlns:c15="http://schemas.microsoft.com/office/drawing/2012/chart" uri="{02D57815-91ED-43cb-92C2-25804820EDAC}">
              <c15:datalabelsRange>
                <c15:f>PeakLabels!$H$2:$H$300</c15:f>
                <c15:dlblRangeCache>
                  <c:ptCount val="299"/>
                </c15:dlblRangeCache>
              </c15:datalabelsRange>
            </c:ext>
            <c:ext xmlns:c16="http://schemas.microsoft.com/office/drawing/2014/chart" uri="{C3380CC4-5D6E-409C-BE32-E72D297353CC}">
              <c16:uniqueId val="{00000000-5141-46A1-A384-3EAD2862620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5E7A735-59A5-4EC7-B12F-614A2BCFBC7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141-46A1-A384-3EAD28626209}"/>
                </c:ext>
              </c:extLst>
            </c:dLbl>
            <c:dLbl>
              <c:idx val="1"/>
              <c:tx>
                <c:rich>
                  <a:bodyPr/>
                  <a:lstStyle/>
                  <a:p>
                    <a:fld id="{5C24ADC6-C46E-4151-946E-18DF0F08053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141-46A1-A384-3EAD28626209}"/>
                </c:ext>
              </c:extLst>
            </c:dLbl>
            <c:dLbl>
              <c:idx val="2"/>
              <c:tx>
                <c:rich>
                  <a:bodyPr/>
                  <a:lstStyle/>
                  <a:p>
                    <a:fld id="{D0CD4744-36A7-4057-95BC-3F351296F4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141-46A1-A384-3EAD28626209}"/>
                </c:ext>
              </c:extLst>
            </c:dLbl>
            <c:dLbl>
              <c:idx val="3"/>
              <c:tx>
                <c:rich>
                  <a:bodyPr/>
                  <a:lstStyle/>
                  <a:p>
                    <a:fld id="{AC79FD91-7C06-4010-A6CA-2E348AF2D7F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141-46A1-A384-3EAD28626209}"/>
                </c:ext>
              </c:extLst>
            </c:dLbl>
            <c:dLbl>
              <c:idx val="4"/>
              <c:tx>
                <c:rich>
                  <a:bodyPr/>
                  <a:lstStyle/>
                  <a:p>
                    <a:fld id="{0A0A8FB6-0DD2-4BD9-B7E8-34D202BCF53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141-46A1-A384-3EAD2862620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5141-46A1-A384-3EAD28626209}"/>
            </c:ext>
          </c:extLst>
        </c:ser>
        <c:dLbls>
          <c:showLegendKey val="0"/>
          <c:showVal val="0"/>
          <c:showCatName val="0"/>
          <c:showSerName val="0"/>
          <c:showPercent val="0"/>
          <c:showBubbleSize val="0"/>
        </c:dLbls>
        <c:axId val="1767902464"/>
        <c:axId val="1767907904"/>
      </c:scatterChart>
      <c:valAx>
        <c:axId val="176790246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7904"/>
        <c:crossesAt val="0"/>
        <c:crossBetween val="midCat"/>
        <c:majorUnit val="100"/>
      </c:valAx>
      <c:valAx>
        <c:axId val="1767907904"/>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246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ChromatogramData!$B$2:$B$10001</c:f>
              <c:numCache>
                <c:formatCode>General</c:formatCode>
                <c:ptCount val="10000"/>
                <c:pt idx="0">
                  <c:v>75.977231239598467</c:v>
                </c:pt>
                <c:pt idx="1">
                  <c:v>76.783510700186781</c:v>
                </c:pt>
                <c:pt idx="2">
                  <c:v>73.279463747143552</c:v>
                </c:pt>
                <c:pt idx="3">
                  <c:v>69.309082187165473</c:v>
                </c:pt>
                <c:pt idx="4">
                  <c:v>66.755137517410091</c:v>
                </c:pt>
                <c:pt idx="5">
                  <c:v>64.615228246335192</c:v>
                </c:pt>
                <c:pt idx="6">
                  <c:v>62.213822933988396</c:v>
                </c:pt>
                <c:pt idx="7">
                  <c:v>60.457441190112256</c:v>
                </c:pt>
                <c:pt idx="8">
                  <c:v>59.760118413387239</c:v>
                </c:pt>
                <c:pt idx="9">
                  <c:v>59.563996382433317</c:v>
                </c:pt>
                <c:pt idx="10">
                  <c:v>59.363516084124882</c:v>
                </c:pt>
                <c:pt idx="11">
                  <c:v>58.892823209835484</c:v>
                </c:pt>
                <c:pt idx="12">
                  <c:v>58.452638207027832</c:v>
                </c:pt>
                <c:pt idx="13">
                  <c:v>58.021169738929224</c:v>
                </c:pt>
                <c:pt idx="14">
                  <c:v>58.012453204220151</c:v>
                </c:pt>
                <c:pt idx="15">
                  <c:v>59.067153904016749</c:v>
                </c:pt>
                <c:pt idx="16">
                  <c:v>61.137330897419154</c:v>
                </c:pt>
                <c:pt idx="17">
                  <c:v>63.081118137540138</c:v>
                </c:pt>
                <c:pt idx="18">
                  <c:v>64.427822750090343</c:v>
                </c:pt>
                <c:pt idx="19">
                  <c:v>65.277684884223959</c:v>
                </c:pt>
                <c:pt idx="20">
                  <c:v>65.62634627258646</c:v>
                </c:pt>
                <c:pt idx="21">
                  <c:v>65.098995922688175</c:v>
                </c:pt>
                <c:pt idx="22">
                  <c:v>63.377480317648278</c:v>
                </c:pt>
                <c:pt idx="23">
                  <c:v>60.627413616938981</c:v>
                </c:pt>
                <c:pt idx="24">
                  <c:v>57.389220972522168</c:v>
                </c:pt>
                <c:pt idx="25">
                  <c:v>54.486614914404271</c:v>
                </c:pt>
                <c:pt idx="26">
                  <c:v>52.656142625501097</c:v>
                </c:pt>
                <c:pt idx="27">
                  <c:v>51.780130887240297</c:v>
                </c:pt>
                <c:pt idx="28">
                  <c:v>51.418394696814183</c:v>
                </c:pt>
                <c:pt idx="29">
                  <c:v>51.183048259669484</c:v>
                </c:pt>
                <c:pt idx="30">
                  <c:v>50.947701822524792</c:v>
                </c:pt>
                <c:pt idx="31">
                  <c:v>50.734146722152765</c:v>
                </c:pt>
                <c:pt idx="32">
                  <c:v>50.468292413526342</c:v>
                </c:pt>
                <c:pt idx="33">
                  <c:v>50.219871174318058</c:v>
                </c:pt>
                <c:pt idx="34">
                  <c:v>50.054257014845874</c:v>
                </c:pt>
                <c:pt idx="35">
                  <c:v>49.897359390082734</c:v>
                </c:pt>
                <c:pt idx="36">
                  <c:v>49.757894834737733</c:v>
                </c:pt>
                <c:pt idx="37">
                  <c:v>49.605355477329134</c:v>
                </c:pt>
                <c:pt idx="38">
                  <c:v>49.513831862883983</c:v>
                </c:pt>
                <c:pt idx="39">
                  <c:v>49.465890921984133</c:v>
                </c:pt>
                <c:pt idx="40">
                  <c:v>49.492040526111317</c:v>
                </c:pt>
                <c:pt idx="41">
                  <c:v>49.561772803783818</c:v>
                </c:pt>
                <c:pt idx="42">
                  <c:v>49.670729487647108</c:v>
                </c:pt>
                <c:pt idx="43">
                  <c:v>49.818910577701175</c:v>
                </c:pt>
                <c:pt idx="44">
                  <c:v>50.028107410718683</c:v>
                </c:pt>
                <c:pt idx="45">
                  <c:v>50.250379045799775</c:v>
                </c:pt>
                <c:pt idx="46">
                  <c:v>50.477008948235408</c:v>
                </c:pt>
                <c:pt idx="47">
                  <c:v>50.712355385380107</c:v>
                </c:pt>
                <c:pt idx="48">
                  <c:v>50.969493159297457</c:v>
                </c:pt>
                <c:pt idx="49">
                  <c:v>51.331229349723557</c:v>
                </c:pt>
                <c:pt idx="50">
                  <c:v>51.749623015758566</c:v>
                </c:pt>
                <c:pt idx="51">
                  <c:v>52.272615098302332</c:v>
                </c:pt>
                <c:pt idx="52">
                  <c:v>52.865339458518598</c:v>
                </c:pt>
                <c:pt idx="53">
                  <c:v>53.453705551380338</c:v>
                </c:pt>
                <c:pt idx="54">
                  <c:v>54.159744862814414</c:v>
                </c:pt>
                <c:pt idx="55">
                  <c:v>54.878858976312102</c:v>
                </c:pt>
                <c:pt idx="56">
                  <c:v>55.497732940655553</c:v>
                </c:pt>
                <c:pt idx="57">
                  <c:v>56.086099033517293</c:v>
                </c:pt>
                <c:pt idx="58">
                  <c:v>56.718047799924349</c:v>
                </c:pt>
                <c:pt idx="59">
                  <c:v>57.411012309294826</c:v>
                </c:pt>
                <c:pt idx="60">
                  <c:v>58.125768155437967</c:v>
                </c:pt>
                <c:pt idx="61">
                  <c:v>58.814374397453918</c:v>
                </c:pt>
                <c:pt idx="62">
                  <c:v>59.507338906824415</c:v>
                </c:pt>
                <c:pt idx="63">
                  <c:v>60.108779801749748</c:v>
                </c:pt>
                <c:pt idx="64">
                  <c:v>60.836610449956481</c:v>
                </c:pt>
                <c:pt idx="65">
                  <c:v>61.682114316735571</c:v>
                </c:pt>
                <c:pt idx="66">
                  <c:v>62.671441006214195</c:v>
                </c:pt>
                <c:pt idx="67">
                  <c:v>63.787157448974227</c:v>
                </c:pt>
                <c:pt idx="68">
                  <c:v>65.103354190042694</c:v>
                </c:pt>
                <c:pt idx="69">
                  <c:v>66.689763507092124</c:v>
                </c:pt>
                <c:pt idx="70">
                  <c:v>68.520235795995305</c:v>
                </c:pt>
                <c:pt idx="71">
                  <c:v>70.398649025798321</c:v>
                </c:pt>
                <c:pt idx="72">
                  <c:v>72.303211859728535</c:v>
                </c:pt>
                <c:pt idx="73">
                  <c:v>74.1467589506953</c:v>
                </c:pt>
                <c:pt idx="74">
                  <c:v>76.216935944097699</c:v>
                </c:pt>
                <c:pt idx="75">
                  <c:v>78.474518433744947</c:v>
                </c:pt>
                <c:pt idx="76">
                  <c:v>80.618785972174393</c:v>
                </c:pt>
                <c:pt idx="77">
                  <c:v>82.257494497478191</c:v>
                </c:pt>
                <c:pt idx="78">
                  <c:v>83.155297572511657</c:v>
                </c:pt>
                <c:pt idx="79">
                  <c:v>83.787246338918692</c:v>
                </c:pt>
                <c:pt idx="80">
                  <c:v>83.887486488072923</c:v>
                </c:pt>
                <c:pt idx="81">
                  <c:v>82.919951135366972</c:v>
                </c:pt>
                <c:pt idx="82">
                  <c:v>80.810549735773762</c:v>
                </c:pt>
                <c:pt idx="83">
                  <c:v>78.23481372924573</c:v>
                </c:pt>
                <c:pt idx="84">
                  <c:v>75.990306041662066</c:v>
                </c:pt>
                <c:pt idx="85">
                  <c:v>74.251357367204051</c:v>
                </c:pt>
                <c:pt idx="86">
                  <c:v>72.795696070790584</c:v>
                </c:pt>
                <c:pt idx="87">
                  <c:v>71.597172548294438</c:v>
                </c:pt>
                <c:pt idx="88">
                  <c:v>71.048030861623502</c:v>
                </c:pt>
                <c:pt idx="89">
                  <c:v>70.943432445114738</c:v>
                </c:pt>
                <c:pt idx="90">
                  <c:v>70.899849771569436</c:v>
                </c:pt>
                <c:pt idx="91">
                  <c:v>70.629637195588487</c:v>
                </c:pt>
                <c:pt idx="92">
                  <c:v>70.202526994844419</c:v>
                </c:pt>
                <c:pt idx="93">
                  <c:v>69.827716002354705</c:v>
                </c:pt>
                <c:pt idx="94">
                  <c:v>69.614160901982672</c:v>
                </c:pt>
                <c:pt idx="95">
                  <c:v>69.422397138383289</c:v>
                </c:pt>
                <c:pt idx="96">
                  <c:v>69.348306593356256</c:v>
                </c:pt>
                <c:pt idx="97">
                  <c:v>69.496487683410322</c:v>
                </c:pt>
                <c:pt idx="98">
                  <c:v>69.871298675900022</c:v>
                </c:pt>
                <c:pt idx="99">
                  <c:v>70.154586053944556</c:v>
                </c:pt>
                <c:pt idx="100">
                  <c:v>70.280975807225971</c:v>
                </c:pt>
                <c:pt idx="101">
                  <c:v>70.141511251880971</c:v>
                </c:pt>
                <c:pt idx="102">
                  <c:v>69.96718055769972</c:v>
                </c:pt>
                <c:pt idx="103">
                  <c:v>69.980255359763305</c:v>
                </c:pt>
                <c:pt idx="104">
                  <c:v>70.577337987334104</c:v>
                </c:pt>
                <c:pt idx="105">
                  <c:v>70.864983632733171</c:v>
                </c:pt>
                <c:pt idx="106">
                  <c:v>70.882416702151303</c:v>
                </c:pt>
                <c:pt idx="107">
                  <c:v>70.869341900087718</c:v>
                </c:pt>
                <c:pt idx="108">
                  <c:v>71.396692249986003</c:v>
                </c:pt>
                <c:pt idx="109">
                  <c:v>71.932759134593368</c:v>
                </c:pt>
                <c:pt idx="110">
                  <c:v>72.089656759356501</c:v>
                </c:pt>
                <c:pt idx="111">
                  <c:v>71.954550471366019</c:v>
                </c:pt>
                <c:pt idx="112">
                  <c:v>71.623322152421636</c:v>
                </c:pt>
                <c:pt idx="113">
                  <c:v>71.244152892577404</c:v>
                </c:pt>
                <c:pt idx="114">
                  <c:v>71.906609530466184</c:v>
                </c:pt>
                <c:pt idx="115">
                  <c:v>72.23347958205602</c:v>
                </c:pt>
                <c:pt idx="116">
                  <c:v>71.910967797820703</c:v>
                </c:pt>
                <c:pt idx="117">
                  <c:v>72.124522898192737</c:v>
                </c:pt>
                <c:pt idx="118">
                  <c:v>74.10317627714997</c:v>
                </c:pt>
                <c:pt idx="119">
                  <c:v>76.848884710504748</c:v>
                </c:pt>
                <c:pt idx="120">
                  <c:v>76.356400499442714</c:v>
                </c:pt>
                <c:pt idx="121">
                  <c:v>75.397581681445814</c:v>
                </c:pt>
                <c:pt idx="122">
                  <c:v>75.275550195518932</c:v>
                </c:pt>
                <c:pt idx="123">
                  <c:v>75.205817917846417</c:v>
                </c:pt>
                <c:pt idx="124">
                  <c:v>73.981144791223102</c:v>
                </c:pt>
                <c:pt idx="125">
                  <c:v>72.067865422583836</c:v>
                </c:pt>
                <c:pt idx="126">
                  <c:v>71.387975715276951</c:v>
                </c:pt>
                <c:pt idx="127">
                  <c:v>71.091613535168804</c:v>
                </c:pt>
                <c:pt idx="128">
                  <c:v>70.847550563315053</c:v>
                </c:pt>
                <c:pt idx="129">
                  <c:v>70.647070265006604</c:v>
                </c:pt>
                <c:pt idx="130">
                  <c:v>70.690652938551921</c:v>
                </c:pt>
                <c:pt idx="131">
                  <c:v>71.863026856920854</c:v>
                </c:pt>
                <c:pt idx="132">
                  <c:v>72.917727556717452</c:v>
                </c:pt>
                <c:pt idx="133">
                  <c:v>73.192298400052934</c:v>
                </c:pt>
                <c:pt idx="134">
                  <c:v>72.185538641156185</c:v>
                </c:pt>
                <c:pt idx="135">
                  <c:v>70.424798629925505</c:v>
                </c:pt>
                <c:pt idx="136">
                  <c:v>69.461621544574072</c:v>
                </c:pt>
                <c:pt idx="137">
                  <c:v>69.313440454520006</c:v>
                </c:pt>
                <c:pt idx="138">
                  <c:v>69.644668773464389</c:v>
                </c:pt>
                <c:pt idx="139">
                  <c:v>70.280975807225971</c:v>
                </c:pt>
                <c:pt idx="140">
                  <c:v>70.394290758443773</c:v>
                </c:pt>
                <c:pt idx="141">
                  <c:v>70.590412789397703</c:v>
                </c:pt>
                <c:pt idx="142">
                  <c:v>70.41172382786192</c:v>
                </c:pt>
                <c:pt idx="143">
                  <c:v>69.936672686218003</c:v>
                </c:pt>
                <c:pt idx="144">
                  <c:v>70.259184470453306</c:v>
                </c:pt>
                <c:pt idx="145">
                  <c:v>76.256160350288468</c:v>
                </c:pt>
                <c:pt idx="146">
                  <c:v>87.478698788206771</c:v>
                </c:pt>
                <c:pt idx="147">
                  <c:v>88.699013647475567</c:v>
                </c:pt>
                <c:pt idx="148">
                  <c:v>79.99555374047641</c:v>
                </c:pt>
                <c:pt idx="149">
                  <c:v>72.826203942272286</c:v>
                </c:pt>
                <c:pt idx="150">
                  <c:v>71.061105663687087</c:v>
                </c:pt>
                <c:pt idx="151">
                  <c:v>71.161345812841319</c:v>
                </c:pt>
                <c:pt idx="152">
                  <c:v>70.991373386014587</c:v>
                </c:pt>
                <c:pt idx="153">
                  <c:v>70.485814372888953</c:v>
                </c:pt>
                <c:pt idx="154">
                  <c:v>70.51632224437067</c:v>
                </c:pt>
                <c:pt idx="155">
                  <c:v>70.673219869133789</c:v>
                </c:pt>
                <c:pt idx="156">
                  <c:v>71.13519620871412</c:v>
                </c:pt>
                <c:pt idx="157">
                  <c:v>71.370542645858819</c:v>
                </c:pt>
                <c:pt idx="158">
                  <c:v>71.122121406650535</c:v>
                </c:pt>
                <c:pt idx="159">
                  <c:v>70.58605452204317</c:v>
                </c:pt>
                <c:pt idx="160">
                  <c:v>70.080495508917522</c:v>
                </c:pt>
                <c:pt idx="161">
                  <c:v>70.076137241563003</c:v>
                </c:pt>
                <c:pt idx="162">
                  <c:v>70.102286845690188</c:v>
                </c:pt>
                <c:pt idx="163">
                  <c:v>70.311483678707688</c:v>
                </c:pt>
                <c:pt idx="164">
                  <c:v>70.886774969505836</c:v>
                </c:pt>
                <c:pt idx="165">
                  <c:v>71.592814280939919</c:v>
                </c:pt>
                <c:pt idx="166">
                  <c:v>71.76714497512117</c:v>
                </c:pt>
                <c:pt idx="167">
                  <c:v>71.632038687130702</c:v>
                </c:pt>
                <c:pt idx="168">
                  <c:v>71.235436357868352</c:v>
                </c:pt>
                <c:pt idx="169">
                  <c:v>71.344393041731621</c:v>
                </c:pt>
                <c:pt idx="170">
                  <c:v>71.706129232157735</c:v>
                </c:pt>
                <c:pt idx="171">
                  <c:v>71.924042599884288</c:v>
                </c:pt>
                <c:pt idx="172">
                  <c:v>72.499333890682436</c:v>
                </c:pt>
                <c:pt idx="173">
                  <c:v>73.588900729315284</c:v>
                </c:pt>
                <c:pt idx="174">
                  <c:v>73.806814097041851</c:v>
                </c:pt>
                <c:pt idx="175">
                  <c:v>73.584542461960737</c:v>
                </c:pt>
                <c:pt idx="176">
                  <c:v>73.253314143016354</c:v>
                </c:pt>
                <c:pt idx="177">
                  <c:v>72.595215772482135</c:v>
                </c:pt>
                <c:pt idx="178">
                  <c:v>72.133239432901803</c:v>
                </c:pt>
                <c:pt idx="179">
                  <c:v>72.085298492001968</c:v>
                </c:pt>
                <c:pt idx="180">
                  <c:v>71.954550471366019</c:v>
                </c:pt>
                <c:pt idx="181">
                  <c:v>71.618963885067103</c:v>
                </c:pt>
                <c:pt idx="182">
                  <c:v>71.714845766866787</c:v>
                </c:pt>
                <c:pt idx="183">
                  <c:v>72.320644929146653</c:v>
                </c:pt>
                <c:pt idx="184">
                  <c:v>80.466246614765794</c:v>
                </c:pt>
                <c:pt idx="185">
                  <c:v>96.652851569495297</c:v>
                </c:pt>
                <c:pt idx="186">
                  <c:v>100.00000089777541</c:v>
                </c:pt>
                <c:pt idx="187">
                  <c:v>90.677667026432815</c:v>
                </c:pt>
                <c:pt idx="188">
                  <c:v>78.705506603535113</c:v>
                </c:pt>
                <c:pt idx="189">
                  <c:v>73.724007017305766</c:v>
                </c:pt>
                <c:pt idx="190">
                  <c:v>72.490617355973384</c:v>
                </c:pt>
                <c:pt idx="191">
                  <c:v>72.516766960100568</c:v>
                </c:pt>
                <c:pt idx="192">
                  <c:v>72.564707901000418</c:v>
                </c:pt>
                <c:pt idx="193">
                  <c:v>72.769546466663385</c:v>
                </c:pt>
                <c:pt idx="194">
                  <c:v>72.895936219944801</c:v>
                </c:pt>
                <c:pt idx="195">
                  <c:v>72.878503150526669</c:v>
                </c:pt>
                <c:pt idx="196">
                  <c:v>72.734680327827121</c:v>
                </c:pt>
                <c:pt idx="197">
                  <c:v>72.664948050154635</c:v>
                </c:pt>
                <c:pt idx="198">
                  <c:v>72.699814188990871</c:v>
                </c:pt>
                <c:pt idx="199">
                  <c:v>72.795696070790584</c:v>
                </c:pt>
                <c:pt idx="200">
                  <c:v>72.830562209626819</c:v>
                </c:pt>
                <c:pt idx="201">
                  <c:v>72.861070081108551</c:v>
                </c:pt>
                <c:pt idx="202">
                  <c:v>72.861070081108551</c:v>
                </c:pt>
                <c:pt idx="203">
                  <c:v>72.861070081108551</c:v>
                </c:pt>
                <c:pt idx="204">
                  <c:v>72.987459834389938</c:v>
                </c:pt>
                <c:pt idx="205">
                  <c:v>73.157432261216684</c:v>
                </c:pt>
                <c:pt idx="206">
                  <c:v>73.23588107359825</c:v>
                </c:pt>
                <c:pt idx="207">
                  <c:v>73.275105479789033</c:v>
                </c:pt>
                <c:pt idx="208">
                  <c:v>73.370987361588703</c:v>
                </c:pt>
                <c:pt idx="209">
                  <c:v>73.45815270867935</c:v>
                </c:pt>
                <c:pt idx="210">
                  <c:v>73.432003104552166</c:v>
                </c:pt>
                <c:pt idx="211">
                  <c:v>73.484302312806548</c:v>
                </c:pt>
                <c:pt idx="212">
                  <c:v>73.554034590479034</c:v>
                </c:pt>
                <c:pt idx="213">
                  <c:v>74.704617172075316</c:v>
                </c:pt>
                <c:pt idx="214">
                  <c:v>79.354888439360295</c:v>
                </c:pt>
                <c:pt idx="215">
                  <c:v>81.063329242336593</c:v>
                </c:pt>
                <c:pt idx="216">
                  <c:v>81.324825283608476</c:v>
                </c:pt>
                <c:pt idx="217">
                  <c:v>78.622699523799028</c:v>
                </c:pt>
                <c:pt idx="218">
                  <c:v>76.413057975051615</c:v>
                </c:pt>
                <c:pt idx="219">
                  <c:v>75.336565938482366</c:v>
                </c:pt>
                <c:pt idx="220">
                  <c:v>75.136085640173917</c:v>
                </c:pt>
                <c:pt idx="221">
                  <c:v>75.188384848428299</c:v>
                </c:pt>
                <c:pt idx="222">
                  <c:v>75.2581171261008</c:v>
                </c:pt>
                <c:pt idx="223">
                  <c:v>75.153518709592049</c:v>
                </c:pt>
                <c:pt idx="224">
                  <c:v>74.844081727420317</c:v>
                </c:pt>
                <c:pt idx="225">
                  <c:v>74.66103449853</c:v>
                </c:pt>
                <c:pt idx="226">
                  <c:v>74.647959696466401</c:v>
                </c:pt>
                <c:pt idx="227">
                  <c:v>74.713333706784383</c:v>
                </c:pt>
                <c:pt idx="228">
                  <c:v>74.769991182393284</c:v>
                </c:pt>
                <c:pt idx="229">
                  <c:v>74.857156529483916</c:v>
                </c:pt>
                <c:pt idx="230">
                  <c:v>74.896380935674699</c:v>
                </c:pt>
                <c:pt idx="231">
                  <c:v>74.909455737738298</c:v>
                </c:pt>
                <c:pt idx="232">
                  <c:v>74.935605341865482</c:v>
                </c:pt>
                <c:pt idx="233">
                  <c:v>74.996621084828931</c:v>
                </c:pt>
                <c:pt idx="234">
                  <c:v>75.114294303401266</c:v>
                </c:pt>
                <c:pt idx="235">
                  <c:v>75.240684056682682</c:v>
                </c:pt>
                <c:pt idx="236">
                  <c:v>75.476030493827366</c:v>
                </c:pt>
                <c:pt idx="237">
                  <c:v>75.698302128908466</c:v>
                </c:pt>
                <c:pt idx="238">
                  <c:v>75.863916288380665</c:v>
                </c:pt>
                <c:pt idx="239">
                  <c:v>75.972872972243948</c:v>
                </c:pt>
                <c:pt idx="240">
                  <c:v>75.977231239598467</c:v>
                </c:pt>
                <c:pt idx="241">
                  <c:v>75.985947774307533</c:v>
                </c:pt>
                <c:pt idx="242">
                  <c:v>75.942365100762231</c:v>
                </c:pt>
                <c:pt idx="243">
                  <c:v>75.911857229280514</c:v>
                </c:pt>
                <c:pt idx="244">
                  <c:v>76.01645564578925</c:v>
                </c:pt>
                <c:pt idx="245">
                  <c:v>76.060038319334581</c:v>
                </c:pt>
                <c:pt idx="246">
                  <c:v>76.14284539907068</c:v>
                </c:pt>
                <c:pt idx="247">
                  <c:v>75.990306041662066</c:v>
                </c:pt>
                <c:pt idx="248">
                  <c:v>75.833408416898934</c:v>
                </c:pt>
                <c:pt idx="249">
                  <c:v>75.733168267744716</c:v>
                </c:pt>
                <c:pt idx="250">
                  <c:v>75.868274555735184</c:v>
                </c:pt>
                <c:pt idx="251">
                  <c:v>76.107979260234416</c:v>
                </c:pt>
                <c:pt idx="252">
                  <c:v>76.304101291188331</c:v>
                </c:pt>
                <c:pt idx="253">
                  <c:v>76.243085548224897</c:v>
                </c:pt>
                <c:pt idx="254">
                  <c:v>76.094904458170816</c:v>
                </c:pt>
                <c:pt idx="255">
                  <c:v>75.920573763989566</c:v>
                </c:pt>
                <c:pt idx="256">
                  <c:v>75.837766684253481</c:v>
                </c:pt>
                <c:pt idx="257">
                  <c:v>75.842124951608</c:v>
                </c:pt>
                <c:pt idx="258">
                  <c:v>75.903140694571448</c:v>
                </c:pt>
                <c:pt idx="259">
                  <c:v>75.946723368116764</c:v>
                </c:pt>
                <c:pt idx="260">
                  <c:v>75.981589506953014</c:v>
                </c:pt>
                <c:pt idx="261">
                  <c:v>76.012097378434731</c:v>
                </c:pt>
                <c:pt idx="262">
                  <c:v>76.090546190816298</c:v>
                </c:pt>
                <c:pt idx="263">
                  <c:v>76.14284539907068</c:v>
                </c:pt>
                <c:pt idx="264">
                  <c:v>76.14284539907068</c:v>
                </c:pt>
                <c:pt idx="265">
                  <c:v>76.121054062298001</c:v>
                </c:pt>
                <c:pt idx="266">
                  <c:v>75.990306041662066</c:v>
                </c:pt>
                <c:pt idx="267">
                  <c:v>75.802900545417216</c:v>
                </c:pt>
                <c:pt idx="268">
                  <c:v>75.567554108272532</c:v>
                </c:pt>
                <c:pt idx="269">
                  <c:v>75.336565938482366</c:v>
                </c:pt>
                <c:pt idx="270">
                  <c:v>75.149160442237516</c:v>
                </c:pt>
                <c:pt idx="271">
                  <c:v>75.018412421601568</c:v>
                </c:pt>
                <c:pt idx="272">
                  <c:v>75.018412421601568</c:v>
                </c:pt>
                <c:pt idx="273">
                  <c:v>75.153518709592049</c:v>
                </c:pt>
                <c:pt idx="274">
                  <c:v>75.2450423240372</c:v>
                </c:pt>
                <c:pt idx="275">
                  <c:v>75.275550195518932</c:v>
                </c:pt>
                <c:pt idx="276">
                  <c:v>75.131727372819384</c:v>
                </c:pt>
                <c:pt idx="277">
                  <c:v>74.861514796838449</c:v>
                </c:pt>
                <c:pt idx="278">
                  <c:v>74.578227418793915</c:v>
                </c:pt>
                <c:pt idx="279">
                  <c:v>74.321089644876551</c:v>
                </c:pt>
                <c:pt idx="280">
                  <c:v>74.094459742440918</c:v>
                </c:pt>
                <c:pt idx="281">
                  <c:v>73.9375621176778</c:v>
                </c:pt>
                <c:pt idx="282">
                  <c:v>73.911412513550601</c:v>
                </c:pt>
                <c:pt idx="283">
                  <c:v>74.04216053418655</c:v>
                </c:pt>
                <c:pt idx="284">
                  <c:v>74.037802266832017</c:v>
                </c:pt>
                <c:pt idx="285">
                  <c:v>74.077026673022786</c:v>
                </c:pt>
                <c:pt idx="286">
                  <c:v>73.832963701169049</c:v>
                </c:pt>
                <c:pt idx="287">
                  <c:v>73.532243253706369</c:v>
                </c:pt>
                <c:pt idx="288">
                  <c:v>73.131282657089486</c:v>
                </c:pt>
                <c:pt idx="289">
                  <c:v>72.67802285221822</c:v>
                </c:pt>
                <c:pt idx="290">
                  <c:v>72.285778790310403</c:v>
                </c:pt>
                <c:pt idx="291">
                  <c:v>72.011207946974935</c:v>
                </c:pt>
                <c:pt idx="292">
                  <c:v>71.889176461048052</c:v>
                </c:pt>
                <c:pt idx="293">
                  <c:v>71.83687725279367</c:v>
                </c:pt>
                <c:pt idx="294">
                  <c:v>71.706129232157735</c:v>
                </c:pt>
                <c:pt idx="295">
                  <c:v>71.405408784695069</c:v>
                </c:pt>
                <c:pt idx="296">
                  <c:v>71.008806455432705</c:v>
                </c:pt>
                <c:pt idx="297">
                  <c:v>70.459664768761755</c:v>
                </c:pt>
                <c:pt idx="298">
                  <c:v>69.845149071772838</c:v>
                </c:pt>
                <c:pt idx="299">
                  <c:v>72.037357551102133</c:v>
                </c:pt>
                <c:pt idx="300">
                  <c:v>81.564529988107708</c:v>
                </c:pt>
                <c:pt idx="301">
                  <c:v>83.421151881138073</c:v>
                </c:pt>
                <c:pt idx="302">
                  <c:v>85.787691054648619</c:v>
                </c:pt>
                <c:pt idx="303">
                  <c:v>78.67499873205341</c:v>
                </c:pt>
                <c:pt idx="304">
                  <c:v>70.830117493896921</c:v>
                </c:pt>
                <c:pt idx="305">
                  <c:v>67.552700443289339</c:v>
                </c:pt>
                <c:pt idx="306">
                  <c:v>66.611314694710558</c:v>
                </c:pt>
                <c:pt idx="307">
                  <c:v>66.236503702220858</c:v>
                </c:pt>
                <c:pt idx="308">
                  <c:v>65.73094468909521</c:v>
                </c:pt>
                <c:pt idx="309">
                  <c:v>64.998755773533958</c:v>
                </c:pt>
                <c:pt idx="310">
                  <c:v>64.135818837336728</c:v>
                </c:pt>
                <c:pt idx="311">
                  <c:v>63.229299227594204</c:v>
                </c:pt>
                <c:pt idx="312">
                  <c:v>62.405586697587786</c:v>
                </c:pt>
                <c:pt idx="313">
                  <c:v>61.603665504354005</c:v>
                </c:pt>
                <c:pt idx="314">
                  <c:v>60.945567133819765</c:v>
                </c:pt>
                <c:pt idx="315">
                  <c:v>60.335409704185373</c:v>
                </c:pt>
                <c:pt idx="316">
                  <c:v>59.625012125396765</c:v>
                </c:pt>
                <c:pt idx="317">
                  <c:v>58.857957070999241</c:v>
                </c:pt>
                <c:pt idx="318">
                  <c:v>57.886063450938749</c:v>
                </c:pt>
                <c:pt idx="319">
                  <c:v>56.879303692041994</c:v>
                </c:pt>
                <c:pt idx="320">
                  <c:v>55.885618735208851</c:v>
                </c:pt>
                <c:pt idx="321">
                  <c:v>54.626079469749278</c:v>
                </c:pt>
                <c:pt idx="322">
                  <c:v>53.46678035344393</c:v>
                </c:pt>
                <c:pt idx="323">
                  <c:v>52.04162692851218</c:v>
                </c:pt>
                <c:pt idx="324">
                  <c:v>50.755938058925423</c:v>
                </c:pt>
                <c:pt idx="325">
                  <c:v>49.609713744683667</c:v>
                </c:pt>
                <c:pt idx="326">
                  <c:v>48.450414628378326</c:v>
                </c:pt>
                <c:pt idx="327">
                  <c:v>47.073202144346403</c:v>
                </c:pt>
                <c:pt idx="328">
                  <c:v>45.443210153751671</c:v>
                </c:pt>
                <c:pt idx="329">
                  <c:v>43.5865882607213</c:v>
                </c:pt>
                <c:pt idx="330">
                  <c:v>41.621009683827658</c:v>
                </c:pt>
                <c:pt idx="331">
                  <c:v>39.607490166034168</c:v>
                </c:pt>
                <c:pt idx="332">
                  <c:v>37.550387974695354</c:v>
                </c:pt>
                <c:pt idx="333">
                  <c:v>35.536868456901857</c:v>
                </c:pt>
                <c:pt idx="334">
                  <c:v>33.518990671753834</c:v>
                </c:pt>
                <c:pt idx="335">
                  <c:v>31.501112886605803</c:v>
                </c:pt>
                <c:pt idx="336">
                  <c:v>29.465802032039655</c:v>
                </c:pt>
                <c:pt idx="337">
                  <c:v>27.404341573346315</c:v>
                </c:pt>
                <c:pt idx="338">
                  <c:v>25.3603141840711</c:v>
                </c:pt>
                <c:pt idx="339">
                  <c:v>23.38601907246839</c:v>
                </c:pt>
                <c:pt idx="340">
                  <c:v>22.562306542461961</c:v>
                </c:pt>
                <c:pt idx="341">
                  <c:v>22.448991591244148</c:v>
                </c:pt>
                <c:pt idx="342">
                  <c:v>21.302767277002392</c:v>
                </c:pt>
                <c:pt idx="343">
                  <c:v>18.635507656029194</c:v>
                </c:pt>
                <c:pt idx="344">
                  <c:v>14.952771741450182</c:v>
                </c:pt>
                <c:pt idx="345">
                  <c:v>12.934893956302155</c:v>
                </c:pt>
                <c:pt idx="346">
                  <c:v>11.614338947879153</c:v>
                </c:pt>
                <c:pt idx="347">
                  <c:v>10.32429181093786</c:v>
                </c:pt>
                <c:pt idx="348">
                  <c:v>8.8250478409790709</c:v>
                </c:pt>
                <c:pt idx="349">
                  <c:v>7.3824613466291877</c:v>
                </c:pt>
                <c:pt idx="350">
                  <c:v>6.1926543588421241</c:v>
                </c:pt>
                <c:pt idx="351">
                  <c:v>5.1205205896274046</c:v>
                </c:pt>
                <c:pt idx="352">
                  <c:v>4.1137608307306586</c:v>
                </c:pt>
                <c:pt idx="353">
                  <c:v>3.2595404292425099</c:v>
                </c:pt>
                <c:pt idx="354">
                  <c:v>2.6275916628354548</c:v>
                </c:pt>
                <c:pt idx="355">
                  <c:v>2.2745720071184157</c:v>
                </c:pt>
                <c:pt idx="356">
                  <c:v>2.0000011637829362</c:v>
                </c:pt>
              </c:numCache>
            </c:numRef>
          </c:yVal>
          <c:smooth val="1"/>
          <c:extLst>
            <c:ext xmlns:c16="http://schemas.microsoft.com/office/drawing/2014/chart" uri="{C3380CC4-5D6E-409C-BE32-E72D297353CC}">
              <c16:uniqueId val="{00000000-BC75-4D85-9A83-ACFCB27567B6}"/>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ChromatogramData!$C$2:$C$10001</c:f>
              <c:numCache>
                <c:formatCode>General</c:formatCode>
                <c:ptCount val="10000"/>
                <c:pt idx="0">
                  <c:v>14.612825683489213</c:v>
                </c:pt>
                <c:pt idx="1">
                  <c:v>11.217735414309272</c:v>
                </c:pt>
                <c:pt idx="2">
                  <c:v>8.1713065334918404</c:v>
                </c:pt>
                <c:pt idx="3">
                  <c:v>7.3998932117397871</c:v>
                </c:pt>
                <c:pt idx="4">
                  <c:v>7.8357199471929251</c:v>
                </c:pt>
                <c:pt idx="5">
                  <c:v>8.3325624256095026</c:v>
                </c:pt>
                <c:pt idx="6">
                  <c:v>8.1538734640737154</c:v>
                </c:pt>
                <c:pt idx="7">
                  <c:v>7.7267632633296417</c:v>
                </c:pt>
                <c:pt idx="8">
                  <c:v>7.6483144509480763</c:v>
                </c:pt>
                <c:pt idx="9">
                  <c:v>7.5524325691483858</c:v>
                </c:pt>
                <c:pt idx="10">
                  <c:v>6.8769011291960229</c:v>
                </c:pt>
                <c:pt idx="11">
                  <c:v>5.7568264190814595</c:v>
                </c:pt>
                <c:pt idx="12">
                  <c:v>5.0072044341020634</c:v>
                </c:pt>
                <c:pt idx="13">
                  <c:v>5.0682201770655029</c:v>
                </c:pt>
                <c:pt idx="14">
                  <c:v>6.2318775607253789</c:v>
                </c:pt>
                <c:pt idx="15">
                  <c:v>8.6550742098448232</c:v>
                </c:pt>
                <c:pt idx="16">
                  <c:v>11.771235368334754</c:v>
                </c:pt>
                <c:pt idx="17">
                  <c:v>14.421061919889832</c:v>
                </c:pt>
                <c:pt idx="18">
                  <c:v>16.160010594347849</c:v>
                </c:pt>
                <c:pt idx="19">
                  <c:v>17.280085304462411</c:v>
                </c:pt>
                <c:pt idx="20">
                  <c:v>17.91203407086946</c:v>
                </c:pt>
                <c:pt idx="21">
                  <c:v>17.65489629695211</c:v>
                </c:pt>
                <c:pt idx="22">
                  <c:v>16.046695643130036</c:v>
                </c:pt>
                <c:pt idx="23">
                  <c:v>13.200747060621048</c:v>
                </c:pt>
                <c:pt idx="24">
                  <c:v>9.6967001075778221</c:v>
                </c:pt>
                <c:pt idx="25">
                  <c:v>6.4672239978700734</c:v>
                </c:pt>
                <c:pt idx="26">
                  <c:v>4.3796139350495453</c:v>
                </c:pt>
                <c:pt idx="27">
                  <c:v>3.4120785823435806</c:v>
                </c:pt>
                <c:pt idx="28">
                  <c:v>3.0372675898538826</c:v>
                </c:pt>
                <c:pt idx="29">
                  <c:v>2.8934447671543473</c:v>
                </c:pt>
                <c:pt idx="30">
                  <c:v>2.7975628853546572</c:v>
                </c:pt>
                <c:pt idx="31">
                  <c:v>2.6929644688459042</c:v>
                </c:pt>
                <c:pt idx="32">
                  <c:v>2.5796495176280883</c:v>
                </c:pt>
                <c:pt idx="33">
                  <c:v>2.4881259031829295</c:v>
                </c:pt>
                <c:pt idx="34">
                  <c:v>2.4053188234468332</c:v>
                </c:pt>
                <c:pt idx="35">
                  <c:v>2.3007204069380802</c:v>
                </c:pt>
                <c:pt idx="36">
                  <c:v>2.2266298619110469</c:v>
                </c:pt>
                <c:pt idx="37">
                  <c:v>2.1568975842385449</c:v>
                </c:pt>
                <c:pt idx="38">
                  <c:v>2.0915235739205742</c:v>
                </c:pt>
                <c:pt idx="39">
                  <c:v>2.0566574350843232</c:v>
                </c:pt>
                <c:pt idx="40">
                  <c:v>2.0174330288935409</c:v>
                </c:pt>
                <c:pt idx="41">
                  <c:v>1.9999999594754154</c:v>
                </c:pt>
                <c:pt idx="42">
                  <c:v>2.008716494184478</c:v>
                </c:pt>
                <c:pt idx="43">
                  <c:v>2.0305078309571352</c:v>
                </c:pt>
                <c:pt idx="44">
                  <c:v>2.0740905045024487</c:v>
                </c:pt>
                <c:pt idx="45">
                  <c:v>2.1176731780477627</c:v>
                </c:pt>
                <c:pt idx="46">
                  <c:v>2.1612558515930762</c:v>
                </c:pt>
                <c:pt idx="47">
                  <c:v>2.2179133272019844</c:v>
                </c:pt>
                <c:pt idx="48">
                  <c:v>2.2745708028108922</c:v>
                </c:pt>
                <c:pt idx="49">
                  <c:v>2.3617361499015193</c:v>
                </c:pt>
                <c:pt idx="50">
                  <c:v>2.4576180317012097</c:v>
                </c:pt>
                <c:pt idx="51">
                  <c:v>2.5752912502735565</c:v>
                </c:pt>
                <c:pt idx="52">
                  <c:v>2.7147558056185606</c:v>
                </c:pt>
                <c:pt idx="53">
                  <c:v>2.8716534303816901</c:v>
                </c:pt>
                <c:pt idx="54">
                  <c:v>3.0459841245629455</c:v>
                </c:pt>
                <c:pt idx="55">
                  <c:v>3.2508226902259194</c:v>
                </c:pt>
                <c:pt idx="56">
                  <c:v>3.4643777905979571</c:v>
                </c:pt>
                <c:pt idx="57">
                  <c:v>3.6692163562609315</c:v>
                </c:pt>
                <c:pt idx="58">
                  <c:v>3.9263541301782823</c:v>
                </c:pt>
                <c:pt idx="59">
                  <c:v>4.1747753693865715</c:v>
                </c:pt>
                <c:pt idx="60">
                  <c:v>4.3796139350495453</c:v>
                </c:pt>
                <c:pt idx="61">
                  <c:v>4.5626611639398629</c:v>
                </c:pt>
                <c:pt idx="62">
                  <c:v>4.7369918581211188</c:v>
                </c:pt>
                <c:pt idx="63">
                  <c:v>4.8677398787570594</c:v>
                </c:pt>
                <c:pt idx="64">
                  <c:v>5.0202792361656581</c:v>
                </c:pt>
                <c:pt idx="65">
                  <c:v>5.2512674059558204</c:v>
                </c:pt>
                <c:pt idx="66">
                  <c:v>5.5301965166458285</c:v>
                </c:pt>
                <c:pt idx="67">
                  <c:v>5.8614248355902117</c:v>
                </c:pt>
                <c:pt idx="68">
                  <c:v>6.288535036334288</c:v>
                </c:pt>
                <c:pt idx="69">
                  <c:v>6.7810192473963324</c:v>
                </c:pt>
                <c:pt idx="70">
                  <c:v>7.3432357361308798</c:v>
                </c:pt>
                <c:pt idx="71">
                  <c:v>7.9185270269290209</c:v>
                </c:pt>
                <c:pt idx="72">
                  <c:v>8.5243261892088817</c:v>
                </c:pt>
                <c:pt idx="73">
                  <c:v>9.1257670841342104</c:v>
                </c:pt>
                <c:pt idx="74">
                  <c:v>9.8012985240865742</c:v>
                </c:pt>
                <c:pt idx="75">
                  <c:v>10.507337835520659</c:v>
                </c:pt>
                <c:pt idx="76">
                  <c:v>11.126211799864112</c:v>
                </c:pt>
                <c:pt idx="77">
                  <c:v>11.601262941508033</c:v>
                </c:pt>
                <c:pt idx="78">
                  <c:v>11.910699923679759</c:v>
                </c:pt>
                <c:pt idx="79">
                  <c:v>12.111180221988203</c:v>
                </c:pt>
                <c:pt idx="80">
                  <c:v>12.080672350506482</c:v>
                </c:pt>
                <c:pt idx="81">
                  <c:v>11.736369229498504</c:v>
                </c:pt>
                <c:pt idx="82">
                  <c:v>11.265676355209116</c:v>
                </c:pt>
                <c:pt idx="83">
                  <c:v>10.777550411501602</c:v>
                </c:pt>
                <c:pt idx="84">
                  <c:v>10.258916596312368</c:v>
                </c:pt>
                <c:pt idx="85">
                  <c:v>9.7664323852503223</c:v>
                </c:pt>
                <c:pt idx="86">
                  <c:v>9.2129324312248393</c:v>
                </c:pt>
                <c:pt idx="87">
                  <c:v>8.7988970325443603</c:v>
                </c:pt>
                <c:pt idx="88">
                  <c:v>8.7945387651898272</c:v>
                </c:pt>
                <c:pt idx="89">
                  <c:v>9.2477985700610912</c:v>
                </c:pt>
                <c:pt idx="90">
                  <c:v>9.4090544621787515</c:v>
                </c:pt>
                <c:pt idx="91">
                  <c:v>9.1780662923885892</c:v>
                </c:pt>
                <c:pt idx="92">
                  <c:v>8.5504757933360693</c:v>
                </c:pt>
                <c:pt idx="93">
                  <c:v>7.9708262351833969</c:v>
                </c:pt>
                <c:pt idx="94">
                  <c:v>7.6788223224297951</c:v>
                </c:pt>
                <c:pt idx="95">
                  <c:v>7.4827002914758838</c:v>
                </c:pt>
                <c:pt idx="96">
                  <c:v>7.4827002914758838</c:v>
                </c:pt>
                <c:pt idx="97">
                  <c:v>7.6831805897843273</c:v>
                </c:pt>
                <c:pt idx="98">
                  <c:v>8.0667081169830865</c:v>
                </c:pt>
                <c:pt idx="99">
                  <c:v>8.3674285644457527</c:v>
                </c:pt>
                <c:pt idx="100">
                  <c:v>8.4763852483090378</c:v>
                </c:pt>
                <c:pt idx="101">
                  <c:v>8.3717868318002839</c:v>
                </c:pt>
                <c:pt idx="102">
                  <c:v>8.2061726723280906</c:v>
                </c:pt>
                <c:pt idx="103">
                  <c:v>8.180023068200903</c:v>
                </c:pt>
                <c:pt idx="104">
                  <c:v>8.8163301019624853</c:v>
                </c:pt>
                <c:pt idx="105">
                  <c:v>9.1649914903249936</c:v>
                </c:pt>
                <c:pt idx="106">
                  <c:v>8.7858222304807647</c:v>
                </c:pt>
                <c:pt idx="107">
                  <c:v>8.32384589090044</c:v>
                </c:pt>
                <c:pt idx="108">
                  <c:v>8.6463576751357607</c:v>
                </c:pt>
                <c:pt idx="109">
                  <c:v>8.8555545081532667</c:v>
                </c:pt>
                <c:pt idx="110">
                  <c:v>8.6855820813265439</c:v>
                </c:pt>
                <c:pt idx="111">
                  <c:v>8.4415191094727859</c:v>
                </c:pt>
                <c:pt idx="112">
                  <c:v>8.3979364359274733</c:v>
                </c:pt>
                <c:pt idx="113">
                  <c:v>8.4676687135999735</c:v>
                </c:pt>
                <c:pt idx="114">
                  <c:v>9.7054166422868846</c:v>
                </c:pt>
                <c:pt idx="115">
                  <c:v>10.550920509065971</c:v>
                </c:pt>
                <c:pt idx="116">
                  <c:v>10.38530634959378</c:v>
                </c:pt>
                <c:pt idx="117">
                  <c:v>10.681668529701911</c:v>
                </c:pt>
                <c:pt idx="118">
                  <c:v>13.043849435857917</c:v>
                </c:pt>
                <c:pt idx="119">
                  <c:v>16.282042080274728</c:v>
                </c:pt>
                <c:pt idx="120">
                  <c:v>15.554211432067989</c:v>
                </c:pt>
                <c:pt idx="121">
                  <c:v>12.987191960249008</c:v>
                </c:pt>
                <c:pt idx="122">
                  <c:v>11.213377146954739</c:v>
                </c:pt>
                <c:pt idx="123">
                  <c:v>10.590144915256753</c:v>
                </c:pt>
                <c:pt idx="124">
                  <c:v>9.9058969405953263</c:v>
                </c:pt>
                <c:pt idx="125">
                  <c:v>9.0037355982073333</c:v>
                </c:pt>
                <c:pt idx="126">
                  <c:v>8.7291647548718565</c:v>
                </c:pt>
                <c:pt idx="127">
                  <c:v>8.6376411404266982</c:v>
                </c:pt>
                <c:pt idx="128">
                  <c:v>8.5766253974632587</c:v>
                </c:pt>
                <c:pt idx="129">
                  <c:v>8.4763852483090378</c:v>
                </c:pt>
                <c:pt idx="130">
                  <c:v>8.4458773768273154</c:v>
                </c:pt>
                <c:pt idx="131">
                  <c:v>8.7553143589990459</c:v>
                </c:pt>
                <c:pt idx="132">
                  <c:v>9.2390820353520269</c:v>
                </c:pt>
                <c:pt idx="133">
                  <c:v>9.6008182257781325</c:v>
                </c:pt>
                <c:pt idx="134">
                  <c:v>9.3785465906970309</c:v>
                </c:pt>
                <c:pt idx="135">
                  <c:v>8.6245663383631026</c:v>
                </c:pt>
                <c:pt idx="136">
                  <c:v>7.9882593046015229</c:v>
                </c:pt>
                <c:pt idx="137">
                  <c:v>7.7659876695204231</c:v>
                </c:pt>
                <c:pt idx="138">
                  <c:v>7.8400782145474572</c:v>
                </c:pt>
                <c:pt idx="139">
                  <c:v>8.040558512855899</c:v>
                </c:pt>
                <c:pt idx="140">
                  <c:v>8.0928577211102759</c:v>
                </c:pt>
                <c:pt idx="141">
                  <c:v>8.2366805438098112</c:v>
                </c:pt>
                <c:pt idx="142">
                  <c:v>8.4328025747637234</c:v>
                </c:pt>
                <c:pt idx="143">
                  <c:v>8.4328025747637234</c:v>
                </c:pt>
                <c:pt idx="144">
                  <c:v>8.7073734180991984</c:v>
                </c:pt>
                <c:pt idx="145">
                  <c:v>18.513474965794792</c:v>
                </c:pt>
                <c:pt idx="146">
                  <c:v>38.530996925157396</c:v>
                </c:pt>
                <c:pt idx="147">
                  <c:v>40.980343178404027</c:v>
                </c:pt>
                <c:pt idx="148">
                  <c:v>25.826647586698439</c:v>
                </c:pt>
                <c:pt idx="149">
                  <c:v>13.192030525911981</c:v>
                </c:pt>
                <c:pt idx="150">
                  <c:v>8.9950190634982707</c:v>
                </c:pt>
                <c:pt idx="151">
                  <c:v>8.528684456563413</c:v>
                </c:pt>
                <c:pt idx="152">
                  <c:v>8.4415191094727859</c:v>
                </c:pt>
                <c:pt idx="153">
                  <c:v>8.2802632173551238</c:v>
                </c:pt>
                <c:pt idx="154">
                  <c:v>8.306412821482315</c:v>
                </c:pt>
                <c:pt idx="155">
                  <c:v>8.2410388111643424</c:v>
                </c:pt>
                <c:pt idx="156">
                  <c:v>8.5417592586270068</c:v>
                </c:pt>
                <c:pt idx="157">
                  <c:v>8.8860623796349856</c:v>
                </c:pt>
                <c:pt idx="158">
                  <c:v>8.8817041122804543</c:v>
                </c:pt>
                <c:pt idx="159">
                  <c:v>8.4676687135999735</c:v>
                </c:pt>
                <c:pt idx="160">
                  <c:v>7.8618695513201127</c:v>
                </c:pt>
                <c:pt idx="161">
                  <c:v>7.5567908365029171</c:v>
                </c:pt>
                <c:pt idx="162">
                  <c:v>7.5698656385665117</c:v>
                </c:pt>
                <c:pt idx="163">
                  <c:v>8.2279640091007487</c:v>
                </c:pt>
                <c:pt idx="164">
                  <c:v>9.0778261432343648</c:v>
                </c:pt>
                <c:pt idx="165">
                  <c:v>9.2172906985793706</c:v>
                </c:pt>
                <c:pt idx="166">
                  <c:v>8.7422395569354503</c:v>
                </c:pt>
                <c:pt idx="167">
                  <c:v>8.2715466826460631</c:v>
                </c:pt>
                <c:pt idx="168">
                  <c:v>8.0362002455013695</c:v>
                </c:pt>
                <c:pt idx="169">
                  <c:v>8.0884994537557446</c:v>
                </c:pt>
                <c:pt idx="170">
                  <c:v>8.180023068200903</c:v>
                </c:pt>
                <c:pt idx="171">
                  <c:v>8.2802632173551238</c:v>
                </c:pt>
                <c:pt idx="172">
                  <c:v>8.8511962407987355</c:v>
                </c:pt>
                <c:pt idx="173">
                  <c:v>9.9146134753043906</c:v>
                </c:pt>
                <c:pt idx="174">
                  <c:v>10.049719763294862</c:v>
                </c:pt>
                <c:pt idx="175">
                  <c:v>10.341723676048465</c:v>
                </c:pt>
                <c:pt idx="176">
                  <c:v>10.681668529701911</c:v>
                </c:pt>
                <c:pt idx="177">
                  <c:v>10.141243377740022</c:v>
                </c:pt>
                <c:pt idx="178">
                  <c:v>9.4918615419148473</c:v>
                </c:pt>
                <c:pt idx="179">
                  <c:v>9.4221292642423453</c:v>
                </c:pt>
                <c:pt idx="180">
                  <c:v>9.1301253514887435</c:v>
                </c:pt>
                <c:pt idx="181">
                  <c:v>8.5112513871452879</c:v>
                </c:pt>
                <c:pt idx="182">
                  <c:v>8.1059325231738697</c:v>
                </c:pt>
                <c:pt idx="183">
                  <c:v>8.2671884152915318</c:v>
                </c:pt>
                <c:pt idx="184">
                  <c:v>24.083340644885887</c:v>
                </c:pt>
                <c:pt idx="185">
                  <c:v>56.55243243614462</c:v>
                </c:pt>
                <c:pt idx="186">
                  <c:v>63.521301936040295</c:v>
                </c:pt>
                <c:pt idx="187">
                  <c:v>44.379791714938484</c:v>
                </c:pt>
                <c:pt idx="188">
                  <c:v>20.160900025807649</c:v>
                </c:pt>
                <c:pt idx="189">
                  <c:v>10.319932339275809</c:v>
                </c:pt>
                <c:pt idx="190">
                  <c:v>8.0492750475649615</c:v>
                </c:pt>
                <c:pt idx="191">
                  <c:v>8.0144089087287114</c:v>
                </c:pt>
                <c:pt idx="192">
                  <c:v>8.0362002455013695</c:v>
                </c:pt>
                <c:pt idx="193">
                  <c:v>8.0013341066651158</c:v>
                </c:pt>
                <c:pt idx="194">
                  <c:v>7.9272435616380834</c:v>
                </c:pt>
                <c:pt idx="195">
                  <c:v>7.8749443533837074</c:v>
                </c:pt>
                <c:pt idx="196">
                  <c:v>7.9403183637016781</c:v>
                </c:pt>
                <c:pt idx="197">
                  <c:v>8.0797829190466821</c:v>
                </c:pt>
                <c:pt idx="198">
                  <c:v>8.1364403946555903</c:v>
                </c:pt>
                <c:pt idx="199">
                  <c:v>8.0710663843376196</c:v>
                </c:pt>
                <c:pt idx="200">
                  <c:v>7.9490348984107406</c:v>
                </c:pt>
                <c:pt idx="201">
                  <c:v>7.8793026207382395</c:v>
                </c:pt>
                <c:pt idx="202">
                  <c:v>7.853153016611051</c:v>
                </c:pt>
                <c:pt idx="203">
                  <c:v>7.8400782145474572</c:v>
                </c:pt>
                <c:pt idx="204">
                  <c:v>7.9533931657652719</c:v>
                </c:pt>
                <c:pt idx="205">
                  <c:v>8.1146490578829322</c:v>
                </c:pt>
                <c:pt idx="206">
                  <c:v>8.0928577211102759</c:v>
                </c:pt>
                <c:pt idx="207">
                  <c:v>7.9446766310562085</c:v>
                </c:pt>
                <c:pt idx="208">
                  <c:v>7.8662278186746439</c:v>
                </c:pt>
                <c:pt idx="209">
                  <c:v>7.8575112839655814</c:v>
                </c:pt>
                <c:pt idx="210">
                  <c:v>7.8749443533837074</c:v>
                </c:pt>
                <c:pt idx="211">
                  <c:v>7.9054522248654271</c:v>
                </c:pt>
                <c:pt idx="212">
                  <c:v>7.9185270269290209</c:v>
                </c:pt>
                <c:pt idx="213">
                  <c:v>7.9751845025379291</c:v>
                </c:pt>
                <c:pt idx="214">
                  <c:v>8.2236057417462174</c:v>
                </c:pt>
                <c:pt idx="215">
                  <c:v>8.336920692964032</c:v>
                </c:pt>
                <c:pt idx="216">
                  <c:v>8.3979364359274733</c:v>
                </c:pt>
                <c:pt idx="217">
                  <c:v>8.2715466826460631</c:v>
                </c:pt>
                <c:pt idx="218">
                  <c:v>8.1538734640737154</c:v>
                </c:pt>
                <c:pt idx="219">
                  <c:v>8.0797829190466821</c:v>
                </c:pt>
                <c:pt idx="220">
                  <c:v>8.0710663843376196</c:v>
                </c:pt>
                <c:pt idx="221">
                  <c:v>8.0797829190466821</c:v>
                </c:pt>
                <c:pt idx="222">
                  <c:v>8.0754246516921508</c:v>
                </c:pt>
                <c:pt idx="223">
                  <c:v>8.0710663843376196</c:v>
                </c:pt>
                <c:pt idx="224">
                  <c:v>8.0536333149194945</c:v>
                </c:pt>
                <c:pt idx="225">
                  <c:v>8.0972159884648072</c:v>
                </c:pt>
                <c:pt idx="226">
                  <c:v>8.2148892070371549</c:v>
                </c:pt>
                <c:pt idx="227">
                  <c:v>8.319487623545907</c:v>
                </c:pt>
                <c:pt idx="228">
                  <c:v>8.3674285644457527</c:v>
                </c:pt>
                <c:pt idx="229">
                  <c:v>8.2802632173551238</c:v>
                </c:pt>
                <c:pt idx="230">
                  <c:v>8.2061726723280906</c:v>
                </c:pt>
                <c:pt idx="231">
                  <c:v>8.1451569293646529</c:v>
                </c:pt>
                <c:pt idx="232">
                  <c:v>8.110290790528401</c:v>
                </c:pt>
                <c:pt idx="233">
                  <c:v>8.1190073252374653</c:v>
                </c:pt>
                <c:pt idx="234">
                  <c:v>8.1364403946555903</c:v>
                </c:pt>
                <c:pt idx="235">
                  <c:v>8.1451569293646529</c:v>
                </c:pt>
                <c:pt idx="236">
                  <c:v>8.180023068200903</c:v>
                </c:pt>
                <c:pt idx="237">
                  <c:v>8.2018144049735611</c:v>
                </c:pt>
                <c:pt idx="238">
                  <c:v>8.249755345873405</c:v>
                </c:pt>
                <c:pt idx="239">
                  <c:v>8.3325624256095026</c:v>
                </c:pt>
                <c:pt idx="240">
                  <c:v>8.3587120297366901</c:v>
                </c:pt>
                <c:pt idx="241">
                  <c:v>8.4633104462454423</c:v>
                </c:pt>
                <c:pt idx="242">
                  <c:v>8.5199679218543523</c:v>
                </c:pt>
                <c:pt idx="243">
                  <c:v>8.5635505953996649</c:v>
                </c:pt>
                <c:pt idx="244">
                  <c:v>8.5548340606906024</c:v>
                </c:pt>
                <c:pt idx="245">
                  <c:v>8.4981765850816942</c:v>
                </c:pt>
                <c:pt idx="246">
                  <c:v>8.4720269809545066</c:v>
                </c:pt>
                <c:pt idx="247">
                  <c:v>8.4197277727001278</c:v>
                </c:pt>
                <c:pt idx="248">
                  <c:v>8.3848616338638777</c:v>
                </c:pt>
                <c:pt idx="249">
                  <c:v>8.3717868318002839</c:v>
                </c:pt>
                <c:pt idx="250">
                  <c:v>8.4110112379910653</c:v>
                </c:pt>
                <c:pt idx="251">
                  <c:v>8.4415191094727859</c:v>
                </c:pt>
                <c:pt idx="252">
                  <c:v>8.458952178890911</c:v>
                </c:pt>
                <c:pt idx="253">
                  <c:v>8.4502356441818485</c:v>
                </c:pt>
                <c:pt idx="254">
                  <c:v>8.4676687135999735</c:v>
                </c:pt>
                <c:pt idx="255">
                  <c:v>8.4633104462454423</c:v>
                </c:pt>
                <c:pt idx="256">
                  <c:v>8.5025348524362254</c:v>
                </c:pt>
                <c:pt idx="257">
                  <c:v>8.5591923280451319</c:v>
                </c:pt>
                <c:pt idx="258">
                  <c:v>8.5679088627541962</c:v>
                </c:pt>
                <c:pt idx="259">
                  <c:v>8.5548340606906024</c:v>
                </c:pt>
                <c:pt idx="260">
                  <c:v>8.5679088627541962</c:v>
                </c:pt>
                <c:pt idx="261">
                  <c:v>8.598416734235915</c:v>
                </c:pt>
                <c:pt idx="262">
                  <c:v>8.7073734180991984</c:v>
                </c:pt>
                <c:pt idx="263">
                  <c:v>8.7814639631262335</c:v>
                </c:pt>
                <c:pt idx="264">
                  <c:v>8.7988970325443603</c:v>
                </c:pt>
                <c:pt idx="265">
                  <c:v>8.8424797060896729</c:v>
                </c:pt>
                <c:pt idx="266">
                  <c:v>8.7814639631262335</c:v>
                </c:pt>
                <c:pt idx="267">
                  <c:v>8.7596726263535771</c:v>
                </c:pt>
                <c:pt idx="268">
                  <c:v>8.7248064875173252</c:v>
                </c:pt>
                <c:pt idx="269">
                  <c:v>8.7030151507446689</c:v>
                </c:pt>
                <c:pt idx="270">
                  <c:v>8.6855820813265439</c:v>
                </c:pt>
                <c:pt idx="271">
                  <c:v>8.6812238139720108</c:v>
                </c:pt>
                <c:pt idx="272">
                  <c:v>8.7030151507446689</c:v>
                </c:pt>
                <c:pt idx="273">
                  <c:v>8.7465978242899816</c:v>
                </c:pt>
                <c:pt idx="274">
                  <c:v>8.790180497835296</c:v>
                </c:pt>
                <c:pt idx="275">
                  <c:v>8.8119718346079523</c:v>
                </c:pt>
                <c:pt idx="276">
                  <c:v>8.8119718346079523</c:v>
                </c:pt>
                <c:pt idx="277">
                  <c:v>8.8119718346079523</c:v>
                </c:pt>
                <c:pt idx="278">
                  <c:v>8.8381214387351399</c:v>
                </c:pt>
                <c:pt idx="279">
                  <c:v>8.8947789143440499</c:v>
                </c:pt>
                <c:pt idx="280">
                  <c:v>8.9645111920165519</c:v>
                </c:pt>
                <c:pt idx="281">
                  <c:v>9.0168104002709271</c:v>
                </c:pt>
                <c:pt idx="282">
                  <c:v>9.0429600043981146</c:v>
                </c:pt>
                <c:pt idx="283">
                  <c:v>9.0429600043981146</c:v>
                </c:pt>
                <c:pt idx="284">
                  <c:v>9.0429600043981146</c:v>
                </c:pt>
                <c:pt idx="285">
                  <c:v>9.0429600043981146</c:v>
                </c:pt>
                <c:pt idx="286">
                  <c:v>9.0734678758798353</c:v>
                </c:pt>
                <c:pt idx="287">
                  <c:v>9.0865426779434291</c:v>
                </c:pt>
                <c:pt idx="288">
                  <c:v>9.0996174800070229</c:v>
                </c:pt>
                <c:pt idx="289">
                  <c:v>9.1170505494251479</c:v>
                </c:pt>
                <c:pt idx="290">
                  <c:v>9.138841886197806</c:v>
                </c:pt>
                <c:pt idx="291">
                  <c:v>9.1475584209068685</c:v>
                </c:pt>
                <c:pt idx="292">
                  <c:v>9.1824245597431187</c:v>
                </c:pt>
                <c:pt idx="293">
                  <c:v>9.2913812436064056</c:v>
                </c:pt>
                <c:pt idx="294">
                  <c:v>9.3785465906970309</c:v>
                </c:pt>
                <c:pt idx="295">
                  <c:v>9.400337927469689</c:v>
                </c:pt>
                <c:pt idx="296">
                  <c:v>9.4787867398512518</c:v>
                </c:pt>
                <c:pt idx="297">
                  <c:v>9.4352040663059391</c:v>
                </c:pt>
                <c:pt idx="298">
                  <c:v>9.3654717886334353</c:v>
                </c:pt>
                <c:pt idx="299">
                  <c:v>9.3349639171517182</c:v>
                </c:pt>
                <c:pt idx="300">
                  <c:v>9.3306056497971852</c:v>
                </c:pt>
                <c:pt idx="301">
                  <c:v>9.3654717886334353</c:v>
                </c:pt>
                <c:pt idx="302">
                  <c:v>9.4221292642423453</c:v>
                </c:pt>
                <c:pt idx="303">
                  <c:v>9.4962198092693786</c:v>
                </c:pt>
                <c:pt idx="304">
                  <c:v>9.5398024828146912</c:v>
                </c:pt>
                <c:pt idx="305">
                  <c:v>9.6051764931326638</c:v>
                </c:pt>
                <c:pt idx="306">
                  <c:v>9.6836253055142283</c:v>
                </c:pt>
                <c:pt idx="307">
                  <c:v>9.7446410484776678</c:v>
                </c:pt>
                <c:pt idx="308">
                  <c:v>9.7707906526048554</c:v>
                </c:pt>
                <c:pt idx="309">
                  <c:v>9.7751489199593866</c:v>
                </c:pt>
                <c:pt idx="310">
                  <c:v>9.7838654546684474</c:v>
                </c:pt>
                <c:pt idx="311">
                  <c:v>9.7925819893775135</c:v>
                </c:pt>
                <c:pt idx="312">
                  <c:v>9.814373326150168</c:v>
                </c:pt>
                <c:pt idx="313">
                  <c:v>9.8928221385317343</c:v>
                </c:pt>
                <c:pt idx="314">
                  <c:v>9.9712709509132971</c:v>
                </c:pt>
                <c:pt idx="315">
                  <c:v>10.023570159167674</c:v>
                </c:pt>
                <c:pt idx="316">
                  <c:v>10.067152832712987</c:v>
                </c:pt>
                <c:pt idx="317">
                  <c:v>10.080227634776582</c:v>
                </c:pt>
                <c:pt idx="318">
                  <c:v>10.097660704194709</c:v>
                </c:pt>
                <c:pt idx="319">
                  <c:v>10.13688511038549</c:v>
                </c:pt>
                <c:pt idx="320">
                  <c:v>10.163034714512678</c:v>
                </c:pt>
                <c:pt idx="321">
                  <c:v>10.189184318639866</c:v>
                </c:pt>
                <c:pt idx="322">
                  <c:v>10.263274863666901</c:v>
                </c:pt>
                <c:pt idx="323">
                  <c:v>10.315574071921278</c:v>
                </c:pt>
                <c:pt idx="324">
                  <c:v>10.38530634959378</c:v>
                </c:pt>
                <c:pt idx="325">
                  <c:v>10.472471696684408</c:v>
                </c:pt>
                <c:pt idx="326">
                  <c:v>10.537845707002377</c:v>
                </c:pt>
                <c:pt idx="327">
                  <c:v>10.585786647902221</c:v>
                </c:pt>
                <c:pt idx="328">
                  <c:v>10.616294519383942</c:v>
                </c:pt>
                <c:pt idx="329">
                  <c:v>10.651160658220194</c:v>
                </c:pt>
                <c:pt idx="330">
                  <c:v>10.694743331765505</c:v>
                </c:pt>
                <c:pt idx="331">
                  <c:v>10.738326005310821</c:v>
                </c:pt>
                <c:pt idx="332">
                  <c:v>10.808058282983323</c:v>
                </c:pt>
                <c:pt idx="333">
                  <c:v>10.873432293301292</c:v>
                </c:pt>
                <c:pt idx="334">
                  <c:v>10.956239373037388</c:v>
                </c:pt>
                <c:pt idx="335">
                  <c:v>11.065196056900673</c:v>
                </c:pt>
                <c:pt idx="336">
                  <c:v>11.169794473409427</c:v>
                </c:pt>
                <c:pt idx="337">
                  <c:v>11.270034622563648</c:v>
                </c:pt>
                <c:pt idx="338">
                  <c:v>11.3746330390724</c:v>
                </c:pt>
                <c:pt idx="339">
                  <c:v>11.487947990290216</c:v>
                </c:pt>
                <c:pt idx="340">
                  <c:v>11.579471604735376</c:v>
                </c:pt>
                <c:pt idx="341">
                  <c:v>11.692786555953191</c:v>
                </c:pt>
                <c:pt idx="342">
                  <c:v>11.793026705107414</c:v>
                </c:pt>
                <c:pt idx="343">
                  <c:v>11.888908586907103</c:v>
                </c:pt>
                <c:pt idx="344">
                  <c:v>11.97607393399773</c:v>
                </c:pt>
                <c:pt idx="345">
                  <c:v>12.119896756697264</c:v>
                </c:pt>
                <c:pt idx="346">
                  <c:v>12.259361312042268</c:v>
                </c:pt>
                <c:pt idx="347">
                  <c:v>12.381392797969148</c:v>
                </c:pt>
                <c:pt idx="348">
                  <c:v>12.459841610350713</c:v>
                </c:pt>
                <c:pt idx="349">
                  <c:v>12.525215620668682</c:v>
                </c:pt>
                <c:pt idx="350">
                  <c:v>12.664680176013686</c:v>
                </c:pt>
                <c:pt idx="351">
                  <c:v>12.830294335485879</c:v>
                </c:pt>
                <c:pt idx="352">
                  <c:v>12.921817949931039</c:v>
                </c:pt>
                <c:pt idx="353">
                  <c:v>12.969758890830885</c:v>
                </c:pt>
                <c:pt idx="354">
                  <c:v>12.987191960249008</c:v>
                </c:pt>
                <c:pt idx="355">
                  <c:v>13.048207703212448</c:v>
                </c:pt>
                <c:pt idx="356">
                  <c:v>13.148447852366671</c:v>
                </c:pt>
              </c:numCache>
            </c:numRef>
          </c:yVal>
          <c:smooth val="1"/>
          <c:extLst>
            <c:ext xmlns:c16="http://schemas.microsoft.com/office/drawing/2014/chart" uri="{C3380CC4-5D6E-409C-BE32-E72D297353CC}">
              <c16:uniqueId val="{00000001-BC75-4D85-9A83-ACFCB27567B6}"/>
            </c:ext>
          </c:extLst>
        </c:ser>
        <c:ser>
          <c:idx val="4"/>
          <c:order val="4"/>
          <c:tx>
            <c:v>Labels</c:v>
          </c:tx>
          <c:spPr>
            <a:ln w="19050" cap="rnd">
              <a:noFill/>
              <a:round/>
            </a:ln>
            <a:effectLst/>
          </c:spPr>
          <c:marker>
            <c:symbol val="none"/>
          </c:marker>
          <c:dLbls>
            <c:dLbl>
              <c:idx val="0"/>
              <c:tx>
                <c:rich>
                  <a:bodyPr/>
                  <a:lstStyle/>
                  <a:p>
                    <a:fld id="{FBB849BF-8D89-47CF-80BD-B58C50CE30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638-47B0-B1B5-C4C546546595}"/>
                </c:ext>
              </c:extLst>
            </c:dLbl>
            <c:dLbl>
              <c:idx val="1"/>
              <c:tx>
                <c:rich>
                  <a:bodyPr/>
                  <a:lstStyle/>
                  <a:p>
                    <a:fld id="{63D2CE8C-9482-4FB4-A76D-A8F4937A48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F638-47B0-B1B5-C4C546546595}"/>
                </c:ext>
              </c:extLst>
            </c:dLbl>
            <c:dLbl>
              <c:idx val="2"/>
              <c:tx>
                <c:rich>
                  <a:bodyPr/>
                  <a:lstStyle/>
                  <a:p>
                    <a:fld id="{1D86A57D-0AB2-47D9-9E1C-C6C952B058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638-47B0-B1B5-C4C546546595}"/>
                </c:ext>
              </c:extLst>
            </c:dLbl>
            <c:dLbl>
              <c:idx val="3"/>
              <c:tx>
                <c:rich>
                  <a:bodyPr/>
                  <a:lstStyle/>
                  <a:p>
                    <a:fld id="{CB1F84AB-61E6-4536-BB69-49C0FF3E9A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638-47B0-B1B5-C4C546546595}"/>
                </c:ext>
              </c:extLst>
            </c:dLbl>
            <c:dLbl>
              <c:idx val="4"/>
              <c:tx>
                <c:rich>
                  <a:bodyPr/>
                  <a:lstStyle/>
                  <a:p>
                    <a:fld id="{0854CA7D-86C0-4CA4-A84F-00B19804FD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638-47B0-B1B5-C4C546546595}"/>
                </c:ext>
              </c:extLst>
            </c:dLbl>
            <c:dLbl>
              <c:idx val="5"/>
              <c:tx>
                <c:rich>
                  <a:bodyPr/>
                  <a:lstStyle/>
                  <a:p>
                    <a:fld id="{42DC0833-59E8-43B4-A067-D2CF10367E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638-47B0-B1B5-C4C546546595}"/>
                </c:ext>
              </c:extLst>
            </c:dLbl>
            <c:dLbl>
              <c:idx val="6"/>
              <c:tx>
                <c:rich>
                  <a:bodyPr/>
                  <a:lstStyle/>
                  <a:p>
                    <a:fld id="{84114081-143C-4C0D-9C56-987D04C242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638-47B0-B1B5-C4C546546595}"/>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F638-47B0-B1B5-C4C546546595}"/>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F638-47B0-B1B5-C4C546546595}"/>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F638-47B0-B1B5-C4C546546595}"/>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F638-47B0-B1B5-C4C546546595}"/>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F638-47B0-B1B5-C4C546546595}"/>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F638-47B0-B1B5-C4C546546595}"/>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F638-47B0-B1B5-C4C546546595}"/>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F638-47B0-B1B5-C4C546546595}"/>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F638-47B0-B1B5-C4C546546595}"/>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F638-47B0-B1B5-C4C546546595}"/>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F638-47B0-B1B5-C4C546546595}"/>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F638-47B0-B1B5-C4C546546595}"/>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F638-47B0-B1B5-C4C546546595}"/>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F638-47B0-B1B5-C4C546546595}"/>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F638-47B0-B1B5-C4C546546595}"/>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638-47B0-B1B5-C4C546546595}"/>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638-47B0-B1B5-C4C546546595}"/>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638-47B0-B1B5-C4C546546595}"/>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638-47B0-B1B5-C4C546546595}"/>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638-47B0-B1B5-C4C546546595}"/>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638-47B0-B1B5-C4C546546595}"/>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638-47B0-B1B5-C4C546546595}"/>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638-47B0-B1B5-C4C546546595}"/>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638-47B0-B1B5-C4C546546595}"/>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638-47B0-B1B5-C4C546546595}"/>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638-47B0-B1B5-C4C546546595}"/>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638-47B0-B1B5-C4C546546595}"/>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638-47B0-B1B5-C4C546546595}"/>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638-47B0-B1B5-C4C546546595}"/>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638-47B0-B1B5-C4C546546595}"/>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638-47B0-B1B5-C4C546546595}"/>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638-47B0-B1B5-C4C546546595}"/>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638-47B0-B1B5-C4C546546595}"/>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638-47B0-B1B5-C4C546546595}"/>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638-47B0-B1B5-C4C546546595}"/>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638-47B0-B1B5-C4C546546595}"/>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638-47B0-B1B5-C4C546546595}"/>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638-47B0-B1B5-C4C546546595}"/>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638-47B0-B1B5-C4C546546595}"/>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638-47B0-B1B5-C4C546546595}"/>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638-47B0-B1B5-C4C546546595}"/>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638-47B0-B1B5-C4C546546595}"/>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638-47B0-B1B5-C4C546546595}"/>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638-47B0-B1B5-C4C546546595}"/>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638-47B0-B1B5-C4C546546595}"/>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638-47B0-B1B5-C4C546546595}"/>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638-47B0-B1B5-C4C546546595}"/>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638-47B0-B1B5-C4C546546595}"/>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638-47B0-B1B5-C4C546546595}"/>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638-47B0-B1B5-C4C546546595}"/>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638-47B0-B1B5-C4C546546595}"/>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638-47B0-B1B5-C4C546546595}"/>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638-47B0-B1B5-C4C546546595}"/>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638-47B0-B1B5-C4C546546595}"/>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638-47B0-B1B5-C4C546546595}"/>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638-47B0-B1B5-C4C546546595}"/>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638-47B0-B1B5-C4C546546595}"/>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638-47B0-B1B5-C4C546546595}"/>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638-47B0-B1B5-C4C546546595}"/>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638-47B0-B1B5-C4C546546595}"/>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638-47B0-B1B5-C4C546546595}"/>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638-47B0-B1B5-C4C546546595}"/>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638-47B0-B1B5-C4C546546595}"/>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638-47B0-B1B5-C4C546546595}"/>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638-47B0-B1B5-C4C546546595}"/>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638-47B0-B1B5-C4C546546595}"/>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638-47B0-B1B5-C4C546546595}"/>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638-47B0-B1B5-C4C546546595}"/>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638-47B0-B1B5-C4C546546595}"/>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638-47B0-B1B5-C4C546546595}"/>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638-47B0-B1B5-C4C546546595}"/>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638-47B0-B1B5-C4C546546595}"/>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638-47B0-B1B5-C4C546546595}"/>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638-47B0-B1B5-C4C546546595}"/>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638-47B0-B1B5-C4C546546595}"/>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638-47B0-B1B5-C4C546546595}"/>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638-47B0-B1B5-C4C546546595}"/>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638-47B0-B1B5-C4C546546595}"/>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638-47B0-B1B5-C4C546546595}"/>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638-47B0-B1B5-C4C546546595}"/>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638-47B0-B1B5-C4C546546595}"/>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638-47B0-B1B5-C4C546546595}"/>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638-47B0-B1B5-C4C546546595}"/>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638-47B0-B1B5-C4C546546595}"/>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638-47B0-B1B5-C4C546546595}"/>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638-47B0-B1B5-C4C546546595}"/>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638-47B0-B1B5-C4C546546595}"/>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638-47B0-B1B5-C4C546546595}"/>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638-47B0-B1B5-C4C546546595}"/>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638-47B0-B1B5-C4C546546595}"/>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638-47B0-B1B5-C4C546546595}"/>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638-47B0-B1B5-C4C546546595}"/>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638-47B0-B1B5-C4C546546595}"/>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1.0410649999999999</c:v>
                </c:pt>
                <c:pt idx="1">
                  <c:v>2.631443</c:v>
                </c:pt>
                <c:pt idx="2">
                  <c:v>3.6893760000000002</c:v>
                </c:pt>
                <c:pt idx="3">
                  <c:v>4.4176849999999996</c:v>
                </c:pt>
                <c:pt idx="4">
                  <c:v>5.4606690000000002</c:v>
                </c:pt>
                <c:pt idx="5">
                  <c:v>6.2618320000000001</c:v>
                </c:pt>
                <c:pt idx="6">
                  <c:v>8.5605089999999997</c:v>
                </c:pt>
              </c:numCache>
            </c:numRef>
          </c:xVal>
          <c:yVal>
            <c:numRef>
              <c:f>Peaks!$R$5:$R$104</c:f>
              <c:numCache>
                <c:formatCode>0.0</c:formatCode>
                <c:ptCount val="100"/>
                <c:pt idx="0">
                  <c:v>38.727756953822386</c:v>
                </c:pt>
                <c:pt idx="1">
                  <c:v>74.055602646701445</c:v>
                </c:pt>
                <c:pt idx="2">
                  <c:v>20.84671670861897</c:v>
                </c:pt>
                <c:pt idx="3">
                  <c:v>70.444900673492924</c:v>
                </c:pt>
                <c:pt idx="4">
                  <c:v>100</c:v>
                </c:pt>
                <c:pt idx="5">
                  <c:v>26.48719675898322</c:v>
                </c:pt>
                <c:pt idx="6">
                  <c:v>72.964307776270132</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BC75-4D85-9A83-ACFCB27567B6}"/>
            </c:ext>
          </c:extLst>
        </c:ser>
        <c:dLbls>
          <c:showLegendKey val="0"/>
          <c:showVal val="0"/>
          <c:showCatName val="0"/>
          <c:showSerName val="0"/>
          <c:showPercent val="0"/>
          <c:showBubbleSize val="0"/>
        </c:dLbls>
        <c:axId val="1816206016"/>
        <c:axId val="1816206560"/>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BC75-4D85-9A83-ACFCB27567B6}"/>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BC75-4D85-9A83-ACFCB27567B6}"/>
            </c:ext>
          </c:extLst>
        </c:ser>
        <c:dLbls>
          <c:showLegendKey val="0"/>
          <c:showVal val="0"/>
          <c:showCatName val="0"/>
          <c:showSerName val="0"/>
          <c:showPercent val="0"/>
          <c:showBubbleSize val="0"/>
        </c:dLbls>
        <c:axId val="1816209280"/>
        <c:axId val="1816207104"/>
      </c:scatterChart>
      <c:valAx>
        <c:axId val="18162060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AU" sz="1200">
                    <a:solidFill>
                      <a:schemeClr val="tx1"/>
                    </a:solidFill>
                    <a:latin typeface="Arial" panose="020B0604020202020204" pitchFamily="34" charset="0"/>
                    <a:cs typeface="Arial" panose="020B0604020202020204" pitchFamily="34" charset="0"/>
                  </a:rPr>
                  <a:t>Retention</a:t>
                </a:r>
                <a:r>
                  <a:rPr lang="en-AU" sz="1200" baseline="0">
                    <a:solidFill>
                      <a:schemeClr val="tx1"/>
                    </a:solidFill>
                    <a:latin typeface="Arial" panose="020B0604020202020204" pitchFamily="34" charset="0"/>
                    <a:cs typeface="Arial" panose="020B0604020202020204" pitchFamily="34" charset="0"/>
                  </a:rPr>
                  <a:t> Time (min)</a:t>
                </a:r>
                <a:endParaRPr lang="en-AU" sz="12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560"/>
        <c:crosses val="autoZero"/>
        <c:crossBetween val="midCat"/>
        <c:majorUnit val="0.5"/>
      </c:valAx>
      <c:valAx>
        <c:axId val="1816206560"/>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016"/>
        <c:crosses val="autoZero"/>
        <c:crossBetween val="midCat"/>
        <c:majorUnit val="20"/>
        <c:minorUnit val="5"/>
      </c:valAx>
      <c:valAx>
        <c:axId val="1816207104"/>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09280"/>
        <c:crosses val="max"/>
        <c:crossBetween val="midCat"/>
        <c:minorUnit val="5"/>
      </c:valAx>
      <c:valAx>
        <c:axId val="1816209280"/>
        <c:scaling>
          <c:orientation val="minMax"/>
        </c:scaling>
        <c:delete val="1"/>
        <c:axPos val="b"/>
        <c:numFmt formatCode="General" sourceLinked="1"/>
        <c:majorTickMark val="out"/>
        <c:minorTickMark val="none"/>
        <c:tickLblPos val="nextTo"/>
        <c:crossAx val="1816207104"/>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100">
                <a:solidFill>
                  <a:schemeClr val="tx1"/>
                </a:solidFill>
                <a:latin typeface="Arial" panose="020B0604020202020204" pitchFamily="34" charset="0"/>
                <a:cs typeface="Arial" panose="020B0604020202020204" pitchFamily="34" charset="0"/>
              </a:rPr>
              <a:t>ID</a:t>
            </a:r>
          </a:p>
        </c:rich>
      </c:tx>
      <c:layout>
        <c:manualLayout>
          <c:xMode val="edge"/>
          <c:yMode val="edge"/>
          <c:x val="0.76368499125865907"/>
          <c:y val="0.10296010296010295"/>
        </c:manualLayout>
      </c:layout>
      <c:overlay val="0"/>
      <c:spPr>
        <a:noFill/>
        <a:ln>
          <a:noFill/>
        </a:ln>
        <a:effectLst/>
      </c:spPr>
      <c:txPr>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42.519634246826172</c:v>
                </c:pt>
                <c:pt idx="1">
                  <c:v>45.231914520263672</c:v>
                </c:pt>
                <c:pt idx="2">
                  <c:v>47.565940856933594</c:v>
                </c:pt>
                <c:pt idx="3">
                  <c:v>49.828319549560547</c:v>
                </c:pt>
                <c:pt idx="4">
                  <c:v>52.125213623046875</c:v>
                </c:pt>
                <c:pt idx="5">
                  <c:v>54.285453796386719</c:v>
                </c:pt>
                <c:pt idx="6">
                  <c:v>56.566947937011719</c:v>
                </c:pt>
                <c:pt idx="7">
                  <c:v>58.388450622558594</c:v>
                </c:pt>
                <c:pt idx="8">
                  <c:v>59.295761108398438</c:v>
                </c:pt>
                <c:pt idx="9">
                  <c:v>58.979148864746094</c:v>
                </c:pt>
                <c:pt idx="10">
                  <c:v>57.431575775146484</c:v>
                </c:pt>
                <c:pt idx="11">
                  <c:v>54.598590850830078</c:v>
                </c:pt>
                <c:pt idx="12">
                  <c:v>50.616008758544922</c:v>
                </c:pt>
                <c:pt idx="13">
                  <c:v>46.122188568115234</c:v>
                </c:pt>
                <c:pt idx="14">
                  <c:v>41.764686584472656</c:v>
                </c:pt>
                <c:pt idx="15">
                  <c:v>38.527557373046875</c:v>
                </c:pt>
                <c:pt idx="16">
                  <c:v>37.365257263183594</c:v>
                </c:pt>
                <c:pt idx="17">
                  <c:v>38.510078430175781</c:v>
                </c:pt>
                <c:pt idx="18">
                  <c:v>41.975467681884766</c:v>
                </c:pt>
                <c:pt idx="19">
                  <c:v>47.68365478515625</c:v>
                </c:pt>
                <c:pt idx="20">
                  <c:v>55.088260650634766</c:v>
                </c:pt>
                <c:pt idx="21">
                  <c:v>63.822109222412109</c:v>
                </c:pt>
                <c:pt idx="22">
                  <c:v>73.21929931640625</c:v>
                </c:pt>
                <c:pt idx="23">
                  <c:v>82.201301574707031</c:v>
                </c:pt>
                <c:pt idx="24">
                  <c:v>90.616744995117188</c:v>
                </c:pt>
                <c:pt idx="25">
                  <c:v>96.794242858886719</c:v>
                </c:pt>
                <c:pt idx="26">
                  <c:v>100</c:v>
                </c:pt>
                <c:pt idx="27">
                  <c:v>99.172607421875</c:v>
                </c:pt>
                <c:pt idx="28">
                  <c:v>94.263420104980469</c:v>
                </c:pt>
                <c:pt idx="29">
                  <c:v>87.219505310058594</c:v>
                </c:pt>
                <c:pt idx="30">
                  <c:v>80.031326293945313</c:v>
                </c:pt>
                <c:pt idx="31">
                  <c:v>74.509445190429688</c:v>
                </c:pt>
                <c:pt idx="32">
                  <c:v>70.89837646484375</c:v>
                </c:pt>
                <c:pt idx="33">
                  <c:v>68.685585021972656</c:v>
                </c:pt>
                <c:pt idx="34">
                  <c:v>66.81646728515625</c:v>
                </c:pt>
                <c:pt idx="35">
                  <c:v>64.568931579589844</c:v>
                </c:pt>
                <c:pt idx="36">
                  <c:v>61.502025604248047</c:v>
                </c:pt>
                <c:pt idx="37">
                  <c:v>57.204578399658203</c:v>
                </c:pt>
                <c:pt idx="38">
                  <c:v>52.039913177490234</c:v>
                </c:pt>
                <c:pt idx="39">
                  <c:v>46.427558898925781</c:v>
                </c:pt>
                <c:pt idx="40">
                  <c:v>40.971111297607422</c:v>
                </c:pt>
                <c:pt idx="41">
                  <c:v>36.305850982666016</c:v>
                </c:pt>
                <c:pt idx="42">
                  <c:v>32.863803863525391</c:v>
                </c:pt>
                <c:pt idx="43">
                  <c:v>30.707721710205078</c:v>
                </c:pt>
                <c:pt idx="44">
                  <c:v>29.726972579956055</c:v>
                </c:pt>
                <c:pt idx="45">
                  <c:v>29.384273529052734</c:v>
                </c:pt>
                <c:pt idx="46">
                  <c:v>29.284149169921875</c:v>
                </c:pt>
                <c:pt idx="47">
                  <c:v>29.323070526123047</c:v>
                </c:pt>
                <c:pt idx="48">
                  <c:v>29.238170623779297</c:v>
                </c:pt>
                <c:pt idx="49">
                  <c:v>28.964925765991211</c:v>
                </c:pt>
                <c:pt idx="50">
                  <c:v>28.352787017822266</c:v>
                </c:pt>
                <c:pt idx="51">
                  <c:v>27.114151000976563</c:v>
                </c:pt>
                <c:pt idx="52">
                  <c:v>25.556600570678711</c:v>
                </c:pt>
                <c:pt idx="53">
                  <c:v>23.961700439453125</c:v>
                </c:pt>
                <c:pt idx="54">
                  <c:v>21.959999084472656</c:v>
                </c:pt>
                <c:pt idx="55">
                  <c:v>19.76353645324707</c:v>
                </c:pt>
                <c:pt idx="56">
                  <c:v>17.780796051025391</c:v>
                </c:pt>
                <c:pt idx="57">
                  <c:v>15.849370002746582</c:v>
                </c:pt>
                <c:pt idx="58">
                  <c:v>14.097014427185059</c:v>
                </c:pt>
                <c:pt idx="59">
                  <c:v>12.821404457092285</c:v>
                </c:pt>
                <c:pt idx="60">
                  <c:v>12.078629493713379</c:v>
                </c:pt>
                <c:pt idx="61">
                  <c:v>11.858976364135742</c:v>
                </c:pt>
                <c:pt idx="62">
                  <c:v>11.781952857971191</c:v>
                </c:pt>
                <c:pt idx="63">
                  <c:v>11.97901439666748</c:v>
                </c:pt>
                <c:pt idx="64">
                  <c:v>12.683222770690918</c:v>
                </c:pt>
                <c:pt idx="65">
                  <c:v>13.590354919433594</c:v>
                </c:pt>
                <c:pt idx="66">
                  <c:v>14.678684234619141</c:v>
                </c:pt>
                <c:pt idx="67">
                  <c:v>15.896632194519043</c:v>
                </c:pt>
                <c:pt idx="68">
                  <c:v>17.177221298217773</c:v>
                </c:pt>
                <c:pt idx="69">
                  <c:v>18.531936645507813</c:v>
                </c:pt>
                <c:pt idx="70">
                  <c:v>19.884082794189453</c:v>
                </c:pt>
                <c:pt idx="71">
                  <c:v>21.359033584594727</c:v>
                </c:pt>
                <c:pt idx="72">
                  <c:v>22.837791442871094</c:v>
                </c:pt>
                <c:pt idx="73">
                  <c:v>24.210206985473633</c:v>
                </c:pt>
                <c:pt idx="74">
                  <c:v>25.577245712280273</c:v>
                </c:pt>
                <c:pt idx="75">
                  <c:v>26.8946533203125</c:v>
                </c:pt>
                <c:pt idx="76">
                  <c:v>28.063568115234375</c:v>
                </c:pt>
                <c:pt idx="77">
                  <c:v>29.098793029785156</c:v>
                </c:pt>
                <c:pt idx="78">
                  <c:v>30.223676681518555</c:v>
                </c:pt>
                <c:pt idx="79">
                  <c:v>31.082328796386719</c:v>
                </c:pt>
                <c:pt idx="80">
                  <c:v>31.828134536743164</c:v>
                </c:pt>
                <c:pt idx="81">
                  <c:v>32.515968322753906</c:v>
                </c:pt>
                <c:pt idx="82">
                  <c:v>32.927616119384766</c:v>
                </c:pt>
                <c:pt idx="83">
                  <c:v>33.045131683349609</c:v>
                </c:pt>
                <c:pt idx="84">
                  <c:v>32.801605224609375</c:v>
                </c:pt>
                <c:pt idx="85">
                  <c:v>32.281269073486328</c:v>
                </c:pt>
                <c:pt idx="86">
                  <c:v>31.724714279174805</c:v>
                </c:pt>
                <c:pt idx="87">
                  <c:v>30.919609069824219</c:v>
                </c:pt>
                <c:pt idx="88">
                  <c:v>30.000770568847656</c:v>
                </c:pt>
                <c:pt idx="89">
                  <c:v>28.901931762695313</c:v>
                </c:pt>
                <c:pt idx="90">
                  <c:v>27.703475952148438</c:v>
                </c:pt>
                <c:pt idx="91">
                  <c:v>26.333671569824219</c:v>
                </c:pt>
                <c:pt idx="92">
                  <c:v>24.721733093261719</c:v>
                </c:pt>
                <c:pt idx="93">
                  <c:v>23.131479263305664</c:v>
                </c:pt>
                <c:pt idx="94">
                  <c:v>21.543062210083008</c:v>
                </c:pt>
                <c:pt idx="95">
                  <c:v>19.903974533081055</c:v>
                </c:pt>
                <c:pt idx="96">
                  <c:v>18.01777458190918</c:v>
                </c:pt>
                <c:pt idx="97">
                  <c:v>16.341360092163086</c:v>
                </c:pt>
                <c:pt idx="98">
                  <c:v>14.956707954406738</c:v>
                </c:pt>
                <c:pt idx="99">
                  <c:v>13.632462501525879</c:v>
                </c:pt>
                <c:pt idx="100">
                  <c:v>12.268256187438965</c:v>
                </c:pt>
                <c:pt idx="101">
                  <c:v>10.944210052490234</c:v>
                </c:pt>
                <c:pt idx="102">
                  <c:v>9.6584205627441406</c:v>
                </c:pt>
                <c:pt idx="103">
                  <c:v>8.4906787872314453</c:v>
                </c:pt>
                <c:pt idx="104">
                  <c:v>7.4533295631408691</c:v>
                </c:pt>
                <c:pt idx="105">
                  <c:v>6.7452049255371094</c:v>
                </c:pt>
                <c:pt idx="106">
                  <c:v>6.1705055236816406</c:v>
                </c:pt>
                <c:pt idx="107">
                  <c:v>5.397615909576416</c:v>
                </c:pt>
                <c:pt idx="108">
                  <c:v>4.7846150398254395</c:v>
                </c:pt>
                <c:pt idx="109">
                  <c:v>4.2921161651611328</c:v>
                </c:pt>
                <c:pt idx="110">
                  <c:v>3.9048750400543213</c:v>
                </c:pt>
                <c:pt idx="111">
                  <c:v>3.6704192161560059</c:v>
                </c:pt>
                <c:pt idx="112">
                  <c:v>3.3566610813140869</c:v>
                </c:pt>
                <c:pt idx="113">
                  <c:v>3.3946971893310547</c:v>
                </c:pt>
                <c:pt idx="114">
                  <c:v>3.3888776302337646</c:v>
                </c:pt>
                <c:pt idx="115">
                  <c:v>3.30545973777771</c:v>
                </c:pt>
                <c:pt idx="116">
                  <c:v>3.3337156772613525</c:v>
                </c:pt>
                <c:pt idx="117">
                  <c:v>2.9447484016418457</c:v>
                </c:pt>
                <c:pt idx="118">
                  <c:v>2.7324638366699219</c:v>
                </c:pt>
                <c:pt idx="119">
                  <c:v>2.7397212982177734</c:v>
                </c:pt>
                <c:pt idx="120">
                  <c:v>2.8149745464324951</c:v>
                </c:pt>
                <c:pt idx="121">
                  <c:v>3.0105977058410645</c:v>
                </c:pt>
                <c:pt idx="122">
                  <c:v>2.8895421028137207</c:v>
                </c:pt>
                <c:pt idx="123">
                  <c:v>2.8398008346557617</c:v>
                </c:pt>
                <c:pt idx="124">
                  <c:v>3.0755620002746582</c:v>
                </c:pt>
                <c:pt idx="125">
                  <c:v>2.7997071743011475</c:v>
                </c:pt>
                <c:pt idx="126">
                  <c:v>2.6977245807647705</c:v>
                </c:pt>
                <c:pt idx="127">
                  <c:v>2.9651272296905518</c:v>
                </c:pt>
                <c:pt idx="128">
                  <c:v>2.9065132141113281</c:v>
                </c:pt>
                <c:pt idx="129">
                  <c:v>2.852236270904541</c:v>
                </c:pt>
                <c:pt idx="130">
                  <c:v>2.9176430702209473</c:v>
                </c:pt>
                <c:pt idx="131">
                  <c:v>2.8847846984863281</c:v>
                </c:pt>
                <c:pt idx="132">
                  <c:v>2.7666497230529785</c:v>
                </c:pt>
                <c:pt idx="133">
                  <c:v>2.8451113700866699</c:v>
                </c:pt>
                <c:pt idx="134">
                  <c:v>2.7319326400756836</c:v>
                </c:pt>
                <c:pt idx="135">
                  <c:v>2.6607065200805664</c:v>
                </c:pt>
                <c:pt idx="136">
                  <c:v>3.2127704620361328</c:v>
                </c:pt>
                <c:pt idx="137">
                  <c:v>3.2951927185058594</c:v>
                </c:pt>
                <c:pt idx="138">
                  <c:v>2.8859353065490723</c:v>
                </c:pt>
                <c:pt idx="139">
                  <c:v>2.6095271110534668</c:v>
                </c:pt>
                <c:pt idx="140">
                  <c:v>2.5140056610107422</c:v>
                </c:pt>
                <c:pt idx="141">
                  <c:v>2.8479213714599609</c:v>
                </c:pt>
                <c:pt idx="142">
                  <c:v>2.878279447555542</c:v>
                </c:pt>
                <c:pt idx="143">
                  <c:v>2.6970829963684082</c:v>
                </c:pt>
                <c:pt idx="144">
                  <c:v>2.8083586692810059</c:v>
                </c:pt>
                <c:pt idx="145">
                  <c:v>2.7292110919952393</c:v>
                </c:pt>
                <c:pt idx="146">
                  <c:v>2.9688444137573242</c:v>
                </c:pt>
                <c:pt idx="147">
                  <c:v>3.1155009269714355</c:v>
                </c:pt>
                <c:pt idx="148">
                  <c:v>3.0507357120513916</c:v>
                </c:pt>
                <c:pt idx="149">
                  <c:v>2.9913032054901123</c:v>
                </c:pt>
                <c:pt idx="150">
                  <c:v>2.685112476348877</c:v>
                </c:pt>
                <c:pt idx="151">
                  <c:v>2.7384159564971924</c:v>
                </c:pt>
                <c:pt idx="152">
                  <c:v>2.7303838729858398</c:v>
                </c:pt>
                <c:pt idx="153">
                  <c:v>2.5452709197998047</c:v>
                </c:pt>
                <c:pt idx="154">
                  <c:v>2.6782972812652588</c:v>
                </c:pt>
                <c:pt idx="155">
                  <c:v>2.9744424819946289</c:v>
                </c:pt>
                <c:pt idx="156">
                  <c:v>3.0586349964141846</c:v>
                </c:pt>
                <c:pt idx="157">
                  <c:v>2.899388313293457</c:v>
                </c:pt>
                <c:pt idx="158">
                  <c:v>2.8502669334411621</c:v>
                </c:pt>
                <c:pt idx="159">
                  <c:v>2.7210021018981934</c:v>
                </c:pt>
                <c:pt idx="160">
                  <c:v>2.4814350605010986</c:v>
                </c:pt>
                <c:pt idx="161">
                  <c:v>2.3927950859069824</c:v>
                </c:pt>
                <c:pt idx="162">
                  <c:v>2.5275917053222656</c:v>
                </c:pt>
                <c:pt idx="163">
                  <c:v>2.7723362445831299</c:v>
                </c:pt>
                <c:pt idx="164">
                  <c:v>2.8139567375183105</c:v>
                </c:pt>
                <c:pt idx="165">
                  <c:v>2.8648927211761475</c:v>
                </c:pt>
                <c:pt idx="166">
                  <c:v>3.0176782608032227</c:v>
                </c:pt>
                <c:pt idx="167">
                  <c:v>2.9784696102142334</c:v>
                </c:pt>
                <c:pt idx="168">
                  <c:v>3.2686185836791992</c:v>
                </c:pt>
                <c:pt idx="169">
                  <c:v>3.0252900123596191</c:v>
                </c:pt>
                <c:pt idx="170">
                  <c:v>2.6105892658233643</c:v>
                </c:pt>
                <c:pt idx="171">
                  <c:v>2.5970256328582764</c:v>
                </c:pt>
                <c:pt idx="172">
                  <c:v>2.6354377269744873</c:v>
                </c:pt>
                <c:pt idx="173">
                  <c:v>2.6536922454833984</c:v>
                </c:pt>
                <c:pt idx="174">
                  <c:v>2.4966361522674561</c:v>
                </c:pt>
                <c:pt idx="175">
                  <c:v>2.7163333892822266</c:v>
                </c:pt>
                <c:pt idx="176">
                  <c:v>2.7350525856018066</c:v>
                </c:pt>
                <c:pt idx="177">
                  <c:v>2.6939408779144287</c:v>
                </c:pt>
                <c:pt idx="178">
                  <c:v>3.2206475734710693</c:v>
                </c:pt>
                <c:pt idx="179">
                  <c:v>3.0713579654693604</c:v>
                </c:pt>
                <c:pt idx="180">
                  <c:v>2.5570645332336426</c:v>
                </c:pt>
                <c:pt idx="181">
                  <c:v>2.5024998188018799</c:v>
                </c:pt>
                <c:pt idx="182">
                  <c:v>2.5322604179382324</c:v>
                </c:pt>
                <c:pt idx="183">
                  <c:v>2.782581090927124</c:v>
                </c:pt>
                <c:pt idx="184">
                  <c:v>2.6086642742156982</c:v>
                </c:pt>
                <c:pt idx="185">
                  <c:v>2</c:v>
                </c:pt>
                <c:pt idx="186">
                  <c:v>2.4204535484313965</c:v>
                </c:pt>
                <c:pt idx="187">
                  <c:v>2.8330080509185791</c:v>
                </c:pt>
                <c:pt idx="188">
                  <c:v>2.6617686748504639</c:v>
                </c:pt>
                <c:pt idx="189">
                  <c:v>2.8772172927856445</c:v>
                </c:pt>
                <c:pt idx="190">
                  <c:v>2.8069427013397217</c:v>
                </c:pt>
                <c:pt idx="191">
                  <c:v>2.5697875022888184</c:v>
                </c:pt>
                <c:pt idx="192">
                  <c:v>2.8263921737670898</c:v>
                </c:pt>
                <c:pt idx="193">
                  <c:v>2.9841783046722412</c:v>
                </c:pt>
                <c:pt idx="194">
                  <c:v>2.9662778377532959</c:v>
                </c:pt>
                <c:pt idx="195">
                  <c:v>2.8330302238464355</c:v>
                </c:pt>
                <c:pt idx="196">
                  <c:v>2.816058874130249</c:v>
                </c:pt>
                <c:pt idx="197">
                  <c:v>2.7407612800598145</c:v>
                </c:pt>
                <c:pt idx="198">
                  <c:v>2.7055354118347168</c:v>
                </c:pt>
                <c:pt idx="199">
                  <c:v>3.0150895118713379</c:v>
                </c:pt>
                <c:pt idx="200">
                  <c:v>2.8869974613189697</c:v>
                </c:pt>
                <c:pt idx="201">
                  <c:v>2.9580466747283936</c:v>
                </c:pt>
                <c:pt idx="202">
                  <c:v>3.0649411678314209</c:v>
                </c:pt>
                <c:pt idx="203">
                  <c:v>3.0097126960754395</c:v>
                </c:pt>
                <c:pt idx="204">
                  <c:v>2.7357163429260254</c:v>
                </c:pt>
                <c:pt idx="205">
                  <c:v>2.8205506801605225</c:v>
                </c:pt>
                <c:pt idx="206">
                  <c:v>2.7510061264038086</c:v>
                </c:pt>
                <c:pt idx="207">
                  <c:v>2.5443637371063232</c:v>
                </c:pt>
                <c:pt idx="208">
                  <c:v>2.4079298973083496</c:v>
                </c:pt>
                <c:pt idx="209">
                  <c:v>2.6063852310180664</c:v>
                </c:pt>
                <c:pt idx="210">
                  <c:v>2.8364377021789551</c:v>
                </c:pt>
                <c:pt idx="211">
                  <c:v>2.6194841861724854</c:v>
                </c:pt>
                <c:pt idx="212">
                  <c:v>2.7052478790283203</c:v>
                </c:pt>
                <c:pt idx="213">
                  <c:v>2.8613746166229248</c:v>
                </c:pt>
                <c:pt idx="214">
                  <c:v>2.8564624786376953</c:v>
                </c:pt>
                <c:pt idx="215">
                  <c:v>2.752223014831543</c:v>
                </c:pt>
                <c:pt idx="216">
                  <c:v>2.4107177257537842</c:v>
                </c:pt>
                <c:pt idx="217">
                  <c:v>2.5029866695404053</c:v>
                </c:pt>
                <c:pt idx="218">
                  <c:v>2.425940990447998</c:v>
                </c:pt>
                <c:pt idx="219">
                  <c:v>2.6312999725341797</c:v>
                </c:pt>
                <c:pt idx="220">
                  <c:v>2.8604452610015869</c:v>
                </c:pt>
                <c:pt idx="221">
                  <c:v>2.9100978374481201</c:v>
                </c:pt>
                <c:pt idx="222">
                  <c:v>3.1235992908477783</c:v>
                </c:pt>
                <c:pt idx="223">
                  <c:v>2.6524310111999512</c:v>
                </c:pt>
                <c:pt idx="224">
                  <c:v>2.456343412399292</c:v>
                </c:pt>
                <c:pt idx="225">
                  <c:v>2.3936359882354736</c:v>
                </c:pt>
              </c:numCache>
            </c:numRef>
          </c:yVal>
          <c:smooth val="1"/>
          <c:extLst>
            <c:ext xmlns:c16="http://schemas.microsoft.com/office/drawing/2014/chart" uri="{C3380CC4-5D6E-409C-BE32-E72D297353CC}">
              <c16:uniqueId val="{00000000-58F6-4830-8941-1011DB88381F}"/>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90.346244812011719</c:v>
                </c:pt>
                <c:pt idx="2">
                  <c:v>80.537879943847656</c:v>
                </c:pt>
                <c:pt idx="3">
                  <c:v>71.676124572753906</c:v>
                </c:pt>
                <c:pt idx="4">
                  <c:v>64.588172912597656</c:v>
                </c:pt>
                <c:pt idx="5">
                  <c:v>59.492954254150391</c:v>
                </c:pt>
                <c:pt idx="6">
                  <c:v>56.181777954101563</c:v>
                </c:pt>
                <c:pt idx="7">
                  <c:v>54.678707122802734</c:v>
                </c:pt>
                <c:pt idx="8">
                  <c:v>54.357902526855469</c:v>
                </c:pt>
                <c:pt idx="9">
                  <c:v>55.184665679931641</c:v>
                </c:pt>
                <c:pt idx="10">
                  <c:v>56.716205596923828</c:v>
                </c:pt>
                <c:pt idx="11">
                  <c:v>58.614944458007813</c:v>
                </c:pt>
                <c:pt idx="12">
                  <c:v>60.444950103759766</c:v>
                </c:pt>
                <c:pt idx="13">
                  <c:v>61.918323516845703</c:v>
                </c:pt>
                <c:pt idx="14">
                  <c:v>62.469470977783203</c:v>
                </c:pt>
                <c:pt idx="15">
                  <c:v>61.303005218505859</c:v>
                </c:pt>
                <c:pt idx="16">
                  <c:v>58.165584564208984</c:v>
                </c:pt>
                <c:pt idx="17">
                  <c:v>53.020725250244141</c:v>
                </c:pt>
                <c:pt idx="18">
                  <c:v>46.306468963623047</c:v>
                </c:pt>
                <c:pt idx="19">
                  <c:v>38.525783538818359</c:v>
                </c:pt>
                <c:pt idx="20">
                  <c:v>31.036874771118164</c:v>
                </c:pt>
                <c:pt idx="21">
                  <c:v>24.638788223266602</c:v>
                </c:pt>
                <c:pt idx="22">
                  <c:v>19.776782989501953</c:v>
                </c:pt>
                <c:pt idx="23">
                  <c:v>16.840913772583008</c:v>
                </c:pt>
                <c:pt idx="24">
                  <c:v>15.221232414245605</c:v>
                </c:pt>
                <c:pt idx="25">
                  <c:v>14.506296157836914</c:v>
                </c:pt>
                <c:pt idx="26">
                  <c:v>14.304013252258301</c:v>
                </c:pt>
                <c:pt idx="27">
                  <c:v>14.368534088134766</c:v>
                </c:pt>
                <c:pt idx="28">
                  <c:v>14.712178230285645</c:v>
                </c:pt>
                <c:pt idx="29">
                  <c:v>15.432357788085938</c:v>
                </c:pt>
                <c:pt idx="30">
                  <c:v>16.631521224975586</c:v>
                </c:pt>
                <c:pt idx="31">
                  <c:v>18.207986831665039</c:v>
                </c:pt>
                <c:pt idx="32">
                  <c:v>20.287494659423828</c:v>
                </c:pt>
                <c:pt idx="33">
                  <c:v>22.583789825439453</c:v>
                </c:pt>
                <c:pt idx="34">
                  <c:v>24.973447799682617</c:v>
                </c:pt>
                <c:pt idx="35">
                  <c:v>27.565553665161133</c:v>
                </c:pt>
                <c:pt idx="36">
                  <c:v>30.054519653320313</c:v>
                </c:pt>
                <c:pt idx="37">
                  <c:v>32.358745574951172</c:v>
                </c:pt>
                <c:pt idx="38">
                  <c:v>34.282291412353516</c:v>
                </c:pt>
                <c:pt idx="39">
                  <c:v>35.786018371582031</c:v>
                </c:pt>
                <c:pt idx="40">
                  <c:v>36.52764892578125</c:v>
                </c:pt>
                <c:pt idx="41">
                  <c:v>36.500778198242188</c:v>
                </c:pt>
                <c:pt idx="42">
                  <c:v>35.604953765869141</c:v>
                </c:pt>
                <c:pt idx="43">
                  <c:v>33.705764770507813</c:v>
                </c:pt>
                <c:pt idx="44">
                  <c:v>31.063358306884766</c:v>
                </c:pt>
                <c:pt idx="45">
                  <c:v>27.764730453491211</c:v>
                </c:pt>
                <c:pt idx="46">
                  <c:v>24.186487197875977</c:v>
                </c:pt>
                <c:pt idx="47">
                  <c:v>20.745632171630859</c:v>
                </c:pt>
                <c:pt idx="48">
                  <c:v>17.723506927490234</c:v>
                </c:pt>
                <c:pt idx="49">
                  <c:v>15.28062915802002</c:v>
                </c:pt>
                <c:pt idx="50">
                  <c:v>13.52496337890625</c:v>
                </c:pt>
                <c:pt idx="51">
                  <c:v>12.41341495513916</c:v>
                </c:pt>
                <c:pt idx="52">
                  <c:v>11.772478103637695</c:v>
                </c:pt>
                <c:pt idx="53">
                  <c:v>11.430336952209473</c:v>
                </c:pt>
                <c:pt idx="54">
                  <c:v>11.295591354370117</c:v>
                </c:pt>
                <c:pt idx="55">
                  <c:v>11.369656562805176</c:v>
                </c:pt>
                <c:pt idx="56">
                  <c:v>11.617217063903809</c:v>
                </c:pt>
                <c:pt idx="57">
                  <c:v>11.92314338684082</c:v>
                </c:pt>
                <c:pt idx="58">
                  <c:v>12.281412124633789</c:v>
                </c:pt>
                <c:pt idx="59">
                  <c:v>12.618023872375488</c:v>
                </c:pt>
                <c:pt idx="60">
                  <c:v>13.055986404418945</c:v>
                </c:pt>
                <c:pt idx="61">
                  <c:v>13.52897834777832</c:v>
                </c:pt>
                <c:pt idx="62">
                  <c:v>13.967445373535156</c:v>
                </c:pt>
                <c:pt idx="63">
                  <c:v>14.446723937988281</c:v>
                </c:pt>
                <c:pt idx="64">
                  <c:v>14.828525543212891</c:v>
                </c:pt>
                <c:pt idx="65">
                  <c:v>15.183623313903809</c:v>
                </c:pt>
                <c:pt idx="66">
                  <c:v>15.548112869262695</c:v>
                </c:pt>
                <c:pt idx="67">
                  <c:v>15.891549110412598</c:v>
                </c:pt>
                <c:pt idx="68">
                  <c:v>16.193733215332031</c:v>
                </c:pt>
                <c:pt idx="69">
                  <c:v>16.366373062133789</c:v>
                </c:pt>
                <c:pt idx="70">
                  <c:v>16.489017486572266</c:v>
                </c:pt>
                <c:pt idx="71">
                  <c:v>16.478288650512695</c:v>
                </c:pt>
                <c:pt idx="72">
                  <c:v>16.339374542236328</c:v>
                </c:pt>
                <c:pt idx="73">
                  <c:v>16.076255798339844</c:v>
                </c:pt>
                <c:pt idx="74">
                  <c:v>15.748355865478516</c:v>
                </c:pt>
                <c:pt idx="75">
                  <c:v>15.525524139404297</c:v>
                </c:pt>
                <c:pt idx="76">
                  <c:v>15.072871208190918</c:v>
                </c:pt>
                <c:pt idx="77">
                  <c:v>14.566647529602051</c:v>
                </c:pt>
                <c:pt idx="78">
                  <c:v>13.958284378051758</c:v>
                </c:pt>
                <c:pt idx="79">
                  <c:v>13.181241989135742</c:v>
                </c:pt>
                <c:pt idx="80">
                  <c:v>12.391911506652832</c:v>
                </c:pt>
                <c:pt idx="81">
                  <c:v>11.616141319274902</c:v>
                </c:pt>
                <c:pt idx="82">
                  <c:v>10.917190551757813</c:v>
                </c:pt>
                <c:pt idx="83">
                  <c:v>10.187148094177246</c:v>
                </c:pt>
                <c:pt idx="84">
                  <c:v>9.4831171035766602</c:v>
                </c:pt>
                <c:pt idx="85">
                  <c:v>8.8455924987792969</c:v>
                </c:pt>
                <c:pt idx="86">
                  <c:v>8.2375040054321289</c:v>
                </c:pt>
                <c:pt idx="87">
                  <c:v>7.7967658042907715</c:v>
                </c:pt>
                <c:pt idx="88">
                  <c:v>7.3918375968933105</c:v>
                </c:pt>
                <c:pt idx="89">
                  <c:v>6.9300026893615723</c:v>
                </c:pt>
                <c:pt idx="90">
                  <c:v>6.5682229995727539</c:v>
                </c:pt>
                <c:pt idx="91">
                  <c:v>6.3721714019775391</c:v>
                </c:pt>
                <c:pt idx="92">
                  <c:v>6.2740468978881836</c:v>
                </c:pt>
                <c:pt idx="93">
                  <c:v>6.1518630981445313</c:v>
                </c:pt>
                <c:pt idx="94">
                  <c:v>6.0859599113464355</c:v>
                </c:pt>
                <c:pt idx="95">
                  <c:v>6.1157026290893555</c:v>
                </c:pt>
                <c:pt idx="96">
                  <c:v>6.0224490165710449</c:v>
                </c:pt>
                <c:pt idx="97">
                  <c:v>5.9111814498901367</c:v>
                </c:pt>
                <c:pt idx="98">
                  <c:v>5.9409236907958984</c:v>
                </c:pt>
                <c:pt idx="99">
                  <c:v>5.7918167114257813</c:v>
                </c:pt>
                <c:pt idx="100">
                  <c:v>5.7512350082397461</c:v>
                </c:pt>
                <c:pt idx="101">
                  <c:v>5.828887939453125</c:v>
                </c:pt>
                <c:pt idx="102">
                  <c:v>5.8371601104736328</c:v>
                </c:pt>
                <c:pt idx="103">
                  <c:v>5.8538360595703125</c:v>
                </c:pt>
                <c:pt idx="104">
                  <c:v>5.8474287986755371</c:v>
                </c:pt>
                <c:pt idx="105">
                  <c:v>5.7779712677001953</c:v>
                </c:pt>
                <c:pt idx="106">
                  <c:v>5.7682399749755859</c:v>
                </c:pt>
                <c:pt idx="107">
                  <c:v>5.7971706390380859</c:v>
                </c:pt>
                <c:pt idx="108">
                  <c:v>5.7462434768676758</c:v>
                </c:pt>
                <c:pt idx="109">
                  <c:v>5.5963354110717773</c:v>
                </c:pt>
                <c:pt idx="110">
                  <c:v>5.6582999229431152</c:v>
                </c:pt>
                <c:pt idx="111">
                  <c:v>5.8193869590759277</c:v>
                </c:pt>
                <c:pt idx="112">
                  <c:v>5.819880485534668</c:v>
                </c:pt>
                <c:pt idx="113">
                  <c:v>5.9042916297912598</c:v>
                </c:pt>
                <c:pt idx="114">
                  <c:v>5.9066610336303711</c:v>
                </c:pt>
                <c:pt idx="115">
                  <c:v>5.7526721954345703</c:v>
                </c:pt>
                <c:pt idx="116">
                  <c:v>5.6570382118225098</c:v>
                </c:pt>
                <c:pt idx="117">
                  <c:v>5.5806798934936523</c:v>
                </c:pt>
                <c:pt idx="118">
                  <c:v>5.5643773078918457</c:v>
                </c:pt>
                <c:pt idx="119">
                  <c:v>5.5582113265991211</c:v>
                </c:pt>
                <c:pt idx="120">
                  <c:v>5.4357972145080566</c:v>
                </c:pt>
                <c:pt idx="121">
                  <c:v>5.4283146858215332</c:v>
                </c:pt>
                <c:pt idx="122">
                  <c:v>5.6667804718017578</c:v>
                </c:pt>
                <c:pt idx="123">
                  <c:v>5.6720905303955078</c:v>
                </c:pt>
                <c:pt idx="124">
                  <c:v>5.5586285591125488</c:v>
                </c:pt>
                <c:pt idx="125">
                  <c:v>5.5827207565307617</c:v>
                </c:pt>
                <c:pt idx="126">
                  <c:v>5.6498632431030273</c:v>
                </c:pt>
                <c:pt idx="127">
                  <c:v>5.6690511703491211</c:v>
                </c:pt>
                <c:pt idx="128">
                  <c:v>5.7745814323425293</c:v>
                </c:pt>
                <c:pt idx="129">
                  <c:v>5.6614375114440918</c:v>
                </c:pt>
                <c:pt idx="130">
                  <c:v>5.5034003257751465</c:v>
                </c:pt>
                <c:pt idx="131">
                  <c:v>5.4776954650878906</c:v>
                </c:pt>
                <c:pt idx="132">
                  <c:v>5.4216227531433105</c:v>
                </c:pt>
                <c:pt idx="133">
                  <c:v>5.5099391937255859</c:v>
                </c:pt>
                <c:pt idx="134">
                  <c:v>5.5634336471557617</c:v>
                </c:pt>
                <c:pt idx="135">
                  <c:v>5.4118695259094238</c:v>
                </c:pt>
                <c:pt idx="136">
                  <c:v>3.2019491195678711</c:v>
                </c:pt>
                <c:pt idx="137">
                  <c:v>2</c:v>
                </c:pt>
                <c:pt idx="138">
                  <c:v>4.0312356948852539</c:v>
                </c:pt>
                <c:pt idx="139">
                  <c:v>5.2941508293151855</c:v>
                </c:pt>
                <c:pt idx="140">
                  <c:v>5.2950940132141113</c:v>
                </c:pt>
                <c:pt idx="141">
                  <c:v>5.9468369483947754</c:v>
                </c:pt>
                <c:pt idx="142">
                  <c:v>5.946782112121582</c:v>
                </c:pt>
                <c:pt idx="143">
                  <c:v>5.2690272331237793</c:v>
                </c:pt>
                <c:pt idx="144">
                  <c:v>5.4861869812011719</c:v>
                </c:pt>
                <c:pt idx="145">
                  <c:v>5.8828539848327637</c:v>
                </c:pt>
                <c:pt idx="146">
                  <c:v>4.1054544448852539</c:v>
                </c:pt>
                <c:pt idx="147">
                  <c:v>3.0246689319610596</c:v>
                </c:pt>
                <c:pt idx="148">
                  <c:v>4.9356622695922852</c:v>
                </c:pt>
                <c:pt idx="149">
                  <c:v>6.2560763359069824</c:v>
                </c:pt>
                <c:pt idx="150">
                  <c:v>5.4692368507385254</c:v>
                </c:pt>
                <c:pt idx="151">
                  <c:v>5.831235408782959</c:v>
                </c:pt>
                <c:pt idx="152">
                  <c:v>5.9237542152404785</c:v>
                </c:pt>
                <c:pt idx="153">
                  <c:v>5.6856064796447754</c:v>
                </c:pt>
                <c:pt idx="154">
                  <c:v>5.438507080078125</c:v>
                </c:pt>
                <c:pt idx="155">
                  <c:v>5.45947265625</c:v>
                </c:pt>
                <c:pt idx="156">
                  <c:v>5.2493119239807129</c:v>
                </c:pt>
                <c:pt idx="157">
                  <c:v>5.393855094909668</c:v>
                </c:pt>
                <c:pt idx="158">
                  <c:v>5.6748003959655762</c:v>
                </c:pt>
                <c:pt idx="159">
                  <c:v>5.0913300514221191</c:v>
                </c:pt>
                <c:pt idx="160">
                  <c:v>5.2551050186157227</c:v>
                </c:pt>
                <c:pt idx="161">
                  <c:v>5.325747013092041</c:v>
                </c:pt>
                <c:pt idx="162">
                  <c:v>5.0040006637573242</c:v>
                </c:pt>
                <c:pt idx="163">
                  <c:v>5.7198033332824707</c:v>
                </c:pt>
                <c:pt idx="164">
                  <c:v>5.314490795135498</c:v>
                </c:pt>
                <c:pt idx="165">
                  <c:v>5.0630793571472168</c:v>
                </c:pt>
                <c:pt idx="166">
                  <c:v>5.2247152328491211</c:v>
                </c:pt>
                <c:pt idx="167">
                  <c:v>4.8030118942260742</c:v>
                </c:pt>
                <c:pt idx="168">
                  <c:v>5.8207802772521973</c:v>
                </c:pt>
                <c:pt idx="169">
                  <c:v>5.5954251289367676</c:v>
                </c:pt>
                <c:pt idx="170">
                  <c:v>5.3091697692871094</c:v>
                </c:pt>
                <c:pt idx="171">
                  <c:v>5.6417007446289063</c:v>
                </c:pt>
                <c:pt idx="172">
                  <c:v>5.2766079902648926</c:v>
                </c:pt>
                <c:pt idx="173">
                  <c:v>5.4709482192993164</c:v>
                </c:pt>
                <c:pt idx="174">
                  <c:v>5.2483468055725098</c:v>
                </c:pt>
                <c:pt idx="175">
                  <c:v>5.5722980499267578</c:v>
                </c:pt>
                <c:pt idx="176">
                  <c:v>5.3251986503601074</c:v>
                </c:pt>
                <c:pt idx="177">
                  <c:v>5.3418855667114258</c:v>
                </c:pt>
                <c:pt idx="178">
                  <c:v>5.5434446334838867</c:v>
                </c:pt>
                <c:pt idx="179">
                  <c:v>5.5536913871765137</c:v>
                </c:pt>
                <c:pt idx="180">
                  <c:v>5.7548336982727051</c:v>
                </c:pt>
                <c:pt idx="181">
                  <c:v>5.4940090179443359</c:v>
                </c:pt>
                <c:pt idx="182">
                  <c:v>5.5527915954589844</c:v>
                </c:pt>
                <c:pt idx="183">
                  <c:v>5.7147016525268555</c:v>
                </c:pt>
                <c:pt idx="184">
                  <c:v>5.497169017791748</c:v>
                </c:pt>
                <c:pt idx="185">
                  <c:v>5.4513869285583496</c:v>
                </c:pt>
                <c:pt idx="186">
                  <c:v>5.1109790802001953</c:v>
                </c:pt>
                <c:pt idx="187">
                  <c:v>5.0815987586975098</c:v>
                </c:pt>
                <c:pt idx="188">
                  <c:v>5.4182543754577637</c:v>
                </c:pt>
                <c:pt idx="189">
                  <c:v>5.8054428100585938</c:v>
                </c:pt>
                <c:pt idx="190">
                  <c:v>5.1243743896484375</c:v>
                </c:pt>
                <c:pt idx="191">
                  <c:v>5.9689435958862305</c:v>
                </c:pt>
                <c:pt idx="192">
                  <c:v>5.1959161758422852</c:v>
                </c:pt>
                <c:pt idx="193">
                  <c:v>5.1560478210449219</c:v>
                </c:pt>
                <c:pt idx="194">
                  <c:v>4.2836012840270996</c:v>
                </c:pt>
                <c:pt idx="195">
                  <c:v>4.1654658317565918</c:v>
                </c:pt>
                <c:pt idx="196">
                  <c:v>4.3542547225952148</c:v>
                </c:pt>
                <c:pt idx="197">
                  <c:v>4.6165928840637207</c:v>
                </c:pt>
                <c:pt idx="198">
                  <c:v>6.6754097938537598</c:v>
                </c:pt>
                <c:pt idx="199">
                  <c:v>5.5228300094604492</c:v>
                </c:pt>
                <c:pt idx="200">
                  <c:v>5.2628612518310547</c:v>
                </c:pt>
                <c:pt idx="201">
                  <c:v>4.6084413528442383</c:v>
                </c:pt>
                <c:pt idx="202">
                  <c:v>5.6181459426879883</c:v>
                </c:pt>
                <c:pt idx="203">
                  <c:v>4.234868049621582</c:v>
                </c:pt>
                <c:pt idx="204">
                  <c:v>5.4301910400390625</c:v>
                </c:pt>
                <c:pt idx="205">
                  <c:v>4.7469720840454102</c:v>
                </c:pt>
                <c:pt idx="206">
                  <c:v>5.097813606262207</c:v>
                </c:pt>
                <c:pt idx="207">
                  <c:v>5.8999028205871582</c:v>
                </c:pt>
                <c:pt idx="208">
                  <c:v>5.3366413116455078</c:v>
                </c:pt>
                <c:pt idx="209">
                  <c:v>6.133486270904541</c:v>
                </c:pt>
                <c:pt idx="210">
                  <c:v>4.5331149101257324</c:v>
                </c:pt>
                <c:pt idx="211">
                  <c:v>5.7686023712158203</c:v>
                </c:pt>
                <c:pt idx="212">
                  <c:v>4.8825297355651855</c:v>
                </c:pt>
                <c:pt idx="213">
                  <c:v>5.5043988227844238</c:v>
                </c:pt>
                <c:pt idx="214">
                  <c:v>5.1081266403198242</c:v>
                </c:pt>
                <c:pt idx="215">
                  <c:v>5.0267763137817383</c:v>
                </c:pt>
                <c:pt idx="216">
                  <c:v>5.8815374374389648</c:v>
                </c:pt>
                <c:pt idx="217">
                  <c:v>5.0490145683288574</c:v>
                </c:pt>
                <c:pt idx="218">
                  <c:v>6.5922713279724121</c:v>
                </c:pt>
                <c:pt idx="219">
                  <c:v>5.1443305015563965</c:v>
                </c:pt>
                <c:pt idx="220">
                  <c:v>5.1355319023132324</c:v>
                </c:pt>
                <c:pt idx="221">
                  <c:v>5.8244004249572754</c:v>
                </c:pt>
                <c:pt idx="222">
                  <c:v>3.5816442966461182</c:v>
                </c:pt>
                <c:pt idx="223">
                  <c:v>6.1200580596923828</c:v>
                </c:pt>
                <c:pt idx="224">
                  <c:v>4.3675951957702637</c:v>
                </c:pt>
                <c:pt idx="225">
                  <c:v>5.4688525199890137</c:v>
                </c:pt>
              </c:numCache>
            </c:numRef>
          </c:yVal>
          <c:smooth val="1"/>
          <c:extLst>
            <c:ext xmlns:c16="http://schemas.microsoft.com/office/drawing/2014/chart" uri="{C3380CC4-5D6E-409C-BE32-E72D297353CC}">
              <c16:uniqueId val="{00000001-58F6-4830-8941-1011DB88381F}"/>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99.839500427246094</c:v>
                </c:pt>
                <c:pt idx="1">
                  <c:v>100</c:v>
                </c:pt>
                <c:pt idx="2">
                  <c:v>98.339576721191406</c:v>
                </c:pt>
                <c:pt idx="3">
                  <c:v>95.695549011230469</c:v>
                </c:pt>
                <c:pt idx="4">
                  <c:v>91.203048706054688</c:v>
                </c:pt>
                <c:pt idx="5">
                  <c:v>85.104301452636719</c:v>
                </c:pt>
                <c:pt idx="6">
                  <c:v>76.875770568847656</c:v>
                </c:pt>
                <c:pt idx="7">
                  <c:v>67.813674926757813</c:v>
                </c:pt>
                <c:pt idx="8">
                  <c:v>58.873523712158203</c:v>
                </c:pt>
                <c:pt idx="9">
                  <c:v>50.252834320068359</c:v>
                </c:pt>
                <c:pt idx="10">
                  <c:v>42.954818725585938</c:v>
                </c:pt>
                <c:pt idx="11">
                  <c:v>36.555099487304688</c:v>
                </c:pt>
                <c:pt idx="12">
                  <c:v>31.164928436279297</c:v>
                </c:pt>
                <c:pt idx="13">
                  <c:v>26.414560317993164</c:v>
                </c:pt>
                <c:pt idx="14">
                  <c:v>22.376470565795898</c:v>
                </c:pt>
                <c:pt idx="15">
                  <c:v>19.917430877685547</c:v>
                </c:pt>
                <c:pt idx="16">
                  <c:v>19.189918518066406</c:v>
                </c:pt>
                <c:pt idx="17">
                  <c:v>19.72833251953125</c:v>
                </c:pt>
                <c:pt idx="18">
                  <c:v>21.016334533691406</c:v>
                </c:pt>
                <c:pt idx="19">
                  <c:v>22.512340545654297</c:v>
                </c:pt>
                <c:pt idx="20">
                  <c:v>23.860660552978516</c:v>
                </c:pt>
                <c:pt idx="21">
                  <c:v>25.220609664916992</c:v>
                </c:pt>
                <c:pt idx="22">
                  <c:v>26.950019836425781</c:v>
                </c:pt>
                <c:pt idx="23">
                  <c:v>28.697805404663086</c:v>
                </c:pt>
                <c:pt idx="24">
                  <c:v>31.15106201171875</c:v>
                </c:pt>
                <c:pt idx="25">
                  <c:v>33.792980194091797</c:v>
                </c:pt>
                <c:pt idx="26">
                  <c:v>36.390625</c:v>
                </c:pt>
                <c:pt idx="27">
                  <c:v>39.097743988037109</c:v>
                </c:pt>
                <c:pt idx="28">
                  <c:v>42.139907836914063</c:v>
                </c:pt>
                <c:pt idx="29">
                  <c:v>44.963306427001953</c:v>
                </c:pt>
                <c:pt idx="30">
                  <c:v>47.65643310546875</c:v>
                </c:pt>
                <c:pt idx="31">
                  <c:v>49.646827697753906</c:v>
                </c:pt>
                <c:pt idx="32">
                  <c:v>50.968845367431641</c:v>
                </c:pt>
                <c:pt idx="33">
                  <c:v>51.672603607177734</c:v>
                </c:pt>
                <c:pt idx="34">
                  <c:v>51.653327941894531</c:v>
                </c:pt>
                <c:pt idx="35">
                  <c:v>51.268848419189453</c:v>
                </c:pt>
                <c:pt idx="36">
                  <c:v>50.540618896484375</c:v>
                </c:pt>
                <c:pt idx="37">
                  <c:v>49.163105010986328</c:v>
                </c:pt>
                <c:pt idx="38">
                  <c:v>47.105926513671875</c:v>
                </c:pt>
                <c:pt idx="39">
                  <c:v>44.958023071289063</c:v>
                </c:pt>
                <c:pt idx="40">
                  <c:v>43.058444976806641</c:v>
                </c:pt>
                <c:pt idx="41">
                  <c:v>41.644710540771484</c:v>
                </c:pt>
                <c:pt idx="42">
                  <c:v>40.999652862548828</c:v>
                </c:pt>
                <c:pt idx="43">
                  <c:v>40.908615112304688</c:v>
                </c:pt>
                <c:pt idx="44">
                  <c:v>41.121498107910156</c:v>
                </c:pt>
                <c:pt idx="45">
                  <c:v>41.023063659667969</c:v>
                </c:pt>
                <c:pt idx="46">
                  <c:v>40.730148315429688</c:v>
                </c:pt>
                <c:pt idx="47">
                  <c:v>40.277484893798828</c:v>
                </c:pt>
                <c:pt idx="48">
                  <c:v>39.183742523193359</c:v>
                </c:pt>
                <c:pt idx="49">
                  <c:v>37.623687744140625</c:v>
                </c:pt>
                <c:pt idx="50">
                  <c:v>35.704994201660156</c:v>
                </c:pt>
                <c:pt idx="51">
                  <c:v>33.136543273925781</c:v>
                </c:pt>
                <c:pt idx="52">
                  <c:v>29.987113952636719</c:v>
                </c:pt>
                <c:pt idx="53">
                  <c:v>26.650484085083008</c:v>
                </c:pt>
                <c:pt idx="54">
                  <c:v>23.255088806152344</c:v>
                </c:pt>
                <c:pt idx="55">
                  <c:v>20.168558120727539</c:v>
                </c:pt>
                <c:pt idx="56">
                  <c:v>17.329145431518555</c:v>
                </c:pt>
                <c:pt idx="57">
                  <c:v>15.001811027526855</c:v>
                </c:pt>
                <c:pt idx="58">
                  <c:v>12.973516464233398</c:v>
                </c:pt>
                <c:pt idx="59">
                  <c:v>11.293261528015137</c:v>
                </c:pt>
                <c:pt idx="60">
                  <c:v>10.142746925354004</c:v>
                </c:pt>
                <c:pt idx="61">
                  <c:v>9.0268363952636719</c:v>
                </c:pt>
                <c:pt idx="62">
                  <c:v>8.1923990249633789</c:v>
                </c:pt>
                <c:pt idx="63">
                  <c:v>7.7549080848693848</c:v>
                </c:pt>
                <c:pt idx="64">
                  <c:v>7.3532977104187012</c:v>
                </c:pt>
                <c:pt idx="65">
                  <c:v>6.9327206611633301</c:v>
                </c:pt>
                <c:pt idx="66">
                  <c:v>6.7106022834777832</c:v>
                </c:pt>
                <c:pt idx="67">
                  <c:v>6.3908557891845703</c:v>
                </c:pt>
                <c:pt idx="68">
                  <c:v>6.2512850761413574</c:v>
                </c:pt>
                <c:pt idx="69">
                  <c:v>6.2659916877746582</c:v>
                </c:pt>
                <c:pt idx="70">
                  <c:v>6.1368370056152344</c:v>
                </c:pt>
                <c:pt idx="71">
                  <c:v>5.9525256156921387</c:v>
                </c:pt>
                <c:pt idx="72">
                  <c:v>5.6973562240600586</c:v>
                </c:pt>
                <c:pt idx="73">
                  <c:v>5.6121964454650879</c:v>
                </c:pt>
                <c:pt idx="74">
                  <c:v>5.6210265159606934</c:v>
                </c:pt>
                <c:pt idx="75">
                  <c:v>5.3877458572387695</c:v>
                </c:pt>
                <c:pt idx="76">
                  <c:v>5.2749762535095215</c:v>
                </c:pt>
                <c:pt idx="77">
                  <c:v>5.3018393516540527</c:v>
                </c:pt>
                <c:pt idx="78">
                  <c:v>5.0184082984924316</c:v>
                </c:pt>
                <c:pt idx="79">
                  <c:v>4.8978967666625977</c:v>
                </c:pt>
                <c:pt idx="80">
                  <c:v>4.902125358581543</c:v>
                </c:pt>
                <c:pt idx="81">
                  <c:v>4.7034497261047363</c:v>
                </c:pt>
                <c:pt idx="82">
                  <c:v>4.6968274116516113</c:v>
                </c:pt>
                <c:pt idx="83">
                  <c:v>4.311943531036377</c:v>
                </c:pt>
                <c:pt idx="84">
                  <c:v>4.3356046676635742</c:v>
                </c:pt>
                <c:pt idx="85">
                  <c:v>4.6148695945739746</c:v>
                </c:pt>
                <c:pt idx="86">
                  <c:v>4.4635777473449707</c:v>
                </c:pt>
                <c:pt idx="87">
                  <c:v>4.3519587516784668</c:v>
                </c:pt>
                <c:pt idx="88">
                  <c:v>3.8382935523986816</c:v>
                </c:pt>
                <c:pt idx="89">
                  <c:v>3.6758708953857422</c:v>
                </c:pt>
                <c:pt idx="90">
                  <c:v>3.5844614505767822</c:v>
                </c:pt>
                <c:pt idx="91">
                  <c:v>3.3631510734558105</c:v>
                </c:pt>
                <c:pt idx="92">
                  <c:v>3.8291215896606445</c:v>
                </c:pt>
                <c:pt idx="93">
                  <c:v>3.8785572052001953</c:v>
                </c:pt>
                <c:pt idx="94">
                  <c:v>3.7200520038604736</c:v>
                </c:pt>
                <c:pt idx="95">
                  <c:v>3.5948150157928467</c:v>
                </c:pt>
                <c:pt idx="96">
                  <c:v>3.3794431686401367</c:v>
                </c:pt>
                <c:pt idx="97">
                  <c:v>3.3797850608825684</c:v>
                </c:pt>
                <c:pt idx="98">
                  <c:v>3.5073540210723877</c:v>
                </c:pt>
                <c:pt idx="99">
                  <c:v>3.5326938629150391</c:v>
                </c:pt>
                <c:pt idx="100">
                  <c:v>3.3164825439453125</c:v>
                </c:pt>
                <c:pt idx="101">
                  <c:v>3.0726306438446045</c:v>
                </c:pt>
                <c:pt idx="102">
                  <c:v>3.132575511932373</c:v>
                </c:pt>
                <c:pt idx="103">
                  <c:v>3.229705810546875</c:v>
                </c:pt>
                <c:pt idx="104">
                  <c:v>3.0304703712463379</c:v>
                </c:pt>
                <c:pt idx="105">
                  <c:v>3.2097136974334717</c:v>
                </c:pt>
                <c:pt idx="106">
                  <c:v>3.8300542831420898</c:v>
                </c:pt>
                <c:pt idx="107">
                  <c:v>3.8869209289550781</c:v>
                </c:pt>
                <c:pt idx="108">
                  <c:v>3.6638693809509277</c:v>
                </c:pt>
                <c:pt idx="109">
                  <c:v>3.7490606307983398</c:v>
                </c:pt>
                <c:pt idx="110">
                  <c:v>3.5841505527496338</c:v>
                </c:pt>
                <c:pt idx="111">
                  <c:v>3.6875302791595459</c:v>
                </c:pt>
                <c:pt idx="112">
                  <c:v>4.2942523956298828</c:v>
                </c:pt>
                <c:pt idx="113">
                  <c:v>4.5057377815246582</c:v>
                </c:pt>
                <c:pt idx="114">
                  <c:v>4.5581893920898438</c:v>
                </c:pt>
                <c:pt idx="115">
                  <c:v>4.7533831596374512</c:v>
                </c:pt>
                <c:pt idx="116">
                  <c:v>4.7685246467590332</c:v>
                </c:pt>
                <c:pt idx="117">
                  <c:v>4.7916569709777832</c:v>
                </c:pt>
                <c:pt idx="118">
                  <c:v>4.8211007118225098</c:v>
                </c:pt>
                <c:pt idx="119">
                  <c:v>4.7132434844970703</c:v>
                </c:pt>
                <c:pt idx="120">
                  <c:v>4.8122081756591797</c:v>
                </c:pt>
                <c:pt idx="121">
                  <c:v>4.546623706817627</c:v>
                </c:pt>
                <c:pt idx="122">
                  <c:v>4.4073328971862793</c:v>
                </c:pt>
                <c:pt idx="123">
                  <c:v>4.6583981513977051</c:v>
                </c:pt>
                <c:pt idx="124">
                  <c:v>4.6626262664794922</c:v>
                </c:pt>
                <c:pt idx="125">
                  <c:v>4.596867561340332</c:v>
                </c:pt>
                <c:pt idx="126">
                  <c:v>4.7473201751708984</c:v>
                </c:pt>
                <c:pt idx="127">
                  <c:v>4.875542163848877</c:v>
                </c:pt>
                <c:pt idx="128">
                  <c:v>4.2531185150146484</c:v>
                </c:pt>
                <c:pt idx="129">
                  <c:v>3.8254837989807129</c:v>
                </c:pt>
                <c:pt idx="130">
                  <c:v>4.0360984802246094</c:v>
                </c:pt>
                <c:pt idx="131">
                  <c:v>4.0751185417175293</c:v>
                </c:pt>
                <c:pt idx="132">
                  <c:v>4.0734086036682129</c:v>
                </c:pt>
                <c:pt idx="133">
                  <c:v>4.0797824859619141</c:v>
                </c:pt>
                <c:pt idx="134">
                  <c:v>3.7481589317321777</c:v>
                </c:pt>
                <c:pt idx="135">
                  <c:v>3.9799470901489258</c:v>
                </c:pt>
                <c:pt idx="136">
                  <c:v>3.3149590492248535</c:v>
                </c:pt>
                <c:pt idx="137">
                  <c:v>2.3757426738739014</c:v>
                </c:pt>
                <c:pt idx="138">
                  <c:v>3.441906213760376</c:v>
                </c:pt>
                <c:pt idx="139">
                  <c:v>4.4198007583618164</c:v>
                </c:pt>
                <c:pt idx="140">
                  <c:v>4.3532333374023438</c:v>
                </c:pt>
                <c:pt idx="141">
                  <c:v>3.6875302791595459</c:v>
                </c:pt>
                <c:pt idx="142">
                  <c:v>3.8506991863250732</c:v>
                </c:pt>
                <c:pt idx="143">
                  <c:v>4.1778144836425781</c:v>
                </c:pt>
                <c:pt idx="144">
                  <c:v>3.3997149467468262</c:v>
                </c:pt>
                <c:pt idx="145">
                  <c:v>2.9264378547668457</c:v>
                </c:pt>
                <c:pt idx="146">
                  <c:v>5.1767888069152832</c:v>
                </c:pt>
                <c:pt idx="147">
                  <c:v>5.5689167976379395</c:v>
                </c:pt>
                <c:pt idx="148">
                  <c:v>2.9176387786865234</c:v>
                </c:pt>
                <c:pt idx="149">
                  <c:v>2</c:v>
                </c:pt>
                <c:pt idx="150">
                  <c:v>3.5843369960784912</c:v>
                </c:pt>
                <c:pt idx="151">
                  <c:v>3.5395340919494629</c:v>
                </c:pt>
                <c:pt idx="152">
                  <c:v>3.6393692493438721</c:v>
                </c:pt>
                <c:pt idx="153">
                  <c:v>4.050774097442627</c:v>
                </c:pt>
                <c:pt idx="154">
                  <c:v>4.1741147041320801</c:v>
                </c:pt>
                <c:pt idx="155">
                  <c:v>4.0500588417053223</c:v>
                </c:pt>
                <c:pt idx="156">
                  <c:v>4.0268955230712891</c:v>
                </c:pt>
                <c:pt idx="157">
                  <c:v>3.819265604019165</c:v>
                </c:pt>
                <c:pt idx="158">
                  <c:v>4.2067294120788574</c:v>
                </c:pt>
                <c:pt idx="159">
                  <c:v>4.5688228607177734</c:v>
                </c:pt>
                <c:pt idx="160">
                  <c:v>4.2760329246520996</c:v>
                </c:pt>
                <c:pt idx="161">
                  <c:v>4.313840389251709</c:v>
                </c:pt>
                <c:pt idx="162">
                  <c:v>4.399528980255127</c:v>
                </c:pt>
                <c:pt idx="163">
                  <c:v>4.1941995620727539</c:v>
                </c:pt>
                <c:pt idx="164">
                  <c:v>4.0711078643798828</c:v>
                </c:pt>
                <c:pt idx="165">
                  <c:v>3.5986702442169189</c:v>
                </c:pt>
                <c:pt idx="166">
                  <c:v>3.8097202777862549</c:v>
                </c:pt>
                <c:pt idx="167">
                  <c:v>4.1644139289855957</c:v>
                </c:pt>
                <c:pt idx="168">
                  <c:v>4.0893898010253906</c:v>
                </c:pt>
                <c:pt idx="169">
                  <c:v>4.3074045181274414</c:v>
                </c:pt>
                <c:pt idx="170">
                  <c:v>3.710817813873291</c:v>
                </c:pt>
                <c:pt idx="171">
                  <c:v>4.1112780570983887</c:v>
                </c:pt>
                <c:pt idx="172">
                  <c:v>4.5428304672241211</c:v>
                </c:pt>
                <c:pt idx="173">
                  <c:v>4.6034588813781738</c:v>
                </c:pt>
                <c:pt idx="174">
                  <c:v>4.3780136108398438</c:v>
                </c:pt>
                <c:pt idx="175">
                  <c:v>3.729628324508667</c:v>
                </c:pt>
                <c:pt idx="176">
                  <c:v>3.6957383155822754</c:v>
                </c:pt>
                <c:pt idx="177">
                  <c:v>4.1212277412414551</c:v>
                </c:pt>
                <c:pt idx="178">
                  <c:v>4.3398642539978027</c:v>
                </c:pt>
                <c:pt idx="179">
                  <c:v>4.3464865684509277</c:v>
                </c:pt>
                <c:pt idx="180">
                  <c:v>4.2791109085083008</c:v>
                </c:pt>
                <c:pt idx="181">
                  <c:v>3.8340339660644531</c:v>
                </c:pt>
                <c:pt idx="182">
                  <c:v>4.3637733459472656</c:v>
                </c:pt>
                <c:pt idx="183">
                  <c:v>4.5659623146057129</c:v>
                </c:pt>
                <c:pt idx="184">
                  <c:v>3.3307535648345947</c:v>
                </c:pt>
                <c:pt idx="185">
                  <c:v>3.5907108783721924</c:v>
                </c:pt>
                <c:pt idx="186">
                  <c:v>3.9584939479827881</c:v>
                </c:pt>
                <c:pt idx="187">
                  <c:v>3.9208109378814697</c:v>
                </c:pt>
                <c:pt idx="188">
                  <c:v>4.6990036964416504</c:v>
                </c:pt>
                <c:pt idx="189">
                  <c:v>4.3589234352111816</c:v>
                </c:pt>
                <c:pt idx="190">
                  <c:v>4.4581365585327148</c:v>
                </c:pt>
                <c:pt idx="191">
                  <c:v>5.0667557716369629</c:v>
                </c:pt>
                <c:pt idx="192">
                  <c:v>4.3364439010620117</c:v>
                </c:pt>
                <c:pt idx="193">
                  <c:v>4.571683406829834</c:v>
                </c:pt>
                <c:pt idx="194">
                  <c:v>4.1963138580322266</c:v>
                </c:pt>
                <c:pt idx="195">
                  <c:v>4.1482462882995605</c:v>
                </c:pt>
                <c:pt idx="196">
                  <c:v>3.8812932968139648</c:v>
                </c:pt>
                <c:pt idx="197">
                  <c:v>3.8480563163757324</c:v>
                </c:pt>
                <c:pt idx="198">
                  <c:v>4.1077027320861816</c:v>
                </c:pt>
                <c:pt idx="199">
                  <c:v>4.4867720603942871</c:v>
                </c:pt>
                <c:pt idx="200">
                  <c:v>4.1545577049255371</c:v>
                </c:pt>
                <c:pt idx="201">
                  <c:v>3.5786161422729492</c:v>
                </c:pt>
                <c:pt idx="202">
                  <c:v>4.3300390243530273</c:v>
                </c:pt>
                <c:pt idx="203">
                  <c:v>3.8704423904418945</c:v>
                </c:pt>
                <c:pt idx="204">
                  <c:v>4.3047614097595215</c:v>
                </c:pt>
                <c:pt idx="205">
                  <c:v>3.74259352684021</c:v>
                </c:pt>
                <c:pt idx="206">
                  <c:v>4.5137906074523926</c:v>
                </c:pt>
                <c:pt idx="207">
                  <c:v>3.8108396530151367</c:v>
                </c:pt>
                <c:pt idx="208">
                  <c:v>3.9257855415344238</c:v>
                </c:pt>
                <c:pt idx="209">
                  <c:v>4.2700943946838379</c:v>
                </c:pt>
                <c:pt idx="210">
                  <c:v>4.2773075103759766</c:v>
                </c:pt>
                <c:pt idx="211">
                  <c:v>4.9233608245849609</c:v>
                </c:pt>
                <c:pt idx="212">
                  <c:v>4.0204286575317383</c:v>
                </c:pt>
                <c:pt idx="213">
                  <c:v>3.8690433502197266</c:v>
                </c:pt>
                <c:pt idx="214">
                  <c:v>3.1203563213348389</c:v>
                </c:pt>
                <c:pt idx="215">
                  <c:v>4.0350103378295898</c:v>
                </c:pt>
                <c:pt idx="216">
                  <c:v>4.9372901916503906</c:v>
                </c:pt>
                <c:pt idx="217">
                  <c:v>4.3999333381652832</c:v>
                </c:pt>
                <c:pt idx="218">
                  <c:v>3.7226016521453857</c:v>
                </c:pt>
                <c:pt idx="219">
                  <c:v>2.5527784824371338</c:v>
                </c:pt>
                <c:pt idx="220">
                  <c:v>4.3677530288696289</c:v>
                </c:pt>
                <c:pt idx="221">
                  <c:v>5.0815863609313965</c:v>
                </c:pt>
                <c:pt idx="222">
                  <c:v>4.2653684616088867</c:v>
                </c:pt>
                <c:pt idx="223">
                  <c:v>5.1508274078369141</c:v>
                </c:pt>
                <c:pt idx="224">
                  <c:v>3.5932292938232422</c:v>
                </c:pt>
                <c:pt idx="225">
                  <c:v>4.1655640602111816</c:v>
                </c:pt>
              </c:numCache>
            </c:numRef>
          </c:yVal>
          <c:smooth val="1"/>
          <c:extLst>
            <c:ext xmlns:c16="http://schemas.microsoft.com/office/drawing/2014/chart" uri="{C3380CC4-5D6E-409C-BE32-E72D297353CC}">
              <c16:uniqueId val="{00000002-58F6-4830-8941-1011DB88381F}"/>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54.025966644287109</c:v>
                </c:pt>
                <c:pt idx="1">
                  <c:v>54.321552276611328</c:v>
                </c:pt>
                <c:pt idx="2">
                  <c:v>53.441268920898438</c:v>
                </c:pt>
                <c:pt idx="3">
                  <c:v>51.914558410644531</c:v>
                </c:pt>
                <c:pt idx="4">
                  <c:v>49.903224945068359</c:v>
                </c:pt>
                <c:pt idx="5">
                  <c:v>47.438808441162109</c:v>
                </c:pt>
                <c:pt idx="6">
                  <c:v>44.351364135742188</c:v>
                </c:pt>
                <c:pt idx="7">
                  <c:v>41.066535949707031</c:v>
                </c:pt>
                <c:pt idx="8">
                  <c:v>38.350082397460938</c:v>
                </c:pt>
                <c:pt idx="9">
                  <c:v>36.387897491455078</c:v>
                </c:pt>
                <c:pt idx="10">
                  <c:v>35.160762786865234</c:v>
                </c:pt>
                <c:pt idx="11">
                  <c:v>34.459308624267578</c:v>
                </c:pt>
                <c:pt idx="12">
                  <c:v>33.921367645263672</c:v>
                </c:pt>
                <c:pt idx="13">
                  <c:v>33.246311187744141</c:v>
                </c:pt>
                <c:pt idx="14">
                  <c:v>32.377265930175781</c:v>
                </c:pt>
                <c:pt idx="15">
                  <c:v>31.311792373657227</c:v>
                </c:pt>
                <c:pt idx="16">
                  <c:v>30.088558197021484</c:v>
                </c:pt>
                <c:pt idx="17">
                  <c:v>28.782400131225586</c:v>
                </c:pt>
                <c:pt idx="18">
                  <c:v>27.475347518920898</c:v>
                </c:pt>
                <c:pt idx="19">
                  <c:v>26.355443954467773</c:v>
                </c:pt>
                <c:pt idx="20">
                  <c:v>25.57689094543457</c:v>
                </c:pt>
                <c:pt idx="21">
                  <c:v>25.293142318725586</c:v>
                </c:pt>
                <c:pt idx="22">
                  <c:v>25.583740234375</c:v>
                </c:pt>
                <c:pt idx="23">
                  <c:v>26.404592514038086</c:v>
                </c:pt>
                <c:pt idx="24">
                  <c:v>27.941946029663086</c:v>
                </c:pt>
                <c:pt idx="25">
                  <c:v>30.128349304199219</c:v>
                </c:pt>
                <c:pt idx="26">
                  <c:v>33.015560150146484</c:v>
                </c:pt>
                <c:pt idx="27">
                  <c:v>36.395320892333984</c:v>
                </c:pt>
                <c:pt idx="28">
                  <c:v>40.418857574462891</c:v>
                </c:pt>
                <c:pt idx="29">
                  <c:v>44.719993591308594</c:v>
                </c:pt>
                <c:pt idx="30">
                  <c:v>49.45745849609375</c:v>
                </c:pt>
                <c:pt idx="31">
                  <c:v>54.301265716552734</c:v>
                </c:pt>
                <c:pt idx="32">
                  <c:v>59.42120361328125</c:v>
                </c:pt>
                <c:pt idx="33">
                  <c:v>64.645797729492188</c:v>
                </c:pt>
                <c:pt idx="34">
                  <c:v>69.7509765625</c:v>
                </c:pt>
                <c:pt idx="35">
                  <c:v>74.865478515625</c:v>
                </c:pt>
                <c:pt idx="36">
                  <c:v>79.765174865722656</c:v>
                </c:pt>
                <c:pt idx="37">
                  <c:v>84.385704040527344</c:v>
                </c:pt>
                <c:pt idx="38">
                  <c:v>88.598274230957031</c:v>
                </c:pt>
                <c:pt idx="39">
                  <c:v>92.471946716308594</c:v>
                </c:pt>
                <c:pt idx="40">
                  <c:v>95.620872497558594</c:v>
                </c:pt>
                <c:pt idx="41">
                  <c:v>97.9705810546875</c:v>
                </c:pt>
                <c:pt idx="42">
                  <c:v>99.490440368652344</c:v>
                </c:pt>
                <c:pt idx="43">
                  <c:v>100</c:v>
                </c:pt>
                <c:pt idx="44">
                  <c:v>99.537872314453125</c:v>
                </c:pt>
                <c:pt idx="45">
                  <c:v>98.116989135742188</c:v>
                </c:pt>
                <c:pt idx="46">
                  <c:v>95.728294372558594</c:v>
                </c:pt>
                <c:pt idx="47">
                  <c:v>92.407470703125</c:v>
                </c:pt>
                <c:pt idx="48">
                  <c:v>88.282028198242188</c:v>
                </c:pt>
                <c:pt idx="49">
                  <c:v>83.403068542480469</c:v>
                </c:pt>
                <c:pt idx="50">
                  <c:v>77.911338806152344</c:v>
                </c:pt>
                <c:pt idx="51">
                  <c:v>71.935638427734375</c:v>
                </c:pt>
                <c:pt idx="52">
                  <c:v>65.6221923828125</c:v>
                </c:pt>
                <c:pt idx="53">
                  <c:v>59.117229461669922</c:v>
                </c:pt>
                <c:pt idx="54">
                  <c:v>52.354736328125</c:v>
                </c:pt>
                <c:pt idx="55">
                  <c:v>45.901439666748047</c:v>
                </c:pt>
                <c:pt idx="56">
                  <c:v>39.671192169189453</c:v>
                </c:pt>
                <c:pt idx="57">
                  <c:v>33.754837036132813</c:v>
                </c:pt>
                <c:pt idx="58">
                  <c:v>28.224273681640625</c:v>
                </c:pt>
                <c:pt idx="59">
                  <c:v>23.447046279907227</c:v>
                </c:pt>
                <c:pt idx="60">
                  <c:v>19.246604919433594</c:v>
                </c:pt>
                <c:pt idx="61">
                  <c:v>15.562938690185547</c:v>
                </c:pt>
                <c:pt idx="62">
                  <c:v>12.636892318725586</c:v>
                </c:pt>
                <c:pt idx="63">
                  <c:v>10.098960876464844</c:v>
                </c:pt>
                <c:pt idx="64">
                  <c:v>8.1195926666259766</c:v>
                </c:pt>
                <c:pt idx="65">
                  <c:v>6.6365966796875</c:v>
                </c:pt>
                <c:pt idx="66">
                  <c:v>5.5454463958740234</c:v>
                </c:pt>
                <c:pt idx="67">
                  <c:v>4.7148799896240234</c:v>
                </c:pt>
                <c:pt idx="68">
                  <c:v>4.1294436454772949</c:v>
                </c:pt>
                <c:pt idx="69">
                  <c:v>3.7146451473236084</c:v>
                </c:pt>
                <c:pt idx="70">
                  <c:v>3.3769900798797607</c:v>
                </c:pt>
                <c:pt idx="71">
                  <c:v>3.2266669273376465</c:v>
                </c:pt>
                <c:pt idx="72">
                  <c:v>3.1366772651672363</c:v>
                </c:pt>
                <c:pt idx="73">
                  <c:v>3.0281720161437988</c:v>
                </c:pt>
                <c:pt idx="74">
                  <c:v>2.9895455837249756</c:v>
                </c:pt>
                <c:pt idx="75">
                  <c:v>2.9815158843994141</c:v>
                </c:pt>
                <c:pt idx="76">
                  <c:v>2.9863541126251221</c:v>
                </c:pt>
                <c:pt idx="77">
                  <c:v>3.0506513118743896</c:v>
                </c:pt>
                <c:pt idx="78">
                  <c:v>3.0640149116516113</c:v>
                </c:pt>
                <c:pt idx="79">
                  <c:v>3.0319247245788574</c:v>
                </c:pt>
                <c:pt idx="80">
                  <c:v>3.0673739910125732</c:v>
                </c:pt>
                <c:pt idx="81">
                  <c:v>3.0350871086120605</c:v>
                </c:pt>
                <c:pt idx="82">
                  <c:v>3.0730941295623779</c:v>
                </c:pt>
                <c:pt idx="83">
                  <c:v>3.1314525604248047</c:v>
                </c:pt>
                <c:pt idx="84">
                  <c:v>3.0739829540252686</c:v>
                </c:pt>
                <c:pt idx="85">
                  <c:v>3.0752072334289551</c:v>
                </c:pt>
                <c:pt idx="86">
                  <c:v>3.0912742614746094</c:v>
                </c:pt>
                <c:pt idx="87">
                  <c:v>3.0915000438690186</c:v>
                </c:pt>
                <c:pt idx="88">
                  <c:v>3.0293014049530029</c:v>
                </c:pt>
                <c:pt idx="89">
                  <c:v>3.0025303363800049</c:v>
                </c:pt>
                <c:pt idx="90">
                  <c:v>2.952857494354248</c:v>
                </c:pt>
                <c:pt idx="91">
                  <c:v>2.8601205348968506</c:v>
                </c:pt>
                <c:pt idx="92">
                  <c:v>2.8712692260742188</c:v>
                </c:pt>
                <c:pt idx="93">
                  <c:v>2.8078243732452393</c:v>
                </c:pt>
                <c:pt idx="94">
                  <c:v>2.7257988452911377</c:v>
                </c:pt>
                <c:pt idx="95">
                  <c:v>2.656933069229126</c:v>
                </c:pt>
                <c:pt idx="96">
                  <c:v>2.6227078437805176</c:v>
                </c:pt>
                <c:pt idx="97">
                  <c:v>2.608447790145874</c:v>
                </c:pt>
                <c:pt idx="98">
                  <c:v>2.5639774799346924</c:v>
                </c:pt>
                <c:pt idx="99">
                  <c:v>2.5326449871063232</c:v>
                </c:pt>
                <c:pt idx="100">
                  <c:v>2.4993088245391846</c:v>
                </c:pt>
                <c:pt idx="101">
                  <c:v>2.441737174987793</c:v>
                </c:pt>
                <c:pt idx="102">
                  <c:v>2.4598953723907471</c:v>
                </c:pt>
                <c:pt idx="103">
                  <c:v>2.4442875385284424</c:v>
                </c:pt>
                <c:pt idx="104">
                  <c:v>2.3392724990844727</c:v>
                </c:pt>
                <c:pt idx="105">
                  <c:v>2.3190157413482666</c:v>
                </c:pt>
                <c:pt idx="106">
                  <c:v>2.3532629013061523</c:v>
                </c:pt>
                <c:pt idx="107">
                  <c:v>2.3332099914550781</c:v>
                </c:pt>
                <c:pt idx="108">
                  <c:v>2.3904027938842773</c:v>
                </c:pt>
                <c:pt idx="109">
                  <c:v>2.3906869888305664</c:v>
                </c:pt>
                <c:pt idx="110">
                  <c:v>2.3212528228759766</c:v>
                </c:pt>
                <c:pt idx="111">
                  <c:v>2.3273079395294189</c:v>
                </c:pt>
                <c:pt idx="112">
                  <c:v>2.4293060302734375</c:v>
                </c:pt>
                <c:pt idx="113">
                  <c:v>2.4494755268096924</c:v>
                </c:pt>
                <c:pt idx="114">
                  <c:v>2.3415169715881348</c:v>
                </c:pt>
                <c:pt idx="115">
                  <c:v>2.3055791854858398</c:v>
                </c:pt>
                <c:pt idx="116">
                  <c:v>2.3514049053192139</c:v>
                </c:pt>
                <c:pt idx="117">
                  <c:v>2.3806533813476563</c:v>
                </c:pt>
                <c:pt idx="118">
                  <c:v>2.3580574989318848</c:v>
                </c:pt>
                <c:pt idx="119">
                  <c:v>2.3617372512817383</c:v>
                </c:pt>
                <c:pt idx="120">
                  <c:v>2.3388280868530273</c:v>
                </c:pt>
                <c:pt idx="121">
                  <c:v>2.3986730575561523</c:v>
                </c:pt>
                <c:pt idx="122">
                  <c:v>2.3702991008758545</c:v>
                </c:pt>
                <c:pt idx="123">
                  <c:v>2.2891843318939209</c:v>
                </c:pt>
                <c:pt idx="124">
                  <c:v>2.4027681350708008</c:v>
                </c:pt>
                <c:pt idx="125">
                  <c:v>2.391495943069458</c:v>
                </c:pt>
                <c:pt idx="126">
                  <c:v>2.3192853927612305</c:v>
                </c:pt>
                <c:pt idx="127">
                  <c:v>2.3511133193969727</c:v>
                </c:pt>
                <c:pt idx="128">
                  <c:v>2.4095594882965088</c:v>
                </c:pt>
                <c:pt idx="129">
                  <c:v>2.483715295791626</c:v>
                </c:pt>
                <c:pt idx="130">
                  <c:v>2.4416060447692871</c:v>
                </c:pt>
                <c:pt idx="131">
                  <c:v>2.3617954254150391</c:v>
                </c:pt>
                <c:pt idx="132">
                  <c:v>2.3649070262908936</c:v>
                </c:pt>
                <c:pt idx="133">
                  <c:v>2.4145653247833252</c:v>
                </c:pt>
                <c:pt idx="134">
                  <c:v>2.4784982204437256</c:v>
                </c:pt>
                <c:pt idx="135">
                  <c:v>2.4302315711975098</c:v>
                </c:pt>
                <c:pt idx="136">
                  <c:v>2.5865588188171387</c:v>
                </c:pt>
                <c:pt idx="137">
                  <c:v>2.7057242393493652</c:v>
                </c:pt>
                <c:pt idx="138">
                  <c:v>2.391364574432373</c:v>
                </c:pt>
                <c:pt idx="139">
                  <c:v>2.1655957698822021</c:v>
                </c:pt>
                <c:pt idx="140">
                  <c:v>2.204193115234375</c:v>
                </c:pt>
                <c:pt idx="141">
                  <c:v>2.2585148811340332</c:v>
                </c:pt>
                <c:pt idx="142">
                  <c:v>2.2460110187530518</c:v>
                </c:pt>
                <c:pt idx="143">
                  <c:v>2.2965292930603027</c:v>
                </c:pt>
                <c:pt idx="144">
                  <c:v>2.4169552326202393</c:v>
                </c:pt>
                <c:pt idx="145">
                  <c:v>2.3409266471862793</c:v>
                </c:pt>
                <c:pt idx="146">
                  <c:v>2.3905339241027832</c:v>
                </c:pt>
                <c:pt idx="147">
                  <c:v>2.3354544639587402</c:v>
                </c:pt>
                <c:pt idx="148">
                  <c:v>2.1669292449951172</c:v>
                </c:pt>
                <c:pt idx="149">
                  <c:v>2.2036831378936768</c:v>
                </c:pt>
                <c:pt idx="150">
                  <c:v>2.2962961196899414</c:v>
                </c:pt>
                <c:pt idx="151">
                  <c:v>2.1827995777130127</c:v>
                </c:pt>
                <c:pt idx="152">
                  <c:v>2.0775225162506104</c:v>
                </c:pt>
                <c:pt idx="153">
                  <c:v>2.0334019660949707</c:v>
                </c:pt>
                <c:pt idx="154">
                  <c:v>2.0659875869750977</c:v>
                </c:pt>
                <c:pt idx="155">
                  <c:v>2.1784348487854004</c:v>
                </c:pt>
                <c:pt idx="156">
                  <c:v>2.1912813186645508</c:v>
                </c:pt>
                <c:pt idx="157">
                  <c:v>2.1495215892791748</c:v>
                </c:pt>
                <c:pt idx="158">
                  <c:v>2.1954345703125</c:v>
                </c:pt>
                <c:pt idx="159">
                  <c:v>2.1747040748596191</c:v>
                </c:pt>
                <c:pt idx="160">
                  <c:v>2.1630308628082275</c:v>
                </c:pt>
                <c:pt idx="161">
                  <c:v>2.1529316902160645</c:v>
                </c:pt>
                <c:pt idx="162">
                  <c:v>2.0403168201446533</c:v>
                </c:pt>
                <c:pt idx="163">
                  <c:v>2.1134819984436035</c:v>
                </c:pt>
                <c:pt idx="164">
                  <c:v>2.1849782466888428</c:v>
                </c:pt>
                <c:pt idx="165">
                  <c:v>2.1669437885284424</c:v>
                </c:pt>
                <c:pt idx="166">
                  <c:v>2.126838207244873</c:v>
                </c:pt>
                <c:pt idx="167">
                  <c:v>2.177910327911377</c:v>
                </c:pt>
                <c:pt idx="168">
                  <c:v>2.2486779689788818</c:v>
                </c:pt>
                <c:pt idx="169">
                  <c:v>2.1288712024688721</c:v>
                </c:pt>
                <c:pt idx="170">
                  <c:v>2.1832294464111328</c:v>
                </c:pt>
                <c:pt idx="171">
                  <c:v>2.2029762268066406</c:v>
                </c:pt>
                <c:pt idx="172">
                  <c:v>2.0447471141815186</c:v>
                </c:pt>
                <c:pt idx="173">
                  <c:v>2.0384078025817871</c:v>
                </c:pt>
                <c:pt idx="174">
                  <c:v>2.0164749622344971</c:v>
                </c:pt>
                <c:pt idx="175">
                  <c:v>2.0048530101776123</c:v>
                </c:pt>
                <c:pt idx="176">
                  <c:v>2.1446468830108643</c:v>
                </c:pt>
                <c:pt idx="177">
                  <c:v>2.1498932838439941</c:v>
                </c:pt>
                <c:pt idx="178">
                  <c:v>2.0861790180206299</c:v>
                </c:pt>
                <c:pt idx="179">
                  <c:v>2.0309245586395264</c:v>
                </c:pt>
                <c:pt idx="180">
                  <c:v>2.0502047538757324</c:v>
                </c:pt>
                <c:pt idx="181">
                  <c:v>2.0371108055114746</c:v>
                </c:pt>
                <c:pt idx="182">
                  <c:v>2</c:v>
                </c:pt>
                <c:pt idx="183">
                  <c:v>2.0844883918762207</c:v>
                </c:pt>
                <c:pt idx="184">
                  <c:v>2.1783473491668701</c:v>
                </c:pt>
                <c:pt idx="185">
                  <c:v>2.141265869140625</c:v>
                </c:pt>
                <c:pt idx="186">
                  <c:v>2.1267509460449219</c:v>
                </c:pt>
                <c:pt idx="187">
                  <c:v>2.0965039730072021</c:v>
                </c:pt>
                <c:pt idx="188">
                  <c:v>2.1322376728057861</c:v>
                </c:pt>
                <c:pt idx="189">
                  <c:v>2.2320425510406494</c:v>
                </c:pt>
                <c:pt idx="190">
                  <c:v>2.2068455219268799</c:v>
                </c:pt>
                <c:pt idx="191">
                  <c:v>2.1481297016143799</c:v>
                </c:pt>
                <c:pt idx="192">
                  <c:v>2.12857985496521</c:v>
                </c:pt>
                <c:pt idx="193">
                  <c:v>2.1649401187896729</c:v>
                </c:pt>
                <c:pt idx="194">
                  <c:v>2.205803394317627</c:v>
                </c:pt>
                <c:pt idx="195">
                  <c:v>2.1655011177062988</c:v>
                </c:pt>
                <c:pt idx="196">
                  <c:v>2.2392563819885254</c:v>
                </c:pt>
                <c:pt idx="197">
                  <c:v>2.1586370468139648</c:v>
                </c:pt>
                <c:pt idx="198">
                  <c:v>2.1152234077453613</c:v>
                </c:pt>
                <c:pt idx="199">
                  <c:v>2.2188901901245117</c:v>
                </c:pt>
                <c:pt idx="200">
                  <c:v>2.1879804134368896</c:v>
                </c:pt>
                <c:pt idx="201">
                  <c:v>2.1492519378662109</c:v>
                </c:pt>
                <c:pt idx="202">
                  <c:v>2.145054817199707</c:v>
                </c:pt>
                <c:pt idx="203">
                  <c:v>2.1402676105499268</c:v>
                </c:pt>
                <c:pt idx="204">
                  <c:v>2.1265103816986084</c:v>
                </c:pt>
                <c:pt idx="205">
                  <c:v>2.2009942531585693</c:v>
                </c:pt>
                <c:pt idx="206">
                  <c:v>2.1913249492645264</c:v>
                </c:pt>
                <c:pt idx="207">
                  <c:v>2.2362761497497559</c:v>
                </c:pt>
                <c:pt idx="208">
                  <c:v>2.1832659244537354</c:v>
                </c:pt>
                <c:pt idx="209">
                  <c:v>2.1759500503540039</c:v>
                </c:pt>
                <c:pt idx="210">
                  <c:v>2.1800744533538818</c:v>
                </c:pt>
                <c:pt idx="211">
                  <c:v>2.2234225273132324</c:v>
                </c:pt>
                <c:pt idx="212">
                  <c:v>2.2864007949829102</c:v>
                </c:pt>
                <c:pt idx="213">
                  <c:v>2.1847670078277588</c:v>
                </c:pt>
                <c:pt idx="214">
                  <c:v>2.2229561805725098</c:v>
                </c:pt>
                <c:pt idx="215">
                  <c:v>2.2204058170318604</c:v>
                </c:pt>
                <c:pt idx="216">
                  <c:v>2.2185478210449219</c:v>
                </c:pt>
                <c:pt idx="217">
                  <c:v>2.1914050579071045</c:v>
                </c:pt>
                <c:pt idx="218">
                  <c:v>2.2351758480072021</c:v>
                </c:pt>
                <c:pt idx="219">
                  <c:v>2.2982997894287109</c:v>
                </c:pt>
                <c:pt idx="220">
                  <c:v>2.183870792388916</c:v>
                </c:pt>
                <c:pt idx="221">
                  <c:v>2.1399614810943604</c:v>
                </c:pt>
                <c:pt idx="222">
                  <c:v>2.3251512050628662</c:v>
                </c:pt>
                <c:pt idx="223">
                  <c:v>2.3242111206054688</c:v>
                </c:pt>
                <c:pt idx="224">
                  <c:v>2.2703046798706055</c:v>
                </c:pt>
                <c:pt idx="225">
                  <c:v>2.1198940277099609</c:v>
                </c:pt>
              </c:numCache>
            </c:numRef>
          </c:yVal>
          <c:smooth val="1"/>
          <c:extLst>
            <c:ext xmlns:c16="http://schemas.microsoft.com/office/drawing/2014/chart" uri="{C3380CC4-5D6E-409C-BE32-E72D297353CC}">
              <c16:uniqueId val="{00000003-58F6-4830-8941-1011DB88381F}"/>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53.616268157958984</c:v>
                </c:pt>
                <c:pt idx="1">
                  <c:v>53.537857055664063</c:v>
                </c:pt>
                <c:pt idx="2">
                  <c:v>52.605644226074219</c:v>
                </c:pt>
                <c:pt idx="3">
                  <c:v>51.028617858886719</c:v>
                </c:pt>
                <c:pt idx="4">
                  <c:v>48.918498992919922</c:v>
                </c:pt>
                <c:pt idx="5">
                  <c:v>46.237205505371094</c:v>
                </c:pt>
                <c:pt idx="6">
                  <c:v>42.834297180175781</c:v>
                </c:pt>
                <c:pt idx="7">
                  <c:v>39.311515808105469</c:v>
                </c:pt>
                <c:pt idx="8">
                  <c:v>36.319751739501953</c:v>
                </c:pt>
                <c:pt idx="9">
                  <c:v>34.085926055908203</c:v>
                </c:pt>
                <c:pt idx="10">
                  <c:v>32.714595794677734</c:v>
                </c:pt>
                <c:pt idx="11">
                  <c:v>31.774242401123047</c:v>
                </c:pt>
                <c:pt idx="12">
                  <c:v>31.00274658203125</c:v>
                </c:pt>
                <c:pt idx="13">
                  <c:v>30.18675422668457</c:v>
                </c:pt>
                <c:pt idx="14">
                  <c:v>29.231618881225586</c:v>
                </c:pt>
                <c:pt idx="15">
                  <c:v>28.141170501708984</c:v>
                </c:pt>
                <c:pt idx="16">
                  <c:v>26.989545822143555</c:v>
                </c:pt>
                <c:pt idx="17">
                  <c:v>25.931913375854492</c:v>
                </c:pt>
                <c:pt idx="18">
                  <c:v>25.078027725219727</c:v>
                </c:pt>
                <c:pt idx="19">
                  <c:v>24.479574203491211</c:v>
                </c:pt>
                <c:pt idx="20">
                  <c:v>24.268815994262695</c:v>
                </c:pt>
                <c:pt idx="21">
                  <c:v>24.503765106201172</c:v>
                </c:pt>
                <c:pt idx="22">
                  <c:v>25.292140960693359</c:v>
                </c:pt>
                <c:pt idx="23">
                  <c:v>26.620220184326172</c:v>
                </c:pt>
                <c:pt idx="24">
                  <c:v>28.621458053588867</c:v>
                </c:pt>
                <c:pt idx="25">
                  <c:v>31.220388412475586</c:v>
                </c:pt>
                <c:pt idx="26">
                  <c:v>34.519115447998047</c:v>
                </c:pt>
                <c:pt idx="27">
                  <c:v>38.274173736572266</c:v>
                </c:pt>
                <c:pt idx="28">
                  <c:v>42.584056854248047</c:v>
                </c:pt>
                <c:pt idx="29">
                  <c:v>47.162578582763672</c:v>
                </c:pt>
                <c:pt idx="30">
                  <c:v>52.131343841552734</c:v>
                </c:pt>
                <c:pt idx="31">
                  <c:v>57.126369476318359</c:v>
                </c:pt>
                <c:pt idx="32">
                  <c:v>62.365249633789063</c:v>
                </c:pt>
                <c:pt idx="33">
                  <c:v>67.641593933105469</c:v>
                </c:pt>
                <c:pt idx="34">
                  <c:v>72.696571350097656</c:v>
                </c:pt>
                <c:pt idx="35">
                  <c:v>77.738334655761719</c:v>
                </c:pt>
                <c:pt idx="36">
                  <c:v>82.564735412597656</c:v>
                </c:pt>
                <c:pt idx="37">
                  <c:v>87.031990051269531</c:v>
                </c:pt>
                <c:pt idx="38">
                  <c:v>90.962135314941406</c:v>
                </c:pt>
                <c:pt idx="39">
                  <c:v>94.437843322753906</c:v>
                </c:pt>
                <c:pt idx="40">
                  <c:v>97.199508666992188</c:v>
                </c:pt>
                <c:pt idx="41">
                  <c:v>99.088386535644531</c:v>
                </c:pt>
                <c:pt idx="42">
                  <c:v>100</c:v>
                </c:pt>
                <c:pt idx="43">
                  <c:v>99.886451721191406</c:v>
                </c:pt>
                <c:pt idx="44">
                  <c:v>98.715118408203125</c:v>
                </c:pt>
                <c:pt idx="45">
                  <c:v>96.540023803710938</c:v>
                </c:pt>
                <c:pt idx="46">
                  <c:v>93.416221618652344</c:v>
                </c:pt>
                <c:pt idx="47">
                  <c:v>89.414047241210938</c:v>
                </c:pt>
                <c:pt idx="48">
                  <c:v>84.641891479492188</c:v>
                </c:pt>
                <c:pt idx="49">
                  <c:v>79.243431091308594</c:v>
                </c:pt>
                <c:pt idx="50">
                  <c:v>73.315544128417969</c:v>
                </c:pt>
                <c:pt idx="51">
                  <c:v>66.9573974609375</c:v>
                </c:pt>
                <c:pt idx="52">
                  <c:v>60.396209716796875</c:v>
                </c:pt>
                <c:pt idx="53">
                  <c:v>53.744045257568359</c:v>
                </c:pt>
                <c:pt idx="54">
                  <c:v>46.959270477294922</c:v>
                </c:pt>
                <c:pt idx="55">
                  <c:v>40.602321624755859</c:v>
                </c:pt>
                <c:pt idx="56">
                  <c:v>34.614891052246094</c:v>
                </c:pt>
                <c:pt idx="57">
                  <c:v>29.08502197265625</c:v>
                </c:pt>
                <c:pt idx="58">
                  <c:v>23.966131210327148</c:v>
                </c:pt>
                <c:pt idx="59">
                  <c:v>19.575227737426758</c:v>
                </c:pt>
                <c:pt idx="60">
                  <c:v>15.818838119506836</c:v>
                </c:pt>
                <c:pt idx="61">
                  <c:v>12.620382308959961</c:v>
                </c:pt>
                <c:pt idx="62">
                  <c:v>10.086158752441406</c:v>
                </c:pt>
                <c:pt idx="63">
                  <c:v>8.0124073028564453</c:v>
                </c:pt>
                <c:pt idx="64">
                  <c:v>6.4110894203186035</c:v>
                </c:pt>
                <c:pt idx="65">
                  <c:v>5.1893839836120605</c:v>
                </c:pt>
                <c:pt idx="66">
                  <c:v>4.312568187713623</c:v>
                </c:pt>
                <c:pt idx="67">
                  <c:v>3.6094627380371094</c:v>
                </c:pt>
                <c:pt idx="68">
                  <c:v>3.1649141311645508</c:v>
                </c:pt>
                <c:pt idx="69">
                  <c:v>2.8513917922973633</c:v>
                </c:pt>
                <c:pt idx="70">
                  <c:v>2.6045284271240234</c:v>
                </c:pt>
                <c:pt idx="71">
                  <c:v>2.4619264602661133</c:v>
                </c:pt>
                <c:pt idx="72">
                  <c:v>2.3776686191558838</c:v>
                </c:pt>
                <c:pt idx="73">
                  <c:v>2.299372673034668</c:v>
                </c:pt>
                <c:pt idx="74">
                  <c:v>2.2380120754241943</c:v>
                </c:pt>
                <c:pt idx="75">
                  <c:v>2.2120656967163086</c:v>
                </c:pt>
                <c:pt idx="76">
                  <c:v>2.2295563220977783</c:v>
                </c:pt>
                <c:pt idx="77">
                  <c:v>2.212573766708374</c:v>
                </c:pt>
                <c:pt idx="78">
                  <c:v>2.1951303482055664</c:v>
                </c:pt>
                <c:pt idx="79">
                  <c:v>2.2057178020477295</c:v>
                </c:pt>
                <c:pt idx="80">
                  <c:v>2.1835639476776123</c:v>
                </c:pt>
                <c:pt idx="81">
                  <c:v>2.1695272922515869</c:v>
                </c:pt>
                <c:pt idx="82">
                  <c:v>2.1820158958435059</c:v>
                </c:pt>
                <c:pt idx="83">
                  <c:v>2.1839780807495117</c:v>
                </c:pt>
                <c:pt idx="84">
                  <c:v>2.1939115524291992</c:v>
                </c:pt>
                <c:pt idx="85">
                  <c:v>2.2054591178894043</c:v>
                </c:pt>
                <c:pt idx="86">
                  <c:v>2.2281398773193359</c:v>
                </c:pt>
                <c:pt idx="87">
                  <c:v>2.2420542240142822</c:v>
                </c:pt>
                <c:pt idx="88">
                  <c:v>2.2028710842132568</c:v>
                </c:pt>
                <c:pt idx="89">
                  <c:v>2.1926882266998291</c:v>
                </c:pt>
                <c:pt idx="90">
                  <c:v>2.2022168636322021</c:v>
                </c:pt>
                <c:pt idx="91">
                  <c:v>2.210413932800293</c:v>
                </c:pt>
                <c:pt idx="92">
                  <c:v>2.18522047996521</c:v>
                </c:pt>
                <c:pt idx="93">
                  <c:v>2.1602997779846191</c:v>
                </c:pt>
                <c:pt idx="94">
                  <c:v>2.1545307636260986</c:v>
                </c:pt>
                <c:pt idx="95">
                  <c:v>2.1250126361846924</c:v>
                </c:pt>
                <c:pt idx="96">
                  <c:v>2.1287112236022949</c:v>
                </c:pt>
                <c:pt idx="97">
                  <c:v>2.1794326305389404</c:v>
                </c:pt>
                <c:pt idx="98">
                  <c:v>2.1473782062530518</c:v>
                </c:pt>
                <c:pt idx="99">
                  <c:v>2.1258456707000732</c:v>
                </c:pt>
                <c:pt idx="100">
                  <c:v>2.1385929584503174</c:v>
                </c:pt>
                <c:pt idx="101">
                  <c:v>2.1625490188598633</c:v>
                </c:pt>
                <c:pt idx="102">
                  <c:v>2.1833100318908691</c:v>
                </c:pt>
                <c:pt idx="103">
                  <c:v>2.1529026031494141</c:v>
                </c:pt>
                <c:pt idx="104">
                  <c:v>2.131943941116333</c:v>
                </c:pt>
                <c:pt idx="105">
                  <c:v>2.1263585090637207</c:v>
                </c:pt>
                <c:pt idx="106">
                  <c:v>2.1403622627258301</c:v>
                </c:pt>
                <c:pt idx="107">
                  <c:v>2.1127028465270996</c:v>
                </c:pt>
                <c:pt idx="108">
                  <c:v>2.0746443271636963</c:v>
                </c:pt>
                <c:pt idx="109">
                  <c:v>2.070155143737793</c:v>
                </c:pt>
                <c:pt idx="110">
                  <c:v>2.0615394115447998</c:v>
                </c:pt>
                <c:pt idx="111">
                  <c:v>2.0731196403503418</c:v>
                </c:pt>
                <c:pt idx="112">
                  <c:v>2.0842719078063965</c:v>
                </c:pt>
                <c:pt idx="113">
                  <c:v>2.1252102851867676</c:v>
                </c:pt>
                <c:pt idx="114">
                  <c:v>2.1579751968383789</c:v>
                </c:pt>
                <c:pt idx="115">
                  <c:v>2.1439855098724365</c:v>
                </c:pt>
                <c:pt idx="116">
                  <c:v>2.1201660633087158</c:v>
                </c:pt>
                <c:pt idx="117">
                  <c:v>2.094200611114502</c:v>
                </c:pt>
                <c:pt idx="118">
                  <c:v>2.0623817443847656</c:v>
                </c:pt>
                <c:pt idx="119">
                  <c:v>2.0380115509033203</c:v>
                </c:pt>
                <c:pt idx="120">
                  <c:v>2.0327131748199463</c:v>
                </c:pt>
                <c:pt idx="121">
                  <c:v>2.0616617202758789</c:v>
                </c:pt>
                <c:pt idx="122">
                  <c:v>2.0691623687744141</c:v>
                </c:pt>
                <c:pt idx="123">
                  <c:v>2.1077761650085449</c:v>
                </c:pt>
                <c:pt idx="124">
                  <c:v>2.1176674365997314</c:v>
                </c:pt>
                <c:pt idx="125">
                  <c:v>2.0956735610961914</c:v>
                </c:pt>
                <c:pt idx="126">
                  <c:v>2.1179919242858887</c:v>
                </c:pt>
                <c:pt idx="127">
                  <c:v>2.0781264305114746</c:v>
                </c:pt>
                <c:pt idx="128">
                  <c:v>2.1050987243652344</c:v>
                </c:pt>
                <c:pt idx="129">
                  <c:v>2.1624832153320313</c:v>
                </c:pt>
                <c:pt idx="130">
                  <c:v>2.1338968276977539</c:v>
                </c:pt>
                <c:pt idx="131">
                  <c:v>2.1213846206665039</c:v>
                </c:pt>
                <c:pt idx="132">
                  <c:v>2.1351861953735352</c:v>
                </c:pt>
                <c:pt idx="133">
                  <c:v>2.1308052539825439</c:v>
                </c:pt>
                <c:pt idx="134">
                  <c:v>2.1090562343597412</c:v>
                </c:pt>
                <c:pt idx="135">
                  <c:v>2.0974380970001221</c:v>
                </c:pt>
                <c:pt idx="136">
                  <c:v>2.5845298767089844</c:v>
                </c:pt>
                <c:pt idx="137">
                  <c:v>2.9322240352630615</c:v>
                </c:pt>
                <c:pt idx="138">
                  <c:v>2.4608018398284912</c:v>
                </c:pt>
                <c:pt idx="139">
                  <c:v>2.1120584011077881</c:v>
                </c:pt>
                <c:pt idx="140">
                  <c:v>2.1655511856079102</c:v>
                </c:pt>
                <c:pt idx="141">
                  <c:v>2.1887354850769043</c:v>
                </c:pt>
                <c:pt idx="142">
                  <c:v>2.1614665985107422</c:v>
                </c:pt>
                <c:pt idx="143">
                  <c:v>2.1177520751953125</c:v>
                </c:pt>
                <c:pt idx="144">
                  <c:v>2.0887892246246338</c:v>
                </c:pt>
                <c:pt idx="145">
                  <c:v>2.0620334148406982</c:v>
                </c:pt>
                <c:pt idx="146">
                  <c:v>2.0637602806091309</c:v>
                </c:pt>
                <c:pt idx="147">
                  <c:v>2.0798628330230713</c:v>
                </c:pt>
                <c:pt idx="148">
                  <c:v>2.0569467544555664</c:v>
                </c:pt>
                <c:pt idx="149">
                  <c:v>2.0759806632995605</c:v>
                </c:pt>
                <c:pt idx="150">
                  <c:v>2.1513168811798096</c:v>
                </c:pt>
                <c:pt idx="151">
                  <c:v>2.0956499576568604</c:v>
                </c:pt>
                <c:pt idx="152">
                  <c:v>2.0811474323272705</c:v>
                </c:pt>
                <c:pt idx="153">
                  <c:v>2.1478769779205322</c:v>
                </c:pt>
                <c:pt idx="154">
                  <c:v>2.1462395191192627</c:v>
                </c:pt>
                <c:pt idx="155">
                  <c:v>2.1471147537231445</c:v>
                </c:pt>
                <c:pt idx="156">
                  <c:v>2.1629114151000977</c:v>
                </c:pt>
                <c:pt idx="157">
                  <c:v>2.1494958400726318</c:v>
                </c:pt>
                <c:pt idx="158">
                  <c:v>2.111060619354248</c:v>
                </c:pt>
                <c:pt idx="159">
                  <c:v>2.1248526573181152</c:v>
                </c:pt>
                <c:pt idx="160">
                  <c:v>2.1657347679138184</c:v>
                </c:pt>
                <c:pt idx="161">
                  <c:v>2.1014237403869629</c:v>
                </c:pt>
                <c:pt idx="162">
                  <c:v>2.0625417232513428</c:v>
                </c:pt>
                <c:pt idx="163">
                  <c:v>2.1322970390319824</c:v>
                </c:pt>
                <c:pt idx="164">
                  <c:v>2.191544771194458</c:v>
                </c:pt>
                <c:pt idx="165">
                  <c:v>2.1460230350494385</c:v>
                </c:pt>
                <c:pt idx="166">
                  <c:v>2.135106086730957</c:v>
                </c:pt>
                <c:pt idx="167">
                  <c:v>2.2786400318145752</c:v>
                </c:pt>
                <c:pt idx="168">
                  <c:v>2.2414565086364746</c:v>
                </c:pt>
                <c:pt idx="169">
                  <c:v>2.1034471988677979</c:v>
                </c:pt>
                <c:pt idx="170">
                  <c:v>2.1065340042114258</c:v>
                </c:pt>
                <c:pt idx="171">
                  <c:v>2.1909658908843994</c:v>
                </c:pt>
                <c:pt idx="172">
                  <c:v>2.1458394527435303</c:v>
                </c:pt>
                <c:pt idx="173">
                  <c:v>2.0720655918121338</c:v>
                </c:pt>
                <c:pt idx="174">
                  <c:v>2.1241939067840576</c:v>
                </c:pt>
                <c:pt idx="175">
                  <c:v>2.1938080787658691</c:v>
                </c:pt>
                <c:pt idx="176">
                  <c:v>2.257516622543335</c:v>
                </c:pt>
                <c:pt idx="177">
                  <c:v>2.1786420345306396</c:v>
                </c:pt>
                <c:pt idx="178">
                  <c:v>2.1249420642852783</c:v>
                </c:pt>
                <c:pt idx="179">
                  <c:v>2.1378917694091797</c:v>
                </c:pt>
                <c:pt idx="180">
                  <c:v>2.1238126754760742</c:v>
                </c:pt>
                <c:pt idx="181">
                  <c:v>2.0945017337799072</c:v>
                </c:pt>
                <c:pt idx="182">
                  <c:v>2</c:v>
                </c:pt>
                <c:pt idx="183">
                  <c:v>2.025151252746582</c:v>
                </c:pt>
                <c:pt idx="184">
                  <c:v>2.1342685222625732</c:v>
                </c:pt>
                <c:pt idx="185">
                  <c:v>2.1369836330413818</c:v>
                </c:pt>
                <c:pt idx="186">
                  <c:v>2.0552761554718018</c:v>
                </c:pt>
                <c:pt idx="187">
                  <c:v>2.008441686630249</c:v>
                </c:pt>
                <c:pt idx="188">
                  <c:v>2.1505687236785889</c:v>
                </c:pt>
                <c:pt idx="189">
                  <c:v>2.2026214599609375</c:v>
                </c:pt>
                <c:pt idx="190">
                  <c:v>2.1448843479156494</c:v>
                </c:pt>
                <c:pt idx="191">
                  <c:v>2.0974476337432861</c:v>
                </c:pt>
                <c:pt idx="192">
                  <c:v>2.0788087844848633</c:v>
                </c:pt>
                <c:pt idx="193">
                  <c:v>2.1140627861022949</c:v>
                </c:pt>
                <c:pt idx="194">
                  <c:v>2.0939984321594238</c:v>
                </c:pt>
                <c:pt idx="195">
                  <c:v>2.0567114353179932</c:v>
                </c:pt>
                <c:pt idx="196">
                  <c:v>2.0968639850616455</c:v>
                </c:pt>
                <c:pt idx="197">
                  <c:v>2.1023037433624268</c:v>
                </c:pt>
                <c:pt idx="198">
                  <c:v>2.0777876377105713</c:v>
                </c:pt>
                <c:pt idx="199">
                  <c:v>2.0959510803222656</c:v>
                </c:pt>
                <c:pt idx="200">
                  <c:v>2.0787994861602783</c:v>
                </c:pt>
                <c:pt idx="201">
                  <c:v>2.0981016159057617</c:v>
                </c:pt>
                <c:pt idx="202">
                  <c:v>2.120438814163208</c:v>
                </c:pt>
                <c:pt idx="203">
                  <c:v>2.1361930370330811</c:v>
                </c:pt>
                <c:pt idx="204">
                  <c:v>2.1420092582702637</c:v>
                </c:pt>
                <c:pt idx="205">
                  <c:v>2.0692846775054932</c:v>
                </c:pt>
                <c:pt idx="206">
                  <c:v>2.0526034832000732</c:v>
                </c:pt>
                <c:pt idx="207">
                  <c:v>2.0683953762054443</c:v>
                </c:pt>
                <c:pt idx="208">
                  <c:v>2.0835049152374268</c:v>
                </c:pt>
                <c:pt idx="209">
                  <c:v>2.0850200653076172</c:v>
                </c:pt>
                <c:pt idx="210">
                  <c:v>2.1317510604858398</c:v>
                </c:pt>
                <c:pt idx="211">
                  <c:v>2.1532695293426514</c:v>
                </c:pt>
                <c:pt idx="212">
                  <c:v>2.081599235534668</c:v>
                </c:pt>
                <c:pt idx="213">
                  <c:v>2.0797121524810791</c:v>
                </c:pt>
                <c:pt idx="214">
                  <c:v>2.1310687065124512</c:v>
                </c:pt>
                <c:pt idx="215">
                  <c:v>2.0854482650756836</c:v>
                </c:pt>
                <c:pt idx="216">
                  <c:v>2.0551304817199707</c:v>
                </c:pt>
                <c:pt idx="217">
                  <c:v>2.0215468406677246</c:v>
                </c:pt>
                <c:pt idx="218">
                  <c:v>2.0310425758361816</c:v>
                </c:pt>
                <c:pt idx="219">
                  <c:v>2.0757548809051514</c:v>
                </c:pt>
                <c:pt idx="220">
                  <c:v>2.0987274646759033</c:v>
                </c:pt>
                <c:pt idx="221">
                  <c:v>2.0812697410583496</c:v>
                </c:pt>
                <c:pt idx="222">
                  <c:v>2.1358120441436768</c:v>
                </c:pt>
                <c:pt idx="223">
                  <c:v>2.2467174530029297</c:v>
                </c:pt>
                <c:pt idx="224">
                  <c:v>2.1113994121551514</c:v>
                </c:pt>
                <c:pt idx="225">
                  <c:v>2.1500086784362793</c:v>
                </c:pt>
              </c:numCache>
            </c:numRef>
          </c:yVal>
          <c:smooth val="1"/>
          <c:extLst>
            <c:ext xmlns:c16="http://schemas.microsoft.com/office/drawing/2014/chart" uri="{C3380CC4-5D6E-409C-BE32-E72D297353CC}">
              <c16:uniqueId val="{00000004-58F6-4830-8941-1011DB88381F}"/>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99.126754760742188</c:v>
                </c:pt>
                <c:pt idx="1">
                  <c:v>100</c:v>
                </c:pt>
                <c:pt idx="2">
                  <c:v>96.951248168945313</c:v>
                </c:pt>
                <c:pt idx="3">
                  <c:v>94.502891540527344</c:v>
                </c:pt>
                <c:pt idx="4">
                  <c:v>92.957923889160156</c:v>
                </c:pt>
                <c:pt idx="5">
                  <c:v>91.250022888183594</c:v>
                </c:pt>
                <c:pt idx="6">
                  <c:v>89.168502807617188</c:v>
                </c:pt>
                <c:pt idx="7">
                  <c:v>88.352706909179688</c:v>
                </c:pt>
                <c:pt idx="8">
                  <c:v>89.126426696777344</c:v>
                </c:pt>
                <c:pt idx="9">
                  <c:v>90.662948608398438</c:v>
                </c:pt>
                <c:pt idx="10">
                  <c:v>92.83453369140625</c:v>
                </c:pt>
                <c:pt idx="11">
                  <c:v>94.951469421386719</c:v>
                </c:pt>
                <c:pt idx="12">
                  <c:v>96.775779724121094</c:v>
                </c:pt>
                <c:pt idx="13">
                  <c:v>98.357231140136719</c:v>
                </c:pt>
                <c:pt idx="14">
                  <c:v>98.474014282226563</c:v>
                </c:pt>
                <c:pt idx="15">
                  <c:v>97.50811767578125</c:v>
                </c:pt>
                <c:pt idx="16">
                  <c:v>95.554344177246094</c:v>
                </c:pt>
                <c:pt idx="17">
                  <c:v>91.636367797851563</c:v>
                </c:pt>
                <c:pt idx="18">
                  <c:v>86.346855163574219</c:v>
                </c:pt>
                <c:pt idx="19">
                  <c:v>80.023040771484375</c:v>
                </c:pt>
                <c:pt idx="20">
                  <c:v>72.805122375488281</c:v>
                </c:pt>
                <c:pt idx="21">
                  <c:v>65.172904968261719</c:v>
                </c:pt>
                <c:pt idx="22">
                  <c:v>57.113182067871094</c:v>
                </c:pt>
                <c:pt idx="23">
                  <c:v>49.385040283203125</c:v>
                </c:pt>
                <c:pt idx="24">
                  <c:v>41.567852020263672</c:v>
                </c:pt>
                <c:pt idx="25">
                  <c:v>34.811733245849609</c:v>
                </c:pt>
                <c:pt idx="26">
                  <c:v>28.853946685791016</c:v>
                </c:pt>
                <c:pt idx="27">
                  <c:v>23.523860931396484</c:v>
                </c:pt>
                <c:pt idx="28">
                  <c:v>18.974533081054688</c:v>
                </c:pt>
                <c:pt idx="29">
                  <c:v>15.889500617980957</c:v>
                </c:pt>
                <c:pt idx="30">
                  <c:v>13.377029418945313</c:v>
                </c:pt>
                <c:pt idx="31">
                  <c:v>11.52617073059082</c:v>
                </c:pt>
                <c:pt idx="32">
                  <c:v>10.160813331604004</c:v>
                </c:pt>
                <c:pt idx="33">
                  <c:v>9.1645526885986328</c:v>
                </c:pt>
                <c:pt idx="34">
                  <c:v>8.4575290679931641</c:v>
                </c:pt>
                <c:pt idx="35">
                  <c:v>7.8905024528503418</c:v>
                </c:pt>
                <c:pt idx="36">
                  <c:v>7.4681477546691895</c:v>
                </c:pt>
                <c:pt idx="37">
                  <c:v>7.2148637771606445</c:v>
                </c:pt>
                <c:pt idx="38">
                  <c:v>7.0390214920043945</c:v>
                </c:pt>
                <c:pt idx="39">
                  <c:v>7.059443473815918</c:v>
                </c:pt>
                <c:pt idx="40">
                  <c:v>7.1260290145874023</c:v>
                </c:pt>
                <c:pt idx="41">
                  <c:v>6.5857114791870117</c:v>
                </c:pt>
                <c:pt idx="42">
                  <c:v>6.2396159172058105</c:v>
                </c:pt>
                <c:pt idx="43">
                  <c:v>6.4666743278503418</c:v>
                </c:pt>
                <c:pt idx="44">
                  <c:v>6.5842070579528809</c:v>
                </c:pt>
                <c:pt idx="45">
                  <c:v>6.7197432518005371</c:v>
                </c:pt>
                <c:pt idx="46">
                  <c:v>6.3982610702514648</c:v>
                </c:pt>
                <c:pt idx="47">
                  <c:v>5.970639705657959</c:v>
                </c:pt>
                <c:pt idx="48">
                  <c:v>5.9912228584289551</c:v>
                </c:pt>
                <c:pt idx="49">
                  <c:v>6.0257248878479004</c:v>
                </c:pt>
                <c:pt idx="50">
                  <c:v>5.8974437713623047</c:v>
                </c:pt>
                <c:pt idx="51">
                  <c:v>5.6265864372253418</c:v>
                </c:pt>
                <c:pt idx="52">
                  <c:v>5.2723221778869629</c:v>
                </c:pt>
                <c:pt idx="53">
                  <c:v>5.309941291809082</c:v>
                </c:pt>
                <c:pt idx="54">
                  <c:v>5.3384780883789063</c:v>
                </c:pt>
                <c:pt idx="55">
                  <c:v>5.2087998390197754</c:v>
                </c:pt>
                <c:pt idx="56">
                  <c:v>5.2084774971008301</c:v>
                </c:pt>
                <c:pt idx="57">
                  <c:v>5.2876925468444824</c:v>
                </c:pt>
                <c:pt idx="58">
                  <c:v>4.9362225532531738</c:v>
                </c:pt>
                <c:pt idx="59">
                  <c:v>4.7267918586730957</c:v>
                </c:pt>
                <c:pt idx="60">
                  <c:v>4.5324625968933105</c:v>
                </c:pt>
                <c:pt idx="61">
                  <c:v>4.6571426391601563</c:v>
                </c:pt>
                <c:pt idx="62">
                  <c:v>4.547295093536377</c:v>
                </c:pt>
                <c:pt idx="63">
                  <c:v>4.2808985710144043</c:v>
                </c:pt>
                <c:pt idx="64">
                  <c:v>4.7686567306518555</c:v>
                </c:pt>
                <c:pt idx="65">
                  <c:v>4.943692684173584</c:v>
                </c:pt>
                <c:pt idx="66">
                  <c:v>4.5351495742797852</c:v>
                </c:pt>
                <c:pt idx="67">
                  <c:v>4.6195774078369141</c:v>
                </c:pt>
                <c:pt idx="68">
                  <c:v>5.1257152557373047</c:v>
                </c:pt>
                <c:pt idx="69">
                  <c:v>5.0622467994689941</c:v>
                </c:pt>
                <c:pt idx="70">
                  <c:v>4.7762880325317383</c:v>
                </c:pt>
                <c:pt idx="71">
                  <c:v>4.5250997543334961</c:v>
                </c:pt>
                <c:pt idx="72">
                  <c:v>4.3919820785522461</c:v>
                </c:pt>
                <c:pt idx="73">
                  <c:v>4.7524805068969727</c:v>
                </c:pt>
                <c:pt idx="74">
                  <c:v>4.6916985511779785</c:v>
                </c:pt>
                <c:pt idx="75">
                  <c:v>4.5062365531921387</c:v>
                </c:pt>
                <c:pt idx="76">
                  <c:v>4.6993837356567383</c:v>
                </c:pt>
                <c:pt idx="77">
                  <c:v>4.6753072738647461</c:v>
                </c:pt>
                <c:pt idx="78">
                  <c:v>4.6059269905090332</c:v>
                </c:pt>
                <c:pt idx="79">
                  <c:v>4.6743941307067871</c:v>
                </c:pt>
                <c:pt idx="80">
                  <c:v>5.0825610160827637</c:v>
                </c:pt>
                <c:pt idx="81">
                  <c:v>4.8162178993225098</c:v>
                </c:pt>
                <c:pt idx="82">
                  <c:v>4.3191084861755371</c:v>
                </c:pt>
                <c:pt idx="83">
                  <c:v>4.6349477767944336</c:v>
                </c:pt>
                <c:pt idx="84">
                  <c:v>4.6991686820983887</c:v>
                </c:pt>
                <c:pt idx="85">
                  <c:v>4.8007402420043945</c:v>
                </c:pt>
                <c:pt idx="86">
                  <c:v>5.1207709312438965</c:v>
                </c:pt>
                <c:pt idx="87">
                  <c:v>5.0384926795959473</c:v>
                </c:pt>
                <c:pt idx="88">
                  <c:v>4.8792028427124023</c:v>
                </c:pt>
                <c:pt idx="89">
                  <c:v>4.4146075248718262</c:v>
                </c:pt>
                <c:pt idx="90">
                  <c:v>4.4364261627197266</c:v>
                </c:pt>
                <c:pt idx="91">
                  <c:v>4.7049727439880371</c:v>
                </c:pt>
                <c:pt idx="92">
                  <c:v>5.0555286407470703</c:v>
                </c:pt>
                <c:pt idx="93">
                  <c:v>5.0195755958557129</c:v>
                </c:pt>
                <c:pt idx="94">
                  <c:v>4.799933910369873</c:v>
                </c:pt>
                <c:pt idx="95">
                  <c:v>5.1370549201965332</c:v>
                </c:pt>
                <c:pt idx="96">
                  <c:v>5.1176543235778809</c:v>
                </c:pt>
                <c:pt idx="97">
                  <c:v>4.9453587532043457</c:v>
                </c:pt>
                <c:pt idx="98">
                  <c:v>5.1734375953674316</c:v>
                </c:pt>
                <c:pt idx="99">
                  <c:v>5.1880555152893066</c:v>
                </c:pt>
                <c:pt idx="100">
                  <c:v>4.9453587532043457</c:v>
                </c:pt>
                <c:pt idx="101">
                  <c:v>4.8909721374511719</c:v>
                </c:pt>
                <c:pt idx="102">
                  <c:v>5.1467819213867188</c:v>
                </c:pt>
                <c:pt idx="103">
                  <c:v>5.1086254119873047</c:v>
                </c:pt>
                <c:pt idx="104">
                  <c:v>4.8394341468811035</c:v>
                </c:pt>
                <c:pt idx="105">
                  <c:v>4.8930144309997559</c:v>
                </c:pt>
                <c:pt idx="106">
                  <c:v>5.1103453636169434</c:v>
                </c:pt>
                <c:pt idx="107">
                  <c:v>5.4761638641357422</c:v>
                </c:pt>
                <c:pt idx="108">
                  <c:v>5.5809597969055176</c:v>
                </c:pt>
                <c:pt idx="109">
                  <c:v>5.3583621978759766</c:v>
                </c:pt>
                <c:pt idx="110">
                  <c:v>5.2392711639404297</c:v>
                </c:pt>
                <c:pt idx="111">
                  <c:v>4.8453993797302246</c:v>
                </c:pt>
                <c:pt idx="112">
                  <c:v>4.7642498016357422</c:v>
                </c:pt>
                <c:pt idx="113">
                  <c:v>5.2381424903869629</c:v>
                </c:pt>
                <c:pt idx="114">
                  <c:v>5.2808670997619629</c:v>
                </c:pt>
                <c:pt idx="115">
                  <c:v>5.0117831230163574</c:v>
                </c:pt>
                <c:pt idx="116">
                  <c:v>5.2306723594665527</c:v>
                </c:pt>
                <c:pt idx="117">
                  <c:v>5.2930126190185547</c:v>
                </c:pt>
                <c:pt idx="118">
                  <c:v>5.4800868034362793</c:v>
                </c:pt>
                <c:pt idx="119">
                  <c:v>5.523993968963623</c:v>
                </c:pt>
                <c:pt idx="120">
                  <c:v>5.2151951789855957</c:v>
                </c:pt>
                <c:pt idx="121">
                  <c:v>5.2176132202148438</c:v>
                </c:pt>
                <c:pt idx="122">
                  <c:v>5.4938449859619141</c:v>
                </c:pt>
                <c:pt idx="123">
                  <c:v>5.5659661293029785</c:v>
                </c:pt>
                <c:pt idx="124">
                  <c:v>5.8548803329467773</c:v>
                </c:pt>
                <c:pt idx="125">
                  <c:v>5.5107736587524414</c:v>
                </c:pt>
                <c:pt idx="126">
                  <c:v>4.9883518218994141</c:v>
                </c:pt>
                <c:pt idx="127">
                  <c:v>5.2384114265441895</c:v>
                </c:pt>
                <c:pt idx="128">
                  <c:v>5.1819291114807129</c:v>
                </c:pt>
                <c:pt idx="129">
                  <c:v>5.3414340019226074</c:v>
                </c:pt>
                <c:pt idx="130">
                  <c:v>5.1244254112243652</c:v>
                </c:pt>
                <c:pt idx="131">
                  <c:v>4.4301385879516602</c:v>
                </c:pt>
                <c:pt idx="132">
                  <c:v>4.2181282043457031</c:v>
                </c:pt>
                <c:pt idx="133">
                  <c:v>4.7112607955932617</c:v>
                </c:pt>
                <c:pt idx="134">
                  <c:v>5.4701986312866211</c:v>
                </c:pt>
                <c:pt idx="135">
                  <c:v>5.0655245780944824</c:v>
                </c:pt>
                <c:pt idx="136">
                  <c:v>3.4748289585113525</c:v>
                </c:pt>
                <c:pt idx="137">
                  <c:v>3.1466832160949707</c:v>
                </c:pt>
                <c:pt idx="138">
                  <c:v>4.2420430183410645</c:v>
                </c:pt>
                <c:pt idx="139">
                  <c:v>5.1096467971801758</c:v>
                </c:pt>
                <c:pt idx="140">
                  <c:v>5.2743105888366699</c:v>
                </c:pt>
                <c:pt idx="141">
                  <c:v>4.8054156303405762</c:v>
                </c:pt>
                <c:pt idx="142">
                  <c:v>4.5292916297912598</c:v>
                </c:pt>
                <c:pt idx="143">
                  <c:v>4.4376626014709473</c:v>
                </c:pt>
                <c:pt idx="144">
                  <c:v>4.995445728302002</c:v>
                </c:pt>
                <c:pt idx="145">
                  <c:v>5.6163754463195801</c:v>
                </c:pt>
                <c:pt idx="146">
                  <c:v>5.3518595695495605</c:v>
                </c:pt>
                <c:pt idx="147">
                  <c:v>5.2347030639648438</c:v>
                </c:pt>
                <c:pt idx="148">
                  <c:v>5.4983053207397461</c:v>
                </c:pt>
                <c:pt idx="149">
                  <c:v>5.8863730430603027</c:v>
                </c:pt>
                <c:pt idx="150">
                  <c:v>5.653080940246582</c:v>
                </c:pt>
                <c:pt idx="151">
                  <c:v>4.9674463272094727</c:v>
                </c:pt>
                <c:pt idx="152">
                  <c:v>4.6663327217102051</c:v>
                </c:pt>
                <c:pt idx="153">
                  <c:v>4.3223867416381836</c:v>
                </c:pt>
                <c:pt idx="154">
                  <c:v>4.8347048759460449</c:v>
                </c:pt>
                <c:pt idx="155">
                  <c:v>4.8709268569946289</c:v>
                </c:pt>
                <c:pt idx="156">
                  <c:v>5.2623801231384277</c:v>
                </c:pt>
                <c:pt idx="157">
                  <c:v>6.0242199897766113</c:v>
                </c:pt>
                <c:pt idx="158">
                  <c:v>5.4213476181030273</c:v>
                </c:pt>
                <c:pt idx="159">
                  <c:v>5.7248258590698242</c:v>
                </c:pt>
                <c:pt idx="160">
                  <c:v>5.8267736434936523</c:v>
                </c:pt>
                <c:pt idx="161">
                  <c:v>4.6066794395446777</c:v>
                </c:pt>
                <c:pt idx="162">
                  <c:v>4.8929071426391602</c:v>
                </c:pt>
                <c:pt idx="163">
                  <c:v>4.6549396514892578</c:v>
                </c:pt>
                <c:pt idx="164">
                  <c:v>4.4390597343444824</c:v>
                </c:pt>
                <c:pt idx="165">
                  <c:v>4.5547113418579102</c:v>
                </c:pt>
                <c:pt idx="166">
                  <c:v>4.838681697845459</c:v>
                </c:pt>
                <c:pt idx="167">
                  <c:v>5.5311951637268066</c:v>
                </c:pt>
                <c:pt idx="168">
                  <c:v>5.0664920806884766</c:v>
                </c:pt>
                <c:pt idx="169">
                  <c:v>5.294947624206543</c:v>
                </c:pt>
                <c:pt idx="170">
                  <c:v>5.7705063819885254</c:v>
                </c:pt>
                <c:pt idx="171">
                  <c:v>4.8178300857543945</c:v>
                </c:pt>
                <c:pt idx="172">
                  <c:v>4.4758725166320801</c:v>
                </c:pt>
                <c:pt idx="173">
                  <c:v>5.2775888442993164</c:v>
                </c:pt>
                <c:pt idx="174">
                  <c:v>5.7022008895874023</c:v>
                </c:pt>
                <c:pt idx="175">
                  <c:v>5.5538206100463867</c:v>
                </c:pt>
                <c:pt idx="176">
                  <c:v>5.0790138244628906</c:v>
                </c:pt>
                <c:pt idx="177">
                  <c:v>5.2960758209228516</c:v>
                </c:pt>
                <c:pt idx="178">
                  <c:v>5.1606473922729492</c:v>
                </c:pt>
                <c:pt idx="179">
                  <c:v>4.8183674812316895</c:v>
                </c:pt>
                <c:pt idx="180">
                  <c:v>5.1246404647827148</c:v>
                </c:pt>
                <c:pt idx="181">
                  <c:v>5.6782855987548828</c:v>
                </c:pt>
                <c:pt idx="182">
                  <c:v>6.7680568695068359</c:v>
                </c:pt>
                <c:pt idx="183">
                  <c:v>5.9167909622192383</c:v>
                </c:pt>
                <c:pt idx="184">
                  <c:v>4.8603935241699219</c:v>
                </c:pt>
                <c:pt idx="185">
                  <c:v>5.3887262344360352</c:v>
                </c:pt>
                <c:pt idx="186">
                  <c:v>4.1816916465759277</c:v>
                </c:pt>
                <c:pt idx="187">
                  <c:v>4.2144737243652344</c:v>
                </c:pt>
                <c:pt idx="188">
                  <c:v>5.1224370002746582</c:v>
                </c:pt>
                <c:pt idx="189">
                  <c:v>4.8903274536132813</c:v>
                </c:pt>
                <c:pt idx="190">
                  <c:v>4.8021373748779297</c:v>
                </c:pt>
                <c:pt idx="191">
                  <c:v>5.0728335380554199</c:v>
                </c:pt>
                <c:pt idx="192">
                  <c:v>5.1715030670166016</c:v>
                </c:pt>
                <c:pt idx="193">
                  <c:v>5.1027674674987793</c:v>
                </c:pt>
                <c:pt idx="194">
                  <c:v>5.1536073684692383</c:v>
                </c:pt>
                <c:pt idx="195">
                  <c:v>4.9859871864318848</c:v>
                </c:pt>
                <c:pt idx="196">
                  <c:v>5.0403738021850586</c:v>
                </c:pt>
                <c:pt idx="197">
                  <c:v>5.324988842010498</c:v>
                </c:pt>
                <c:pt idx="198">
                  <c:v>5.3678207397460938</c:v>
                </c:pt>
                <c:pt idx="199">
                  <c:v>5.3915748596191406</c:v>
                </c:pt>
                <c:pt idx="200">
                  <c:v>5.4438114166259766</c:v>
                </c:pt>
                <c:pt idx="201">
                  <c:v>5.132594108581543</c:v>
                </c:pt>
                <c:pt idx="202">
                  <c:v>5.2372288703918457</c:v>
                </c:pt>
                <c:pt idx="203">
                  <c:v>5.3393378257751465</c:v>
                </c:pt>
                <c:pt idx="204">
                  <c:v>5.550112247467041</c:v>
                </c:pt>
                <c:pt idx="205">
                  <c:v>5.2718386650085449</c:v>
                </c:pt>
                <c:pt idx="206">
                  <c:v>5.372227668762207</c:v>
                </c:pt>
                <c:pt idx="207">
                  <c:v>5.6326594352722168</c:v>
                </c:pt>
                <c:pt idx="208">
                  <c:v>5.4309134483337402</c:v>
                </c:pt>
                <c:pt idx="209">
                  <c:v>5.4216160774230957</c:v>
                </c:pt>
                <c:pt idx="210">
                  <c:v>5.5625267028808594</c:v>
                </c:pt>
                <c:pt idx="211">
                  <c:v>4.9028491973876953</c:v>
                </c:pt>
                <c:pt idx="212">
                  <c:v>4.8048782348632813</c:v>
                </c:pt>
                <c:pt idx="213">
                  <c:v>4.7215251922607422</c:v>
                </c:pt>
                <c:pt idx="214">
                  <c:v>4.4395432472229004</c:v>
                </c:pt>
                <c:pt idx="215">
                  <c:v>5.3460021018981934</c:v>
                </c:pt>
                <c:pt idx="216">
                  <c:v>5.8241939544677734</c:v>
                </c:pt>
                <c:pt idx="217">
                  <c:v>5.0663309097290039</c:v>
                </c:pt>
                <c:pt idx="218">
                  <c:v>4.5373530387878418</c:v>
                </c:pt>
                <c:pt idx="219">
                  <c:v>5.7315435409545898</c:v>
                </c:pt>
                <c:pt idx="220">
                  <c:v>6.0510907173156738</c:v>
                </c:pt>
                <c:pt idx="221">
                  <c:v>6.0226078033447266</c:v>
                </c:pt>
                <c:pt idx="222">
                  <c:v>5.5137829780578613</c:v>
                </c:pt>
                <c:pt idx="223">
                  <c:v>4.2437090873718262</c:v>
                </c:pt>
                <c:pt idx="224">
                  <c:v>3.967961311340332</c:v>
                </c:pt>
                <c:pt idx="225">
                  <c:v>2</c:v>
                </c:pt>
              </c:numCache>
            </c:numRef>
          </c:yVal>
          <c:smooth val="1"/>
          <c:extLst>
            <c:ext xmlns:c16="http://schemas.microsoft.com/office/drawing/2014/chart" uri="{C3380CC4-5D6E-409C-BE32-E72D297353CC}">
              <c16:uniqueId val="{00000005-58F6-4830-8941-1011DB88381F}"/>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87.975540161132813</c:v>
                </c:pt>
                <c:pt idx="2">
                  <c:v>75.020713806152344</c:v>
                </c:pt>
                <c:pt idx="3">
                  <c:v>62.794326782226563</c:v>
                </c:pt>
                <c:pt idx="4">
                  <c:v>52.179828643798828</c:v>
                </c:pt>
                <c:pt idx="5">
                  <c:v>43.048679351806641</c:v>
                </c:pt>
                <c:pt idx="6">
                  <c:v>34.542354583740234</c:v>
                </c:pt>
                <c:pt idx="7">
                  <c:v>27.203861236572266</c:v>
                </c:pt>
                <c:pt idx="8">
                  <c:v>20.914424896240234</c:v>
                </c:pt>
                <c:pt idx="9">
                  <c:v>15.280494689941406</c:v>
                </c:pt>
                <c:pt idx="10">
                  <c:v>10.817873954772949</c:v>
                </c:pt>
                <c:pt idx="11">
                  <c:v>7.5409355163574219</c:v>
                </c:pt>
                <c:pt idx="12">
                  <c:v>5.3408198356628418</c:v>
                </c:pt>
                <c:pt idx="13">
                  <c:v>3.8985264301300049</c:v>
                </c:pt>
                <c:pt idx="14">
                  <c:v>3.0105817317962646</c:v>
                </c:pt>
                <c:pt idx="15">
                  <c:v>2.5014898777008057</c:v>
                </c:pt>
                <c:pt idx="16">
                  <c:v>2.2312688827514648</c:v>
                </c:pt>
                <c:pt idx="17">
                  <c:v>2.0939273834228516</c:v>
                </c:pt>
                <c:pt idx="18">
                  <c:v>2.0228128433227539</c:v>
                </c:pt>
                <c:pt idx="19">
                  <c:v>2</c:v>
                </c:pt>
                <c:pt idx="20">
                  <c:v>2.0145454406738281</c:v>
                </c:pt>
                <c:pt idx="21">
                  <c:v>2.0356333255767822</c:v>
                </c:pt>
                <c:pt idx="22">
                  <c:v>2.0754013061523438</c:v>
                </c:pt>
                <c:pt idx="23">
                  <c:v>2.1110560894012451</c:v>
                </c:pt>
                <c:pt idx="24">
                  <c:v>2.1529924869537354</c:v>
                </c:pt>
                <c:pt idx="25">
                  <c:v>2.2064058780670166</c:v>
                </c:pt>
                <c:pt idx="26">
                  <c:v>2.2473940849304199</c:v>
                </c:pt>
                <c:pt idx="27">
                  <c:v>2.2751874923706055</c:v>
                </c:pt>
                <c:pt idx="28">
                  <c:v>2.3052639961242676</c:v>
                </c:pt>
                <c:pt idx="29">
                  <c:v>2.3441016674041748</c:v>
                </c:pt>
                <c:pt idx="30">
                  <c:v>2.3671307563781738</c:v>
                </c:pt>
                <c:pt idx="31">
                  <c:v>2.3769600391387939</c:v>
                </c:pt>
                <c:pt idx="32">
                  <c:v>2.3889775276184082</c:v>
                </c:pt>
                <c:pt idx="33">
                  <c:v>2.3941962718963623</c:v>
                </c:pt>
                <c:pt idx="34">
                  <c:v>2.3977065086364746</c:v>
                </c:pt>
                <c:pt idx="35">
                  <c:v>2.40130615234375</c:v>
                </c:pt>
                <c:pt idx="36">
                  <c:v>2.4037070274353027</c:v>
                </c:pt>
                <c:pt idx="37">
                  <c:v>2.3996100425720215</c:v>
                </c:pt>
                <c:pt idx="38">
                  <c:v>2.4029824733734131</c:v>
                </c:pt>
                <c:pt idx="39">
                  <c:v>2.4076340198516846</c:v>
                </c:pt>
                <c:pt idx="40">
                  <c:v>2.4169659614562988</c:v>
                </c:pt>
                <c:pt idx="41">
                  <c:v>2.4162986278533936</c:v>
                </c:pt>
                <c:pt idx="42">
                  <c:v>2.4215927124023438</c:v>
                </c:pt>
                <c:pt idx="43">
                  <c:v>2.4273660182952881</c:v>
                </c:pt>
                <c:pt idx="44">
                  <c:v>2.4154918193817139</c:v>
                </c:pt>
                <c:pt idx="45">
                  <c:v>2.3998479843139648</c:v>
                </c:pt>
                <c:pt idx="46">
                  <c:v>2.3982841968536377</c:v>
                </c:pt>
                <c:pt idx="47">
                  <c:v>2.4020199775695801</c:v>
                </c:pt>
                <c:pt idx="48">
                  <c:v>2.414114236831665</c:v>
                </c:pt>
                <c:pt idx="49">
                  <c:v>2.4147100448608398</c:v>
                </c:pt>
                <c:pt idx="50">
                  <c:v>2.4155724048614502</c:v>
                </c:pt>
                <c:pt idx="51">
                  <c:v>2.4211275577545166</c:v>
                </c:pt>
                <c:pt idx="52">
                  <c:v>2.4202258586883545</c:v>
                </c:pt>
                <c:pt idx="53">
                  <c:v>2.4230685234069824</c:v>
                </c:pt>
                <c:pt idx="54">
                  <c:v>2.4298474788665771</c:v>
                </c:pt>
                <c:pt idx="55">
                  <c:v>2.4419901371002197</c:v>
                </c:pt>
                <c:pt idx="56">
                  <c:v>2.4495561122894287</c:v>
                </c:pt>
                <c:pt idx="57">
                  <c:v>2.4408378601074219</c:v>
                </c:pt>
                <c:pt idx="58">
                  <c:v>2.4495561122894287</c:v>
                </c:pt>
                <c:pt idx="59">
                  <c:v>2.4513328075408936</c:v>
                </c:pt>
                <c:pt idx="60">
                  <c:v>2.444814920425415</c:v>
                </c:pt>
                <c:pt idx="61">
                  <c:v>2.4527926445007324</c:v>
                </c:pt>
                <c:pt idx="62">
                  <c:v>2.4623963832855225</c:v>
                </c:pt>
                <c:pt idx="63">
                  <c:v>2.4594123363494873</c:v>
                </c:pt>
                <c:pt idx="64">
                  <c:v>2.4524097442626953</c:v>
                </c:pt>
                <c:pt idx="65">
                  <c:v>2.4624893665313721</c:v>
                </c:pt>
                <c:pt idx="66">
                  <c:v>2.4673235416412354</c:v>
                </c:pt>
                <c:pt idx="67">
                  <c:v>2.4553689956665039</c:v>
                </c:pt>
                <c:pt idx="68">
                  <c:v>2.4428524971008301</c:v>
                </c:pt>
                <c:pt idx="69">
                  <c:v>2.4352362155914307</c:v>
                </c:pt>
                <c:pt idx="70">
                  <c:v>2.452847957611084</c:v>
                </c:pt>
                <c:pt idx="71">
                  <c:v>2.4653680324554443</c:v>
                </c:pt>
                <c:pt idx="72">
                  <c:v>2.4568483829498291</c:v>
                </c:pt>
                <c:pt idx="73">
                  <c:v>2.4418110847473145</c:v>
                </c:pt>
                <c:pt idx="74">
                  <c:v>2.4348104000091553</c:v>
                </c:pt>
                <c:pt idx="75">
                  <c:v>2.449779748916626</c:v>
                </c:pt>
                <c:pt idx="76">
                  <c:v>2.4377892017364502</c:v>
                </c:pt>
                <c:pt idx="77">
                  <c:v>2.4217267036437988</c:v>
                </c:pt>
                <c:pt idx="78">
                  <c:v>2.4300103187561035</c:v>
                </c:pt>
                <c:pt idx="79">
                  <c:v>2.4551184177398682</c:v>
                </c:pt>
                <c:pt idx="80">
                  <c:v>2.4611387252807617</c:v>
                </c:pt>
                <c:pt idx="81">
                  <c:v>2.4396748542785645</c:v>
                </c:pt>
                <c:pt idx="82">
                  <c:v>2.4422547817230225</c:v>
                </c:pt>
                <c:pt idx="83">
                  <c:v>2.4458293914794922</c:v>
                </c:pt>
                <c:pt idx="84">
                  <c:v>2.4486095905303955</c:v>
                </c:pt>
                <c:pt idx="85">
                  <c:v>2.453773021697998</c:v>
                </c:pt>
                <c:pt idx="86">
                  <c:v>2.4607326984405518</c:v>
                </c:pt>
                <c:pt idx="87">
                  <c:v>2.4721202850341797</c:v>
                </c:pt>
                <c:pt idx="88">
                  <c:v>2.456963062286377</c:v>
                </c:pt>
                <c:pt idx="89">
                  <c:v>2.4476633071899414</c:v>
                </c:pt>
                <c:pt idx="90">
                  <c:v>2.457970142364502</c:v>
                </c:pt>
                <c:pt idx="91">
                  <c:v>2.4463984966278076</c:v>
                </c:pt>
                <c:pt idx="92">
                  <c:v>2.4499247074127197</c:v>
                </c:pt>
                <c:pt idx="93">
                  <c:v>2.4571454524993896</c:v>
                </c:pt>
                <c:pt idx="94">
                  <c:v>2.4539017677307129</c:v>
                </c:pt>
                <c:pt idx="95">
                  <c:v>2.4666848182678223</c:v>
                </c:pt>
                <c:pt idx="96">
                  <c:v>2.4670159816741943</c:v>
                </c:pt>
                <c:pt idx="97">
                  <c:v>2.4540987014770508</c:v>
                </c:pt>
                <c:pt idx="98">
                  <c:v>2.4394369125366211</c:v>
                </c:pt>
                <c:pt idx="99">
                  <c:v>2.444237232208252</c:v>
                </c:pt>
                <c:pt idx="100">
                  <c:v>2.4537122249603271</c:v>
                </c:pt>
                <c:pt idx="101">
                  <c:v>2.4378161430358887</c:v>
                </c:pt>
                <c:pt idx="102">
                  <c:v>2.4377946853637695</c:v>
                </c:pt>
                <c:pt idx="103">
                  <c:v>2.4634501934051514</c:v>
                </c:pt>
                <c:pt idx="104">
                  <c:v>2.4612157344818115</c:v>
                </c:pt>
                <c:pt idx="105">
                  <c:v>2.4492590427398682</c:v>
                </c:pt>
                <c:pt idx="106">
                  <c:v>2.4443175792694092</c:v>
                </c:pt>
                <c:pt idx="107">
                  <c:v>2.4458563327789307</c:v>
                </c:pt>
                <c:pt idx="108">
                  <c:v>2.456963062286377</c:v>
                </c:pt>
                <c:pt idx="109">
                  <c:v>2.4392116069793701</c:v>
                </c:pt>
                <c:pt idx="110">
                  <c:v>2.4226911067962646</c:v>
                </c:pt>
                <c:pt idx="111">
                  <c:v>2.4440779685974121</c:v>
                </c:pt>
                <c:pt idx="112">
                  <c:v>2.4572653770446777</c:v>
                </c:pt>
                <c:pt idx="113">
                  <c:v>2.4457614421844482</c:v>
                </c:pt>
                <c:pt idx="114">
                  <c:v>2.4413156509399414</c:v>
                </c:pt>
                <c:pt idx="115">
                  <c:v>2.4488208293914795</c:v>
                </c:pt>
                <c:pt idx="116">
                  <c:v>2.4547426700592041</c:v>
                </c:pt>
                <c:pt idx="117">
                  <c:v>2.4512860774993896</c:v>
                </c:pt>
                <c:pt idx="118">
                  <c:v>2.4607343673706055</c:v>
                </c:pt>
                <c:pt idx="119">
                  <c:v>2.445756196975708</c:v>
                </c:pt>
                <c:pt idx="120">
                  <c:v>2.4358749389648438</c:v>
                </c:pt>
                <c:pt idx="121">
                  <c:v>2.4488189220428467</c:v>
                </c:pt>
                <c:pt idx="122">
                  <c:v>2.4410400390625</c:v>
                </c:pt>
                <c:pt idx="123">
                  <c:v>2.4592761993408203</c:v>
                </c:pt>
                <c:pt idx="124">
                  <c:v>2.4670732021331787</c:v>
                </c:pt>
                <c:pt idx="125">
                  <c:v>2.4683542251586914</c:v>
                </c:pt>
                <c:pt idx="126">
                  <c:v>2.4631621837615967</c:v>
                </c:pt>
                <c:pt idx="127">
                  <c:v>2.4511787891387939</c:v>
                </c:pt>
                <c:pt idx="128">
                  <c:v>2.4541916847229004</c:v>
                </c:pt>
                <c:pt idx="129">
                  <c:v>2.4731810092926025</c:v>
                </c:pt>
                <c:pt idx="130">
                  <c:v>2.4695761203765869</c:v>
                </c:pt>
                <c:pt idx="131">
                  <c:v>2.4518086910247803</c:v>
                </c:pt>
                <c:pt idx="132">
                  <c:v>2.4448652267456055</c:v>
                </c:pt>
                <c:pt idx="133">
                  <c:v>2.4399559497833252</c:v>
                </c:pt>
                <c:pt idx="134">
                  <c:v>2.4560940265655518</c:v>
                </c:pt>
                <c:pt idx="135">
                  <c:v>2.4628670215606689</c:v>
                </c:pt>
                <c:pt idx="136">
                  <c:v>2.3260800838470459</c:v>
                </c:pt>
                <c:pt idx="137">
                  <c:v>2.2577672004699707</c:v>
                </c:pt>
                <c:pt idx="138">
                  <c:v>2.3749027252197266</c:v>
                </c:pt>
                <c:pt idx="139">
                  <c:v>2.4447433948516846</c:v>
                </c:pt>
                <c:pt idx="140">
                  <c:v>2.4375638961791992</c:v>
                </c:pt>
                <c:pt idx="141">
                  <c:v>2.4652500152587891</c:v>
                </c:pt>
                <c:pt idx="142">
                  <c:v>2.4691555500030518</c:v>
                </c:pt>
                <c:pt idx="143">
                  <c:v>2.4360449314117432</c:v>
                </c:pt>
                <c:pt idx="144">
                  <c:v>2.4518139362335205</c:v>
                </c:pt>
                <c:pt idx="145">
                  <c:v>2.4801836013793945</c:v>
                </c:pt>
                <c:pt idx="146">
                  <c:v>2.4440689086914063</c:v>
                </c:pt>
                <c:pt idx="147">
                  <c:v>2.4594266414642334</c:v>
                </c:pt>
                <c:pt idx="148">
                  <c:v>2.5428125858306885</c:v>
                </c:pt>
                <c:pt idx="149">
                  <c:v>2.5392720699310303</c:v>
                </c:pt>
                <c:pt idx="150">
                  <c:v>2.4584836959838867</c:v>
                </c:pt>
                <c:pt idx="151">
                  <c:v>2.4811265468597412</c:v>
                </c:pt>
                <c:pt idx="152">
                  <c:v>2.482210636138916</c:v>
                </c:pt>
                <c:pt idx="153">
                  <c:v>2.456676721572876</c:v>
                </c:pt>
                <c:pt idx="154">
                  <c:v>2.4582548141479492</c:v>
                </c:pt>
                <c:pt idx="155">
                  <c:v>2.4673182964324951</c:v>
                </c:pt>
                <c:pt idx="156">
                  <c:v>2.432142972946167</c:v>
                </c:pt>
                <c:pt idx="157">
                  <c:v>2.4256341457366943</c:v>
                </c:pt>
                <c:pt idx="158">
                  <c:v>2.4478957653045654</c:v>
                </c:pt>
                <c:pt idx="159">
                  <c:v>2.4453856945037842</c:v>
                </c:pt>
                <c:pt idx="160">
                  <c:v>2.4515671730041504</c:v>
                </c:pt>
                <c:pt idx="161">
                  <c:v>2.4269330501556396</c:v>
                </c:pt>
                <c:pt idx="162">
                  <c:v>2.4114413261413574</c:v>
                </c:pt>
                <c:pt idx="163">
                  <c:v>2.4572491645812988</c:v>
                </c:pt>
                <c:pt idx="164">
                  <c:v>2.4370522499084473</c:v>
                </c:pt>
                <c:pt idx="165">
                  <c:v>2.4338836669921875</c:v>
                </c:pt>
                <c:pt idx="166">
                  <c:v>2.46848464012146</c:v>
                </c:pt>
                <c:pt idx="167">
                  <c:v>2.4379448890686035</c:v>
                </c:pt>
                <c:pt idx="168">
                  <c:v>2.4679498672485352</c:v>
                </c:pt>
                <c:pt idx="169">
                  <c:v>2.4507172107696533</c:v>
                </c:pt>
                <c:pt idx="170">
                  <c:v>2.4302983283996582</c:v>
                </c:pt>
                <c:pt idx="171">
                  <c:v>2.4358983039855957</c:v>
                </c:pt>
                <c:pt idx="172">
                  <c:v>2.4501626491546631</c:v>
                </c:pt>
                <c:pt idx="173">
                  <c:v>2.4458205699920654</c:v>
                </c:pt>
                <c:pt idx="174">
                  <c:v>2.4321696758270264</c:v>
                </c:pt>
                <c:pt idx="175">
                  <c:v>2.4442265033721924</c:v>
                </c:pt>
                <c:pt idx="176">
                  <c:v>2.4334185123443604</c:v>
                </c:pt>
                <c:pt idx="177">
                  <c:v>2.446019172668457</c:v>
                </c:pt>
                <c:pt idx="178">
                  <c:v>2.4606823921203613</c:v>
                </c:pt>
                <c:pt idx="179">
                  <c:v>2.4660749435424805</c:v>
                </c:pt>
                <c:pt idx="180">
                  <c:v>2.4710342884063721</c:v>
                </c:pt>
                <c:pt idx="181">
                  <c:v>2.4669139385223389</c:v>
                </c:pt>
                <c:pt idx="182">
                  <c:v>2.4818313121795654</c:v>
                </c:pt>
                <c:pt idx="183">
                  <c:v>2.4483537673950195</c:v>
                </c:pt>
                <c:pt idx="184">
                  <c:v>2.4371719360351563</c:v>
                </c:pt>
                <c:pt idx="185">
                  <c:v>2.4388108253479004</c:v>
                </c:pt>
                <c:pt idx="186">
                  <c:v>2.4511091709136963</c:v>
                </c:pt>
                <c:pt idx="187">
                  <c:v>2.4691448211669922</c:v>
                </c:pt>
                <c:pt idx="188">
                  <c:v>2.4369287490844727</c:v>
                </c:pt>
                <c:pt idx="189">
                  <c:v>2.4443731307983398</c:v>
                </c:pt>
                <c:pt idx="190">
                  <c:v>2.4413084983825684</c:v>
                </c:pt>
                <c:pt idx="191">
                  <c:v>2.4202489852905273</c:v>
                </c:pt>
                <c:pt idx="192">
                  <c:v>2.4416053295135498</c:v>
                </c:pt>
                <c:pt idx="193">
                  <c:v>2.4296166896820068</c:v>
                </c:pt>
                <c:pt idx="194">
                  <c:v>2.4517083168029785</c:v>
                </c:pt>
                <c:pt idx="195">
                  <c:v>2.4635987281799316</c:v>
                </c:pt>
                <c:pt idx="196">
                  <c:v>2.5045385360717773</c:v>
                </c:pt>
                <c:pt idx="197">
                  <c:v>2.4911096096038818</c:v>
                </c:pt>
                <c:pt idx="198">
                  <c:v>2.4590544700622559</c:v>
                </c:pt>
                <c:pt idx="199">
                  <c:v>2.4731507301330566</c:v>
                </c:pt>
                <c:pt idx="200">
                  <c:v>2.4859015941619873</c:v>
                </c:pt>
                <c:pt idx="201">
                  <c:v>2.4770455360412598</c:v>
                </c:pt>
                <c:pt idx="202">
                  <c:v>2.4345600605010986</c:v>
                </c:pt>
                <c:pt idx="203">
                  <c:v>2.4676582813262939</c:v>
                </c:pt>
                <c:pt idx="204">
                  <c:v>2.4601778984069824</c:v>
                </c:pt>
                <c:pt idx="205">
                  <c:v>2.4731185436248779</c:v>
                </c:pt>
                <c:pt idx="206">
                  <c:v>2.4437916278839111</c:v>
                </c:pt>
                <c:pt idx="207">
                  <c:v>2.4493021965026855</c:v>
                </c:pt>
                <c:pt idx="208">
                  <c:v>2.4087505340576172</c:v>
                </c:pt>
                <c:pt idx="209">
                  <c:v>2.4048001766204834</c:v>
                </c:pt>
                <c:pt idx="210">
                  <c:v>2.4405891895294189</c:v>
                </c:pt>
                <c:pt idx="211">
                  <c:v>2.43532395362854</c:v>
                </c:pt>
                <c:pt idx="212">
                  <c:v>2.4787290096282959</c:v>
                </c:pt>
                <c:pt idx="213">
                  <c:v>2.4515528678894043</c:v>
                </c:pt>
                <c:pt idx="214">
                  <c:v>2.4751420021057129</c:v>
                </c:pt>
                <c:pt idx="215">
                  <c:v>2.4292285442352295</c:v>
                </c:pt>
                <c:pt idx="216">
                  <c:v>2.4432942867279053</c:v>
                </c:pt>
                <c:pt idx="217">
                  <c:v>2.4894332885742188</c:v>
                </c:pt>
                <c:pt idx="218">
                  <c:v>2.4359591007232666</c:v>
                </c:pt>
                <c:pt idx="219">
                  <c:v>2.4328835010528564</c:v>
                </c:pt>
                <c:pt idx="220">
                  <c:v>2.3790533542633057</c:v>
                </c:pt>
                <c:pt idx="221">
                  <c:v>2.4443159103393555</c:v>
                </c:pt>
                <c:pt idx="222">
                  <c:v>2.5484840869903564</c:v>
                </c:pt>
                <c:pt idx="223">
                  <c:v>2.4614894390106201</c:v>
                </c:pt>
                <c:pt idx="224">
                  <c:v>2.4795324802398682</c:v>
                </c:pt>
                <c:pt idx="225">
                  <c:v>2.3509252071380615</c:v>
                </c:pt>
              </c:numCache>
            </c:numRef>
          </c:yVal>
          <c:smooth val="1"/>
          <c:extLst>
            <c:ext xmlns:c16="http://schemas.microsoft.com/office/drawing/2014/chart" uri="{C3380CC4-5D6E-409C-BE32-E72D297353CC}">
              <c16:uniqueId val="{00000006-58F6-4830-8941-1011DB88381F}"/>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numCache>
            </c:numRef>
          </c:yVal>
          <c:smooth val="1"/>
          <c:extLst>
            <c:ext xmlns:c16="http://schemas.microsoft.com/office/drawing/2014/chart" uri="{C3380CC4-5D6E-409C-BE32-E72D297353CC}">
              <c16:uniqueId val="{00000007-58F6-4830-8941-1011DB88381F}"/>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numCache>
            </c:numRef>
          </c:yVal>
          <c:smooth val="1"/>
          <c:extLst>
            <c:ext xmlns:c16="http://schemas.microsoft.com/office/drawing/2014/chart" uri="{C3380CC4-5D6E-409C-BE32-E72D297353CC}">
              <c16:uniqueId val="{00000008-58F6-4830-8941-1011DB88381F}"/>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numCache>
            </c:numRef>
          </c:yVal>
          <c:smooth val="1"/>
          <c:extLst>
            <c:ext xmlns:c16="http://schemas.microsoft.com/office/drawing/2014/chart" uri="{C3380CC4-5D6E-409C-BE32-E72D297353CC}">
              <c16:uniqueId val="{00000009-58F6-4830-8941-1011DB88381F}"/>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numCache>
            </c:numRef>
          </c:yVal>
          <c:smooth val="1"/>
          <c:extLst>
            <c:ext xmlns:c16="http://schemas.microsoft.com/office/drawing/2014/chart" uri="{C3380CC4-5D6E-409C-BE32-E72D297353CC}">
              <c16:uniqueId val="{0000000A-58F6-4830-8941-1011DB88381F}"/>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numCache>
            </c:numRef>
          </c:yVal>
          <c:smooth val="1"/>
          <c:extLst>
            <c:ext xmlns:c16="http://schemas.microsoft.com/office/drawing/2014/chart" uri="{C3380CC4-5D6E-409C-BE32-E72D297353CC}">
              <c16:uniqueId val="{0000000B-58F6-4830-8941-1011DB88381F}"/>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numCache>
            </c:numRef>
          </c:yVal>
          <c:smooth val="1"/>
          <c:extLst>
            <c:ext xmlns:c16="http://schemas.microsoft.com/office/drawing/2014/chart" uri="{C3380CC4-5D6E-409C-BE32-E72D297353CC}">
              <c16:uniqueId val="{0000000C-58F6-4830-8941-1011DB88381F}"/>
            </c:ext>
          </c:extLst>
        </c:ser>
        <c:ser>
          <c:idx val="13"/>
          <c:order val="13"/>
          <c:tx>
            <c:v>14</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NormalisedUVVisData!$O$2:$O$300</c:f>
              <c:numCache>
                <c:formatCode>General</c:formatCode>
                <c:ptCount val="299"/>
              </c:numCache>
            </c:numRef>
          </c:yVal>
          <c:smooth val="1"/>
          <c:extLst>
            <c:ext xmlns:c16="http://schemas.microsoft.com/office/drawing/2014/chart" uri="{C3380CC4-5D6E-409C-BE32-E72D297353CC}">
              <c16:uniqueId val="{0000000D-58F6-4830-8941-1011DB88381F}"/>
            </c:ext>
          </c:extLst>
        </c:ser>
        <c:ser>
          <c:idx val="14"/>
          <c:order val="14"/>
          <c:tx>
            <c:v>15</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NormalisedUVVisData!$P$2:$P$300</c:f>
              <c:numCache>
                <c:formatCode>General</c:formatCode>
                <c:ptCount val="299"/>
              </c:numCache>
            </c:numRef>
          </c:yVal>
          <c:smooth val="1"/>
          <c:extLst>
            <c:ext xmlns:c16="http://schemas.microsoft.com/office/drawing/2014/chart" uri="{C3380CC4-5D6E-409C-BE32-E72D297353CC}">
              <c16:uniqueId val="{0000000E-58F6-4830-8941-1011DB88381F}"/>
            </c:ext>
          </c:extLst>
        </c:ser>
        <c:ser>
          <c:idx val="15"/>
          <c:order val="15"/>
          <c:tx>
            <c:v>16</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NormalisedUVVisData!$Q$2:$Q$300</c:f>
              <c:numCache>
                <c:formatCode>General</c:formatCode>
                <c:ptCount val="299"/>
              </c:numCache>
            </c:numRef>
          </c:yVal>
          <c:smooth val="1"/>
          <c:extLst>
            <c:ext xmlns:c16="http://schemas.microsoft.com/office/drawing/2014/chart" uri="{C3380CC4-5D6E-409C-BE32-E72D297353CC}">
              <c16:uniqueId val="{0000000F-58F6-4830-8941-1011DB88381F}"/>
            </c:ext>
          </c:extLst>
        </c:ser>
        <c:ser>
          <c:idx val="16"/>
          <c:order val="16"/>
          <c:tx>
            <c:v>17</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NormalisedUVVisData!$R$2:$R$300</c:f>
              <c:numCache>
                <c:formatCode>General</c:formatCode>
                <c:ptCount val="299"/>
              </c:numCache>
            </c:numRef>
          </c:yVal>
          <c:smooth val="1"/>
          <c:extLst>
            <c:ext xmlns:c16="http://schemas.microsoft.com/office/drawing/2014/chart" uri="{C3380CC4-5D6E-409C-BE32-E72D297353CC}">
              <c16:uniqueId val="{00000010-58F6-4830-8941-1011DB88381F}"/>
            </c:ext>
          </c:extLst>
        </c:ser>
        <c:ser>
          <c:idx val="17"/>
          <c:order val="17"/>
          <c:tx>
            <c:v>18</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NormalisedUVVisData!$S$2:$S$300</c:f>
              <c:numCache>
                <c:formatCode>General</c:formatCode>
                <c:ptCount val="299"/>
              </c:numCache>
            </c:numRef>
          </c:yVal>
          <c:smooth val="1"/>
          <c:extLst>
            <c:ext xmlns:c16="http://schemas.microsoft.com/office/drawing/2014/chart" uri="{C3380CC4-5D6E-409C-BE32-E72D297353CC}">
              <c16:uniqueId val="{00000011-58F6-4830-8941-1011DB88381F}"/>
            </c:ext>
          </c:extLst>
        </c:ser>
        <c:ser>
          <c:idx val="18"/>
          <c:order val="18"/>
          <c:tx>
            <c:v>19</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NormalisedUVVisData!$T$2:$T$300</c:f>
              <c:numCache>
                <c:formatCode>General</c:formatCode>
                <c:ptCount val="299"/>
              </c:numCache>
            </c:numRef>
          </c:yVal>
          <c:smooth val="1"/>
          <c:extLst>
            <c:ext xmlns:c16="http://schemas.microsoft.com/office/drawing/2014/chart" uri="{C3380CC4-5D6E-409C-BE32-E72D297353CC}">
              <c16:uniqueId val="{00000012-58F6-4830-8941-1011DB88381F}"/>
            </c:ext>
          </c:extLst>
        </c:ser>
        <c:ser>
          <c:idx val="19"/>
          <c:order val="19"/>
          <c:tx>
            <c:v>20</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NormalisedUVVisData!$U$2:$U$300</c:f>
              <c:numCache>
                <c:formatCode>General</c:formatCode>
                <c:ptCount val="299"/>
              </c:numCache>
            </c:numRef>
          </c:yVal>
          <c:smooth val="1"/>
          <c:extLst>
            <c:ext xmlns:c16="http://schemas.microsoft.com/office/drawing/2014/chart" uri="{C3380CC4-5D6E-409C-BE32-E72D297353CC}">
              <c16:uniqueId val="{00000013-58F6-4830-8941-1011DB88381F}"/>
            </c:ext>
          </c:extLst>
        </c:ser>
        <c:ser>
          <c:idx val="20"/>
          <c:order val="20"/>
          <c:tx>
            <c:v>21</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NormalisedUVVisData!$V$2:$V$300</c:f>
              <c:numCache>
                <c:formatCode>General</c:formatCode>
                <c:ptCount val="299"/>
              </c:numCache>
            </c:numRef>
          </c:yVal>
          <c:smooth val="1"/>
          <c:extLst>
            <c:ext xmlns:c16="http://schemas.microsoft.com/office/drawing/2014/chart" uri="{C3380CC4-5D6E-409C-BE32-E72D297353CC}">
              <c16:uniqueId val="{00000014-58F6-4830-8941-1011DB88381F}"/>
            </c:ext>
          </c:extLst>
        </c:ser>
        <c:ser>
          <c:idx val="21"/>
          <c:order val="21"/>
          <c:tx>
            <c:v>22</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NormalisedUVVisData!$W$2:$W$300</c:f>
              <c:numCache>
                <c:formatCode>General</c:formatCode>
                <c:ptCount val="299"/>
              </c:numCache>
            </c:numRef>
          </c:yVal>
          <c:smooth val="1"/>
          <c:extLst>
            <c:ext xmlns:c16="http://schemas.microsoft.com/office/drawing/2014/chart" uri="{C3380CC4-5D6E-409C-BE32-E72D297353CC}">
              <c16:uniqueId val="{00000015-58F6-4830-8941-1011DB88381F}"/>
            </c:ext>
          </c:extLst>
        </c:ser>
        <c:ser>
          <c:idx val="22"/>
          <c:order val="22"/>
          <c:tx>
            <c:v>23</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NormalisedUVVisData!$X$2:$X$300</c:f>
              <c:numCache>
                <c:formatCode>General</c:formatCode>
                <c:ptCount val="299"/>
              </c:numCache>
            </c:numRef>
          </c:yVal>
          <c:smooth val="1"/>
          <c:extLst>
            <c:ext xmlns:c16="http://schemas.microsoft.com/office/drawing/2014/chart" uri="{C3380CC4-5D6E-409C-BE32-E72D297353CC}">
              <c16:uniqueId val="{00000016-58F6-4830-8941-1011DB88381F}"/>
            </c:ext>
          </c:extLst>
        </c:ser>
        <c:ser>
          <c:idx val="23"/>
          <c:order val="23"/>
          <c:tx>
            <c:v>24</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NormalisedUVVisData!$Y$2:$Y$300</c:f>
              <c:numCache>
                <c:formatCode>General</c:formatCode>
                <c:ptCount val="299"/>
              </c:numCache>
            </c:numRef>
          </c:yVal>
          <c:smooth val="1"/>
          <c:extLst>
            <c:ext xmlns:c16="http://schemas.microsoft.com/office/drawing/2014/chart" uri="{C3380CC4-5D6E-409C-BE32-E72D297353CC}">
              <c16:uniqueId val="{00000017-58F6-4830-8941-1011DB88381F}"/>
            </c:ext>
          </c:extLst>
        </c:ser>
        <c:ser>
          <c:idx val="24"/>
          <c:order val="24"/>
          <c:tx>
            <c:v>25</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NormalisedUVVisData!$Z$2:$Z$300</c:f>
              <c:numCache>
                <c:formatCode>General</c:formatCode>
                <c:ptCount val="299"/>
              </c:numCache>
            </c:numRef>
          </c:yVal>
          <c:smooth val="1"/>
          <c:extLst>
            <c:ext xmlns:c16="http://schemas.microsoft.com/office/drawing/2014/chart" uri="{C3380CC4-5D6E-409C-BE32-E72D297353CC}">
              <c16:uniqueId val="{00000018-58F6-4830-8941-1011DB88381F}"/>
            </c:ext>
          </c:extLst>
        </c:ser>
        <c:ser>
          <c:idx val="25"/>
          <c:order val="25"/>
          <c:tx>
            <c:v>26</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NormalisedUVVisData!$AA$2:$AA$300</c:f>
              <c:numCache>
                <c:formatCode>General</c:formatCode>
                <c:ptCount val="299"/>
              </c:numCache>
            </c:numRef>
          </c:yVal>
          <c:smooth val="1"/>
          <c:extLst>
            <c:ext xmlns:c16="http://schemas.microsoft.com/office/drawing/2014/chart" uri="{C3380CC4-5D6E-409C-BE32-E72D297353CC}">
              <c16:uniqueId val="{00000019-58F6-4830-8941-1011DB88381F}"/>
            </c:ext>
          </c:extLst>
        </c:ser>
        <c:ser>
          <c:idx val="26"/>
          <c:order val="26"/>
          <c:tx>
            <c:v>27</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NormalisedUVVisData!$AB$2:$AB$300</c:f>
              <c:numCache>
                <c:formatCode>General</c:formatCode>
                <c:ptCount val="299"/>
              </c:numCache>
            </c:numRef>
          </c:yVal>
          <c:smooth val="1"/>
          <c:extLst>
            <c:ext xmlns:c16="http://schemas.microsoft.com/office/drawing/2014/chart" uri="{C3380CC4-5D6E-409C-BE32-E72D297353CC}">
              <c16:uniqueId val="{0000001A-58F6-4830-8941-1011DB88381F}"/>
            </c:ext>
          </c:extLst>
        </c:ser>
        <c:ser>
          <c:idx val="27"/>
          <c:order val="27"/>
          <c:tx>
            <c:v>28</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NormalisedUVVisData!$AC$2:$AC$300</c:f>
              <c:numCache>
                <c:formatCode>General</c:formatCode>
                <c:ptCount val="299"/>
              </c:numCache>
            </c:numRef>
          </c:yVal>
          <c:smooth val="1"/>
          <c:extLst>
            <c:ext xmlns:c16="http://schemas.microsoft.com/office/drawing/2014/chart" uri="{C3380CC4-5D6E-409C-BE32-E72D297353CC}">
              <c16:uniqueId val="{0000001B-58F6-4830-8941-1011DB88381F}"/>
            </c:ext>
          </c:extLst>
        </c:ser>
        <c:ser>
          <c:idx val="28"/>
          <c:order val="28"/>
          <c:tx>
            <c:v>29</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NormalisedUVVisData!$AD$2:$AD$300</c:f>
              <c:numCache>
                <c:formatCode>General</c:formatCode>
                <c:ptCount val="299"/>
              </c:numCache>
            </c:numRef>
          </c:yVal>
          <c:smooth val="1"/>
          <c:extLst>
            <c:ext xmlns:c16="http://schemas.microsoft.com/office/drawing/2014/chart" uri="{C3380CC4-5D6E-409C-BE32-E72D297353CC}">
              <c16:uniqueId val="{0000001C-58F6-4830-8941-1011DB88381F}"/>
            </c:ext>
          </c:extLst>
        </c:ser>
        <c:ser>
          <c:idx val="29"/>
          <c:order val="29"/>
          <c:tx>
            <c:v>30</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NormalisedUVVisData!$AE$2:$AE$300</c:f>
              <c:numCache>
                <c:formatCode>General</c:formatCode>
                <c:ptCount val="299"/>
              </c:numCache>
            </c:numRef>
          </c:yVal>
          <c:smooth val="1"/>
          <c:extLst>
            <c:ext xmlns:c16="http://schemas.microsoft.com/office/drawing/2014/chart" uri="{C3380CC4-5D6E-409C-BE32-E72D297353CC}">
              <c16:uniqueId val="{0000001D-58F6-4830-8941-1011DB88381F}"/>
            </c:ext>
          </c:extLst>
        </c:ser>
        <c:ser>
          <c:idx val="30"/>
          <c:order val="30"/>
          <c:tx>
            <c:v>31</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NormalisedUVVisData!$AF$2:$AF$300</c:f>
              <c:numCache>
                <c:formatCode>General</c:formatCode>
                <c:ptCount val="299"/>
              </c:numCache>
            </c:numRef>
          </c:yVal>
          <c:smooth val="1"/>
          <c:extLst>
            <c:ext xmlns:c16="http://schemas.microsoft.com/office/drawing/2014/chart" uri="{C3380CC4-5D6E-409C-BE32-E72D297353CC}">
              <c16:uniqueId val="{0000001E-58F6-4830-8941-1011DB88381F}"/>
            </c:ext>
          </c:extLst>
        </c:ser>
        <c:ser>
          <c:idx val="31"/>
          <c:order val="31"/>
          <c:tx>
            <c:v>32</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NormalisedUVVisData!$AG$2:$AG$300</c:f>
              <c:numCache>
                <c:formatCode>General</c:formatCode>
                <c:ptCount val="299"/>
              </c:numCache>
            </c:numRef>
          </c:yVal>
          <c:smooth val="1"/>
          <c:extLst>
            <c:ext xmlns:c16="http://schemas.microsoft.com/office/drawing/2014/chart" uri="{C3380CC4-5D6E-409C-BE32-E72D297353CC}">
              <c16:uniqueId val="{0000001F-58F6-4830-8941-1011DB88381F}"/>
            </c:ext>
          </c:extLst>
        </c:ser>
        <c:ser>
          <c:idx val="32"/>
          <c:order val="32"/>
          <c:tx>
            <c:v>33</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NormalisedUVVisData!$AH$2:$AH$300</c:f>
              <c:numCache>
                <c:formatCode>General</c:formatCode>
                <c:ptCount val="299"/>
              </c:numCache>
            </c:numRef>
          </c:yVal>
          <c:smooth val="1"/>
          <c:extLst>
            <c:ext xmlns:c16="http://schemas.microsoft.com/office/drawing/2014/chart" uri="{C3380CC4-5D6E-409C-BE32-E72D297353CC}">
              <c16:uniqueId val="{00000020-58F6-4830-8941-1011DB88381F}"/>
            </c:ext>
          </c:extLst>
        </c:ser>
        <c:ser>
          <c:idx val="33"/>
          <c:order val="33"/>
          <c:tx>
            <c:v>34</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NormalisedUVVisData!$AI$2:$AI$300</c:f>
              <c:numCache>
                <c:formatCode>General</c:formatCode>
                <c:ptCount val="299"/>
              </c:numCache>
            </c:numRef>
          </c:yVal>
          <c:smooth val="1"/>
          <c:extLst>
            <c:ext xmlns:c16="http://schemas.microsoft.com/office/drawing/2014/chart" uri="{C3380CC4-5D6E-409C-BE32-E72D297353CC}">
              <c16:uniqueId val="{00000021-58F6-4830-8941-1011DB88381F}"/>
            </c:ext>
          </c:extLst>
        </c:ser>
        <c:ser>
          <c:idx val="34"/>
          <c:order val="34"/>
          <c:tx>
            <c:v>35</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NormalisedUVVisData!$AJ$2:$AJ$300</c:f>
              <c:numCache>
                <c:formatCode>General</c:formatCode>
                <c:ptCount val="299"/>
              </c:numCache>
            </c:numRef>
          </c:yVal>
          <c:smooth val="1"/>
          <c:extLst>
            <c:ext xmlns:c16="http://schemas.microsoft.com/office/drawing/2014/chart" uri="{C3380CC4-5D6E-409C-BE32-E72D297353CC}">
              <c16:uniqueId val="{00000022-58F6-4830-8941-1011DB88381F}"/>
            </c:ext>
          </c:extLst>
        </c:ser>
        <c:ser>
          <c:idx val="35"/>
          <c:order val="35"/>
          <c:tx>
            <c:v>36</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NormalisedUVVisData!$AK$2:$AK$300</c:f>
              <c:numCache>
                <c:formatCode>General</c:formatCode>
                <c:ptCount val="299"/>
              </c:numCache>
            </c:numRef>
          </c:yVal>
          <c:smooth val="1"/>
          <c:extLst>
            <c:ext xmlns:c16="http://schemas.microsoft.com/office/drawing/2014/chart" uri="{C3380CC4-5D6E-409C-BE32-E72D297353CC}">
              <c16:uniqueId val="{00000023-58F6-4830-8941-1011DB88381F}"/>
            </c:ext>
          </c:extLst>
        </c:ser>
        <c:ser>
          <c:idx val="36"/>
          <c:order val="36"/>
          <c:tx>
            <c:v>37</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NormalisedUVVisData!$AL$2:$AL$300</c:f>
              <c:numCache>
                <c:formatCode>General</c:formatCode>
                <c:ptCount val="299"/>
              </c:numCache>
            </c:numRef>
          </c:yVal>
          <c:smooth val="1"/>
          <c:extLst>
            <c:ext xmlns:c16="http://schemas.microsoft.com/office/drawing/2014/chart" uri="{C3380CC4-5D6E-409C-BE32-E72D297353CC}">
              <c16:uniqueId val="{00000024-58F6-4830-8941-1011DB88381F}"/>
            </c:ext>
          </c:extLst>
        </c:ser>
        <c:ser>
          <c:idx val="37"/>
          <c:order val="37"/>
          <c:tx>
            <c:v>38</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NormalisedUVVisData!$AM$2:$AM$300</c:f>
              <c:numCache>
                <c:formatCode>General</c:formatCode>
                <c:ptCount val="299"/>
              </c:numCache>
            </c:numRef>
          </c:yVal>
          <c:smooth val="1"/>
          <c:extLst>
            <c:ext xmlns:c16="http://schemas.microsoft.com/office/drawing/2014/chart" uri="{C3380CC4-5D6E-409C-BE32-E72D297353CC}">
              <c16:uniqueId val="{00000025-58F6-4830-8941-1011DB88381F}"/>
            </c:ext>
          </c:extLst>
        </c:ser>
        <c:ser>
          <c:idx val="38"/>
          <c:order val="38"/>
          <c:tx>
            <c:v>39</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NormalisedUVVisData!$AN$2:$AN$300</c:f>
              <c:numCache>
                <c:formatCode>General</c:formatCode>
                <c:ptCount val="299"/>
              </c:numCache>
            </c:numRef>
          </c:yVal>
          <c:smooth val="1"/>
          <c:extLst>
            <c:ext xmlns:c16="http://schemas.microsoft.com/office/drawing/2014/chart" uri="{C3380CC4-5D6E-409C-BE32-E72D297353CC}">
              <c16:uniqueId val="{00000026-58F6-4830-8941-1011DB88381F}"/>
            </c:ext>
          </c:extLst>
        </c:ser>
        <c:ser>
          <c:idx val="39"/>
          <c:order val="39"/>
          <c:tx>
            <c:v>40</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NormalisedUVVisData!$AO$2:$AO$300</c:f>
              <c:numCache>
                <c:formatCode>General</c:formatCode>
                <c:ptCount val="299"/>
              </c:numCache>
            </c:numRef>
          </c:yVal>
          <c:smooth val="1"/>
          <c:extLst>
            <c:ext xmlns:c16="http://schemas.microsoft.com/office/drawing/2014/chart" uri="{C3380CC4-5D6E-409C-BE32-E72D297353CC}">
              <c16:uniqueId val="{00000027-58F6-4830-8941-1011DB88381F}"/>
            </c:ext>
          </c:extLst>
        </c:ser>
        <c:ser>
          <c:idx val="40"/>
          <c:order val="40"/>
          <c:tx>
            <c:v>41</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NormalisedUVVisData!$AP$2:$AP$300</c:f>
              <c:numCache>
                <c:formatCode>General</c:formatCode>
                <c:ptCount val="299"/>
              </c:numCache>
            </c:numRef>
          </c:yVal>
          <c:smooth val="1"/>
          <c:extLst>
            <c:ext xmlns:c16="http://schemas.microsoft.com/office/drawing/2014/chart" uri="{C3380CC4-5D6E-409C-BE32-E72D297353CC}">
              <c16:uniqueId val="{00000028-58F6-4830-8941-1011DB88381F}"/>
            </c:ext>
          </c:extLst>
        </c:ser>
        <c:ser>
          <c:idx val="41"/>
          <c:order val="41"/>
          <c:tx>
            <c:v>42</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NormalisedUVVisData!$AQ$2:$AQ$300</c:f>
              <c:numCache>
                <c:formatCode>General</c:formatCode>
                <c:ptCount val="299"/>
              </c:numCache>
            </c:numRef>
          </c:yVal>
          <c:smooth val="1"/>
          <c:extLst>
            <c:ext xmlns:c16="http://schemas.microsoft.com/office/drawing/2014/chart" uri="{C3380CC4-5D6E-409C-BE32-E72D297353CC}">
              <c16:uniqueId val="{00000029-58F6-4830-8941-1011DB88381F}"/>
            </c:ext>
          </c:extLst>
        </c:ser>
        <c:ser>
          <c:idx val="42"/>
          <c:order val="42"/>
          <c:tx>
            <c:v>43</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NormalisedUVVisData!$AR$2:$AR$300</c:f>
              <c:numCache>
                <c:formatCode>General</c:formatCode>
                <c:ptCount val="299"/>
              </c:numCache>
            </c:numRef>
          </c:yVal>
          <c:smooth val="1"/>
          <c:extLst>
            <c:ext xmlns:c16="http://schemas.microsoft.com/office/drawing/2014/chart" uri="{C3380CC4-5D6E-409C-BE32-E72D297353CC}">
              <c16:uniqueId val="{0000002A-58F6-4830-8941-1011DB88381F}"/>
            </c:ext>
          </c:extLst>
        </c:ser>
        <c:ser>
          <c:idx val="43"/>
          <c:order val="43"/>
          <c:tx>
            <c:v>44</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NormalisedUVVisData!$AS$2:$AS$300</c:f>
              <c:numCache>
                <c:formatCode>General</c:formatCode>
                <c:ptCount val="299"/>
              </c:numCache>
            </c:numRef>
          </c:yVal>
          <c:smooth val="1"/>
          <c:extLst>
            <c:ext xmlns:c16="http://schemas.microsoft.com/office/drawing/2014/chart" uri="{C3380CC4-5D6E-409C-BE32-E72D297353CC}">
              <c16:uniqueId val="{0000002B-58F6-4830-8941-1011DB88381F}"/>
            </c:ext>
          </c:extLst>
        </c:ser>
        <c:ser>
          <c:idx val="44"/>
          <c:order val="44"/>
          <c:tx>
            <c:v>45</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NormalisedUVVisData!$AT$2:$AT$300</c:f>
              <c:numCache>
                <c:formatCode>General</c:formatCode>
                <c:ptCount val="299"/>
              </c:numCache>
            </c:numRef>
          </c:yVal>
          <c:smooth val="1"/>
          <c:extLst>
            <c:ext xmlns:c16="http://schemas.microsoft.com/office/drawing/2014/chart" uri="{C3380CC4-5D6E-409C-BE32-E72D297353CC}">
              <c16:uniqueId val="{0000002C-58F6-4830-8941-1011DB88381F}"/>
            </c:ext>
          </c:extLst>
        </c:ser>
        <c:ser>
          <c:idx val="45"/>
          <c:order val="45"/>
          <c:tx>
            <c:v>46</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NormalisedUVVisData!$AU$2:$AU$300</c:f>
              <c:numCache>
                <c:formatCode>General</c:formatCode>
                <c:ptCount val="299"/>
              </c:numCache>
            </c:numRef>
          </c:yVal>
          <c:smooth val="1"/>
          <c:extLst>
            <c:ext xmlns:c16="http://schemas.microsoft.com/office/drawing/2014/chart" uri="{C3380CC4-5D6E-409C-BE32-E72D297353CC}">
              <c16:uniqueId val="{0000002D-58F6-4830-8941-1011DB88381F}"/>
            </c:ext>
          </c:extLst>
        </c:ser>
        <c:ser>
          <c:idx val="46"/>
          <c:order val="46"/>
          <c:tx>
            <c:v>47</c:v>
          </c:tx>
          <c:spPr>
            <a:ln w="19050" cap="rnd">
              <a:noFill/>
              <a:round/>
            </a:ln>
            <a:effectLst/>
            <a:extLst>
              <a:ext uri="{91240B29-F687-4F45-9708-019B960494DF}">
                <a14:hiddenLine xmlns:a14="http://schemas.microsoft.com/office/drawing/2010/main" w="19050" cap="rnd">
                  <a:solidFill>
                    <a:srgbClr val="4472C4">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NormalisedUVVisData!$AV$2:$AV$300</c:f>
              <c:numCache>
                <c:formatCode>General</c:formatCode>
                <c:ptCount val="299"/>
              </c:numCache>
            </c:numRef>
          </c:yVal>
          <c:smooth val="1"/>
          <c:extLst>
            <c:ext xmlns:c16="http://schemas.microsoft.com/office/drawing/2014/chart" uri="{C3380CC4-5D6E-409C-BE32-E72D297353CC}">
              <c16:uniqueId val="{0000002E-58F6-4830-8941-1011DB88381F}"/>
            </c:ext>
          </c:extLst>
        </c:ser>
        <c:ser>
          <c:idx val="47"/>
          <c:order val="47"/>
          <c:tx>
            <c:v>48</c:v>
          </c:tx>
          <c:spPr>
            <a:ln w="19050" cap="rnd">
              <a:noFill/>
              <a:round/>
            </a:ln>
            <a:effectLst/>
            <a:extLst>
              <a:ext uri="{91240B29-F687-4F45-9708-019B960494DF}">
                <a14:hiddenLine xmlns:a14="http://schemas.microsoft.com/office/drawing/2010/main" w="19050" cap="rnd">
                  <a:solidFill>
                    <a:srgbClr val="70AD47">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NormalisedUVVisData!$AW$2:$AW$300</c:f>
              <c:numCache>
                <c:formatCode>General</c:formatCode>
                <c:ptCount val="299"/>
              </c:numCache>
            </c:numRef>
          </c:yVal>
          <c:smooth val="1"/>
          <c:extLst>
            <c:ext xmlns:c16="http://schemas.microsoft.com/office/drawing/2014/chart" uri="{C3380CC4-5D6E-409C-BE32-E72D297353CC}">
              <c16:uniqueId val="{0000002F-58F6-4830-8941-1011DB88381F}"/>
            </c:ext>
          </c:extLst>
        </c:ser>
        <c:ser>
          <c:idx val="48"/>
          <c:order val="48"/>
          <c:tx>
            <c:v>49</c:v>
          </c:tx>
          <c:spPr>
            <a:ln w="19050" cap="rnd">
              <a:noFill/>
              <a:round/>
            </a:ln>
            <a:effectLst/>
            <a:extLst>
              <a:ext uri="{91240B29-F687-4F45-9708-019B960494DF}">
                <a14:hiddenLine xmlns:a14="http://schemas.microsoft.com/office/drawing/2010/main" w="19050" cap="rnd">
                  <a:solidFill>
                    <a:srgbClr val="5B9BD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NormalisedUVVisData!$AX$2:$AX$300</c:f>
              <c:numCache>
                <c:formatCode>General</c:formatCode>
                <c:ptCount val="299"/>
              </c:numCache>
            </c:numRef>
          </c:yVal>
          <c:smooth val="1"/>
          <c:extLst>
            <c:ext xmlns:c16="http://schemas.microsoft.com/office/drawing/2014/chart" uri="{C3380CC4-5D6E-409C-BE32-E72D297353CC}">
              <c16:uniqueId val="{00000030-58F6-4830-8941-1011DB88381F}"/>
            </c:ext>
          </c:extLst>
        </c:ser>
        <c:ser>
          <c:idx val="49"/>
          <c:order val="49"/>
          <c:tx>
            <c:v>50</c:v>
          </c:tx>
          <c:spPr>
            <a:ln w="19050" cap="rnd">
              <a:noFill/>
              <a:round/>
            </a:ln>
            <a:effectLst/>
            <a:extLst>
              <a:ext uri="{91240B29-F687-4F45-9708-019B960494DF}">
                <a14:hiddenLine xmlns:a14="http://schemas.microsoft.com/office/drawing/2010/main" w="19050" cap="rnd">
                  <a:solidFill>
                    <a:srgbClr val="ED7D31">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NormalisedUVVisData!$AY$2:$AY$300</c:f>
              <c:numCache>
                <c:formatCode>General</c:formatCode>
                <c:ptCount val="299"/>
              </c:numCache>
            </c:numRef>
          </c:yVal>
          <c:smooth val="1"/>
          <c:extLst>
            <c:ext xmlns:c16="http://schemas.microsoft.com/office/drawing/2014/chart" uri="{C3380CC4-5D6E-409C-BE32-E72D297353CC}">
              <c16:uniqueId val="{00000031-58F6-4830-8941-1011DB88381F}"/>
            </c:ext>
          </c:extLst>
        </c:ser>
        <c:ser>
          <c:idx val="50"/>
          <c:order val="50"/>
          <c:tx>
            <c:v>51</c:v>
          </c:tx>
          <c:spPr>
            <a:ln w="19050" cap="rnd">
              <a:noFill/>
              <a:round/>
            </a:ln>
            <a:effectLst/>
            <a:extLst>
              <a:ext uri="{91240B29-F687-4F45-9708-019B960494DF}">
                <a14:hiddenLine xmlns:a14="http://schemas.microsoft.com/office/drawing/2010/main" w="19050" cap="rnd">
                  <a:solidFill>
                    <a:srgbClr val="A5A5A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NormalisedUVVisData!$AZ$2:$AZ$300</c:f>
              <c:numCache>
                <c:formatCode>General</c:formatCode>
                <c:ptCount val="299"/>
              </c:numCache>
            </c:numRef>
          </c:yVal>
          <c:smooth val="1"/>
          <c:extLst>
            <c:ext xmlns:c16="http://schemas.microsoft.com/office/drawing/2014/chart" uri="{C3380CC4-5D6E-409C-BE32-E72D297353CC}">
              <c16:uniqueId val="{00000032-58F6-4830-8941-1011DB88381F}"/>
            </c:ext>
          </c:extLst>
        </c:ser>
        <c:ser>
          <c:idx val="51"/>
          <c:order val="51"/>
          <c:tx>
            <c:v>52</c:v>
          </c:tx>
          <c:spPr>
            <a:ln w="19050" cap="rnd">
              <a:noFill/>
              <a:round/>
            </a:ln>
            <a:effectLst/>
            <a:extLst>
              <a:ext uri="{91240B29-F687-4F45-9708-019B960494DF}">
                <a14:hiddenLine xmlns:a14="http://schemas.microsoft.com/office/drawing/2010/main" w="19050" cap="rnd">
                  <a:solidFill>
                    <a:srgbClr val="FFC000">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NormalisedUVVisData!$BA$2:$BA$300</c:f>
              <c:numCache>
                <c:formatCode>General</c:formatCode>
                <c:ptCount val="299"/>
              </c:numCache>
            </c:numRef>
          </c:yVal>
          <c:smooth val="1"/>
          <c:extLst>
            <c:ext xmlns:c16="http://schemas.microsoft.com/office/drawing/2014/chart" uri="{C3380CC4-5D6E-409C-BE32-E72D297353CC}">
              <c16:uniqueId val="{00000033-58F6-4830-8941-1011DB88381F}"/>
            </c:ext>
          </c:extLst>
        </c:ser>
        <c:ser>
          <c:idx val="52"/>
          <c:order val="52"/>
          <c:tx>
            <c:v>53</c:v>
          </c:tx>
          <c:spPr>
            <a:ln w="19050" cap="rnd">
              <a:noFill/>
              <a:round/>
            </a:ln>
            <a:effectLst/>
            <a:extLst>
              <a:ext uri="{91240B29-F687-4F45-9708-019B960494DF}">
                <a14:hiddenLine xmlns:a14="http://schemas.microsoft.com/office/drawing/2010/main" w="19050" cap="rnd">
                  <a:solidFill>
                    <a:srgbClr val="4472C4">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NormalisedUVVisData!$BB$2:$BB$300</c:f>
              <c:numCache>
                <c:formatCode>General</c:formatCode>
                <c:ptCount val="299"/>
              </c:numCache>
            </c:numRef>
          </c:yVal>
          <c:smooth val="1"/>
          <c:extLst>
            <c:ext xmlns:c16="http://schemas.microsoft.com/office/drawing/2014/chart" uri="{C3380CC4-5D6E-409C-BE32-E72D297353CC}">
              <c16:uniqueId val="{00000034-58F6-4830-8941-1011DB88381F}"/>
            </c:ext>
          </c:extLst>
        </c:ser>
        <c:ser>
          <c:idx val="53"/>
          <c:order val="53"/>
          <c:tx>
            <c:v>54</c:v>
          </c:tx>
          <c:spPr>
            <a:ln w="19050" cap="rnd">
              <a:noFill/>
              <a:round/>
            </a:ln>
            <a:effectLst/>
            <a:extLst>
              <a:ext uri="{91240B29-F687-4F45-9708-019B960494DF}">
                <a14:hiddenLine xmlns:a14="http://schemas.microsoft.com/office/drawing/2010/main" w="19050" cap="rnd">
                  <a:solidFill>
                    <a:srgbClr val="70AD47">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NormalisedUVVisData!$BC$2:$BC$300</c:f>
              <c:numCache>
                <c:formatCode>General</c:formatCode>
                <c:ptCount val="299"/>
              </c:numCache>
            </c:numRef>
          </c:yVal>
          <c:smooth val="1"/>
          <c:extLst>
            <c:ext xmlns:c16="http://schemas.microsoft.com/office/drawing/2014/chart" uri="{C3380CC4-5D6E-409C-BE32-E72D297353CC}">
              <c16:uniqueId val="{00000035-58F6-4830-8941-1011DB88381F}"/>
            </c:ext>
          </c:extLst>
        </c:ser>
        <c:ser>
          <c:idx val="54"/>
          <c:order val="54"/>
          <c:tx>
            <c:v>55</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NormalisedUVVisData!$BD$2:$BD$300</c:f>
              <c:numCache>
                <c:formatCode>General</c:formatCode>
                <c:ptCount val="299"/>
              </c:numCache>
            </c:numRef>
          </c:yVal>
          <c:smooth val="1"/>
          <c:extLst>
            <c:ext xmlns:c16="http://schemas.microsoft.com/office/drawing/2014/chart" uri="{C3380CC4-5D6E-409C-BE32-E72D297353CC}">
              <c16:uniqueId val="{00000036-58F6-4830-8941-1011DB88381F}"/>
            </c:ext>
          </c:extLst>
        </c:ser>
        <c:ser>
          <c:idx val="55"/>
          <c:order val="55"/>
          <c:tx>
            <c:v>56</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NormalisedUVVisData!$BE$2:$BE$300</c:f>
              <c:numCache>
                <c:formatCode>General</c:formatCode>
                <c:ptCount val="299"/>
              </c:numCache>
            </c:numRef>
          </c:yVal>
          <c:smooth val="1"/>
          <c:extLst>
            <c:ext xmlns:c16="http://schemas.microsoft.com/office/drawing/2014/chart" uri="{C3380CC4-5D6E-409C-BE32-E72D297353CC}">
              <c16:uniqueId val="{00000037-58F6-4830-8941-1011DB88381F}"/>
            </c:ext>
          </c:extLst>
        </c:ser>
        <c:ser>
          <c:idx val="56"/>
          <c:order val="56"/>
          <c:tx>
            <c:v>57</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NormalisedUVVisData!$BF$2:$BF$300</c:f>
              <c:numCache>
                <c:formatCode>General</c:formatCode>
                <c:ptCount val="299"/>
              </c:numCache>
            </c:numRef>
          </c:yVal>
          <c:smooth val="1"/>
          <c:extLst>
            <c:ext xmlns:c16="http://schemas.microsoft.com/office/drawing/2014/chart" uri="{C3380CC4-5D6E-409C-BE32-E72D297353CC}">
              <c16:uniqueId val="{00000038-58F6-4830-8941-1011DB88381F}"/>
            </c:ext>
          </c:extLst>
        </c:ser>
        <c:ser>
          <c:idx val="57"/>
          <c:order val="57"/>
          <c:tx>
            <c:v>58</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NormalisedUVVisData!$BG$2:$BG$300</c:f>
              <c:numCache>
                <c:formatCode>General</c:formatCode>
                <c:ptCount val="299"/>
              </c:numCache>
            </c:numRef>
          </c:yVal>
          <c:smooth val="1"/>
          <c:extLst>
            <c:ext xmlns:c16="http://schemas.microsoft.com/office/drawing/2014/chart" uri="{C3380CC4-5D6E-409C-BE32-E72D297353CC}">
              <c16:uniqueId val="{00000039-58F6-4830-8941-1011DB88381F}"/>
            </c:ext>
          </c:extLst>
        </c:ser>
        <c:ser>
          <c:idx val="58"/>
          <c:order val="58"/>
          <c:tx>
            <c:v>59</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NormalisedUVVisData!$BH$2:$BH$300</c:f>
              <c:numCache>
                <c:formatCode>General</c:formatCode>
                <c:ptCount val="299"/>
              </c:numCache>
            </c:numRef>
          </c:yVal>
          <c:smooth val="1"/>
          <c:extLst>
            <c:ext xmlns:c16="http://schemas.microsoft.com/office/drawing/2014/chart" uri="{C3380CC4-5D6E-409C-BE32-E72D297353CC}">
              <c16:uniqueId val="{0000003A-58F6-4830-8941-1011DB88381F}"/>
            </c:ext>
          </c:extLst>
        </c:ser>
        <c:ser>
          <c:idx val="59"/>
          <c:order val="59"/>
          <c:tx>
            <c:v>60</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NormalisedUVVisData!$BI$2:$BI$300</c:f>
              <c:numCache>
                <c:formatCode>General</c:formatCode>
                <c:ptCount val="299"/>
              </c:numCache>
            </c:numRef>
          </c:yVal>
          <c:smooth val="1"/>
          <c:extLst>
            <c:ext xmlns:c16="http://schemas.microsoft.com/office/drawing/2014/chart" uri="{C3380CC4-5D6E-409C-BE32-E72D297353CC}">
              <c16:uniqueId val="{0000003B-58F6-4830-8941-1011DB88381F}"/>
            </c:ext>
          </c:extLst>
        </c:ser>
        <c:ser>
          <c:idx val="60"/>
          <c:order val="60"/>
          <c:tx>
            <c:v>61</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NormalisedUVVisData!$BJ$2:$BJ$300</c:f>
              <c:numCache>
                <c:formatCode>General</c:formatCode>
                <c:ptCount val="299"/>
              </c:numCache>
            </c:numRef>
          </c:yVal>
          <c:smooth val="1"/>
          <c:extLst>
            <c:ext xmlns:c16="http://schemas.microsoft.com/office/drawing/2014/chart" uri="{C3380CC4-5D6E-409C-BE32-E72D297353CC}">
              <c16:uniqueId val="{0000003C-58F6-4830-8941-1011DB88381F}"/>
            </c:ext>
          </c:extLst>
        </c:ser>
        <c:ser>
          <c:idx val="61"/>
          <c:order val="61"/>
          <c:tx>
            <c:v>62</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NormalisedUVVisData!$BK$2:$BK$300</c:f>
              <c:numCache>
                <c:formatCode>General</c:formatCode>
                <c:ptCount val="299"/>
              </c:numCache>
            </c:numRef>
          </c:yVal>
          <c:smooth val="1"/>
          <c:extLst>
            <c:ext xmlns:c16="http://schemas.microsoft.com/office/drawing/2014/chart" uri="{C3380CC4-5D6E-409C-BE32-E72D297353CC}">
              <c16:uniqueId val="{0000003D-58F6-4830-8941-1011DB88381F}"/>
            </c:ext>
          </c:extLst>
        </c:ser>
        <c:ser>
          <c:idx val="62"/>
          <c:order val="62"/>
          <c:tx>
            <c:v>63</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NormalisedUVVisData!$BL$2:$BL$300</c:f>
              <c:numCache>
                <c:formatCode>General</c:formatCode>
                <c:ptCount val="299"/>
              </c:numCache>
            </c:numRef>
          </c:yVal>
          <c:smooth val="1"/>
          <c:extLst>
            <c:ext xmlns:c16="http://schemas.microsoft.com/office/drawing/2014/chart" uri="{C3380CC4-5D6E-409C-BE32-E72D297353CC}">
              <c16:uniqueId val="{0000003E-58F6-4830-8941-1011DB88381F}"/>
            </c:ext>
          </c:extLst>
        </c:ser>
        <c:ser>
          <c:idx val="63"/>
          <c:order val="63"/>
          <c:tx>
            <c:v>64</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NormalisedUVVisData!$BM$2:$BM$300</c:f>
              <c:numCache>
                <c:formatCode>General</c:formatCode>
                <c:ptCount val="299"/>
              </c:numCache>
            </c:numRef>
          </c:yVal>
          <c:smooth val="1"/>
          <c:extLst>
            <c:ext xmlns:c16="http://schemas.microsoft.com/office/drawing/2014/chart" uri="{C3380CC4-5D6E-409C-BE32-E72D297353CC}">
              <c16:uniqueId val="{0000003F-58F6-4830-8941-1011DB88381F}"/>
            </c:ext>
          </c:extLst>
        </c:ser>
        <c:ser>
          <c:idx val="64"/>
          <c:order val="64"/>
          <c:tx>
            <c:v>65</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NormalisedUVVisData!$BN$2:$BN$300</c:f>
              <c:numCache>
                <c:formatCode>General</c:formatCode>
                <c:ptCount val="299"/>
              </c:numCache>
            </c:numRef>
          </c:yVal>
          <c:smooth val="1"/>
          <c:extLst>
            <c:ext xmlns:c16="http://schemas.microsoft.com/office/drawing/2014/chart" uri="{C3380CC4-5D6E-409C-BE32-E72D297353CC}">
              <c16:uniqueId val="{00000040-58F6-4830-8941-1011DB88381F}"/>
            </c:ext>
          </c:extLst>
        </c:ser>
        <c:ser>
          <c:idx val="65"/>
          <c:order val="65"/>
          <c:tx>
            <c:v>66</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NormalisedUVVisData!$BO$2:$BO$300</c:f>
              <c:numCache>
                <c:formatCode>General</c:formatCode>
                <c:ptCount val="299"/>
              </c:numCache>
            </c:numRef>
          </c:yVal>
          <c:smooth val="1"/>
          <c:extLst>
            <c:ext xmlns:c16="http://schemas.microsoft.com/office/drawing/2014/chart" uri="{C3380CC4-5D6E-409C-BE32-E72D297353CC}">
              <c16:uniqueId val="{00000041-58F6-4830-8941-1011DB88381F}"/>
            </c:ext>
          </c:extLst>
        </c:ser>
        <c:ser>
          <c:idx val="66"/>
          <c:order val="66"/>
          <c:tx>
            <c:v>67</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NormalisedUVVisData!$BP$2:$BP$300</c:f>
              <c:numCache>
                <c:formatCode>General</c:formatCode>
                <c:ptCount val="299"/>
              </c:numCache>
            </c:numRef>
          </c:yVal>
          <c:smooth val="1"/>
          <c:extLst>
            <c:ext xmlns:c16="http://schemas.microsoft.com/office/drawing/2014/chart" uri="{C3380CC4-5D6E-409C-BE32-E72D297353CC}">
              <c16:uniqueId val="{00000042-58F6-4830-8941-1011DB88381F}"/>
            </c:ext>
          </c:extLst>
        </c:ser>
        <c:ser>
          <c:idx val="67"/>
          <c:order val="67"/>
          <c:tx>
            <c:v>68</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NormalisedUVVisData!$BQ$2:$BQ$300</c:f>
              <c:numCache>
                <c:formatCode>General</c:formatCode>
                <c:ptCount val="299"/>
              </c:numCache>
            </c:numRef>
          </c:yVal>
          <c:smooth val="1"/>
          <c:extLst>
            <c:ext xmlns:c16="http://schemas.microsoft.com/office/drawing/2014/chart" uri="{C3380CC4-5D6E-409C-BE32-E72D297353CC}">
              <c16:uniqueId val="{00000043-58F6-4830-8941-1011DB88381F}"/>
            </c:ext>
          </c:extLst>
        </c:ser>
        <c:ser>
          <c:idx val="68"/>
          <c:order val="68"/>
          <c:tx>
            <c:v>69</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NormalisedUVVisData!$BR$2:$BR$300</c:f>
              <c:numCache>
                <c:formatCode>General</c:formatCode>
                <c:ptCount val="299"/>
              </c:numCache>
            </c:numRef>
          </c:yVal>
          <c:smooth val="1"/>
          <c:extLst>
            <c:ext xmlns:c16="http://schemas.microsoft.com/office/drawing/2014/chart" uri="{C3380CC4-5D6E-409C-BE32-E72D297353CC}">
              <c16:uniqueId val="{00000044-58F6-4830-8941-1011DB88381F}"/>
            </c:ext>
          </c:extLst>
        </c:ser>
        <c:ser>
          <c:idx val="69"/>
          <c:order val="69"/>
          <c:tx>
            <c:v>70</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NormalisedUVVisData!$BS$2:$BS$300</c:f>
              <c:numCache>
                <c:formatCode>General</c:formatCode>
                <c:ptCount val="299"/>
              </c:numCache>
            </c:numRef>
          </c:yVal>
          <c:smooth val="1"/>
          <c:extLst>
            <c:ext xmlns:c16="http://schemas.microsoft.com/office/drawing/2014/chart" uri="{C3380CC4-5D6E-409C-BE32-E72D297353CC}">
              <c16:uniqueId val="{00000045-58F6-4830-8941-1011DB88381F}"/>
            </c:ext>
          </c:extLst>
        </c:ser>
        <c:ser>
          <c:idx val="70"/>
          <c:order val="70"/>
          <c:tx>
            <c:v>71</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NormalisedUVVisData!$BT$2:$BT$300</c:f>
              <c:numCache>
                <c:formatCode>General</c:formatCode>
                <c:ptCount val="299"/>
              </c:numCache>
            </c:numRef>
          </c:yVal>
          <c:smooth val="1"/>
          <c:extLst>
            <c:ext xmlns:c16="http://schemas.microsoft.com/office/drawing/2014/chart" uri="{C3380CC4-5D6E-409C-BE32-E72D297353CC}">
              <c16:uniqueId val="{00000046-58F6-4830-8941-1011DB88381F}"/>
            </c:ext>
          </c:extLst>
        </c:ser>
        <c:ser>
          <c:idx val="71"/>
          <c:order val="71"/>
          <c:tx>
            <c:v>72</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NormalisedUVVisData!$BU$2:$BU$300</c:f>
              <c:numCache>
                <c:formatCode>General</c:formatCode>
                <c:ptCount val="299"/>
              </c:numCache>
            </c:numRef>
          </c:yVal>
          <c:smooth val="1"/>
          <c:extLst>
            <c:ext xmlns:c16="http://schemas.microsoft.com/office/drawing/2014/chart" uri="{C3380CC4-5D6E-409C-BE32-E72D297353CC}">
              <c16:uniqueId val="{00000047-58F6-4830-8941-1011DB88381F}"/>
            </c:ext>
          </c:extLst>
        </c:ser>
        <c:ser>
          <c:idx val="72"/>
          <c:order val="72"/>
          <c:tx>
            <c:v>73</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NormalisedUVVisData!$BV$2:$BV$300</c:f>
              <c:numCache>
                <c:formatCode>General</c:formatCode>
                <c:ptCount val="299"/>
              </c:numCache>
            </c:numRef>
          </c:yVal>
          <c:smooth val="1"/>
          <c:extLst>
            <c:ext xmlns:c16="http://schemas.microsoft.com/office/drawing/2014/chart" uri="{C3380CC4-5D6E-409C-BE32-E72D297353CC}">
              <c16:uniqueId val="{00000048-58F6-4830-8941-1011DB88381F}"/>
            </c:ext>
          </c:extLst>
        </c:ser>
        <c:ser>
          <c:idx val="73"/>
          <c:order val="73"/>
          <c:tx>
            <c:v>74</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NormalisedUVVisData!$BW$2:$BW$300</c:f>
              <c:numCache>
                <c:formatCode>General</c:formatCode>
                <c:ptCount val="299"/>
              </c:numCache>
            </c:numRef>
          </c:yVal>
          <c:smooth val="1"/>
          <c:extLst>
            <c:ext xmlns:c16="http://schemas.microsoft.com/office/drawing/2014/chart" uri="{C3380CC4-5D6E-409C-BE32-E72D297353CC}">
              <c16:uniqueId val="{00000049-58F6-4830-8941-1011DB88381F}"/>
            </c:ext>
          </c:extLst>
        </c:ser>
        <c:ser>
          <c:idx val="74"/>
          <c:order val="74"/>
          <c:tx>
            <c:v>75</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NormalisedUVVisData!$BX$2:$BX$300</c:f>
              <c:numCache>
                <c:formatCode>General</c:formatCode>
                <c:ptCount val="299"/>
              </c:numCache>
            </c:numRef>
          </c:yVal>
          <c:smooth val="1"/>
          <c:extLst>
            <c:ext xmlns:c16="http://schemas.microsoft.com/office/drawing/2014/chart" uri="{C3380CC4-5D6E-409C-BE32-E72D297353CC}">
              <c16:uniqueId val="{0000004A-58F6-4830-8941-1011DB88381F}"/>
            </c:ext>
          </c:extLst>
        </c:ser>
        <c:ser>
          <c:idx val="75"/>
          <c:order val="75"/>
          <c:tx>
            <c:v>76</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NormalisedUVVisData!$BY$2:$BY$300</c:f>
              <c:numCache>
                <c:formatCode>General</c:formatCode>
                <c:ptCount val="299"/>
              </c:numCache>
            </c:numRef>
          </c:yVal>
          <c:smooth val="1"/>
          <c:extLst>
            <c:ext xmlns:c16="http://schemas.microsoft.com/office/drawing/2014/chart" uri="{C3380CC4-5D6E-409C-BE32-E72D297353CC}">
              <c16:uniqueId val="{0000004B-58F6-4830-8941-1011DB88381F}"/>
            </c:ext>
          </c:extLst>
        </c:ser>
        <c:ser>
          <c:idx val="76"/>
          <c:order val="76"/>
          <c:tx>
            <c:v>77</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NormalisedUVVisData!$BZ$2:$BZ$300</c:f>
              <c:numCache>
                <c:formatCode>General</c:formatCode>
                <c:ptCount val="299"/>
              </c:numCache>
            </c:numRef>
          </c:yVal>
          <c:smooth val="1"/>
          <c:extLst>
            <c:ext xmlns:c16="http://schemas.microsoft.com/office/drawing/2014/chart" uri="{C3380CC4-5D6E-409C-BE32-E72D297353CC}">
              <c16:uniqueId val="{0000004C-58F6-4830-8941-1011DB88381F}"/>
            </c:ext>
          </c:extLst>
        </c:ser>
        <c:ser>
          <c:idx val="77"/>
          <c:order val="77"/>
          <c:tx>
            <c:v>78</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NormalisedUVVisData!$CA$2:$CA$300</c:f>
              <c:numCache>
                <c:formatCode>General</c:formatCode>
                <c:ptCount val="299"/>
              </c:numCache>
            </c:numRef>
          </c:yVal>
          <c:smooth val="1"/>
          <c:extLst>
            <c:ext xmlns:c16="http://schemas.microsoft.com/office/drawing/2014/chart" uri="{C3380CC4-5D6E-409C-BE32-E72D297353CC}">
              <c16:uniqueId val="{0000004D-58F6-4830-8941-1011DB88381F}"/>
            </c:ext>
          </c:extLst>
        </c:ser>
        <c:ser>
          <c:idx val="78"/>
          <c:order val="78"/>
          <c:tx>
            <c:v>79</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NormalisedUVVisData!$CB$2:$CB$300</c:f>
              <c:numCache>
                <c:formatCode>General</c:formatCode>
                <c:ptCount val="299"/>
              </c:numCache>
            </c:numRef>
          </c:yVal>
          <c:smooth val="1"/>
          <c:extLst>
            <c:ext xmlns:c16="http://schemas.microsoft.com/office/drawing/2014/chart" uri="{C3380CC4-5D6E-409C-BE32-E72D297353CC}">
              <c16:uniqueId val="{0000004E-58F6-4830-8941-1011DB88381F}"/>
            </c:ext>
          </c:extLst>
        </c:ser>
        <c:ser>
          <c:idx val="79"/>
          <c:order val="79"/>
          <c:tx>
            <c:v>80</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NormalisedUVVisData!$CC$2:$CC$300</c:f>
              <c:numCache>
                <c:formatCode>General</c:formatCode>
                <c:ptCount val="299"/>
              </c:numCache>
            </c:numRef>
          </c:yVal>
          <c:smooth val="1"/>
          <c:extLst>
            <c:ext xmlns:c16="http://schemas.microsoft.com/office/drawing/2014/chart" uri="{C3380CC4-5D6E-409C-BE32-E72D297353CC}">
              <c16:uniqueId val="{0000004F-58F6-4830-8941-1011DB88381F}"/>
            </c:ext>
          </c:extLst>
        </c:ser>
        <c:ser>
          <c:idx val="80"/>
          <c:order val="80"/>
          <c:tx>
            <c:v>81</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NormalisedUVVisData!$CD$2:$CD$300</c:f>
              <c:numCache>
                <c:formatCode>General</c:formatCode>
                <c:ptCount val="299"/>
              </c:numCache>
            </c:numRef>
          </c:yVal>
          <c:smooth val="1"/>
          <c:extLst>
            <c:ext xmlns:c16="http://schemas.microsoft.com/office/drawing/2014/chart" uri="{C3380CC4-5D6E-409C-BE32-E72D297353CC}">
              <c16:uniqueId val="{00000050-58F6-4830-8941-1011DB88381F}"/>
            </c:ext>
          </c:extLst>
        </c:ser>
        <c:ser>
          <c:idx val="81"/>
          <c:order val="81"/>
          <c:tx>
            <c:v>82</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NormalisedUVVisData!$CE$2:$CE$300</c:f>
              <c:numCache>
                <c:formatCode>General</c:formatCode>
                <c:ptCount val="299"/>
              </c:numCache>
            </c:numRef>
          </c:yVal>
          <c:smooth val="1"/>
          <c:extLst>
            <c:ext xmlns:c16="http://schemas.microsoft.com/office/drawing/2014/chart" uri="{C3380CC4-5D6E-409C-BE32-E72D297353CC}">
              <c16:uniqueId val="{00000051-58F6-4830-8941-1011DB88381F}"/>
            </c:ext>
          </c:extLst>
        </c:ser>
        <c:ser>
          <c:idx val="82"/>
          <c:order val="82"/>
          <c:tx>
            <c:v>83</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NormalisedUVVisData!$CF$2:$CF$300</c:f>
              <c:numCache>
                <c:formatCode>General</c:formatCode>
                <c:ptCount val="299"/>
              </c:numCache>
            </c:numRef>
          </c:yVal>
          <c:smooth val="1"/>
          <c:extLst>
            <c:ext xmlns:c16="http://schemas.microsoft.com/office/drawing/2014/chart" uri="{C3380CC4-5D6E-409C-BE32-E72D297353CC}">
              <c16:uniqueId val="{00000052-58F6-4830-8941-1011DB88381F}"/>
            </c:ext>
          </c:extLst>
        </c:ser>
        <c:ser>
          <c:idx val="83"/>
          <c:order val="83"/>
          <c:tx>
            <c:v>84</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NormalisedUVVisData!$CG$2:$CG$300</c:f>
              <c:numCache>
                <c:formatCode>General</c:formatCode>
                <c:ptCount val="299"/>
              </c:numCache>
            </c:numRef>
          </c:yVal>
          <c:smooth val="1"/>
          <c:extLst>
            <c:ext xmlns:c16="http://schemas.microsoft.com/office/drawing/2014/chart" uri="{C3380CC4-5D6E-409C-BE32-E72D297353CC}">
              <c16:uniqueId val="{00000053-58F6-4830-8941-1011DB88381F}"/>
            </c:ext>
          </c:extLst>
        </c:ser>
        <c:ser>
          <c:idx val="84"/>
          <c:order val="84"/>
          <c:tx>
            <c:v>85</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NormalisedUVVisData!$CH$2:$CH$300</c:f>
              <c:numCache>
                <c:formatCode>General</c:formatCode>
                <c:ptCount val="299"/>
              </c:numCache>
            </c:numRef>
          </c:yVal>
          <c:smooth val="1"/>
          <c:extLst>
            <c:ext xmlns:c16="http://schemas.microsoft.com/office/drawing/2014/chart" uri="{C3380CC4-5D6E-409C-BE32-E72D297353CC}">
              <c16:uniqueId val="{00000054-58F6-4830-8941-1011DB88381F}"/>
            </c:ext>
          </c:extLst>
        </c:ser>
        <c:ser>
          <c:idx val="85"/>
          <c:order val="85"/>
          <c:tx>
            <c:v>86</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NormalisedUVVisData!$CI$2:$CI$300</c:f>
              <c:numCache>
                <c:formatCode>General</c:formatCode>
                <c:ptCount val="299"/>
              </c:numCache>
            </c:numRef>
          </c:yVal>
          <c:smooth val="1"/>
          <c:extLst>
            <c:ext xmlns:c16="http://schemas.microsoft.com/office/drawing/2014/chart" uri="{C3380CC4-5D6E-409C-BE32-E72D297353CC}">
              <c16:uniqueId val="{00000055-58F6-4830-8941-1011DB88381F}"/>
            </c:ext>
          </c:extLst>
        </c:ser>
        <c:ser>
          <c:idx val="86"/>
          <c:order val="86"/>
          <c:tx>
            <c:v>87</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NormalisedUVVisData!$CJ$2:$CJ$300</c:f>
              <c:numCache>
                <c:formatCode>General</c:formatCode>
                <c:ptCount val="299"/>
              </c:numCache>
            </c:numRef>
          </c:yVal>
          <c:smooth val="1"/>
          <c:extLst>
            <c:ext xmlns:c16="http://schemas.microsoft.com/office/drawing/2014/chart" uri="{C3380CC4-5D6E-409C-BE32-E72D297353CC}">
              <c16:uniqueId val="{00000056-58F6-4830-8941-1011DB88381F}"/>
            </c:ext>
          </c:extLst>
        </c:ser>
        <c:ser>
          <c:idx val="87"/>
          <c:order val="87"/>
          <c:tx>
            <c:v>88</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NormalisedUVVisData!$CK$2:$CK$300</c:f>
              <c:numCache>
                <c:formatCode>General</c:formatCode>
                <c:ptCount val="299"/>
              </c:numCache>
            </c:numRef>
          </c:yVal>
          <c:smooth val="1"/>
          <c:extLst>
            <c:ext xmlns:c16="http://schemas.microsoft.com/office/drawing/2014/chart" uri="{C3380CC4-5D6E-409C-BE32-E72D297353CC}">
              <c16:uniqueId val="{00000057-58F6-4830-8941-1011DB88381F}"/>
            </c:ext>
          </c:extLst>
        </c:ser>
        <c:ser>
          <c:idx val="88"/>
          <c:order val="88"/>
          <c:tx>
            <c:v>89</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NormalisedUVVisData!$CL$2:$CL$300</c:f>
              <c:numCache>
                <c:formatCode>General</c:formatCode>
                <c:ptCount val="299"/>
              </c:numCache>
            </c:numRef>
          </c:yVal>
          <c:smooth val="1"/>
          <c:extLst>
            <c:ext xmlns:c16="http://schemas.microsoft.com/office/drawing/2014/chart" uri="{C3380CC4-5D6E-409C-BE32-E72D297353CC}">
              <c16:uniqueId val="{00000058-58F6-4830-8941-1011DB88381F}"/>
            </c:ext>
          </c:extLst>
        </c:ser>
        <c:ser>
          <c:idx val="89"/>
          <c:order val="89"/>
          <c:tx>
            <c:v>90</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NormalisedUVVisData!$CM$2:$CM$300</c:f>
              <c:numCache>
                <c:formatCode>General</c:formatCode>
                <c:ptCount val="299"/>
              </c:numCache>
            </c:numRef>
          </c:yVal>
          <c:smooth val="1"/>
          <c:extLst>
            <c:ext xmlns:c16="http://schemas.microsoft.com/office/drawing/2014/chart" uri="{C3380CC4-5D6E-409C-BE32-E72D297353CC}">
              <c16:uniqueId val="{00000059-58F6-4830-8941-1011DB88381F}"/>
            </c:ext>
          </c:extLst>
        </c:ser>
        <c:ser>
          <c:idx val="90"/>
          <c:order val="90"/>
          <c:tx>
            <c:v>91</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NormalisedUVVisData!$CN$2:$CN$300</c:f>
              <c:numCache>
                <c:formatCode>General</c:formatCode>
                <c:ptCount val="299"/>
              </c:numCache>
            </c:numRef>
          </c:yVal>
          <c:smooth val="1"/>
          <c:extLst>
            <c:ext xmlns:c16="http://schemas.microsoft.com/office/drawing/2014/chart" uri="{C3380CC4-5D6E-409C-BE32-E72D297353CC}">
              <c16:uniqueId val="{0000005A-58F6-4830-8941-1011DB88381F}"/>
            </c:ext>
          </c:extLst>
        </c:ser>
        <c:ser>
          <c:idx val="91"/>
          <c:order val="91"/>
          <c:tx>
            <c:v>92</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NormalisedUVVisData!$CO$2:$CO$300</c:f>
              <c:numCache>
                <c:formatCode>General</c:formatCode>
                <c:ptCount val="299"/>
              </c:numCache>
            </c:numRef>
          </c:yVal>
          <c:smooth val="1"/>
          <c:extLst>
            <c:ext xmlns:c16="http://schemas.microsoft.com/office/drawing/2014/chart" uri="{C3380CC4-5D6E-409C-BE32-E72D297353CC}">
              <c16:uniqueId val="{0000005B-58F6-4830-8941-1011DB88381F}"/>
            </c:ext>
          </c:extLst>
        </c:ser>
        <c:ser>
          <c:idx val="92"/>
          <c:order val="92"/>
          <c:tx>
            <c:v>93</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NormalisedUVVisData!$CP$2:$CP$300</c:f>
              <c:numCache>
                <c:formatCode>General</c:formatCode>
                <c:ptCount val="299"/>
              </c:numCache>
            </c:numRef>
          </c:yVal>
          <c:smooth val="1"/>
          <c:extLst>
            <c:ext xmlns:c16="http://schemas.microsoft.com/office/drawing/2014/chart" uri="{C3380CC4-5D6E-409C-BE32-E72D297353CC}">
              <c16:uniqueId val="{0000005C-58F6-4830-8941-1011DB88381F}"/>
            </c:ext>
          </c:extLst>
        </c:ser>
        <c:ser>
          <c:idx val="93"/>
          <c:order val="93"/>
          <c:tx>
            <c:v>94</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NormalisedUVVisData!$CQ$2:$CQ$300</c:f>
              <c:numCache>
                <c:formatCode>General</c:formatCode>
                <c:ptCount val="299"/>
              </c:numCache>
            </c:numRef>
          </c:yVal>
          <c:smooth val="1"/>
          <c:extLst>
            <c:ext xmlns:c16="http://schemas.microsoft.com/office/drawing/2014/chart" uri="{C3380CC4-5D6E-409C-BE32-E72D297353CC}">
              <c16:uniqueId val="{0000005D-58F6-4830-8941-1011DB88381F}"/>
            </c:ext>
          </c:extLst>
        </c:ser>
        <c:ser>
          <c:idx val="94"/>
          <c:order val="94"/>
          <c:tx>
            <c:v>95</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NormalisedUVVisData!$CR$2:$CR$300</c:f>
              <c:numCache>
                <c:formatCode>General</c:formatCode>
                <c:ptCount val="299"/>
              </c:numCache>
            </c:numRef>
          </c:yVal>
          <c:smooth val="1"/>
          <c:extLst>
            <c:ext xmlns:c16="http://schemas.microsoft.com/office/drawing/2014/chart" uri="{C3380CC4-5D6E-409C-BE32-E72D297353CC}">
              <c16:uniqueId val="{0000005E-58F6-4830-8941-1011DB88381F}"/>
            </c:ext>
          </c:extLst>
        </c:ser>
        <c:ser>
          <c:idx val="95"/>
          <c:order val="95"/>
          <c:tx>
            <c:v>96</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NormalisedUVVisData!$CS$2:$CS$300</c:f>
              <c:numCache>
                <c:formatCode>General</c:formatCode>
                <c:ptCount val="299"/>
              </c:numCache>
            </c:numRef>
          </c:yVal>
          <c:smooth val="1"/>
          <c:extLst>
            <c:ext xmlns:c16="http://schemas.microsoft.com/office/drawing/2014/chart" uri="{C3380CC4-5D6E-409C-BE32-E72D297353CC}">
              <c16:uniqueId val="{0000005F-58F6-4830-8941-1011DB88381F}"/>
            </c:ext>
          </c:extLst>
        </c:ser>
        <c:ser>
          <c:idx val="96"/>
          <c:order val="96"/>
          <c:tx>
            <c:v>97</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NormalisedUVVisData!$CT$2:$CT$300</c:f>
              <c:numCache>
                <c:formatCode>General</c:formatCode>
                <c:ptCount val="299"/>
              </c:numCache>
            </c:numRef>
          </c:yVal>
          <c:smooth val="1"/>
          <c:extLst>
            <c:ext xmlns:c16="http://schemas.microsoft.com/office/drawing/2014/chart" uri="{C3380CC4-5D6E-409C-BE32-E72D297353CC}">
              <c16:uniqueId val="{00000060-58F6-4830-8941-1011DB88381F}"/>
            </c:ext>
          </c:extLst>
        </c:ser>
        <c:ser>
          <c:idx val="97"/>
          <c:order val="97"/>
          <c:tx>
            <c:v>98</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NormalisedUVVisData!$CU$2:$CU$300</c:f>
              <c:numCache>
                <c:formatCode>General</c:formatCode>
                <c:ptCount val="299"/>
              </c:numCache>
            </c:numRef>
          </c:yVal>
          <c:smooth val="1"/>
          <c:extLst>
            <c:ext xmlns:c16="http://schemas.microsoft.com/office/drawing/2014/chart" uri="{C3380CC4-5D6E-409C-BE32-E72D297353CC}">
              <c16:uniqueId val="{00000061-58F6-4830-8941-1011DB88381F}"/>
            </c:ext>
          </c:extLst>
        </c:ser>
        <c:ser>
          <c:idx val="98"/>
          <c:order val="98"/>
          <c:tx>
            <c:v>99</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NormalisedUVVisData!$CV$2:$CV$300</c:f>
              <c:numCache>
                <c:formatCode>General</c:formatCode>
                <c:ptCount val="299"/>
              </c:numCache>
            </c:numRef>
          </c:yVal>
          <c:smooth val="1"/>
          <c:extLst>
            <c:ext xmlns:c16="http://schemas.microsoft.com/office/drawing/2014/chart" uri="{C3380CC4-5D6E-409C-BE32-E72D297353CC}">
              <c16:uniqueId val="{00000062-58F6-4830-8941-1011DB88381F}"/>
            </c:ext>
          </c:extLst>
        </c:ser>
        <c:ser>
          <c:idx val="99"/>
          <c:order val="99"/>
          <c:tx>
            <c:v>100</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NormalisedUVVisData!$CW$2:$CW$300</c:f>
              <c:numCache>
                <c:formatCode>General</c:formatCode>
                <c:ptCount val="299"/>
              </c:numCache>
            </c:numRef>
          </c:yVal>
          <c:smooth val="1"/>
          <c:extLst>
            <c:ext xmlns:c16="http://schemas.microsoft.com/office/drawing/2014/chart" uri="{C3380CC4-5D6E-409C-BE32-E72D297353CC}">
              <c16:uniqueId val="{00000063-58F6-4830-8941-1011DB88381F}"/>
            </c:ext>
          </c:extLst>
        </c:ser>
        <c:dLbls>
          <c:showLegendKey val="0"/>
          <c:showVal val="0"/>
          <c:showCatName val="0"/>
          <c:showSerName val="0"/>
          <c:showPercent val="0"/>
          <c:showBubbleSize val="0"/>
        </c:dLbls>
        <c:axId val="1816212544"/>
        <c:axId val="1816212000"/>
      </c:scatterChart>
      <c:valAx>
        <c:axId val="1816212544"/>
        <c:scaling>
          <c:orientation val="minMax"/>
          <c:max val="600"/>
          <c:min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000"/>
        <c:crosses val="autoZero"/>
        <c:crossBetween val="midCat"/>
        <c:majorUnit val="100"/>
      </c:valAx>
      <c:valAx>
        <c:axId val="1816212000"/>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544"/>
        <c:crosses val="autoZero"/>
        <c:crossBetween val="midCat"/>
        <c:majorUnit val="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42.519634246826172</c:v>
                </c:pt>
                <c:pt idx="1">
                  <c:v>45.231914520263672</c:v>
                </c:pt>
                <c:pt idx="2">
                  <c:v>47.565940856933594</c:v>
                </c:pt>
                <c:pt idx="3">
                  <c:v>49.828319549560547</c:v>
                </c:pt>
                <c:pt idx="4">
                  <c:v>52.125213623046875</c:v>
                </c:pt>
                <c:pt idx="5">
                  <c:v>54.285453796386719</c:v>
                </c:pt>
                <c:pt idx="6">
                  <c:v>56.566947937011719</c:v>
                </c:pt>
                <c:pt idx="7">
                  <c:v>58.388450622558594</c:v>
                </c:pt>
                <c:pt idx="8">
                  <c:v>59.295761108398438</c:v>
                </c:pt>
                <c:pt idx="9">
                  <c:v>58.979148864746094</c:v>
                </c:pt>
                <c:pt idx="10">
                  <c:v>57.431575775146484</c:v>
                </c:pt>
                <c:pt idx="11">
                  <c:v>54.598590850830078</c:v>
                </c:pt>
                <c:pt idx="12">
                  <c:v>50.616008758544922</c:v>
                </c:pt>
                <c:pt idx="13">
                  <c:v>46.122188568115234</c:v>
                </c:pt>
                <c:pt idx="14">
                  <c:v>41.764686584472656</c:v>
                </c:pt>
                <c:pt idx="15">
                  <c:v>38.527557373046875</c:v>
                </c:pt>
                <c:pt idx="16">
                  <c:v>37.365257263183594</c:v>
                </c:pt>
                <c:pt idx="17">
                  <c:v>38.510078430175781</c:v>
                </c:pt>
                <c:pt idx="18">
                  <c:v>41.975467681884766</c:v>
                </c:pt>
                <c:pt idx="19">
                  <c:v>47.68365478515625</c:v>
                </c:pt>
                <c:pt idx="20">
                  <c:v>55.088260650634766</c:v>
                </c:pt>
                <c:pt idx="21">
                  <c:v>63.822109222412109</c:v>
                </c:pt>
                <c:pt idx="22">
                  <c:v>73.21929931640625</c:v>
                </c:pt>
                <c:pt idx="23">
                  <c:v>82.201301574707031</c:v>
                </c:pt>
                <c:pt idx="24">
                  <c:v>90.616744995117188</c:v>
                </c:pt>
                <c:pt idx="25">
                  <c:v>96.794242858886719</c:v>
                </c:pt>
                <c:pt idx="26">
                  <c:v>100</c:v>
                </c:pt>
                <c:pt idx="27">
                  <c:v>99.172607421875</c:v>
                </c:pt>
                <c:pt idx="28">
                  <c:v>94.263420104980469</c:v>
                </c:pt>
                <c:pt idx="29">
                  <c:v>87.219505310058594</c:v>
                </c:pt>
                <c:pt idx="30">
                  <c:v>80.031326293945313</c:v>
                </c:pt>
                <c:pt idx="31">
                  <c:v>74.509445190429688</c:v>
                </c:pt>
                <c:pt idx="32">
                  <c:v>70.89837646484375</c:v>
                </c:pt>
                <c:pt idx="33">
                  <c:v>68.685585021972656</c:v>
                </c:pt>
                <c:pt idx="34">
                  <c:v>66.81646728515625</c:v>
                </c:pt>
                <c:pt idx="35">
                  <c:v>64.568931579589844</c:v>
                </c:pt>
                <c:pt idx="36">
                  <c:v>61.502025604248047</c:v>
                </c:pt>
                <c:pt idx="37">
                  <c:v>57.204578399658203</c:v>
                </c:pt>
                <c:pt idx="38">
                  <c:v>52.039913177490234</c:v>
                </c:pt>
                <c:pt idx="39">
                  <c:v>46.427558898925781</c:v>
                </c:pt>
                <c:pt idx="40">
                  <c:v>40.971111297607422</c:v>
                </c:pt>
                <c:pt idx="41">
                  <c:v>36.305850982666016</c:v>
                </c:pt>
                <c:pt idx="42">
                  <c:v>32.863803863525391</c:v>
                </c:pt>
                <c:pt idx="43">
                  <c:v>30.707721710205078</c:v>
                </c:pt>
                <c:pt idx="44">
                  <c:v>29.726972579956055</c:v>
                </c:pt>
                <c:pt idx="45">
                  <c:v>29.384273529052734</c:v>
                </c:pt>
                <c:pt idx="46">
                  <c:v>29.284149169921875</c:v>
                </c:pt>
                <c:pt idx="47">
                  <c:v>29.323070526123047</c:v>
                </c:pt>
                <c:pt idx="48">
                  <c:v>29.238170623779297</c:v>
                </c:pt>
                <c:pt idx="49">
                  <c:v>28.964925765991211</c:v>
                </c:pt>
                <c:pt idx="50">
                  <c:v>28.352787017822266</c:v>
                </c:pt>
                <c:pt idx="51">
                  <c:v>27.114151000976563</c:v>
                </c:pt>
                <c:pt idx="52">
                  <c:v>25.556600570678711</c:v>
                </c:pt>
                <c:pt idx="53">
                  <c:v>23.961700439453125</c:v>
                </c:pt>
                <c:pt idx="54">
                  <c:v>21.959999084472656</c:v>
                </c:pt>
                <c:pt idx="55">
                  <c:v>19.76353645324707</c:v>
                </c:pt>
                <c:pt idx="56">
                  <c:v>17.780796051025391</c:v>
                </c:pt>
                <c:pt idx="57">
                  <c:v>15.849370002746582</c:v>
                </c:pt>
                <c:pt idx="58">
                  <c:v>14.097014427185059</c:v>
                </c:pt>
                <c:pt idx="59">
                  <c:v>12.821404457092285</c:v>
                </c:pt>
                <c:pt idx="60">
                  <c:v>12.078629493713379</c:v>
                </c:pt>
                <c:pt idx="61">
                  <c:v>11.858976364135742</c:v>
                </c:pt>
                <c:pt idx="62">
                  <c:v>11.781952857971191</c:v>
                </c:pt>
                <c:pt idx="63">
                  <c:v>11.97901439666748</c:v>
                </c:pt>
                <c:pt idx="64">
                  <c:v>12.683222770690918</c:v>
                </c:pt>
                <c:pt idx="65">
                  <c:v>13.590354919433594</c:v>
                </c:pt>
                <c:pt idx="66">
                  <c:v>14.678684234619141</c:v>
                </c:pt>
                <c:pt idx="67">
                  <c:v>15.896632194519043</c:v>
                </c:pt>
                <c:pt idx="68">
                  <c:v>17.177221298217773</c:v>
                </c:pt>
                <c:pt idx="69">
                  <c:v>18.531936645507813</c:v>
                </c:pt>
                <c:pt idx="70">
                  <c:v>19.884082794189453</c:v>
                </c:pt>
                <c:pt idx="71">
                  <c:v>21.359033584594727</c:v>
                </c:pt>
                <c:pt idx="72">
                  <c:v>22.837791442871094</c:v>
                </c:pt>
                <c:pt idx="73">
                  <c:v>24.210206985473633</c:v>
                </c:pt>
                <c:pt idx="74">
                  <c:v>25.577245712280273</c:v>
                </c:pt>
                <c:pt idx="75">
                  <c:v>26.8946533203125</c:v>
                </c:pt>
                <c:pt idx="76">
                  <c:v>28.063568115234375</c:v>
                </c:pt>
                <c:pt idx="77">
                  <c:v>29.098793029785156</c:v>
                </c:pt>
                <c:pt idx="78">
                  <c:v>30.223676681518555</c:v>
                </c:pt>
                <c:pt idx="79">
                  <c:v>31.082328796386719</c:v>
                </c:pt>
                <c:pt idx="80">
                  <c:v>31.828134536743164</c:v>
                </c:pt>
                <c:pt idx="81">
                  <c:v>32.515968322753906</c:v>
                </c:pt>
                <c:pt idx="82">
                  <c:v>32.927616119384766</c:v>
                </c:pt>
                <c:pt idx="83">
                  <c:v>33.045131683349609</c:v>
                </c:pt>
                <c:pt idx="84">
                  <c:v>32.801605224609375</c:v>
                </c:pt>
                <c:pt idx="85">
                  <c:v>32.281269073486328</c:v>
                </c:pt>
                <c:pt idx="86">
                  <c:v>31.724714279174805</c:v>
                </c:pt>
                <c:pt idx="87">
                  <c:v>30.919609069824219</c:v>
                </c:pt>
                <c:pt idx="88">
                  <c:v>30.000770568847656</c:v>
                </c:pt>
                <c:pt idx="89">
                  <c:v>28.901931762695313</c:v>
                </c:pt>
                <c:pt idx="90">
                  <c:v>27.703475952148438</c:v>
                </c:pt>
                <c:pt idx="91">
                  <c:v>26.333671569824219</c:v>
                </c:pt>
                <c:pt idx="92">
                  <c:v>24.721733093261719</c:v>
                </c:pt>
                <c:pt idx="93">
                  <c:v>23.131479263305664</c:v>
                </c:pt>
                <c:pt idx="94">
                  <c:v>21.543062210083008</c:v>
                </c:pt>
                <c:pt idx="95">
                  <c:v>19.903974533081055</c:v>
                </c:pt>
                <c:pt idx="96">
                  <c:v>18.01777458190918</c:v>
                </c:pt>
                <c:pt idx="97">
                  <c:v>16.341360092163086</c:v>
                </c:pt>
                <c:pt idx="98">
                  <c:v>14.956707954406738</c:v>
                </c:pt>
                <c:pt idx="99">
                  <c:v>13.632462501525879</c:v>
                </c:pt>
                <c:pt idx="100">
                  <c:v>12.268256187438965</c:v>
                </c:pt>
                <c:pt idx="101">
                  <c:v>10.944210052490234</c:v>
                </c:pt>
                <c:pt idx="102">
                  <c:v>9.6584205627441406</c:v>
                </c:pt>
                <c:pt idx="103">
                  <c:v>8.4906787872314453</c:v>
                </c:pt>
                <c:pt idx="104">
                  <c:v>7.4533295631408691</c:v>
                </c:pt>
                <c:pt idx="105">
                  <c:v>6.7452049255371094</c:v>
                </c:pt>
                <c:pt idx="106">
                  <c:v>6.1705055236816406</c:v>
                </c:pt>
                <c:pt idx="107">
                  <c:v>5.397615909576416</c:v>
                </c:pt>
                <c:pt idx="108">
                  <c:v>4.7846150398254395</c:v>
                </c:pt>
                <c:pt idx="109">
                  <c:v>4.2921161651611328</c:v>
                </c:pt>
                <c:pt idx="110">
                  <c:v>3.9048750400543213</c:v>
                </c:pt>
                <c:pt idx="111">
                  <c:v>3.6704192161560059</c:v>
                </c:pt>
                <c:pt idx="112">
                  <c:v>3.3566610813140869</c:v>
                </c:pt>
                <c:pt idx="113">
                  <c:v>3.3946971893310547</c:v>
                </c:pt>
                <c:pt idx="114">
                  <c:v>3.3888776302337646</c:v>
                </c:pt>
                <c:pt idx="115">
                  <c:v>3.30545973777771</c:v>
                </c:pt>
                <c:pt idx="116">
                  <c:v>3.3337156772613525</c:v>
                </c:pt>
                <c:pt idx="117">
                  <c:v>2.9447484016418457</c:v>
                </c:pt>
                <c:pt idx="118">
                  <c:v>2.7324638366699219</c:v>
                </c:pt>
                <c:pt idx="119">
                  <c:v>2.7397212982177734</c:v>
                </c:pt>
                <c:pt idx="120">
                  <c:v>2.8149745464324951</c:v>
                </c:pt>
                <c:pt idx="121">
                  <c:v>3.0105977058410645</c:v>
                </c:pt>
                <c:pt idx="122">
                  <c:v>2.8895421028137207</c:v>
                </c:pt>
                <c:pt idx="123">
                  <c:v>2.8398008346557617</c:v>
                </c:pt>
                <c:pt idx="124">
                  <c:v>3.0755620002746582</c:v>
                </c:pt>
                <c:pt idx="125">
                  <c:v>2.7997071743011475</c:v>
                </c:pt>
                <c:pt idx="126">
                  <c:v>2.6977245807647705</c:v>
                </c:pt>
                <c:pt idx="127">
                  <c:v>2.9651272296905518</c:v>
                </c:pt>
                <c:pt idx="128">
                  <c:v>2.9065132141113281</c:v>
                </c:pt>
                <c:pt idx="129">
                  <c:v>2.852236270904541</c:v>
                </c:pt>
                <c:pt idx="130">
                  <c:v>2.9176430702209473</c:v>
                </c:pt>
                <c:pt idx="131">
                  <c:v>2.8847846984863281</c:v>
                </c:pt>
                <c:pt idx="132">
                  <c:v>2.7666497230529785</c:v>
                </c:pt>
                <c:pt idx="133">
                  <c:v>2.8451113700866699</c:v>
                </c:pt>
                <c:pt idx="134">
                  <c:v>2.7319326400756836</c:v>
                </c:pt>
                <c:pt idx="135">
                  <c:v>2.6607065200805664</c:v>
                </c:pt>
                <c:pt idx="136">
                  <c:v>3.2127704620361328</c:v>
                </c:pt>
                <c:pt idx="137">
                  <c:v>3.2951927185058594</c:v>
                </c:pt>
                <c:pt idx="138">
                  <c:v>2.8859353065490723</c:v>
                </c:pt>
                <c:pt idx="139">
                  <c:v>2.6095271110534668</c:v>
                </c:pt>
                <c:pt idx="140">
                  <c:v>2.5140056610107422</c:v>
                </c:pt>
                <c:pt idx="141">
                  <c:v>2.8479213714599609</c:v>
                </c:pt>
                <c:pt idx="142">
                  <c:v>2.878279447555542</c:v>
                </c:pt>
                <c:pt idx="143">
                  <c:v>2.6970829963684082</c:v>
                </c:pt>
                <c:pt idx="144">
                  <c:v>2.8083586692810059</c:v>
                </c:pt>
                <c:pt idx="145">
                  <c:v>2.7292110919952393</c:v>
                </c:pt>
                <c:pt idx="146">
                  <c:v>2.9688444137573242</c:v>
                </c:pt>
                <c:pt idx="147">
                  <c:v>3.1155009269714355</c:v>
                </c:pt>
                <c:pt idx="148">
                  <c:v>3.0507357120513916</c:v>
                </c:pt>
                <c:pt idx="149">
                  <c:v>2.9913032054901123</c:v>
                </c:pt>
                <c:pt idx="150">
                  <c:v>2.685112476348877</c:v>
                </c:pt>
                <c:pt idx="151">
                  <c:v>2.7384159564971924</c:v>
                </c:pt>
                <c:pt idx="152">
                  <c:v>2.7303838729858398</c:v>
                </c:pt>
                <c:pt idx="153">
                  <c:v>2.5452709197998047</c:v>
                </c:pt>
                <c:pt idx="154">
                  <c:v>2.6782972812652588</c:v>
                </c:pt>
                <c:pt idx="155">
                  <c:v>2.9744424819946289</c:v>
                </c:pt>
                <c:pt idx="156">
                  <c:v>3.0586349964141846</c:v>
                </c:pt>
                <c:pt idx="157">
                  <c:v>2.899388313293457</c:v>
                </c:pt>
                <c:pt idx="158">
                  <c:v>2.8502669334411621</c:v>
                </c:pt>
                <c:pt idx="159">
                  <c:v>2.7210021018981934</c:v>
                </c:pt>
                <c:pt idx="160">
                  <c:v>2.4814350605010986</c:v>
                </c:pt>
                <c:pt idx="161">
                  <c:v>2.3927950859069824</c:v>
                </c:pt>
                <c:pt idx="162">
                  <c:v>2.5275917053222656</c:v>
                </c:pt>
                <c:pt idx="163">
                  <c:v>2.7723362445831299</c:v>
                </c:pt>
                <c:pt idx="164">
                  <c:v>2.8139567375183105</c:v>
                </c:pt>
                <c:pt idx="165">
                  <c:v>2.8648927211761475</c:v>
                </c:pt>
                <c:pt idx="166">
                  <c:v>3.0176782608032227</c:v>
                </c:pt>
                <c:pt idx="167">
                  <c:v>2.9784696102142334</c:v>
                </c:pt>
                <c:pt idx="168">
                  <c:v>3.2686185836791992</c:v>
                </c:pt>
                <c:pt idx="169">
                  <c:v>3.0252900123596191</c:v>
                </c:pt>
                <c:pt idx="170">
                  <c:v>2.6105892658233643</c:v>
                </c:pt>
                <c:pt idx="171">
                  <c:v>2.5970256328582764</c:v>
                </c:pt>
                <c:pt idx="172">
                  <c:v>2.6354377269744873</c:v>
                </c:pt>
                <c:pt idx="173">
                  <c:v>2.6536922454833984</c:v>
                </c:pt>
                <c:pt idx="174">
                  <c:v>2.4966361522674561</c:v>
                </c:pt>
                <c:pt idx="175">
                  <c:v>2.7163333892822266</c:v>
                </c:pt>
                <c:pt idx="176">
                  <c:v>2.7350525856018066</c:v>
                </c:pt>
                <c:pt idx="177">
                  <c:v>2.6939408779144287</c:v>
                </c:pt>
                <c:pt idx="178">
                  <c:v>3.2206475734710693</c:v>
                </c:pt>
                <c:pt idx="179">
                  <c:v>3.0713579654693604</c:v>
                </c:pt>
                <c:pt idx="180">
                  <c:v>2.5570645332336426</c:v>
                </c:pt>
                <c:pt idx="181">
                  <c:v>2.5024998188018799</c:v>
                </c:pt>
                <c:pt idx="182">
                  <c:v>2.5322604179382324</c:v>
                </c:pt>
                <c:pt idx="183">
                  <c:v>2.782581090927124</c:v>
                </c:pt>
                <c:pt idx="184">
                  <c:v>2.6086642742156982</c:v>
                </c:pt>
                <c:pt idx="185">
                  <c:v>2</c:v>
                </c:pt>
                <c:pt idx="186">
                  <c:v>2.4204535484313965</c:v>
                </c:pt>
                <c:pt idx="187">
                  <c:v>2.8330080509185791</c:v>
                </c:pt>
                <c:pt idx="188">
                  <c:v>2.6617686748504639</c:v>
                </c:pt>
                <c:pt idx="189">
                  <c:v>2.8772172927856445</c:v>
                </c:pt>
                <c:pt idx="190">
                  <c:v>2.8069427013397217</c:v>
                </c:pt>
                <c:pt idx="191">
                  <c:v>2.5697875022888184</c:v>
                </c:pt>
                <c:pt idx="192">
                  <c:v>2.8263921737670898</c:v>
                </c:pt>
                <c:pt idx="193">
                  <c:v>2.9841783046722412</c:v>
                </c:pt>
                <c:pt idx="194">
                  <c:v>2.9662778377532959</c:v>
                </c:pt>
                <c:pt idx="195">
                  <c:v>2.8330302238464355</c:v>
                </c:pt>
                <c:pt idx="196">
                  <c:v>2.816058874130249</c:v>
                </c:pt>
                <c:pt idx="197">
                  <c:v>2.7407612800598145</c:v>
                </c:pt>
                <c:pt idx="198">
                  <c:v>2.7055354118347168</c:v>
                </c:pt>
                <c:pt idx="199">
                  <c:v>3.0150895118713379</c:v>
                </c:pt>
                <c:pt idx="200">
                  <c:v>2.8869974613189697</c:v>
                </c:pt>
                <c:pt idx="201">
                  <c:v>2.9580466747283936</c:v>
                </c:pt>
                <c:pt idx="202">
                  <c:v>3.0649411678314209</c:v>
                </c:pt>
                <c:pt idx="203">
                  <c:v>3.0097126960754395</c:v>
                </c:pt>
                <c:pt idx="204">
                  <c:v>2.7357163429260254</c:v>
                </c:pt>
                <c:pt idx="205">
                  <c:v>2.8205506801605225</c:v>
                </c:pt>
                <c:pt idx="206">
                  <c:v>2.7510061264038086</c:v>
                </c:pt>
                <c:pt idx="207">
                  <c:v>2.5443637371063232</c:v>
                </c:pt>
                <c:pt idx="208">
                  <c:v>2.4079298973083496</c:v>
                </c:pt>
                <c:pt idx="209">
                  <c:v>2.6063852310180664</c:v>
                </c:pt>
                <c:pt idx="210">
                  <c:v>2.8364377021789551</c:v>
                </c:pt>
                <c:pt idx="211">
                  <c:v>2.6194841861724854</c:v>
                </c:pt>
                <c:pt idx="212">
                  <c:v>2.7052478790283203</c:v>
                </c:pt>
                <c:pt idx="213">
                  <c:v>2.8613746166229248</c:v>
                </c:pt>
                <c:pt idx="214">
                  <c:v>2.8564624786376953</c:v>
                </c:pt>
                <c:pt idx="215">
                  <c:v>2.752223014831543</c:v>
                </c:pt>
                <c:pt idx="216">
                  <c:v>2.4107177257537842</c:v>
                </c:pt>
                <c:pt idx="217">
                  <c:v>2.5029866695404053</c:v>
                </c:pt>
                <c:pt idx="218">
                  <c:v>2.425940990447998</c:v>
                </c:pt>
                <c:pt idx="219">
                  <c:v>2.6312999725341797</c:v>
                </c:pt>
                <c:pt idx="220">
                  <c:v>2.8604452610015869</c:v>
                </c:pt>
                <c:pt idx="221">
                  <c:v>2.9100978374481201</c:v>
                </c:pt>
                <c:pt idx="222">
                  <c:v>3.1235992908477783</c:v>
                </c:pt>
                <c:pt idx="223">
                  <c:v>2.6524310111999512</c:v>
                </c:pt>
                <c:pt idx="224">
                  <c:v>2.456343412399292</c:v>
                </c:pt>
                <c:pt idx="225">
                  <c:v>2.3936359882354736</c:v>
                </c:pt>
              </c:numCache>
            </c:numRef>
          </c:yVal>
          <c:smooth val="1"/>
          <c:extLst>
            <c:ext xmlns:c16="http://schemas.microsoft.com/office/drawing/2014/chart" uri="{C3380CC4-5D6E-409C-BE32-E72D297353CC}">
              <c16:uniqueId val="{00000000-C55B-4A1A-87F7-276FE06EA34B}"/>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90.346244812011719</c:v>
                </c:pt>
                <c:pt idx="2">
                  <c:v>80.537879943847656</c:v>
                </c:pt>
                <c:pt idx="3">
                  <c:v>71.676124572753906</c:v>
                </c:pt>
                <c:pt idx="4">
                  <c:v>64.588172912597656</c:v>
                </c:pt>
                <c:pt idx="5">
                  <c:v>59.492954254150391</c:v>
                </c:pt>
                <c:pt idx="6">
                  <c:v>56.181777954101563</c:v>
                </c:pt>
                <c:pt idx="7">
                  <c:v>54.678707122802734</c:v>
                </c:pt>
                <c:pt idx="8">
                  <c:v>54.357902526855469</c:v>
                </c:pt>
                <c:pt idx="9">
                  <c:v>55.184665679931641</c:v>
                </c:pt>
                <c:pt idx="10">
                  <c:v>56.716205596923828</c:v>
                </c:pt>
                <c:pt idx="11">
                  <c:v>58.614944458007813</c:v>
                </c:pt>
                <c:pt idx="12">
                  <c:v>60.444950103759766</c:v>
                </c:pt>
                <c:pt idx="13">
                  <c:v>61.918323516845703</c:v>
                </c:pt>
                <c:pt idx="14">
                  <c:v>62.469470977783203</c:v>
                </c:pt>
                <c:pt idx="15">
                  <c:v>61.303005218505859</c:v>
                </c:pt>
                <c:pt idx="16">
                  <c:v>58.165584564208984</c:v>
                </c:pt>
                <c:pt idx="17">
                  <c:v>53.020725250244141</c:v>
                </c:pt>
                <c:pt idx="18">
                  <c:v>46.306468963623047</c:v>
                </c:pt>
                <c:pt idx="19">
                  <c:v>38.525783538818359</c:v>
                </c:pt>
                <c:pt idx="20">
                  <c:v>31.036874771118164</c:v>
                </c:pt>
                <c:pt idx="21">
                  <c:v>24.638788223266602</c:v>
                </c:pt>
                <c:pt idx="22">
                  <c:v>19.776782989501953</c:v>
                </c:pt>
                <c:pt idx="23">
                  <c:v>16.840913772583008</c:v>
                </c:pt>
                <c:pt idx="24">
                  <c:v>15.221232414245605</c:v>
                </c:pt>
                <c:pt idx="25">
                  <c:v>14.506296157836914</c:v>
                </c:pt>
                <c:pt idx="26">
                  <c:v>14.304013252258301</c:v>
                </c:pt>
                <c:pt idx="27">
                  <c:v>14.368534088134766</c:v>
                </c:pt>
                <c:pt idx="28">
                  <c:v>14.712178230285645</c:v>
                </c:pt>
                <c:pt idx="29">
                  <c:v>15.432357788085938</c:v>
                </c:pt>
                <c:pt idx="30">
                  <c:v>16.631521224975586</c:v>
                </c:pt>
                <c:pt idx="31">
                  <c:v>18.207986831665039</c:v>
                </c:pt>
                <c:pt idx="32">
                  <c:v>20.287494659423828</c:v>
                </c:pt>
                <c:pt idx="33">
                  <c:v>22.583789825439453</c:v>
                </c:pt>
                <c:pt idx="34">
                  <c:v>24.973447799682617</c:v>
                </c:pt>
                <c:pt idx="35">
                  <c:v>27.565553665161133</c:v>
                </c:pt>
                <c:pt idx="36">
                  <c:v>30.054519653320313</c:v>
                </c:pt>
                <c:pt idx="37">
                  <c:v>32.358745574951172</c:v>
                </c:pt>
                <c:pt idx="38">
                  <c:v>34.282291412353516</c:v>
                </c:pt>
                <c:pt idx="39">
                  <c:v>35.786018371582031</c:v>
                </c:pt>
                <c:pt idx="40">
                  <c:v>36.52764892578125</c:v>
                </c:pt>
                <c:pt idx="41">
                  <c:v>36.500778198242188</c:v>
                </c:pt>
                <c:pt idx="42">
                  <c:v>35.604953765869141</c:v>
                </c:pt>
                <c:pt idx="43">
                  <c:v>33.705764770507813</c:v>
                </c:pt>
                <c:pt idx="44">
                  <c:v>31.063358306884766</c:v>
                </c:pt>
                <c:pt idx="45">
                  <c:v>27.764730453491211</c:v>
                </c:pt>
                <c:pt idx="46">
                  <c:v>24.186487197875977</c:v>
                </c:pt>
                <c:pt idx="47">
                  <c:v>20.745632171630859</c:v>
                </c:pt>
                <c:pt idx="48">
                  <c:v>17.723506927490234</c:v>
                </c:pt>
                <c:pt idx="49">
                  <c:v>15.28062915802002</c:v>
                </c:pt>
                <c:pt idx="50">
                  <c:v>13.52496337890625</c:v>
                </c:pt>
                <c:pt idx="51">
                  <c:v>12.41341495513916</c:v>
                </c:pt>
                <c:pt idx="52">
                  <c:v>11.772478103637695</c:v>
                </c:pt>
                <c:pt idx="53">
                  <c:v>11.430336952209473</c:v>
                </c:pt>
                <c:pt idx="54">
                  <c:v>11.295591354370117</c:v>
                </c:pt>
                <c:pt idx="55">
                  <c:v>11.369656562805176</c:v>
                </c:pt>
                <c:pt idx="56">
                  <c:v>11.617217063903809</c:v>
                </c:pt>
                <c:pt idx="57">
                  <c:v>11.92314338684082</c:v>
                </c:pt>
                <c:pt idx="58">
                  <c:v>12.281412124633789</c:v>
                </c:pt>
                <c:pt idx="59">
                  <c:v>12.618023872375488</c:v>
                </c:pt>
                <c:pt idx="60">
                  <c:v>13.055986404418945</c:v>
                </c:pt>
                <c:pt idx="61">
                  <c:v>13.52897834777832</c:v>
                </c:pt>
                <c:pt idx="62">
                  <c:v>13.967445373535156</c:v>
                </c:pt>
                <c:pt idx="63">
                  <c:v>14.446723937988281</c:v>
                </c:pt>
                <c:pt idx="64">
                  <c:v>14.828525543212891</c:v>
                </c:pt>
                <c:pt idx="65">
                  <c:v>15.183623313903809</c:v>
                </c:pt>
                <c:pt idx="66">
                  <c:v>15.548112869262695</c:v>
                </c:pt>
                <c:pt idx="67">
                  <c:v>15.891549110412598</c:v>
                </c:pt>
                <c:pt idx="68">
                  <c:v>16.193733215332031</c:v>
                </c:pt>
                <c:pt idx="69">
                  <c:v>16.366373062133789</c:v>
                </c:pt>
                <c:pt idx="70">
                  <c:v>16.489017486572266</c:v>
                </c:pt>
                <c:pt idx="71">
                  <c:v>16.478288650512695</c:v>
                </c:pt>
                <c:pt idx="72">
                  <c:v>16.339374542236328</c:v>
                </c:pt>
                <c:pt idx="73">
                  <c:v>16.076255798339844</c:v>
                </c:pt>
                <c:pt idx="74">
                  <c:v>15.748355865478516</c:v>
                </c:pt>
                <c:pt idx="75">
                  <c:v>15.525524139404297</c:v>
                </c:pt>
                <c:pt idx="76">
                  <c:v>15.072871208190918</c:v>
                </c:pt>
                <c:pt idx="77">
                  <c:v>14.566647529602051</c:v>
                </c:pt>
                <c:pt idx="78">
                  <c:v>13.958284378051758</c:v>
                </c:pt>
                <c:pt idx="79">
                  <c:v>13.181241989135742</c:v>
                </c:pt>
                <c:pt idx="80">
                  <c:v>12.391911506652832</c:v>
                </c:pt>
                <c:pt idx="81">
                  <c:v>11.616141319274902</c:v>
                </c:pt>
                <c:pt idx="82">
                  <c:v>10.917190551757813</c:v>
                </c:pt>
                <c:pt idx="83">
                  <c:v>10.187148094177246</c:v>
                </c:pt>
                <c:pt idx="84">
                  <c:v>9.4831171035766602</c:v>
                </c:pt>
                <c:pt idx="85">
                  <c:v>8.8455924987792969</c:v>
                </c:pt>
                <c:pt idx="86">
                  <c:v>8.2375040054321289</c:v>
                </c:pt>
                <c:pt idx="87">
                  <c:v>7.7967658042907715</c:v>
                </c:pt>
                <c:pt idx="88">
                  <c:v>7.3918375968933105</c:v>
                </c:pt>
                <c:pt idx="89">
                  <c:v>6.9300026893615723</c:v>
                </c:pt>
                <c:pt idx="90">
                  <c:v>6.5682229995727539</c:v>
                </c:pt>
                <c:pt idx="91">
                  <c:v>6.3721714019775391</c:v>
                </c:pt>
                <c:pt idx="92">
                  <c:v>6.2740468978881836</c:v>
                </c:pt>
                <c:pt idx="93">
                  <c:v>6.1518630981445313</c:v>
                </c:pt>
                <c:pt idx="94">
                  <c:v>6.0859599113464355</c:v>
                </c:pt>
                <c:pt idx="95">
                  <c:v>6.1157026290893555</c:v>
                </c:pt>
                <c:pt idx="96">
                  <c:v>6.0224490165710449</c:v>
                </c:pt>
                <c:pt idx="97">
                  <c:v>5.9111814498901367</c:v>
                </c:pt>
                <c:pt idx="98">
                  <c:v>5.9409236907958984</c:v>
                </c:pt>
                <c:pt idx="99">
                  <c:v>5.7918167114257813</c:v>
                </c:pt>
                <c:pt idx="100">
                  <c:v>5.7512350082397461</c:v>
                </c:pt>
                <c:pt idx="101">
                  <c:v>5.828887939453125</c:v>
                </c:pt>
                <c:pt idx="102">
                  <c:v>5.8371601104736328</c:v>
                </c:pt>
                <c:pt idx="103">
                  <c:v>5.8538360595703125</c:v>
                </c:pt>
                <c:pt idx="104">
                  <c:v>5.8474287986755371</c:v>
                </c:pt>
                <c:pt idx="105">
                  <c:v>5.7779712677001953</c:v>
                </c:pt>
                <c:pt idx="106">
                  <c:v>5.7682399749755859</c:v>
                </c:pt>
                <c:pt idx="107">
                  <c:v>5.7971706390380859</c:v>
                </c:pt>
                <c:pt idx="108">
                  <c:v>5.7462434768676758</c:v>
                </c:pt>
                <c:pt idx="109">
                  <c:v>5.5963354110717773</c:v>
                </c:pt>
                <c:pt idx="110">
                  <c:v>5.6582999229431152</c:v>
                </c:pt>
                <c:pt idx="111">
                  <c:v>5.8193869590759277</c:v>
                </c:pt>
                <c:pt idx="112">
                  <c:v>5.819880485534668</c:v>
                </c:pt>
                <c:pt idx="113">
                  <c:v>5.9042916297912598</c:v>
                </c:pt>
                <c:pt idx="114">
                  <c:v>5.9066610336303711</c:v>
                </c:pt>
                <c:pt idx="115">
                  <c:v>5.7526721954345703</c:v>
                </c:pt>
                <c:pt idx="116">
                  <c:v>5.6570382118225098</c:v>
                </c:pt>
                <c:pt idx="117">
                  <c:v>5.5806798934936523</c:v>
                </c:pt>
                <c:pt idx="118">
                  <c:v>5.5643773078918457</c:v>
                </c:pt>
                <c:pt idx="119">
                  <c:v>5.5582113265991211</c:v>
                </c:pt>
                <c:pt idx="120">
                  <c:v>5.4357972145080566</c:v>
                </c:pt>
                <c:pt idx="121">
                  <c:v>5.4283146858215332</c:v>
                </c:pt>
                <c:pt idx="122">
                  <c:v>5.6667804718017578</c:v>
                </c:pt>
                <c:pt idx="123">
                  <c:v>5.6720905303955078</c:v>
                </c:pt>
                <c:pt idx="124">
                  <c:v>5.5586285591125488</c:v>
                </c:pt>
                <c:pt idx="125">
                  <c:v>5.5827207565307617</c:v>
                </c:pt>
                <c:pt idx="126">
                  <c:v>5.6498632431030273</c:v>
                </c:pt>
                <c:pt idx="127">
                  <c:v>5.6690511703491211</c:v>
                </c:pt>
                <c:pt idx="128">
                  <c:v>5.7745814323425293</c:v>
                </c:pt>
                <c:pt idx="129">
                  <c:v>5.6614375114440918</c:v>
                </c:pt>
                <c:pt idx="130">
                  <c:v>5.5034003257751465</c:v>
                </c:pt>
                <c:pt idx="131">
                  <c:v>5.4776954650878906</c:v>
                </c:pt>
                <c:pt idx="132">
                  <c:v>5.4216227531433105</c:v>
                </c:pt>
                <c:pt idx="133">
                  <c:v>5.5099391937255859</c:v>
                </c:pt>
                <c:pt idx="134">
                  <c:v>5.5634336471557617</c:v>
                </c:pt>
                <c:pt idx="135">
                  <c:v>5.4118695259094238</c:v>
                </c:pt>
                <c:pt idx="136">
                  <c:v>3.2019491195678711</c:v>
                </c:pt>
                <c:pt idx="137">
                  <c:v>2</c:v>
                </c:pt>
                <c:pt idx="138">
                  <c:v>4.0312356948852539</c:v>
                </c:pt>
                <c:pt idx="139">
                  <c:v>5.2941508293151855</c:v>
                </c:pt>
                <c:pt idx="140">
                  <c:v>5.2950940132141113</c:v>
                </c:pt>
                <c:pt idx="141">
                  <c:v>5.9468369483947754</c:v>
                </c:pt>
                <c:pt idx="142">
                  <c:v>5.946782112121582</c:v>
                </c:pt>
                <c:pt idx="143">
                  <c:v>5.2690272331237793</c:v>
                </c:pt>
                <c:pt idx="144">
                  <c:v>5.4861869812011719</c:v>
                </c:pt>
                <c:pt idx="145">
                  <c:v>5.8828539848327637</c:v>
                </c:pt>
                <c:pt idx="146">
                  <c:v>4.1054544448852539</c:v>
                </c:pt>
                <c:pt idx="147">
                  <c:v>3.0246689319610596</c:v>
                </c:pt>
                <c:pt idx="148">
                  <c:v>4.9356622695922852</c:v>
                </c:pt>
                <c:pt idx="149">
                  <c:v>6.2560763359069824</c:v>
                </c:pt>
                <c:pt idx="150">
                  <c:v>5.4692368507385254</c:v>
                </c:pt>
                <c:pt idx="151">
                  <c:v>5.831235408782959</c:v>
                </c:pt>
                <c:pt idx="152">
                  <c:v>5.9237542152404785</c:v>
                </c:pt>
                <c:pt idx="153">
                  <c:v>5.6856064796447754</c:v>
                </c:pt>
                <c:pt idx="154">
                  <c:v>5.438507080078125</c:v>
                </c:pt>
                <c:pt idx="155">
                  <c:v>5.45947265625</c:v>
                </c:pt>
                <c:pt idx="156">
                  <c:v>5.2493119239807129</c:v>
                </c:pt>
                <c:pt idx="157">
                  <c:v>5.393855094909668</c:v>
                </c:pt>
                <c:pt idx="158">
                  <c:v>5.6748003959655762</c:v>
                </c:pt>
                <c:pt idx="159">
                  <c:v>5.0913300514221191</c:v>
                </c:pt>
                <c:pt idx="160">
                  <c:v>5.2551050186157227</c:v>
                </c:pt>
                <c:pt idx="161">
                  <c:v>5.325747013092041</c:v>
                </c:pt>
                <c:pt idx="162">
                  <c:v>5.0040006637573242</c:v>
                </c:pt>
                <c:pt idx="163">
                  <c:v>5.7198033332824707</c:v>
                </c:pt>
                <c:pt idx="164">
                  <c:v>5.314490795135498</c:v>
                </c:pt>
                <c:pt idx="165">
                  <c:v>5.0630793571472168</c:v>
                </c:pt>
                <c:pt idx="166">
                  <c:v>5.2247152328491211</c:v>
                </c:pt>
                <c:pt idx="167">
                  <c:v>4.8030118942260742</c:v>
                </c:pt>
                <c:pt idx="168">
                  <c:v>5.8207802772521973</c:v>
                </c:pt>
                <c:pt idx="169">
                  <c:v>5.5954251289367676</c:v>
                </c:pt>
                <c:pt idx="170">
                  <c:v>5.3091697692871094</c:v>
                </c:pt>
                <c:pt idx="171">
                  <c:v>5.6417007446289063</c:v>
                </c:pt>
                <c:pt idx="172">
                  <c:v>5.2766079902648926</c:v>
                </c:pt>
                <c:pt idx="173">
                  <c:v>5.4709482192993164</c:v>
                </c:pt>
                <c:pt idx="174">
                  <c:v>5.2483468055725098</c:v>
                </c:pt>
                <c:pt idx="175">
                  <c:v>5.5722980499267578</c:v>
                </c:pt>
                <c:pt idx="176">
                  <c:v>5.3251986503601074</c:v>
                </c:pt>
                <c:pt idx="177">
                  <c:v>5.3418855667114258</c:v>
                </c:pt>
                <c:pt idx="178">
                  <c:v>5.5434446334838867</c:v>
                </c:pt>
                <c:pt idx="179">
                  <c:v>5.5536913871765137</c:v>
                </c:pt>
                <c:pt idx="180">
                  <c:v>5.7548336982727051</c:v>
                </c:pt>
                <c:pt idx="181">
                  <c:v>5.4940090179443359</c:v>
                </c:pt>
                <c:pt idx="182">
                  <c:v>5.5527915954589844</c:v>
                </c:pt>
                <c:pt idx="183">
                  <c:v>5.7147016525268555</c:v>
                </c:pt>
                <c:pt idx="184">
                  <c:v>5.497169017791748</c:v>
                </c:pt>
                <c:pt idx="185">
                  <c:v>5.4513869285583496</c:v>
                </c:pt>
                <c:pt idx="186">
                  <c:v>5.1109790802001953</c:v>
                </c:pt>
                <c:pt idx="187">
                  <c:v>5.0815987586975098</c:v>
                </c:pt>
                <c:pt idx="188">
                  <c:v>5.4182543754577637</c:v>
                </c:pt>
                <c:pt idx="189">
                  <c:v>5.8054428100585938</c:v>
                </c:pt>
                <c:pt idx="190">
                  <c:v>5.1243743896484375</c:v>
                </c:pt>
                <c:pt idx="191">
                  <c:v>5.9689435958862305</c:v>
                </c:pt>
                <c:pt idx="192">
                  <c:v>5.1959161758422852</c:v>
                </c:pt>
                <c:pt idx="193">
                  <c:v>5.1560478210449219</c:v>
                </c:pt>
                <c:pt idx="194">
                  <c:v>4.2836012840270996</c:v>
                </c:pt>
                <c:pt idx="195">
                  <c:v>4.1654658317565918</c:v>
                </c:pt>
                <c:pt idx="196">
                  <c:v>4.3542547225952148</c:v>
                </c:pt>
                <c:pt idx="197">
                  <c:v>4.6165928840637207</c:v>
                </c:pt>
                <c:pt idx="198">
                  <c:v>6.6754097938537598</c:v>
                </c:pt>
                <c:pt idx="199">
                  <c:v>5.5228300094604492</c:v>
                </c:pt>
                <c:pt idx="200">
                  <c:v>5.2628612518310547</c:v>
                </c:pt>
                <c:pt idx="201">
                  <c:v>4.6084413528442383</c:v>
                </c:pt>
                <c:pt idx="202">
                  <c:v>5.6181459426879883</c:v>
                </c:pt>
                <c:pt idx="203">
                  <c:v>4.234868049621582</c:v>
                </c:pt>
                <c:pt idx="204">
                  <c:v>5.4301910400390625</c:v>
                </c:pt>
                <c:pt idx="205">
                  <c:v>4.7469720840454102</c:v>
                </c:pt>
                <c:pt idx="206">
                  <c:v>5.097813606262207</c:v>
                </c:pt>
                <c:pt idx="207">
                  <c:v>5.8999028205871582</c:v>
                </c:pt>
                <c:pt idx="208">
                  <c:v>5.3366413116455078</c:v>
                </c:pt>
                <c:pt idx="209">
                  <c:v>6.133486270904541</c:v>
                </c:pt>
                <c:pt idx="210">
                  <c:v>4.5331149101257324</c:v>
                </c:pt>
                <c:pt idx="211">
                  <c:v>5.7686023712158203</c:v>
                </c:pt>
                <c:pt idx="212">
                  <c:v>4.8825297355651855</c:v>
                </c:pt>
                <c:pt idx="213">
                  <c:v>5.5043988227844238</c:v>
                </c:pt>
                <c:pt idx="214">
                  <c:v>5.1081266403198242</c:v>
                </c:pt>
                <c:pt idx="215">
                  <c:v>5.0267763137817383</c:v>
                </c:pt>
                <c:pt idx="216">
                  <c:v>5.8815374374389648</c:v>
                </c:pt>
                <c:pt idx="217">
                  <c:v>5.0490145683288574</c:v>
                </c:pt>
                <c:pt idx="218">
                  <c:v>6.5922713279724121</c:v>
                </c:pt>
                <c:pt idx="219">
                  <c:v>5.1443305015563965</c:v>
                </c:pt>
                <c:pt idx="220">
                  <c:v>5.1355319023132324</c:v>
                </c:pt>
                <c:pt idx="221">
                  <c:v>5.8244004249572754</c:v>
                </c:pt>
                <c:pt idx="222">
                  <c:v>3.5816442966461182</c:v>
                </c:pt>
                <c:pt idx="223">
                  <c:v>6.1200580596923828</c:v>
                </c:pt>
                <c:pt idx="224">
                  <c:v>4.3675951957702637</c:v>
                </c:pt>
                <c:pt idx="225">
                  <c:v>5.4688525199890137</c:v>
                </c:pt>
              </c:numCache>
            </c:numRef>
          </c:yVal>
          <c:smooth val="1"/>
          <c:extLst>
            <c:ext xmlns:c16="http://schemas.microsoft.com/office/drawing/2014/chart" uri="{C3380CC4-5D6E-409C-BE32-E72D297353CC}">
              <c16:uniqueId val="{00000001-C55B-4A1A-87F7-276FE06EA34B}"/>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99.839500427246094</c:v>
                </c:pt>
                <c:pt idx="1">
                  <c:v>100</c:v>
                </c:pt>
                <c:pt idx="2">
                  <c:v>98.339576721191406</c:v>
                </c:pt>
                <c:pt idx="3">
                  <c:v>95.695549011230469</c:v>
                </c:pt>
                <c:pt idx="4">
                  <c:v>91.203048706054688</c:v>
                </c:pt>
                <c:pt idx="5">
                  <c:v>85.104301452636719</c:v>
                </c:pt>
                <c:pt idx="6">
                  <c:v>76.875770568847656</c:v>
                </c:pt>
                <c:pt idx="7">
                  <c:v>67.813674926757813</c:v>
                </c:pt>
                <c:pt idx="8">
                  <c:v>58.873523712158203</c:v>
                </c:pt>
                <c:pt idx="9">
                  <c:v>50.252834320068359</c:v>
                </c:pt>
                <c:pt idx="10">
                  <c:v>42.954818725585938</c:v>
                </c:pt>
                <c:pt idx="11">
                  <c:v>36.555099487304688</c:v>
                </c:pt>
                <c:pt idx="12">
                  <c:v>31.164928436279297</c:v>
                </c:pt>
                <c:pt idx="13">
                  <c:v>26.414560317993164</c:v>
                </c:pt>
                <c:pt idx="14">
                  <c:v>22.376470565795898</c:v>
                </c:pt>
                <c:pt idx="15">
                  <c:v>19.917430877685547</c:v>
                </c:pt>
                <c:pt idx="16">
                  <c:v>19.189918518066406</c:v>
                </c:pt>
                <c:pt idx="17">
                  <c:v>19.72833251953125</c:v>
                </c:pt>
                <c:pt idx="18">
                  <c:v>21.016334533691406</c:v>
                </c:pt>
                <c:pt idx="19">
                  <c:v>22.512340545654297</c:v>
                </c:pt>
                <c:pt idx="20">
                  <c:v>23.860660552978516</c:v>
                </c:pt>
                <c:pt idx="21">
                  <c:v>25.220609664916992</c:v>
                </c:pt>
                <c:pt idx="22">
                  <c:v>26.950019836425781</c:v>
                </c:pt>
                <c:pt idx="23">
                  <c:v>28.697805404663086</c:v>
                </c:pt>
                <c:pt idx="24">
                  <c:v>31.15106201171875</c:v>
                </c:pt>
                <c:pt idx="25">
                  <c:v>33.792980194091797</c:v>
                </c:pt>
                <c:pt idx="26">
                  <c:v>36.390625</c:v>
                </c:pt>
                <c:pt idx="27">
                  <c:v>39.097743988037109</c:v>
                </c:pt>
                <c:pt idx="28">
                  <c:v>42.139907836914063</c:v>
                </c:pt>
                <c:pt idx="29">
                  <c:v>44.963306427001953</c:v>
                </c:pt>
                <c:pt idx="30">
                  <c:v>47.65643310546875</c:v>
                </c:pt>
                <c:pt idx="31">
                  <c:v>49.646827697753906</c:v>
                </c:pt>
                <c:pt idx="32">
                  <c:v>50.968845367431641</c:v>
                </c:pt>
                <c:pt idx="33">
                  <c:v>51.672603607177734</c:v>
                </c:pt>
                <c:pt idx="34">
                  <c:v>51.653327941894531</c:v>
                </c:pt>
                <c:pt idx="35">
                  <c:v>51.268848419189453</c:v>
                </c:pt>
                <c:pt idx="36">
                  <c:v>50.540618896484375</c:v>
                </c:pt>
                <c:pt idx="37">
                  <c:v>49.163105010986328</c:v>
                </c:pt>
                <c:pt idx="38">
                  <c:v>47.105926513671875</c:v>
                </c:pt>
                <c:pt idx="39">
                  <c:v>44.958023071289063</c:v>
                </c:pt>
                <c:pt idx="40">
                  <c:v>43.058444976806641</c:v>
                </c:pt>
                <c:pt idx="41">
                  <c:v>41.644710540771484</c:v>
                </c:pt>
                <c:pt idx="42">
                  <c:v>40.999652862548828</c:v>
                </c:pt>
                <c:pt idx="43">
                  <c:v>40.908615112304688</c:v>
                </c:pt>
                <c:pt idx="44">
                  <c:v>41.121498107910156</c:v>
                </c:pt>
                <c:pt idx="45">
                  <c:v>41.023063659667969</c:v>
                </c:pt>
                <c:pt idx="46">
                  <c:v>40.730148315429688</c:v>
                </c:pt>
                <c:pt idx="47">
                  <c:v>40.277484893798828</c:v>
                </c:pt>
                <c:pt idx="48">
                  <c:v>39.183742523193359</c:v>
                </c:pt>
                <c:pt idx="49">
                  <c:v>37.623687744140625</c:v>
                </c:pt>
                <c:pt idx="50">
                  <c:v>35.704994201660156</c:v>
                </c:pt>
                <c:pt idx="51">
                  <c:v>33.136543273925781</c:v>
                </c:pt>
                <c:pt idx="52">
                  <c:v>29.987113952636719</c:v>
                </c:pt>
                <c:pt idx="53">
                  <c:v>26.650484085083008</c:v>
                </c:pt>
                <c:pt idx="54">
                  <c:v>23.255088806152344</c:v>
                </c:pt>
                <c:pt idx="55">
                  <c:v>20.168558120727539</c:v>
                </c:pt>
                <c:pt idx="56">
                  <c:v>17.329145431518555</c:v>
                </c:pt>
                <c:pt idx="57">
                  <c:v>15.001811027526855</c:v>
                </c:pt>
                <c:pt idx="58">
                  <c:v>12.973516464233398</c:v>
                </c:pt>
                <c:pt idx="59">
                  <c:v>11.293261528015137</c:v>
                </c:pt>
                <c:pt idx="60">
                  <c:v>10.142746925354004</c:v>
                </c:pt>
                <c:pt idx="61">
                  <c:v>9.0268363952636719</c:v>
                </c:pt>
                <c:pt idx="62">
                  <c:v>8.1923990249633789</c:v>
                </c:pt>
                <c:pt idx="63">
                  <c:v>7.7549080848693848</c:v>
                </c:pt>
                <c:pt idx="64">
                  <c:v>7.3532977104187012</c:v>
                </c:pt>
                <c:pt idx="65">
                  <c:v>6.9327206611633301</c:v>
                </c:pt>
                <c:pt idx="66">
                  <c:v>6.7106022834777832</c:v>
                </c:pt>
                <c:pt idx="67">
                  <c:v>6.3908557891845703</c:v>
                </c:pt>
                <c:pt idx="68">
                  <c:v>6.2512850761413574</c:v>
                </c:pt>
                <c:pt idx="69">
                  <c:v>6.2659916877746582</c:v>
                </c:pt>
                <c:pt idx="70">
                  <c:v>6.1368370056152344</c:v>
                </c:pt>
                <c:pt idx="71">
                  <c:v>5.9525256156921387</c:v>
                </c:pt>
                <c:pt idx="72">
                  <c:v>5.6973562240600586</c:v>
                </c:pt>
                <c:pt idx="73">
                  <c:v>5.6121964454650879</c:v>
                </c:pt>
                <c:pt idx="74">
                  <c:v>5.6210265159606934</c:v>
                </c:pt>
                <c:pt idx="75">
                  <c:v>5.3877458572387695</c:v>
                </c:pt>
                <c:pt idx="76">
                  <c:v>5.2749762535095215</c:v>
                </c:pt>
                <c:pt idx="77">
                  <c:v>5.3018393516540527</c:v>
                </c:pt>
                <c:pt idx="78">
                  <c:v>5.0184082984924316</c:v>
                </c:pt>
                <c:pt idx="79">
                  <c:v>4.8978967666625977</c:v>
                </c:pt>
                <c:pt idx="80">
                  <c:v>4.902125358581543</c:v>
                </c:pt>
                <c:pt idx="81">
                  <c:v>4.7034497261047363</c:v>
                </c:pt>
                <c:pt idx="82">
                  <c:v>4.6968274116516113</c:v>
                </c:pt>
                <c:pt idx="83">
                  <c:v>4.311943531036377</c:v>
                </c:pt>
                <c:pt idx="84">
                  <c:v>4.3356046676635742</c:v>
                </c:pt>
                <c:pt idx="85">
                  <c:v>4.6148695945739746</c:v>
                </c:pt>
                <c:pt idx="86">
                  <c:v>4.4635777473449707</c:v>
                </c:pt>
                <c:pt idx="87">
                  <c:v>4.3519587516784668</c:v>
                </c:pt>
                <c:pt idx="88">
                  <c:v>3.8382935523986816</c:v>
                </c:pt>
                <c:pt idx="89">
                  <c:v>3.6758708953857422</c:v>
                </c:pt>
                <c:pt idx="90">
                  <c:v>3.5844614505767822</c:v>
                </c:pt>
                <c:pt idx="91">
                  <c:v>3.3631510734558105</c:v>
                </c:pt>
                <c:pt idx="92">
                  <c:v>3.8291215896606445</c:v>
                </c:pt>
                <c:pt idx="93">
                  <c:v>3.8785572052001953</c:v>
                </c:pt>
                <c:pt idx="94">
                  <c:v>3.7200520038604736</c:v>
                </c:pt>
                <c:pt idx="95">
                  <c:v>3.5948150157928467</c:v>
                </c:pt>
                <c:pt idx="96">
                  <c:v>3.3794431686401367</c:v>
                </c:pt>
                <c:pt idx="97">
                  <c:v>3.3797850608825684</c:v>
                </c:pt>
                <c:pt idx="98">
                  <c:v>3.5073540210723877</c:v>
                </c:pt>
                <c:pt idx="99">
                  <c:v>3.5326938629150391</c:v>
                </c:pt>
                <c:pt idx="100">
                  <c:v>3.3164825439453125</c:v>
                </c:pt>
                <c:pt idx="101">
                  <c:v>3.0726306438446045</c:v>
                </c:pt>
                <c:pt idx="102">
                  <c:v>3.132575511932373</c:v>
                </c:pt>
                <c:pt idx="103">
                  <c:v>3.229705810546875</c:v>
                </c:pt>
                <c:pt idx="104">
                  <c:v>3.0304703712463379</c:v>
                </c:pt>
                <c:pt idx="105">
                  <c:v>3.2097136974334717</c:v>
                </c:pt>
                <c:pt idx="106">
                  <c:v>3.8300542831420898</c:v>
                </c:pt>
                <c:pt idx="107">
                  <c:v>3.8869209289550781</c:v>
                </c:pt>
                <c:pt idx="108">
                  <c:v>3.6638693809509277</c:v>
                </c:pt>
                <c:pt idx="109">
                  <c:v>3.7490606307983398</c:v>
                </c:pt>
                <c:pt idx="110">
                  <c:v>3.5841505527496338</c:v>
                </c:pt>
                <c:pt idx="111">
                  <c:v>3.6875302791595459</c:v>
                </c:pt>
                <c:pt idx="112">
                  <c:v>4.2942523956298828</c:v>
                </c:pt>
                <c:pt idx="113">
                  <c:v>4.5057377815246582</c:v>
                </c:pt>
                <c:pt idx="114">
                  <c:v>4.5581893920898438</c:v>
                </c:pt>
                <c:pt idx="115">
                  <c:v>4.7533831596374512</c:v>
                </c:pt>
                <c:pt idx="116">
                  <c:v>4.7685246467590332</c:v>
                </c:pt>
                <c:pt idx="117">
                  <c:v>4.7916569709777832</c:v>
                </c:pt>
                <c:pt idx="118">
                  <c:v>4.8211007118225098</c:v>
                </c:pt>
                <c:pt idx="119">
                  <c:v>4.7132434844970703</c:v>
                </c:pt>
                <c:pt idx="120">
                  <c:v>4.8122081756591797</c:v>
                </c:pt>
                <c:pt idx="121">
                  <c:v>4.546623706817627</c:v>
                </c:pt>
                <c:pt idx="122">
                  <c:v>4.4073328971862793</c:v>
                </c:pt>
                <c:pt idx="123">
                  <c:v>4.6583981513977051</c:v>
                </c:pt>
                <c:pt idx="124">
                  <c:v>4.6626262664794922</c:v>
                </c:pt>
                <c:pt idx="125">
                  <c:v>4.596867561340332</c:v>
                </c:pt>
                <c:pt idx="126">
                  <c:v>4.7473201751708984</c:v>
                </c:pt>
                <c:pt idx="127">
                  <c:v>4.875542163848877</c:v>
                </c:pt>
                <c:pt idx="128">
                  <c:v>4.2531185150146484</c:v>
                </c:pt>
                <c:pt idx="129">
                  <c:v>3.8254837989807129</c:v>
                </c:pt>
                <c:pt idx="130">
                  <c:v>4.0360984802246094</c:v>
                </c:pt>
                <c:pt idx="131">
                  <c:v>4.0751185417175293</c:v>
                </c:pt>
                <c:pt idx="132">
                  <c:v>4.0734086036682129</c:v>
                </c:pt>
                <c:pt idx="133">
                  <c:v>4.0797824859619141</c:v>
                </c:pt>
                <c:pt idx="134">
                  <c:v>3.7481589317321777</c:v>
                </c:pt>
                <c:pt idx="135">
                  <c:v>3.9799470901489258</c:v>
                </c:pt>
                <c:pt idx="136">
                  <c:v>3.3149590492248535</c:v>
                </c:pt>
                <c:pt idx="137">
                  <c:v>2.3757426738739014</c:v>
                </c:pt>
                <c:pt idx="138">
                  <c:v>3.441906213760376</c:v>
                </c:pt>
                <c:pt idx="139">
                  <c:v>4.4198007583618164</c:v>
                </c:pt>
                <c:pt idx="140">
                  <c:v>4.3532333374023438</c:v>
                </c:pt>
                <c:pt idx="141">
                  <c:v>3.6875302791595459</c:v>
                </c:pt>
                <c:pt idx="142">
                  <c:v>3.8506991863250732</c:v>
                </c:pt>
                <c:pt idx="143">
                  <c:v>4.1778144836425781</c:v>
                </c:pt>
                <c:pt idx="144">
                  <c:v>3.3997149467468262</c:v>
                </c:pt>
                <c:pt idx="145">
                  <c:v>2.9264378547668457</c:v>
                </c:pt>
                <c:pt idx="146">
                  <c:v>5.1767888069152832</c:v>
                </c:pt>
                <c:pt idx="147">
                  <c:v>5.5689167976379395</c:v>
                </c:pt>
                <c:pt idx="148">
                  <c:v>2.9176387786865234</c:v>
                </c:pt>
                <c:pt idx="149">
                  <c:v>2</c:v>
                </c:pt>
                <c:pt idx="150">
                  <c:v>3.5843369960784912</c:v>
                </c:pt>
                <c:pt idx="151">
                  <c:v>3.5395340919494629</c:v>
                </c:pt>
                <c:pt idx="152">
                  <c:v>3.6393692493438721</c:v>
                </c:pt>
                <c:pt idx="153">
                  <c:v>4.050774097442627</c:v>
                </c:pt>
                <c:pt idx="154">
                  <c:v>4.1741147041320801</c:v>
                </c:pt>
                <c:pt idx="155">
                  <c:v>4.0500588417053223</c:v>
                </c:pt>
                <c:pt idx="156">
                  <c:v>4.0268955230712891</c:v>
                </c:pt>
                <c:pt idx="157">
                  <c:v>3.819265604019165</c:v>
                </c:pt>
                <c:pt idx="158">
                  <c:v>4.2067294120788574</c:v>
                </c:pt>
                <c:pt idx="159">
                  <c:v>4.5688228607177734</c:v>
                </c:pt>
                <c:pt idx="160">
                  <c:v>4.2760329246520996</c:v>
                </c:pt>
                <c:pt idx="161">
                  <c:v>4.313840389251709</c:v>
                </c:pt>
                <c:pt idx="162">
                  <c:v>4.399528980255127</c:v>
                </c:pt>
                <c:pt idx="163">
                  <c:v>4.1941995620727539</c:v>
                </c:pt>
                <c:pt idx="164">
                  <c:v>4.0711078643798828</c:v>
                </c:pt>
                <c:pt idx="165">
                  <c:v>3.5986702442169189</c:v>
                </c:pt>
                <c:pt idx="166">
                  <c:v>3.8097202777862549</c:v>
                </c:pt>
                <c:pt idx="167">
                  <c:v>4.1644139289855957</c:v>
                </c:pt>
                <c:pt idx="168">
                  <c:v>4.0893898010253906</c:v>
                </c:pt>
                <c:pt idx="169">
                  <c:v>4.3074045181274414</c:v>
                </c:pt>
                <c:pt idx="170">
                  <c:v>3.710817813873291</c:v>
                </c:pt>
                <c:pt idx="171">
                  <c:v>4.1112780570983887</c:v>
                </c:pt>
                <c:pt idx="172">
                  <c:v>4.5428304672241211</c:v>
                </c:pt>
                <c:pt idx="173">
                  <c:v>4.6034588813781738</c:v>
                </c:pt>
                <c:pt idx="174">
                  <c:v>4.3780136108398438</c:v>
                </c:pt>
                <c:pt idx="175">
                  <c:v>3.729628324508667</c:v>
                </c:pt>
                <c:pt idx="176">
                  <c:v>3.6957383155822754</c:v>
                </c:pt>
                <c:pt idx="177">
                  <c:v>4.1212277412414551</c:v>
                </c:pt>
                <c:pt idx="178">
                  <c:v>4.3398642539978027</c:v>
                </c:pt>
                <c:pt idx="179">
                  <c:v>4.3464865684509277</c:v>
                </c:pt>
                <c:pt idx="180">
                  <c:v>4.2791109085083008</c:v>
                </c:pt>
                <c:pt idx="181">
                  <c:v>3.8340339660644531</c:v>
                </c:pt>
                <c:pt idx="182">
                  <c:v>4.3637733459472656</c:v>
                </c:pt>
                <c:pt idx="183">
                  <c:v>4.5659623146057129</c:v>
                </c:pt>
                <c:pt idx="184">
                  <c:v>3.3307535648345947</c:v>
                </c:pt>
                <c:pt idx="185">
                  <c:v>3.5907108783721924</c:v>
                </c:pt>
                <c:pt idx="186">
                  <c:v>3.9584939479827881</c:v>
                </c:pt>
                <c:pt idx="187">
                  <c:v>3.9208109378814697</c:v>
                </c:pt>
                <c:pt idx="188">
                  <c:v>4.6990036964416504</c:v>
                </c:pt>
                <c:pt idx="189">
                  <c:v>4.3589234352111816</c:v>
                </c:pt>
                <c:pt idx="190">
                  <c:v>4.4581365585327148</c:v>
                </c:pt>
                <c:pt idx="191">
                  <c:v>5.0667557716369629</c:v>
                </c:pt>
                <c:pt idx="192">
                  <c:v>4.3364439010620117</c:v>
                </c:pt>
                <c:pt idx="193">
                  <c:v>4.571683406829834</c:v>
                </c:pt>
                <c:pt idx="194">
                  <c:v>4.1963138580322266</c:v>
                </c:pt>
                <c:pt idx="195">
                  <c:v>4.1482462882995605</c:v>
                </c:pt>
                <c:pt idx="196">
                  <c:v>3.8812932968139648</c:v>
                </c:pt>
                <c:pt idx="197">
                  <c:v>3.8480563163757324</c:v>
                </c:pt>
                <c:pt idx="198">
                  <c:v>4.1077027320861816</c:v>
                </c:pt>
                <c:pt idx="199">
                  <c:v>4.4867720603942871</c:v>
                </c:pt>
                <c:pt idx="200">
                  <c:v>4.1545577049255371</c:v>
                </c:pt>
                <c:pt idx="201">
                  <c:v>3.5786161422729492</c:v>
                </c:pt>
                <c:pt idx="202">
                  <c:v>4.3300390243530273</c:v>
                </c:pt>
                <c:pt idx="203">
                  <c:v>3.8704423904418945</c:v>
                </c:pt>
                <c:pt idx="204">
                  <c:v>4.3047614097595215</c:v>
                </c:pt>
                <c:pt idx="205">
                  <c:v>3.74259352684021</c:v>
                </c:pt>
                <c:pt idx="206">
                  <c:v>4.5137906074523926</c:v>
                </c:pt>
                <c:pt idx="207">
                  <c:v>3.8108396530151367</c:v>
                </c:pt>
                <c:pt idx="208">
                  <c:v>3.9257855415344238</c:v>
                </c:pt>
                <c:pt idx="209">
                  <c:v>4.2700943946838379</c:v>
                </c:pt>
                <c:pt idx="210">
                  <c:v>4.2773075103759766</c:v>
                </c:pt>
                <c:pt idx="211">
                  <c:v>4.9233608245849609</c:v>
                </c:pt>
                <c:pt idx="212">
                  <c:v>4.0204286575317383</c:v>
                </c:pt>
                <c:pt idx="213">
                  <c:v>3.8690433502197266</c:v>
                </c:pt>
                <c:pt idx="214">
                  <c:v>3.1203563213348389</c:v>
                </c:pt>
                <c:pt idx="215">
                  <c:v>4.0350103378295898</c:v>
                </c:pt>
                <c:pt idx="216">
                  <c:v>4.9372901916503906</c:v>
                </c:pt>
                <c:pt idx="217">
                  <c:v>4.3999333381652832</c:v>
                </c:pt>
                <c:pt idx="218">
                  <c:v>3.7226016521453857</c:v>
                </c:pt>
                <c:pt idx="219">
                  <c:v>2.5527784824371338</c:v>
                </c:pt>
                <c:pt idx="220">
                  <c:v>4.3677530288696289</c:v>
                </c:pt>
                <c:pt idx="221">
                  <c:v>5.0815863609313965</c:v>
                </c:pt>
                <c:pt idx="222">
                  <c:v>4.2653684616088867</c:v>
                </c:pt>
                <c:pt idx="223">
                  <c:v>5.1508274078369141</c:v>
                </c:pt>
                <c:pt idx="224">
                  <c:v>3.5932292938232422</c:v>
                </c:pt>
                <c:pt idx="225">
                  <c:v>4.1655640602111816</c:v>
                </c:pt>
              </c:numCache>
            </c:numRef>
          </c:yVal>
          <c:smooth val="1"/>
          <c:extLst>
            <c:ext xmlns:c16="http://schemas.microsoft.com/office/drawing/2014/chart" uri="{C3380CC4-5D6E-409C-BE32-E72D297353CC}">
              <c16:uniqueId val="{00000002-C55B-4A1A-87F7-276FE06EA34B}"/>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54.025966644287109</c:v>
                </c:pt>
                <c:pt idx="1">
                  <c:v>54.321552276611328</c:v>
                </c:pt>
                <c:pt idx="2">
                  <c:v>53.441268920898438</c:v>
                </c:pt>
                <c:pt idx="3">
                  <c:v>51.914558410644531</c:v>
                </c:pt>
                <c:pt idx="4">
                  <c:v>49.903224945068359</c:v>
                </c:pt>
                <c:pt idx="5">
                  <c:v>47.438808441162109</c:v>
                </c:pt>
                <c:pt idx="6">
                  <c:v>44.351364135742188</c:v>
                </c:pt>
                <c:pt idx="7">
                  <c:v>41.066535949707031</c:v>
                </c:pt>
                <c:pt idx="8">
                  <c:v>38.350082397460938</c:v>
                </c:pt>
                <c:pt idx="9">
                  <c:v>36.387897491455078</c:v>
                </c:pt>
                <c:pt idx="10">
                  <c:v>35.160762786865234</c:v>
                </c:pt>
                <c:pt idx="11">
                  <c:v>34.459308624267578</c:v>
                </c:pt>
                <c:pt idx="12">
                  <c:v>33.921367645263672</c:v>
                </c:pt>
                <c:pt idx="13">
                  <c:v>33.246311187744141</c:v>
                </c:pt>
                <c:pt idx="14">
                  <c:v>32.377265930175781</c:v>
                </c:pt>
                <c:pt idx="15">
                  <c:v>31.311792373657227</c:v>
                </c:pt>
                <c:pt idx="16">
                  <c:v>30.088558197021484</c:v>
                </c:pt>
                <c:pt idx="17">
                  <c:v>28.782400131225586</c:v>
                </c:pt>
                <c:pt idx="18">
                  <c:v>27.475347518920898</c:v>
                </c:pt>
                <c:pt idx="19">
                  <c:v>26.355443954467773</c:v>
                </c:pt>
                <c:pt idx="20">
                  <c:v>25.57689094543457</c:v>
                </c:pt>
                <c:pt idx="21">
                  <c:v>25.293142318725586</c:v>
                </c:pt>
                <c:pt idx="22">
                  <c:v>25.583740234375</c:v>
                </c:pt>
                <c:pt idx="23">
                  <c:v>26.404592514038086</c:v>
                </c:pt>
                <c:pt idx="24">
                  <c:v>27.941946029663086</c:v>
                </c:pt>
                <c:pt idx="25">
                  <c:v>30.128349304199219</c:v>
                </c:pt>
                <c:pt idx="26">
                  <c:v>33.015560150146484</c:v>
                </c:pt>
                <c:pt idx="27">
                  <c:v>36.395320892333984</c:v>
                </c:pt>
                <c:pt idx="28">
                  <c:v>40.418857574462891</c:v>
                </c:pt>
                <c:pt idx="29">
                  <c:v>44.719993591308594</c:v>
                </c:pt>
                <c:pt idx="30">
                  <c:v>49.45745849609375</c:v>
                </c:pt>
                <c:pt idx="31">
                  <c:v>54.301265716552734</c:v>
                </c:pt>
                <c:pt idx="32">
                  <c:v>59.42120361328125</c:v>
                </c:pt>
                <c:pt idx="33">
                  <c:v>64.645797729492188</c:v>
                </c:pt>
                <c:pt idx="34">
                  <c:v>69.7509765625</c:v>
                </c:pt>
                <c:pt idx="35">
                  <c:v>74.865478515625</c:v>
                </c:pt>
                <c:pt idx="36">
                  <c:v>79.765174865722656</c:v>
                </c:pt>
                <c:pt idx="37">
                  <c:v>84.385704040527344</c:v>
                </c:pt>
                <c:pt idx="38">
                  <c:v>88.598274230957031</c:v>
                </c:pt>
                <c:pt idx="39">
                  <c:v>92.471946716308594</c:v>
                </c:pt>
                <c:pt idx="40">
                  <c:v>95.620872497558594</c:v>
                </c:pt>
                <c:pt idx="41">
                  <c:v>97.9705810546875</c:v>
                </c:pt>
                <c:pt idx="42">
                  <c:v>99.490440368652344</c:v>
                </c:pt>
                <c:pt idx="43">
                  <c:v>100</c:v>
                </c:pt>
                <c:pt idx="44">
                  <c:v>99.537872314453125</c:v>
                </c:pt>
                <c:pt idx="45">
                  <c:v>98.116989135742188</c:v>
                </c:pt>
                <c:pt idx="46">
                  <c:v>95.728294372558594</c:v>
                </c:pt>
                <c:pt idx="47">
                  <c:v>92.407470703125</c:v>
                </c:pt>
                <c:pt idx="48">
                  <c:v>88.282028198242188</c:v>
                </c:pt>
                <c:pt idx="49">
                  <c:v>83.403068542480469</c:v>
                </c:pt>
                <c:pt idx="50">
                  <c:v>77.911338806152344</c:v>
                </c:pt>
                <c:pt idx="51">
                  <c:v>71.935638427734375</c:v>
                </c:pt>
                <c:pt idx="52">
                  <c:v>65.6221923828125</c:v>
                </c:pt>
                <c:pt idx="53">
                  <c:v>59.117229461669922</c:v>
                </c:pt>
                <c:pt idx="54">
                  <c:v>52.354736328125</c:v>
                </c:pt>
                <c:pt idx="55">
                  <c:v>45.901439666748047</c:v>
                </c:pt>
                <c:pt idx="56">
                  <c:v>39.671192169189453</c:v>
                </c:pt>
                <c:pt idx="57">
                  <c:v>33.754837036132813</c:v>
                </c:pt>
                <c:pt idx="58">
                  <c:v>28.224273681640625</c:v>
                </c:pt>
                <c:pt idx="59">
                  <c:v>23.447046279907227</c:v>
                </c:pt>
                <c:pt idx="60">
                  <c:v>19.246604919433594</c:v>
                </c:pt>
                <c:pt idx="61">
                  <c:v>15.562938690185547</c:v>
                </c:pt>
                <c:pt idx="62">
                  <c:v>12.636892318725586</c:v>
                </c:pt>
                <c:pt idx="63">
                  <c:v>10.098960876464844</c:v>
                </c:pt>
                <c:pt idx="64">
                  <c:v>8.1195926666259766</c:v>
                </c:pt>
                <c:pt idx="65">
                  <c:v>6.6365966796875</c:v>
                </c:pt>
                <c:pt idx="66">
                  <c:v>5.5454463958740234</c:v>
                </c:pt>
                <c:pt idx="67">
                  <c:v>4.7148799896240234</c:v>
                </c:pt>
                <c:pt idx="68">
                  <c:v>4.1294436454772949</c:v>
                </c:pt>
                <c:pt idx="69">
                  <c:v>3.7146451473236084</c:v>
                </c:pt>
                <c:pt idx="70">
                  <c:v>3.3769900798797607</c:v>
                </c:pt>
                <c:pt idx="71">
                  <c:v>3.2266669273376465</c:v>
                </c:pt>
                <c:pt idx="72">
                  <c:v>3.1366772651672363</c:v>
                </c:pt>
                <c:pt idx="73">
                  <c:v>3.0281720161437988</c:v>
                </c:pt>
                <c:pt idx="74">
                  <c:v>2.9895455837249756</c:v>
                </c:pt>
                <c:pt idx="75">
                  <c:v>2.9815158843994141</c:v>
                </c:pt>
                <c:pt idx="76">
                  <c:v>2.9863541126251221</c:v>
                </c:pt>
                <c:pt idx="77">
                  <c:v>3.0506513118743896</c:v>
                </c:pt>
                <c:pt idx="78">
                  <c:v>3.0640149116516113</c:v>
                </c:pt>
                <c:pt idx="79">
                  <c:v>3.0319247245788574</c:v>
                </c:pt>
                <c:pt idx="80">
                  <c:v>3.0673739910125732</c:v>
                </c:pt>
                <c:pt idx="81">
                  <c:v>3.0350871086120605</c:v>
                </c:pt>
                <c:pt idx="82">
                  <c:v>3.0730941295623779</c:v>
                </c:pt>
                <c:pt idx="83">
                  <c:v>3.1314525604248047</c:v>
                </c:pt>
                <c:pt idx="84">
                  <c:v>3.0739829540252686</c:v>
                </c:pt>
                <c:pt idx="85">
                  <c:v>3.0752072334289551</c:v>
                </c:pt>
                <c:pt idx="86">
                  <c:v>3.0912742614746094</c:v>
                </c:pt>
                <c:pt idx="87">
                  <c:v>3.0915000438690186</c:v>
                </c:pt>
                <c:pt idx="88">
                  <c:v>3.0293014049530029</c:v>
                </c:pt>
                <c:pt idx="89">
                  <c:v>3.0025303363800049</c:v>
                </c:pt>
                <c:pt idx="90">
                  <c:v>2.952857494354248</c:v>
                </c:pt>
                <c:pt idx="91">
                  <c:v>2.8601205348968506</c:v>
                </c:pt>
                <c:pt idx="92">
                  <c:v>2.8712692260742188</c:v>
                </c:pt>
                <c:pt idx="93">
                  <c:v>2.8078243732452393</c:v>
                </c:pt>
                <c:pt idx="94">
                  <c:v>2.7257988452911377</c:v>
                </c:pt>
                <c:pt idx="95">
                  <c:v>2.656933069229126</c:v>
                </c:pt>
                <c:pt idx="96">
                  <c:v>2.6227078437805176</c:v>
                </c:pt>
                <c:pt idx="97">
                  <c:v>2.608447790145874</c:v>
                </c:pt>
                <c:pt idx="98">
                  <c:v>2.5639774799346924</c:v>
                </c:pt>
                <c:pt idx="99">
                  <c:v>2.5326449871063232</c:v>
                </c:pt>
                <c:pt idx="100">
                  <c:v>2.4993088245391846</c:v>
                </c:pt>
                <c:pt idx="101">
                  <c:v>2.441737174987793</c:v>
                </c:pt>
                <c:pt idx="102">
                  <c:v>2.4598953723907471</c:v>
                </c:pt>
                <c:pt idx="103">
                  <c:v>2.4442875385284424</c:v>
                </c:pt>
                <c:pt idx="104">
                  <c:v>2.3392724990844727</c:v>
                </c:pt>
                <c:pt idx="105">
                  <c:v>2.3190157413482666</c:v>
                </c:pt>
                <c:pt idx="106">
                  <c:v>2.3532629013061523</c:v>
                </c:pt>
                <c:pt idx="107">
                  <c:v>2.3332099914550781</c:v>
                </c:pt>
                <c:pt idx="108">
                  <c:v>2.3904027938842773</c:v>
                </c:pt>
                <c:pt idx="109">
                  <c:v>2.3906869888305664</c:v>
                </c:pt>
                <c:pt idx="110">
                  <c:v>2.3212528228759766</c:v>
                </c:pt>
                <c:pt idx="111">
                  <c:v>2.3273079395294189</c:v>
                </c:pt>
                <c:pt idx="112">
                  <c:v>2.4293060302734375</c:v>
                </c:pt>
                <c:pt idx="113">
                  <c:v>2.4494755268096924</c:v>
                </c:pt>
                <c:pt idx="114">
                  <c:v>2.3415169715881348</c:v>
                </c:pt>
                <c:pt idx="115">
                  <c:v>2.3055791854858398</c:v>
                </c:pt>
                <c:pt idx="116">
                  <c:v>2.3514049053192139</c:v>
                </c:pt>
                <c:pt idx="117">
                  <c:v>2.3806533813476563</c:v>
                </c:pt>
                <c:pt idx="118">
                  <c:v>2.3580574989318848</c:v>
                </c:pt>
                <c:pt idx="119">
                  <c:v>2.3617372512817383</c:v>
                </c:pt>
                <c:pt idx="120">
                  <c:v>2.3388280868530273</c:v>
                </c:pt>
                <c:pt idx="121">
                  <c:v>2.3986730575561523</c:v>
                </c:pt>
                <c:pt idx="122">
                  <c:v>2.3702991008758545</c:v>
                </c:pt>
                <c:pt idx="123">
                  <c:v>2.2891843318939209</c:v>
                </c:pt>
                <c:pt idx="124">
                  <c:v>2.4027681350708008</c:v>
                </c:pt>
                <c:pt idx="125">
                  <c:v>2.391495943069458</c:v>
                </c:pt>
                <c:pt idx="126">
                  <c:v>2.3192853927612305</c:v>
                </c:pt>
                <c:pt idx="127">
                  <c:v>2.3511133193969727</c:v>
                </c:pt>
                <c:pt idx="128">
                  <c:v>2.4095594882965088</c:v>
                </c:pt>
                <c:pt idx="129">
                  <c:v>2.483715295791626</c:v>
                </c:pt>
                <c:pt idx="130">
                  <c:v>2.4416060447692871</c:v>
                </c:pt>
                <c:pt idx="131">
                  <c:v>2.3617954254150391</c:v>
                </c:pt>
                <c:pt idx="132">
                  <c:v>2.3649070262908936</c:v>
                </c:pt>
                <c:pt idx="133">
                  <c:v>2.4145653247833252</c:v>
                </c:pt>
                <c:pt idx="134">
                  <c:v>2.4784982204437256</c:v>
                </c:pt>
                <c:pt idx="135">
                  <c:v>2.4302315711975098</c:v>
                </c:pt>
                <c:pt idx="136">
                  <c:v>2.5865588188171387</c:v>
                </c:pt>
                <c:pt idx="137">
                  <c:v>2.7057242393493652</c:v>
                </c:pt>
                <c:pt idx="138">
                  <c:v>2.391364574432373</c:v>
                </c:pt>
                <c:pt idx="139">
                  <c:v>2.1655957698822021</c:v>
                </c:pt>
                <c:pt idx="140">
                  <c:v>2.204193115234375</c:v>
                </c:pt>
                <c:pt idx="141">
                  <c:v>2.2585148811340332</c:v>
                </c:pt>
                <c:pt idx="142">
                  <c:v>2.2460110187530518</c:v>
                </c:pt>
                <c:pt idx="143">
                  <c:v>2.2965292930603027</c:v>
                </c:pt>
                <c:pt idx="144">
                  <c:v>2.4169552326202393</c:v>
                </c:pt>
                <c:pt idx="145">
                  <c:v>2.3409266471862793</c:v>
                </c:pt>
                <c:pt idx="146">
                  <c:v>2.3905339241027832</c:v>
                </c:pt>
                <c:pt idx="147">
                  <c:v>2.3354544639587402</c:v>
                </c:pt>
                <c:pt idx="148">
                  <c:v>2.1669292449951172</c:v>
                </c:pt>
                <c:pt idx="149">
                  <c:v>2.2036831378936768</c:v>
                </c:pt>
                <c:pt idx="150">
                  <c:v>2.2962961196899414</c:v>
                </c:pt>
                <c:pt idx="151">
                  <c:v>2.1827995777130127</c:v>
                </c:pt>
                <c:pt idx="152">
                  <c:v>2.0775225162506104</c:v>
                </c:pt>
                <c:pt idx="153">
                  <c:v>2.0334019660949707</c:v>
                </c:pt>
                <c:pt idx="154">
                  <c:v>2.0659875869750977</c:v>
                </c:pt>
                <c:pt idx="155">
                  <c:v>2.1784348487854004</c:v>
                </c:pt>
                <c:pt idx="156">
                  <c:v>2.1912813186645508</c:v>
                </c:pt>
                <c:pt idx="157">
                  <c:v>2.1495215892791748</c:v>
                </c:pt>
                <c:pt idx="158">
                  <c:v>2.1954345703125</c:v>
                </c:pt>
                <c:pt idx="159">
                  <c:v>2.1747040748596191</c:v>
                </c:pt>
                <c:pt idx="160">
                  <c:v>2.1630308628082275</c:v>
                </c:pt>
                <c:pt idx="161">
                  <c:v>2.1529316902160645</c:v>
                </c:pt>
                <c:pt idx="162">
                  <c:v>2.0403168201446533</c:v>
                </c:pt>
                <c:pt idx="163">
                  <c:v>2.1134819984436035</c:v>
                </c:pt>
                <c:pt idx="164">
                  <c:v>2.1849782466888428</c:v>
                </c:pt>
                <c:pt idx="165">
                  <c:v>2.1669437885284424</c:v>
                </c:pt>
                <c:pt idx="166">
                  <c:v>2.126838207244873</c:v>
                </c:pt>
                <c:pt idx="167">
                  <c:v>2.177910327911377</c:v>
                </c:pt>
                <c:pt idx="168">
                  <c:v>2.2486779689788818</c:v>
                </c:pt>
                <c:pt idx="169">
                  <c:v>2.1288712024688721</c:v>
                </c:pt>
                <c:pt idx="170">
                  <c:v>2.1832294464111328</c:v>
                </c:pt>
                <c:pt idx="171">
                  <c:v>2.2029762268066406</c:v>
                </c:pt>
                <c:pt idx="172">
                  <c:v>2.0447471141815186</c:v>
                </c:pt>
                <c:pt idx="173">
                  <c:v>2.0384078025817871</c:v>
                </c:pt>
                <c:pt idx="174">
                  <c:v>2.0164749622344971</c:v>
                </c:pt>
                <c:pt idx="175">
                  <c:v>2.0048530101776123</c:v>
                </c:pt>
                <c:pt idx="176">
                  <c:v>2.1446468830108643</c:v>
                </c:pt>
                <c:pt idx="177">
                  <c:v>2.1498932838439941</c:v>
                </c:pt>
                <c:pt idx="178">
                  <c:v>2.0861790180206299</c:v>
                </c:pt>
                <c:pt idx="179">
                  <c:v>2.0309245586395264</c:v>
                </c:pt>
                <c:pt idx="180">
                  <c:v>2.0502047538757324</c:v>
                </c:pt>
                <c:pt idx="181">
                  <c:v>2.0371108055114746</c:v>
                </c:pt>
                <c:pt idx="182">
                  <c:v>2</c:v>
                </c:pt>
                <c:pt idx="183">
                  <c:v>2.0844883918762207</c:v>
                </c:pt>
                <c:pt idx="184">
                  <c:v>2.1783473491668701</c:v>
                </c:pt>
                <c:pt idx="185">
                  <c:v>2.141265869140625</c:v>
                </c:pt>
                <c:pt idx="186">
                  <c:v>2.1267509460449219</c:v>
                </c:pt>
                <c:pt idx="187">
                  <c:v>2.0965039730072021</c:v>
                </c:pt>
                <c:pt idx="188">
                  <c:v>2.1322376728057861</c:v>
                </c:pt>
                <c:pt idx="189">
                  <c:v>2.2320425510406494</c:v>
                </c:pt>
                <c:pt idx="190">
                  <c:v>2.2068455219268799</c:v>
                </c:pt>
                <c:pt idx="191">
                  <c:v>2.1481297016143799</c:v>
                </c:pt>
                <c:pt idx="192">
                  <c:v>2.12857985496521</c:v>
                </c:pt>
                <c:pt idx="193">
                  <c:v>2.1649401187896729</c:v>
                </c:pt>
                <c:pt idx="194">
                  <c:v>2.205803394317627</c:v>
                </c:pt>
                <c:pt idx="195">
                  <c:v>2.1655011177062988</c:v>
                </c:pt>
                <c:pt idx="196">
                  <c:v>2.2392563819885254</c:v>
                </c:pt>
                <c:pt idx="197">
                  <c:v>2.1586370468139648</c:v>
                </c:pt>
                <c:pt idx="198">
                  <c:v>2.1152234077453613</c:v>
                </c:pt>
                <c:pt idx="199">
                  <c:v>2.2188901901245117</c:v>
                </c:pt>
                <c:pt idx="200">
                  <c:v>2.1879804134368896</c:v>
                </c:pt>
                <c:pt idx="201">
                  <c:v>2.1492519378662109</c:v>
                </c:pt>
                <c:pt idx="202">
                  <c:v>2.145054817199707</c:v>
                </c:pt>
                <c:pt idx="203">
                  <c:v>2.1402676105499268</c:v>
                </c:pt>
                <c:pt idx="204">
                  <c:v>2.1265103816986084</c:v>
                </c:pt>
                <c:pt idx="205">
                  <c:v>2.2009942531585693</c:v>
                </c:pt>
                <c:pt idx="206">
                  <c:v>2.1913249492645264</c:v>
                </c:pt>
                <c:pt idx="207">
                  <c:v>2.2362761497497559</c:v>
                </c:pt>
                <c:pt idx="208">
                  <c:v>2.1832659244537354</c:v>
                </c:pt>
                <c:pt idx="209">
                  <c:v>2.1759500503540039</c:v>
                </c:pt>
                <c:pt idx="210">
                  <c:v>2.1800744533538818</c:v>
                </c:pt>
                <c:pt idx="211">
                  <c:v>2.2234225273132324</c:v>
                </c:pt>
                <c:pt idx="212">
                  <c:v>2.2864007949829102</c:v>
                </c:pt>
                <c:pt idx="213">
                  <c:v>2.1847670078277588</c:v>
                </c:pt>
                <c:pt idx="214">
                  <c:v>2.2229561805725098</c:v>
                </c:pt>
                <c:pt idx="215">
                  <c:v>2.2204058170318604</c:v>
                </c:pt>
                <c:pt idx="216">
                  <c:v>2.2185478210449219</c:v>
                </c:pt>
                <c:pt idx="217">
                  <c:v>2.1914050579071045</c:v>
                </c:pt>
                <c:pt idx="218">
                  <c:v>2.2351758480072021</c:v>
                </c:pt>
                <c:pt idx="219">
                  <c:v>2.2982997894287109</c:v>
                </c:pt>
                <c:pt idx="220">
                  <c:v>2.183870792388916</c:v>
                </c:pt>
                <c:pt idx="221">
                  <c:v>2.1399614810943604</c:v>
                </c:pt>
                <c:pt idx="222">
                  <c:v>2.3251512050628662</c:v>
                </c:pt>
                <c:pt idx="223">
                  <c:v>2.3242111206054688</c:v>
                </c:pt>
                <c:pt idx="224">
                  <c:v>2.2703046798706055</c:v>
                </c:pt>
                <c:pt idx="225">
                  <c:v>2.1198940277099609</c:v>
                </c:pt>
              </c:numCache>
            </c:numRef>
          </c:yVal>
          <c:smooth val="1"/>
          <c:extLst>
            <c:ext xmlns:c16="http://schemas.microsoft.com/office/drawing/2014/chart" uri="{C3380CC4-5D6E-409C-BE32-E72D297353CC}">
              <c16:uniqueId val="{00000003-C55B-4A1A-87F7-276FE06EA34B}"/>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53.616268157958984</c:v>
                </c:pt>
                <c:pt idx="1">
                  <c:v>53.537857055664063</c:v>
                </c:pt>
                <c:pt idx="2">
                  <c:v>52.605644226074219</c:v>
                </c:pt>
                <c:pt idx="3">
                  <c:v>51.028617858886719</c:v>
                </c:pt>
                <c:pt idx="4">
                  <c:v>48.918498992919922</c:v>
                </c:pt>
                <c:pt idx="5">
                  <c:v>46.237205505371094</c:v>
                </c:pt>
                <c:pt idx="6">
                  <c:v>42.834297180175781</c:v>
                </c:pt>
                <c:pt idx="7">
                  <c:v>39.311515808105469</c:v>
                </c:pt>
                <c:pt idx="8">
                  <c:v>36.319751739501953</c:v>
                </c:pt>
                <c:pt idx="9">
                  <c:v>34.085926055908203</c:v>
                </c:pt>
                <c:pt idx="10">
                  <c:v>32.714595794677734</c:v>
                </c:pt>
                <c:pt idx="11">
                  <c:v>31.774242401123047</c:v>
                </c:pt>
                <c:pt idx="12">
                  <c:v>31.00274658203125</c:v>
                </c:pt>
                <c:pt idx="13">
                  <c:v>30.18675422668457</c:v>
                </c:pt>
                <c:pt idx="14">
                  <c:v>29.231618881225586</c:v>
                </c:pt>
                <c:pt idx="15">
                  <c:v>28.141170501708984</c:v>
                </c:pt>
                <c:pt idx="16">
                  <c:v>26.989545822143555</c:v>
                </c:pt>
                <c:pt idx="17">
                  <c:v>25.931913375854492</c:v>
                </c:pt>
                <c:pt idx="18">
                  <c:v>25.078027725219727</c:v>
                </c:pt>
                <c:pt idx="19">
                  <c:v>24.479574203491211</c:v>
                </c:pt>
                <c:pt idx="20">
                  <c:v>24.268815994262695</c:v>
                </c:pt>
                <c:pt idx="21">
                  <c:v>24.503765106201172</c:v>
                </c:pt>
                <c:pt idx="22">
                  <c:v>25.292140960693359</c:v>
                </c:pt>
                <c:pt idx="23">
                  <c:v>26.620220184326172</c:v>
                </c:pt>
                <c:pt idx="24">
                  <c:v>28.621458053588867</c:v>
                </c:pt>
                <c:pt idx="25">
                  <c:v>31.220388412475586</c:v>
                </c:pt>
                <c:pt idx="26">
                  <c:v>34.519115447998047</c:v>
                </c:pt>
                <c:pt idx="27">
                  <c:v>38.274173736572266</c:v>
                </c:pt>
                <c:pt idx="28">
                  <c:v>42.584056854248047</c:v>
                </c:pt>
                <c:pt idx="29">
                  <c:v>47.162578582763672</c:v>
                </c:pt>
                <c:pt idx="30">
                  <c:v>52.131343841552734</c:v>
                </c:pt>
                <c:pt idx="31">
                  <c:v>57.126369476318359</c:v>
                </c:pt>
                <c:pt idx="32">
                  <c:v>62.365249633789063</c:v>
                </c:pt>
                <c:pt idx="33">
                  <c:v>67.641593933105469</c:v>
                </c:pt>
                <c:pt idx="34">
                  <c:v>72.696571350097656</c:v>
                </c:pt>
                <c:pt idx="35">
                  <c:v>77.738334655761719</c:v>
                </c:pt>
                <c:pt idx="36">
                  <c:v>82.564735412597656</c:v>
                </c:pt>
                <c:pt idx="37">
                  <c:v>87.031990051269531</c:v>
                </c:pt>
                <c:pt idx="38">
                  <c:v>90.962135314941406</c:v>
                </c:pt>
                <c:pt idx="39">
                  <c:v>94.437843322753906</c:v>
                </c:pt>
                <c:pt idx="40">
                  <c:v>97.199508666992188</c:v>
                </c:pt>
                <c:pt idx="41">
                  <c:v>99.088386535644531</c:v>
                </c:pt>
                <c:pt idx="42">
                  <c:v>100</c:v>
                </c:pt>
                <c:pt idx="43">
                  <c:v>99.886451721191406</c:v>
                </c:pt>
                <c:pt idx="44">
                  <c:v>98.715118408203125</c:v>
                </c:pt>
                <c:pt idx="45">
                  <c:v>96.540023803710938</c:v>
                </c:pt>
                <c:pt idx="46">
                  <c:v>93.416221618652344</c:v>
                </c:pt>
                <c:pt idx="47">
                  <c:v>89.414047241210938</c:v>
                </c:pt>
                <c:pt idx="48">
                  <c:v>84.641891479492188</c:v>
                </c:pt>
                <c:pt idx="49">
                  <c:v>79.243431091308594</c:v>
                </c:pt>
                <c:pt idx="50">
                  <c:v>73.315544128417969</c:v>
                </c:pt>
                <c:pt idx="51">
                  <c:v>66.9573974609375</c:v>
                </c:pt>
                <c:pt idx="52">
                  <c:v>60.396209716796875</c:v>
                </c:pt>
                <c:pt idx="53">
                  <c:v>53.744045257568359</c:v>
                </c:pt>
                <c:pt idx="54">
                  <c:v>46.959270477294922</c:v>
                </c:pt>
                <c:pt idx="55">
                  <c:v>40.602321624755859</c:v>
                </c:pt>
                <c:pt idx="56">
                  <c:v>34.614891052246094</c:v>
                </c:pt>
                <c:pt idx="57">
                  <c:v>29.08502197265625</c:v>
                </c:pt>
                <c:pt idx="58">
                  <c:v>23.966131210327148</c:v>
                </c:pt>
                <c:pt idx="59">
                  <c:v>19.575227737426758</c:v>
                </c:pt>
                <c:pt idx="60">
                  <c:v>15.818838119506836</c:v>
                </c:pt>
                <c:pt idx="61">
                  <c:v>12.620382308959961</c:v>
                </c:pt>
                <c:pt idx="62">
                  <c:v>10.086158752441406</c:v>
                </c:pt>
                <c:pt idx="63">
                  <c:v>8.0124073028564453</c:v>
                </c:pt>
                <c:pt idx="64">
                  <c:v>6.4110894203186035</c:v>
                </c:pt>
                <c:pt idx="65">
                  <c:v>5.1893839836120605</c:v>
                </c:pt>
                <c:pt idx="66">
                  <c:v>4.312568187713623</c:v>
                </c:pt>
                <c:pt idx="67">
                  <c:v>3.6094627380371094</c:v>
                </c:pt>
                <c:pt idx="68">
                  <c:v>3.1649141311645508</c:v>
                </c:pt>
                <c:pt idx="69">
                  <c:v>2.8513917922973633</c:v>
                </c:pt>
                <c:pt idx="70">
                  <c:v>2.6045284271240234</c:v>
                </c:pt>
                <c:pt idx="71">
                  <c:v>2.4619264602661133</c:v>
                </c:pt>
                <c:pt idx="72">
                  <c:v>2.3776686191558838</c:v>
                </c:pt>
                <c:pt idx="73">
                  <c:v>2.299372673034668</c:v>
                </c:pt>
                <c:pt idx="74">
                  <c:v>2.2380120754241943</c:v>
                </c:pt>
                <c:pt idx="75">
                  <c:v>2.2120656967163086</c:v>
                </c:pt>
                <c:pt idx="76">
                  <c:v>2.2295563220977783</c:v>
                </c:pt>
                <c:pt idx="77">
                  <c:v>2.212573766708374</c:v>
                </c:pt>
                <c:pt idx="78">
                  <c:v>2.1951303482055664</c:v>
                </c:pt>
                <c:pt idx="79">
                  <c:v>2.2057178020477295</c:v>
                </c:pt>
                <c:pt idx="80">
                  <c:v>2.1835639476776123</c:v>
                </c:pt>
                <c:pt idx="81">
                  <c:v>2.1695272922515869</c:v>
                </c:pt>
                <c:pt idx="82">
                  <c:v>2.1820158958435059</c:v>
                </c:pt>
                <c:pt idx="83">
                  <c:v>2.1839780807495117</c:v>
                </c:pt>
                <c:pt idx="84">
                  <c:v>2.1939115524291992</c:v>
                </c:pt>
                <c:pt idx="85">
                  <c:v>2.2054591178894043</c:v>
                </c:pt>
                <c:pt idx="86">
                  <c:v>2.2281398773193359</c:v>
                </c:pt>
                <c:pt idx="87">
                  <c:v>2.2420542240142822</c:v>
                </c:pt>
                <c:pt idx="88">
                  <c:v>2.2028710842132568</c:v>
                </c:pt>
                <c:pt idx="89">
                  <c:v>2.1926882266998291</c:v>
                </c:pt>
                <c:pt idx="90">
                  <c:v>2.2022168636322021</c:v>
                </c:pt>
                <c:pt idx="91">
                  <c:v>2.210413932800293</c:v>
                </c:pt>
                <c:pt idx="92">
                  <c:v>2.18522047996521</c:v>
                </c:pt>
                <c:pt idx="93">
                  <c:v>2.1602997779846191</c:v>
                </c:pt>
                <c:pt idx="94">
                  <c:v>2.1545307636260986</c:v>
                </c:pt>
                <c:pt idx="95">
                  <c:v>2.1250126361846924</c:v>
                </c:pt>
                <c:pt idx="96">
                  <c:v>2.1287112236022949</c:v>
                </c:pt>
                <c:pt idx="97">
                  <c:v>2.1794326305389404</c:v>
                </c:pt>
                <c:pt idx="98">
                  <c:v>2.1473782062530518</c:v>
                </c:pt>
                <c:pt idx="99">
                  <c:v>2.1258456707000732</c:v>
                </c:pt>
                <c:pt idx="100">
                  <c:v>2.1385929584503174</c:v>
                </c:pt>
                <c:pt idx="101">
                  <c:v>2.1625490188598633</c:v>
                </c:pt>
                <c:pt idx="102">
                  <c:v>2.1833100318908691</c:v>
                </c:pt>
                <c:pt idx="103">
                  <c:v>2.1529026031494141</c:v>
                </c:pt>
                <c:pt idx="104">
                  <c:v>2.131943941116333</c:v>
                </c:pt>
                <c:pt idx="105">
                  <c:v>2.1263585090637207</c:v>
                </c:pt>
                <c:pt idx="106">
                  <c:v>2.1403622627258301</c:v>
                </c:pt>
                <c:pt idx="107">
                  <c:v>2.1127028465270996</c:v>
                </c:pt>
                <c:pt idx="108">
                  <c:v>2.0746443271636963</c:v>
                </c:pt>
                <c:pt idx="109">
                  <c:v>2.070155143737793</c:v>
                </c:pt>
                <c:pt idx="110">
                  <c:v>2.0615394115447998</c:v>
                </c:pt>
                <c:pt idx="111">
                  <c:v>2.0731196403503418</c:v>
                </c:pt>
                <c:pt idx="112">
                  <c:v>2.0842719078063965</c:v>
                </c:pt>
                <c:pt idx="113">
                  <c:v>2.1252102851867676</c:v>
                </c:pt>
                <c:pt idx="114">
                  <c:v>2.1579751968383789</c:v>
                </c:pt>
                <c:pt idx="115">
                  <c:v>2.1439855098724365</c:v>
                </c:pt>
                <c:pt idx="116">
                  <c:v>2.1201660633087158</c:v>
                </c:pt>
                <c:pt idx="117">
                  <c:v>2.094200611114502</c:v>
                </c:pt>
                <c:pt idx="118">
                  <c:v>2.0623817443847656</c:v>
                </c:pt>
                <c:pt idx="119">
                  <c:v>2.0380115509033203</c:v>
                </c:pt>
                <c:pt idx="120">
                  <c:v>2.0327131748199463</c:v>
                </c:pt>
                <c:pt idx="121">
                  <c:v>2.0616617202758789</c:v>
                </c:pt>
                <c:pt idx="122">
                  <c:v>2.0691623687744141</c:v>
                </c:pt>
                <c:pt idx="123">
                  <c:v>2.1077761650085449</c:v>
                </c:pt>
                <c:pt idx="124">
                  <c:v>2.1176674365997314</c:v>
                </c:pt>
                <c:pt idx="125">
                  <c:v>2.0956735610961914</c:v>
                </c:pt>
                <c:pt idx="126">
                  <c:v>2.1179919242858887</c:v>
                </c:pt>
                <c:pt idx="127">
                  <c:v>2.0781264305114746</c:v>
                </c:pt>
                <c:pt idx="128">
                  <c:v>2.1050987243652344</c:v>
                </c:pt>
                <c:pt idx="129">
                  <c:v>2.1624832153320313</c:v>
                </c:pt>
                <c:pt idx="130">
                  <c:v>2.1338968276977539</c:v>
                </c:pt>
                <c:pt idx="131">
                  <c:v>2.1213846206665039</c:v>
                </c:pt>
                <c:pt idx="132">
                  <c:v>2.1351861953735352</c:v>
                </c:pt>
                <c:pt idx="133">
                  <c:v>2.1308052539825439</c:v>
                </c:pt>
                <c:pt idx="134">
                  <c:v>2.1090562343597412</c:v>
                </c:pt>
                <c:pt idx="135">
                  <c:v>2.0974380970001221</c:v>
                </c:pt>
                <c:pt idx="136">
                  <c:v>2.5845298767089844</c:v>
                </c:pt>
                <c:pt idx="137">
                  <c:v>2.9322240352630615</c:v>
                </c:pt>
                <c:pt idx="138">
                  <c:v>2.4608018398284912</c:v>
                </c:pt>
                <c:pt idx="139">
                  <c:v>2.1120584011077881</c:v>
                </c:pt>
                <c:pt idx="140">
                  <c:v>2.1655511856079102</c:v>
                </c:pt>
                <c:pt idx="141">
                  <c:v>2.1887354850769043</c:v>
                </c:pt>
                <c:pt idx="142">
                  <c:v>2.1614665985107422</c:v>
                </c:pt>
                <c:pt idx="143">
                  <c:v>2.1177520751953125</c:v>
                </c:pt>
                <c:pt idx="144">
                  <c:v>2.0887892246246338</c:v>
                </c:pt>
                <c:pt idx="145">
                  <c:v>2.0620334148406982</c:v>
                </c:pt>
                <c:pt idx="146">
                  <c:v>2.0637602806091309</c:v>
                </c:pt>
                <c:pt idx="147">
                  <c:v>2.0798628330230713</c:v>
                </c:pt>
                <c:pt idx="148">
                  <c:v>2.0569467544555664</c:v>
                </c:pt>
                <c:pt idx="149">
                  <c:v>2.0759806632995605</c:v>
                </c:pt>
                <c:pt idx="150">
                  <c:v>2.1513168811798096</c:v>
                </c:pt>
                <c:pt idx="151">
                  <c:v>2.0956499576568604</c:v>
                </c:pt>
                <c:pt idx="152">
                  <c:v>2.0811474323272705</c:v>
                </c:pt>
                <c:pt idx="153">
                  <c:v>2.1478769779205322</c:v>
                </c:pt>
                <c:pt idx="154">
                  <c:v>2.1462395191192627</c:v>
                </c:pt>
                <c:pt idx="155">
                  <c:v>2.1471147537231445</c:v>
                </c:pt>
                <c:pt idx="156">
                  <c:v>2.1629114151000977</c:v>
                </c:pt>
                <c:pt idx="157">
                  <c:v>2.1494958400726318</c:v>
                </c:pt>
                <c:pt idx="158">
                  <c:v>2.111060619354248</c:v>
                </c:pt>
                <c:pt idx="159">
                  <c:v>2.1248526573181152</c:v>
                </c:pt>
                <c:pt idx="160">
                  <c:v>2.1657347679138184</c:v>
                </c:pt>
                <c:pt idx="161">
                  <c:v>2.1014237403869629</c:v>
                </c:pt>
                <c:pt idx="162">
                  <c:v>2.0625417232513428</c:v>
                </c:pt>
                <c:pt idx="163">
                  <c:v>2.1322970390319824</c:v>
                </c:pt>
                <c:pt idx="164">
                  <c:v>2.191544771194458</c:v>
                </c:pt>
                <c:pt idx="165">
                  <c:v>2.1460230350494385</c:v>
                </c:pt>
                <c:pt idx="166">
                  <c:v>2.135106086730957</c:v>
                </c:pt>
                <c:pt idx="167">
                  <c:v>2.2786400318145752</c:v>
                </c:pt>
                <c:pt idx="168">
                  <c:v>2.2414565086364746</c:v>
                </c:pt>
                <c:pt idx="169">
                  <c:v>2.1034471988677979</c:v>
                </c:pt>
                <c:pt idx="170">
                  <c:v>2.1065340042114258</c:v>
                </c:pt>
                <c:pt idx="171">
                  <c:v>2.1909658908843994</c:v>
                </c:pt>
                <c:pt idx="172">
                  <c:v>2.1458394527435303</c:v>
                </c:pt>
                <c:pt idx="173">
                  <c:v>2.0720655918121338</c:v>
                </c:pt>
                <c:pt idx="174">
                  <c:v>2.1241939067840576</c:v>
                </c:pt>
                <c:pt idx="175">
                  <c:v>2.1938080787658691</c:v>
                </c:pt>
                <c:pt idx="176">
                  <c:v>2.257516622543335</c:v>
                </c:pt>
                <c:pt idx="177">
                  <c:v>2.1786420345306396</c:v>
                </c:pt>
                <c:pt idx="178">
                  <c:v>2.1249420642852783</c:v>
                </c:pt>
                <c:pt idx="179">
                  <c:v>2.1378917694091797</c:v>
                </c:pt>
                <c:pt idx="180">
                  <c:v>2.1238126754760742</c:v>
                </c:pt>
                <c:pt idx="181">
                  <c:v>2.0945017337799072</c:v>
                </c:pt>
                <c:pt idx="182">
                  <c:v>2</c:v>
                </c:pt>
                <c:pt idx="183">
                  <c:v>2.025151252746582</c:v>
                </c:pt>
                <c:pt idx="184">
                  <c:v>2.1342685222625732</c:v>
                </c:pt>
                <c:pt idx="185">
                  <c:v>2.1369836330413818</c:v>
                </c:pt>
                <c:pt idx="186">
                  <c:v>2.0552761554718018</c:v>
                </c:pt>
                <c:pt idx="187">
                  <c:v>2.008441686630249</c:v>
                </c:pt>
                <c:pt idx="188">
                  <c:v>2.1505687236785889</c:v>
                </c:pt>
                <c:pt idx="189">
                  <c:v>2.2026214599609375</c:v>
                </c:pt>
                <c:pt idx="190">
                  <c:v>2.1448843479156494</c:v>
                </c:pt>
                <c:pt idx="191">
                  <c:v>2.0974476337432861</c:v>
                </c:pt>
                <c:pt idx="192">
                  <c:v>2.0788087844848633</c:v>
                </c:pt>
                <c:pt idx="193">
                  <c:v>2.1140627861022949</c:v>
                </c:pt>
                <c:pt idx="194">
                  <c:v>2.0939984321594238</c:v>
                </c:pt>
                <c:pt idx="195">
                  <c:v>2.0567114353179932</c:v>
                </c:pt>
                <c:pt idx="196">
                  <c:v>2.0968639850616455</c:v>
                </c:pt>
                <c:pt idx="197">
                  <c:v>2.1023037433624268</c:v>
                </c:pt>
                <c:pt idx="198">
                  <c:v>2.0777876377105713</c:v>
                </c:pt>
                <c:pt idx="199">
                  <c:v>2.0959510803222656</c:v>
                </c:pt>
                <c:pt idx="200">
                  <c:v>2.0787994861602783</c:v>
                </c:pt>
                <c:pt idx="201">
                  <c:v>2.0981016159057617</c:v>
                </c:pt>
                <c:pt idx="202">
                  <c:v>2.120438814163208</c:v>
                </c:pt>
                <c:pt idx="203">
                  <c:v>2.1361930370330811</c:v>
                </c:pt>
                <c:pt idx="204">
                  <c:v>2.1420092582702637</c:v>
                </c:pt>
                <c:pt idx="205">
                  <c:v>2.0692846775054932</c:v>
                </c:pt>
                <c:pt idx="206">
                  <c:v>2.0526034832000732</c:v>
                </c:pt>
                <c:pt idx="207">
                  <c:v>2.0683953762054443</c:v>
                </c:pt>
                <c:pt idx="208">
                  <c:v>2.0835049152374268</c:v>
                </c:pt>
                <c:pt idx="209">
                  <c:v>2.0850200653076172</c:v>
                </c:pt>
                <c:pt idx="210">
                  <c:v>2.1317510604858398</c:v>
                </c:pt>
                <c:pt idx="211">
                  <c:v>2.1532695293426514</c:v>
                </c:pt>
                <c:pt idx="212">
                  <c:v>2.081599235534668</c:v>
                </c:pt>
                <c:pt idx="213">
                  <c:v>2.0797121524810791</c:v>
                </c:pt>
                <c:pt idx="214">
                  <c:v>2.1310687065124512</c:v>
                </c:pt>
                <c:pt idx="215">
                  <c:v>2.0854482650756836</c:v>
                </c:pt>
                <c:pt idx="216">
                  <c:v>2.0551304817199707</c:v>
                </c:pt>
                <c:pt idx="217">
                  <c:v>2.0215468406677246</c:v>
                </c:pt>
                <c:pt idx="218">
                  <c:v>2.0310425758361816</c:v>
                </c:pt>
                <c:pt idx="219">
                  <c:v>2.0757548809051514</c:v>
                </c:pt>
                <c:pt idx="220">
                  <c:v>2.0987274646759033</c:v>
                </c:pt>
                <c:pt idx="221">
                  <c:v>2.0812697410583496</c:v>
                </c:pt>
                <c:pt idx="222">
                  <c:v>2.1358120441436768</c:v>
                </c:pt>
                <c:pt idx="223">
                  <c:v>2.2467174530029297</c:v>
                </c:pt>
                <c:pt idx="224">
                  <c:v>2.1113994121551514</c:v>
                </c:pt>
                <c:pt idx="225">
                  <c:v>2.1500086784362793</c:v>
                </c:pt>
              </c:numCache>
            </c:numRef>
          </c:yVal>
          <c:smooth val="1"/>
          <c:extLst>
            <c:ext xmlns:c16="http://schemas.microsoft.com/office/drawing/2014/chart" uri="{C3380CC4-5D6E-409C-BE32-E72D297353CC}">
              <c16:uniqueId val="{00000004-C55B-4A1A-87F7-276FE06EA34B}"/>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99.126754760742188</c:v>
                </c:pt>
                <c:pt idx="1">
                  <c:v>100</c:v>
                </c:pt>
                <c:pt idx="2">
                  <c:v>96.951248168945313</c:v>
                </c:pt>
                <c:pt idx="3">
                  <c:v>94.502891540527344</c:v>
                </c:pt>
                <c:pt idx="4">
                  <c:v>92.957923889160156</c:v>
                </c:pt>
                <c:pt idx="5">
                  <c:v>91.250022888183594</c:v>
                </c:pt>
                <c:pt idx="6">
                  <c:v>89.168502807617188</c:v>
                </c:pt>
                <c:pt idx="7">
                  <c:v>88.352706909179688</c:v>
                </c:pt>
                <c:pt idx="8">
                  <c:v>89.126426696777344</c:v>
                </c:pt>
                <c:pt idx="9">
                  <c:v>90.662948608398438</c:v>
                </c:pt>
                <c:pt idx="10">
                  <c:v>92.83453369140625</c:v>
                </c:pt>
                <c:pt idx="11">
                  <c:v>94.951469421386719</c:v>
                </c:pt>
                <c:pt idx="12">
                  <c:v>96.775779724121094</c:v>
                </c:pt>
                <c:pt idx="13">
                  <c:v>98.357231140136719</c:v>
                </c:pt>
                <c:pt idx="14">
                  <c:v>98.474014282226563</c:v>
                </c:pt>
                <c:pt idx="15">
                  <c:v>97.50811767578125</c:v>
                </c:pt>
                <c:pt idx="16">
                  <c:v>95.554344177246094</c:v>
                </c:pt>
                <c:pt idx="17">
                  <c:v>91.636367797851563</c:v>
                </c:pt>
                <c:pt idx="18">
                  <c:v>86.346855163574219</c:v>
                </c:pt>
                <c:pt idx="19">
                  <c:v>80.023040771484375</c:v>
                </c:pt>
                <c:pt idx="20">
                  <c:v>72.805122375488281</c:v>
                </c:pt>
                <c:pt idx="21">
                  <c:v>65.172904968261719</c:v>
                </c:pt>
                <c:pt idx="22">
                  <c:v>57.113182067871094</c:v>
                </c:pt>
                <c:pt idx="23">
                  <c:v>49.385040283203125</c:v>
                </c:pt>
                <c:pt idx="24">
                  <c:v>41.567852020263672</c:v>
                </c:pt>
                <c:pt idx="25">
                  <c:v>34.811733245849609</c:v>
                </c:pt>
                <c:pt idx="26">
                  <c:v>28.853946685791016</c:v>
                </c:pt>
                <c:pt idx="27">
                  <c:v>23.523860931396484</c:v>
                </c:pt>
                <c:pt idx="28">
                  <c:v>18.974533081054688</c:v>
                </c:pt>
                <c:pt idx="29">
                  <c:v>15.889500617980957</c:v>
                </c:pt>
                <c:pt idx="30">
                  <c:v>13.377029418945313</c:v>
                </c:pt>
                <c:pt idx="31">
                  <c:v>11.52617073059082</c:v>
                </c:pt>
                <c:pt idx="32">
                  <c:v>10.160813331604004</c:v>
                </c:pt>
                <c:pt idx="33">
                  <c:v>9.1645526885986328</c:v>
                </c:pt>
                <c:pt idx="34">
                  <c:v>8.4575290679931641</c:v>
                </c:pt>
                <c:pt idx="35">
                  <c:v>7.8905024528503418</c:v>
                </c:pt>
                <c:pt idx="36">
                  <c:v>7.4681477546691895</c:v>
                </c:pt>
                <c:pt idx="37">
                  <c:v>7.2148637771606445</c:v>
                </c:pt>
                <c:pt idx="38">
                  <c:v>7.0390214920043945</c:v>
                </c:pt>
                <c:pt idx="39">
                  <c:v>7.059443473815918</c:v>
                </c:pt>
                <c:pt idx="40">
                  <c:v>7.1260290145874023</c:v>
                </c:pt>
                <c:pt idx="41">
                  <c:v>6.5857114791870117</c:v>
                </c:pt>
                <c:pt idx="42">
                  <c:v>6.2396159172058105</c:v>
                </c:pt>
                <c:pt idx="43">
                  <c:v>6.4666743278503418</c:v>
                </c:pt>
                <c:pt idx="44">
                  <c:v>6.5842070579528809</c:v>
                </c:pt>
                <c:pt idx="45">
                  <c:v>6.7197432518005371</c:v>
                </c:pt>
                <c:pt idx="46">
                  <c:v>6.3982610702514648</c:v>
                </c:pt>
                <c:pt idx="47">
                  <c:v>5.970639705657959</c:v>
                </c:pt>
                <c:pt idx="48">
                  <c:v>5.9912228584289551</c:v>
                </c:pt>
                <c:pt idx="49">
                  <c:v>6.0257248878479004</c:v>
                </c:pt>
                <c:pt idx="50">
                  <c:v>5.8974437713623047</c:v>
                </c:pt>
                <c:pt idx="51">
                  <c:v>5.6265864372253418</c:v>
                </c:pt>
                <c:pt idx="52">
                  <c:v>5.2723221778869629</c:v>
                </c:pt>
                <c:pt idx="53">
                  <c:v>5.309941291809082</c:v>
                </c:pt>
                <c:pt idx="54">
                  <c:v>5.3384780883789063</c:v>
                </c:pt>
                <c:pt idx="55">
                  <c:v>5.2087998390197754</c:v>
                </c:pt>
                <c:pt idx="56">
                  <c:v>5.2084774971008301</c:v>
                </c:pt>
                <c:pt idx="57">
                  <c:v>5.2876925468444824</c:v>
                </c:pt>
                <c:pt idx="58">
                  <c:v>4.9362225532531738</c:v>
                </c:pt>
                <c:pt idx="59">
                  <c:v>4.7267918586730957</c:v>
                </c:pt>
                <c:pt idx="60">
                  <c:v>4.5324625968933105</c:v>
                </c:pt>
                <c:pt idx="61">
                  <c:v>4.6571426391601563</c:v>
                </c:pt>
                <c:pt idx="62">
                  <c:v>4.547295093536377</c:v>
                </c:pt>
                <c:pt idx="63">
                  <c:v>4.2808985710144043</c:v>
                </c:pt>
                <c:pt idx="64">
                  <c:v>4.7686567306518555</c:v>
                </c:pt>
                <c:pt idx="65">
                  <c:v>4.943692684173584</c:v>
                </c:pt>
                <c:pt idx="66">
                  <c:v>4.5351495742797852</c:v>
                </c:pt>
                <c:pt idx="67">
                  <c:v>4.6195774078369141</c:v>
                </c:pt>
                <c:pt idx="68">
                  <c:v>5.1257152557373047</c:v>
                </c:pt>
                <c:pt idx="69">
                  <c:v>5.0622467994689941</c:v>
                </c:pt>
                <c:pt idx="70">
                  <c:v>4.7762880325317383</c:v>
                </c:pt>
                <c:pt idx="71">
                  <c:v>4.5250997543334961</c:v>
                </c:pt>
                <c:pt idx="72">
                  <c:v>4.3919820785522461</c:v>
                </c:pt>
                <c:pt idx="73">
                  <c:v>4.7524805068969727</c:v>
                </c:pt>
                <c:pt idx="74">
                  <c:v>4.6916985511779785</c:v>
                </c:pt>
                <c:pt idx="75">
                  <c:v>4.5062365531921387</c:v>
                </c:pt>
                <c:pt idx="76">
                  <c:v>4.6993837356567383</c:v>
                </c:pt>
                <c:pt idx="77">
                  <c:v>4.6753072738647461</c:v>
                </c:pt>
                <c:pt idx="78">
                  <c:v>4.6059269905090332</c:v>
                </c:pt>
                <c:pt idx="79">
                  <c:v>4.6743941307067871</c:v>
                </c:pt>
                <c:pt idx="80">
                  <c:v>5.0825610160827637</c:v>
                </c:pt>
                <c:pt idx="81">
                  <c:v>4.8162178993225098</c:v>
                </c:pt>
                <c:pt idx="82">
                  <c:v>4.3191084861755371</c:v>
                </c:pt>
                <c:pt idx="83">
                  <c:v>4.6349477767944336</c:v>
                </c:pt>
                <c:pt idx="84">
                  <c:v>4.6991686820983887</c:v>
                </c:pt>
                <c:pt idx="85">
                  <c:v>4.8007402420043945</c:v>
                </c:pt>
                <c:pt idx="86">
                  <c:v>5.1207709312438965</c:v>
                </c:pt>
                <c:pt idx="87">
                  <c:v>5.0384926795959473</c:v>
                </c:pt>
                <c:pt idx="88">
                  <c:v>4.8792028427124023</c:v>
                </c:pt>
                <c:pt idx="89">
                  <c:v>4.4146075248718262</c:v>
                </c:pt>
                <c:pt idx="90">
                  <c:v>4.4364261627197266</c:v>
                </c:pt>
                <c:pt idx="91">
                  <c:v>4.7049727439880371</c:v>
                </c:pt>
                <c:pt idx="92">
                  <c:v>5.0555286407470703</c:v>
                </c:pt>
                <c:pt idx="93">
                  <c:v>5.0195755958557129</c:v>
                </c:pt>
                <c:pt idx="94">
                  <c:v>4.799933910369873</c:v>
                </c:pt>
                <c:pt idx="95">
                  <c:v>5.1370549201965332</c:v>
                </c:pt>
                <c:pt idx="96">
                  <c:v>5.1176543235778809</c:v>
                </c:pt>
                <c:pt idx="97">
                  <c:v>4.9453587532043457</c:v>
                </c:pt>
                <c:pt idx="98">
                  <c:v>5.1734375953674316</c:v>
                </c:pt>
                <c:pt idx="99">
                  <c:v>5.1880555152893066</c:v>
                </c:pt>
                <c:pt idx="100">
                  <c:v>4.9453587532043457</c:v>
                </c:pt>
                <c:pt idx="101">
                  <c:v>4.8909721374511719</c:v>
                </c:pt>
                <c:pt idx="102">
                  <c:v>5.1467819213867188</c:v>
                </c:pt>
                <c:pt idx="103">
                  <c:v>5.1086254119873047</c:v>
                </c:pt>
                <c:pt idx="104">
                  <c:v>4.8394341468811035</c:v>
                </c:pt>
                <c:pt idx="105">
                  <c:v>4.8930144309997559</c:v>
                </c:pt>
                <c:pt idx="106">
                  <c:v>5.1103453636169434</c:v>
                </c:pt>
                <c:pt idx="107">
                  <c:v>5.4761638641357422</c:v>
                </c:pt>
                <c:pt idx="108">
                  <c:v>5.5809597969055176</c:v>
                </c:pt>
                <c:pt idx="109">
                  <c:v>5.3583621978759766</c:v>
                </c:pt>
                <c:pt idx="110">
                  <c:v>5.2392711639404297</c:v>
                </c:pt>
                <c:pt idx="111">
                  <c:v>4.8453993797302246</c:v>
                </c:pt>
                <c:pt idx="112">
                  <c:v>4.7642498016357422</c:v>
                </c:pt>
                <c:pt idx="113">
                  <c:v>5.2381424903869629</c:v>
                </c:pt>
                <c:pt idx="114">
                  <c:v>5.2808670997619629</c:v>
                </c:pt>
                <c:pt idx="115">
                  <c:v>5.0117831230163574</c:v>
                </c:pt>
                <c:pt idx="116">
                  <c:v>5.2306723594665527</c:v>
                </c:pt>
                <c:pt idx="117">
                  <c:v>5.2930126190185547</c:v>
                </c:pt>
                <c:pt idx="118">
                  <c:v>5.4800868034362793</c:v>
                </c:pt>
                <c:pt idx="119">
                  <c:v>5.523993968963623</c:v>
                </c:pt>
                <c:pt idx="120">
                  <c:v>5.2151951789855957</c:v>
                </c:pt>
                <c:pt idx="121">
                  <c:v>5.2176132202148438</c:v>
                </c:pt>
                <c:pt idx="122">
                  <c:v>5.4938449859619141</c:v>
                </c:pt>
                <c:pt idx="123">
                  <c:v>5.5659661293029785</c:v>
                </c:pt>
                <c:pt idx="124">
                  <c:v>5.8548803329467773</c:v>
                </c:pt>
                <c:pt idx="125">
                  <c:v>5.5107736587524414</c:v>
                </c:pt>
                <c:pt idx="126">
                  <c:v>4.9883518218994141</c:v>
                </c:pt>
                <c:pt idx="127">
                  <c:v>5.2384114265441895</c:v>
                </c:pt>
                <c:pt idx="128">
                  <c:v>5.1819291114807129</c:v>
                </c:pt>
                <c:pt idx="129">
                  <c:v>5.3414340019226074</c:v>
                </c:pt>
                <c:pt idx="130">
                  <c:v>5.1244254112243652</c:v>
                </c:pt>
                <c:pt idx="131">
                  <c:v>4.4301385879516602</c:v>
                </c:pt>
                <c:pt idx="132">
                  <c:v>4.2181282043457031</c:v>
                </c:pt>
                <c:pt idx="133">
                  <c:v>4.7112607955932617</c:v>
                </c:pt>
                <c:pt idx="134">
                  <c:v>5.4701986312866211</c:v>
                </c:pt>
                <c:pt idx="135">
                  <c:v>5.0655245780944824</c:v>
                </c:pt>
                <c:pt idx="136">
                  <c:v>3.4748289585113525</c:v>
                </c:pt>
                <c:pt idx="137">
                  <c:v>3.1466832160949707</c:v>
                </c:pt>
                <c:pt idx="138">
                  <c:v>4.2420430183410645</c:v>
                </c:pt>
                <c:pt idx="139">
                  <c:v>5.1096467971801758</c:v>
                </c:pt>
                <c:pt idx="140">
                  <c:v>5.2743105888366699</c:v>
                </c:pt>
                <c:pt idx="141">
                  <c:v>4.8054156303405762</c:v>
                </c:pt>
                <c:pt idx="142">
                  <c:v>4.5292916297912598</c:v>
                </c:pt>
                <c:pt idx="143">
                  <c:v>4.4376626014709473</c:v>
                </c:pt>
                <c:pt idx="144">
                  <c:v>4.995445728302002</c:v>
                </c:pt>
                <c:pt idx="145">
                  <c:v>5.6163754463195801</c:v>
                </c:pt>
                <c:pt idx="146">
                  <c:v>5.3518595695495605</c:v>
                </c:pt>
                <c:pt idx="147">
                  <c:v>5.2347030639648438</c:v>
                </c:pt>
                <c:pt idx="148">
                  <c:v>5.4983053207397461</c:v>
                </c:pt>
                <c:pt idx="149">
                  <c:v>5.8863730430603027</c:v>
                </c:pt>
                <c:pt idx="150">
                  <c:v>5.653080940246582</c:v>
                </c:pt>
                <c:pt idx="151">
                  <c:v>4.9674463272094727</c:v>
                </c:pt>
                <c:pt idx="152">
                  <c:v>4.6663327217102051</c:v>
                </c:pt>
                <c:pt idx="153">
                  <c:v>4.3223867416381836</c:v>
                </c:pt>
                <c:pt idx="154">
                  <c:v>4.8347048759460449</c:v>
                </c:pt>
                <c:pt idx="155">
                  <c:v>4.8709268569946289</c:v>
                </c:pt>
                <c:pt idx="156">
                  <c:v>5.2623801231384277</c:v>
                </c:pt>
                <c:pt idx="157">
                  <c:v>6.0242199897766113</c:v>
                </c:pt>
                <c:pt idx="158">
                  <c:v>5.4213476181030273</c:v>
                </c:pt>
                <c:pt idx="159">
                  <c:v>5.7248258590698242</c:v>
                </c:pt>
                <c:pt idx="160">
                  <c:v>5.8267736434936523</c:v>
                </c:pt>
                <c:pt idx="161">
                  <c:v>4.6066794395446777</c:v>
                </c:pt>
                <c:pt idx="162">
                  <c:v>4.8929071426391602</c:v>
                </c:pt>
                <c:pt idx="163">
                  <c:v>4.6549396514892578</c:v>
                </c:pt>
                <c:pt idx="164">
                  <c:v>4.4390597343444824</c:v>
                </c:pt>
                <c:pt idx="165">
                  <c:v>4.5547113418579102</c:v>
                </c:pt>
                <c:pt idx="166">
                  <c:v>4.838681697845459</c:v>
                </c:pt>
                <c:pt idx="167">
                  <c:v>5.5311951637268066</c:v>
                </c:pt>
                <c:pt idx="168">
                  <c:v>5.0664920806884766</c:v>
                </c:pt>
                <c:pt idx="169">
                  <c:v>5.294947624206543</c:v>
                </c:pt>
                <c:pt idx="170">
                  <c:v>5.7705063819885254</c:v>
                </c:pt>
                <c:pt idx="171">
                  <c:v>4.8178300857543945</c:v>
                </c:pt>
                <c:pt idx="172">
                  <c:v>4.4758725166320801</c:v>
                </c:pt>
                <c:pt idx="173">
                  <c:v>5.2775888442993164</c:v>
                </c:pt>
                <c:pt idx="174">
                  <c:v>5.7022008895874023</c:v>
                </c:pt>
                <c:pt idx="175">
                  <c:v>5.5538206100463867</c:v>
                </c:pt>
                <c:pt idx="176">
                  <c:v>5.0790138244628906</c:v>
                </c:pt>
                <c:pt idx="177">
                  <c:v>5.2960758209228516</c:v>
                </c:pt>
                <c:pt idx="178">
                  <c:v>5.1606473922729492</c:v>
                </c:pt>
                <c:pt idx="179">
                  <c:v>4.8183674812316895</c:v>
                </c:pt>
                <c:pt idx="180">
                  <c:v>5.1246404647827148</c:v>
                </c:pt>
                <c:pt idx="181">
                  <c:v>5.6782855987548828</c:v>
                </c:pt>
                <c:pt idx="182">
                  <c:v>6.7680568695068359</c:v>
                </c:pt>
                <c:pt idx="183">
                  <c:v>5.9167909622192383</c:v>
                </c:pt>
                <c:pt idx="184">
                  <c:v>4.8603935241699219</c:v>
                </c:pt>
                <c:pt idx="185">
                  <c:v>5.3887262344360352</c:v>
                </c:pt>
                <c:pt idx="186">
                  <c:v>4.1816916465759277</c:v>
                </c:pt>
                <c:pt idx="187">
                  <c:v>4.2144737243652344</c:v>
                </c:pt>
                <c:pt idx="188">
                  <c:v>5.1224370002746582</c:v>
                </c:pt>
                <c:pt idx="189">
                  <c:v>4.8903274536132813</c:v>
                </c:pt>
                <c:pt idx="190">
                  <c:v>4.8021373748779297</c:v>
                </c:pt>
                <c:pt idx="191">
                  <c:v>5.0728335380554199</c:v>
                </c:pt>
                <c:pt idx="192">
                  <c:v>5.1715030670166016</c:v>
                </c:pt>
                <c:pt idx="193">
                  <c:v>5.1027674674987793</c:v>
                </c:pt>
                <c:pt idx="194">
                  <c:v>5.1536073684692383</c:v>
                </c:pt>
                <c:pt idx="195">
                  <c:v>4.9859871864318848</c:v>
                </c:pt>
                <c:pt idx="196">
                  <c:v>5.0403738021850586</c:v>
                </c:pt>
                <c:pt idx="197">
                  <c:v>5.324988842010498</c:v>
                </c:pt>
                <c:pt idx="198">
                  <c:v>5.3678207397460938</c:v>
                </c:pt>
                <c:pt idx="199">
                  <c:v>5.3915748596191406</c:v>
                </c:pt>
                <c:pt idx="200">
                  <c:v>5.4438114166259766</c:v>
                </c:pt>
                <c:pt idx="201">
                  <c:v>5.132594108581543</c:v>
                </c:pt>
                <c:pt idx="202">
                  <c:v>5.2372288703918457</c:v>
                </c:pt>
                <c:pt idx="203">
                  <c:v>5.3393378257751465</c:v>
                </c:pt>
                <c:pt idx="204">
                  <c:v>5.550112247467041</c:v>
                </c:pt>
                <c:pt idx="205">
                  <c:v>5.2718386650085449</c:v>
                </c:pt>
                <c:pt idx="206">
                  <c:v>5.372227668762207</c:v>
                </c:pt>
                <c:pt idx="207">
                  <c:v>5.6326594352722168</c:v>
                </c:pt>
                <c:pt idx="208">
                  <c:v>5.4309134483337402</c:v>
                </c:pt>
                <c:pt idx="209">
                  <c:v>5.4216160774230957</c:v>
                </c:pt>
                <c:pt idx="210">
                  <c:v>5.5625267028808594</c:v>
                </c:pt>
                <c:pt idx="211">
                  <c:v>4.9028491973876953</c:v>
                </c:pt>
                <c:pt idx="212">
                  <c:v>4.8048782348632813</c:v>
                </c:pt>
                <c:pt idx="213">
                  <c:v>4.7215251922607422</c:v>
                </c:pt>
                <c:pt idx="214">
                  <c:v>4.4395432472229004</c:v>
                </c:pt>
                <c:pt idx="215">
                  <c:v>5.3460021018981934</c:v>
                </c:pt>
                <c:pt idx="216">
                  <c:v>5.8241939544677734</c:v>
                </c:pt>
                <c:pt idx="217">
                  <c:v>5.0663309097290039</c:v>
                </c:pt>
                <c:pt idx="218">
                  <c:v>4.5373530387878418</c:v>
                </c:pt>
                <c:pt idx="219">
                  <c:v>5.7315435409545898</c:v>
                </c:pt>
                <c:pt idx="220">
                  <c:v>6.0510907173156738</c:v>
                </c:pt>
                <c:pt idx="221">
                  <c:v>6.0226078033447266</c:v>
                </c:pt>
                <c:pt idx="222">
                  <c:v>5.5137829780578613</c:v>
                </c:pt>
                <c:pt idx="223">
                  <c:v>4.2437090873718262</c:v>
                </c:pt>
                <c:pt idx="224">
                  <c:v>3.967961311340332</c:v>
                </c:pt>
                <c:pt idx="225">
                  <c:v>2</c:v>
                </c:pt>
              </c:numCache>
            </c:numRef>
          </c:yVal>
          <c:smooth val="1"/>
          <c:extLst>
            <c:ext xmlns:c16="http://schemas.microsoft.com/office/drawing/2014/chart" uri="{C3380CC4-5D6E-409C-BE32-E72D297353CC}">
              <c16:uniqueId val="{00000005-C55B-4A1A-87F7-276FE06EA34B}"/>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100</c:v>
                </c:pt>
                <c:pt idx="1">
                  <c:v>87.975540161132813</c:v>
                </c:pt>
                <c:pt idx="2">
                  <c:v>75.020713806152344</c:v>
                </c:pt>
                <c:pt idx="3">
                  <c:v>62.794326782226563</c:v>
                </c:pt>
                <c:pt idx="4">
                  <c:v>52.179828643798828</c:v>
                </c:pt>
                <c:pt idx="5">
                  <c:v>43.048679351806641</c:v>
                </c:pt>
                <c:pt idx="6">
                  <c:v>34.542354583740234</c:v>
                </c:pt>
                <c:pt idx="7">
                  <c:v>27.203861236572266</c:v>
                </c:pt>
                <c:pt idx="8">
                  <c:v>20.914424896240234</c:v>
                </c:pt>
                <c:pt idx="9">
                  <c:v>15.280494689941406</c:v>
                </c:pt>
                <c:pt idx="10">
                  <c:v>10.817873954772949</c:v>
                </c:pt>
                <c:pt idx="11">
                  <c:v>7.5409355163574219</c:v>
                </c:pt>
                <c:pt idx="12">
                  <c:v>5.3408198356628418</c:v>
                </c:pt>
                <c:pt idx="13">
                  <c:v>3.8985264301300049</c:v>
                </c:pt>
                <c:pt idx="14">
                  <c:v>3.0105817317962646</c:v>
                </c:pt>
                <c:pt idx="15">
                  <c:v>2.5014898777008057</c:v>
                </c:pt>
                <c:pt idx="16">
                  <c:v>2.2312688827514648</c:v>
                </c:pt>
                <c:pt idx="17">
                  <c:v>2.0939273834228516</c:v>
                </c:pt>
                <c:pt idx="18">
                  <c:v>2.0228128433227539</c:v>
                </c:pt>
                <c:pt idx="19">
                  <c:v>2</c:v>
                </c:pt>
                <c:pt idx="20">
                  <c:v>2.0145454406738281</c:v>
                </c:pt>
                <c:pt idx="21">
                  <c:v>2.0356333255767822</c:v>
                </c:pt>
                <c:pt idx="22">
                  <c:v>2.0754013061523438</c:v>
                </c:pt>
                <c:pt idx="23">
                  <c:v>2.1110560894012451</c:v>
                </c:pt>
                <c:pt idx="24">
                  <c:v>2.1529924869537354</c:v>
                </c:pt>
                <c:pt idx="25">
                  <c:v>2.2064058780670166</c:v>
                </c:pt>
                <c:pt idx="26">
                  <c:v>2.2473940849304199</c:v>
                </c:pt>
                <c:pt idx="27">
                  <c:v>2.2751874923706055</c:v>
                </c:pt>
                <c:pt idx="28">
                  <c:v>2.3052639961242676</c:v>
                </c:pt>
                <c:pt idx="29">
                  <c:v>2.3441016674041748</c:v>
                </c:pt>
                <c:pt idx="30">
                  <c:v>2.3671307563781738</c:v>
                </c:pt>
                <c:pt idx="31">
                  <c:v>2.3769600391387939</c:v>
                </c:pt>
                <c:pt idx="32">
                  <c:v>2.3889775276184082</c:v>
                </c:pt>
                <c:pt idx="33">
                  <c:v>2.3941962718963623</c:v>
                </c:pt>
                <c:pt idx="34">
                  <c:v>2.3977065086364746</c:v>
                </c:pt>
                <c:pt idx="35">
                  <c:v>2.40130615234375</c:v>
                </c:pt>
                <c:pt idx="36">
                  <c:v>2.4037070274353027</c:v>
                </c:pt>
                <c:pt idx="37">
                  <c:v>2.3996100425720215</c:v>
                </c:pt>
                <c:pt idx="38">
                  <c:v>2.4029824733734131</c:v>
                </c:pt>
                <c:pt idx="39">
                  <c:v>2.4076340198516846</c:v>
                </c:pt>
                <c:pt idx="40">
                  <c:v>2.4169659614562988</c:v>
                </c:pt>
                <c:pt idx="41">
                  <c:v>2.4162986278533936</c:v>
                </c:pt>
                <c:pt idx="42">
                  <c:v>2.4215927124023438</c:v>
                </c:pt>
                <c:pt idx="43">
                  <c:v>2.4273660182952881</c:v>
                </c:pt>
                <c:pt idx="44">
                  <c:v>2.4154918193817139</c:v>
                </c:pt>
                <c:pt idx="45">
                  <c:v>2.3998479843139648</c:v>
                </c:pt>
                <c:pt idx="46">
                  <c:v>2.3982841968536377</c:v>
                </c:pt>
                <c:pt idx="47">
                  <c:v>2.4020199775695801</c:v>
                </c:pt>
                <c:pt idx="48">
                  <c:v>2.414114236831665</c:v>
                </c:pt>
                <c:pt idx="49">
                  <c:v>2.4147100448608398</c:v>
                </c:pt>
                <c:pt idx="50">
                  <c:v>2.4155724048614502</c:v>
                </c:pt>
                <c:pt idx="51">
                  <c:v>2.4211275577545166</c:v>
                </c:pt>
                <c:pt idx="52">
                  <c:v>2.4202258586883545</c:v>
                </c:pt>
                <c:pt idx="53">
                  <c:v>2.4230685234069824</c:v>
                </c:pt>
                <c:pt idx="54">
                  <c:v>2.4298474788665771</c:v>
                </c:pt>
                <c:pt idx="55">
                  <c:v>2.4419901371002197</c:v>
                </c:pt>
                <c:pt idx="56">
                  <c:v>2.4495561122894287</c:v>
                </c:pt>
                <c:pt idx="57">
                  <c:v>2.4408378601074219</c:v>
                </c:pt>
                <c:pt idx="58">
                  <c:v>2.4495561122894287</c:v>
                </c:pt>
                <c:pt idx="59">
                  <c:v>2.4513328075408936</c:v>
                </c:pt>
                <c:pt idx="60">
                  <c:v>2.444814920425415</c:v>
                </c:pt>
                <c:pt idx="61">
                  <c:v>2.4527926445007324</c:v>
                </c:pt>
                <c:pt idx="62">
                  <c:v>2.4623963832855225</c:v>
                </c:pt>
                <c:pt idx="63">
                  <c:v>2.4594123363494873</c:v>
                </c:pt>
                <c:pt idx="64">
                  <c:v>2.4524097442626953</c:v>
                </c:pt>
                <c:pt idx="65">
                  <c:v>2.4624893665313721</c:v>
                </c:pt>
                <c:pt idx="66">
                  <c:v>2.4673235416412354</c:v>
                </c:pt>
                <c:pt idx="67">
                  <c:v>2.4553689956665039</c:v>
                </c:pt>
                <c:pt idx="68">
                  <c:v>2.4428524971008301</c:v>
                </c:pt>
                <c:pt idx="69">
                  <c:v>2.4352362155914307</c:v>
                </c:pt>
                <c:pt idx="70">
                  <c:v>2.452847957611084</c:v>
                </c:pt>
                <c:pt idx="71">
                  <c:v>2.4653680324554443</c:v>
                </c:pt>
                <c:pt idx="72">
                  <c:v>2.4568483829498291</c:v>
                </c:pt>
                <c:pt idx="73">
                  <c:v>2.4418110847473145</c:v>
                </c:pt>
                <c:pt idx="74">
                  <c:v>2.4348104000091553</c:v>
                </c:pt>
                <c:pt idx="75">
                  <c:v>2.449779748916626</c:v>
                </c:pt>
                <c:pt idx="76">
                  <c:v>2.4377892017364502</c:v>
                </c:pt>
                <c:pt idx="77">
                  <c:v>2.4217267036437988</c:v>
                </c:pt>
                <c:pt idx="78">
                  <c:v>2.4300103187561035</c:v>
                </c:pt>
                <c:pt idx="79">
                  <c:v>2.4551184177398682</c:v>
                </c:pt>
                <c:pt idx="80">
                  <c:v>2.4611387252807617</c:v>
                </c:pt>
                <c:pt idx="81">
                  <c:v>2.4396748542785645</c:v>
                </c:pt>
                <c:pt idx="82">
                  <c:v>2.4422547817230225</c:v>
                </c:pt>
                <c:pt idx="83">
                  <c:v>2.4458293914794922</c:v>
                </c:pt>
                <c:pt idx="84">
                  <c:v>2.4486095905303955</c:v>
                </c:pt>
                <c:pt idx="85">
                  <c:v>2.453773021697998</c:v>
                </c:pt>
                <c:pt idx="86">
                  <c:v>2.4607326984405518</c:v>
                </c:pt>
                <c:pt idx="87">
                  <c:v>2.4721202850341797</c:v>
                </c:pt>
                <c:pt idx="88">
                  <c:v>2.456963062286377</c:v>
                </c:pt>
                <c:pt idx="89">
                  <c:v>2.4476633071899414</c:v>
                </c:pt>
                <c:pt idx="90">
                  <c:v>2.457970142364502</c:v>
                </c:pt>
                <c:pt idx="91">
                  <c:v>2.4463984966278076</c:v>
                </c:pt>
                <c:pt idx="92">
                  <c:v>2.4499247074127197</c:v>
                </c:pt>
                <c:pt idx="93">
                  <c:v>2.4571454524993896</c:v>
                </c:pt>
                <c:pt idx="94">
                  <c:v>2.4539017677307129</c:v>
                </c:pt>
                <c:pt idx="95">
                  <c:v>2.4666848182678223</c:v>
                </c:pt>
                <c:pt idx="96">
                  <c:v>2.4670159816741943</c:v>
                </c:pt>
                <c:pt idx="97">
                  <c:v>2.4540987014770508</c:v>
                </c:pt>
                <c:pt idx="98">
                  <c:v>2.4394369125366211</c:v>
                </c:pt>
                <c:pt idx="99">
                  <c:v>2.444237232208252</c:v>
                </c:pt>
                <c:pt idx="100">
                  <c:v>2.4537122249603271</c:v>
                </c:pt>
                <c:pt idx="101">
                  <c:v>2.4378161430358887</c:v>
                </c:pt>
                <c:pt idx="102">
                  <c:v>2.4377946853637695</c:v>
                </c:pt>
                <c:pt idx="103">
                  <c:v>2.4634501934051514</c:v>
                </c:pt>
                <c:pt idx="104">
                  <c:v>2.4612157344818115</c:v>
                </c:pt>
                <c:pt idx="105">
                  <c:v>2.4492590427398682</c:v>
                </c:pt>
                <c:pt idx="106">
                  <c:v>2.4443175792694092</c:v>
                </c:pt>
                <c:pt idx="107">
                  <c:v>2.4458563327789307</c:v>
                </c:pt>
                <c:pt idx="108">
                  <c:v>2.456963062286377</c:v>
                </c:pt>
                <c:pt idx="109">
                  <c:v>2.4392116069793701</c:v>
                </c:pt>
                <c:pt idx="110">
                  <c:v>2.4226911067962646</c:v>
                </c:pt>
                <c:pt idx="111">
                  <c:v>2.4440779685974121</c:v>
                </c:pt>
                <c:pt idx="112">
                  <c:v>2.4572653770446777</c:v>
                </c:pt>
                <c:pt idx="113">
                  <c:v>2.4457614421844482</c:v>
                </c:pt>
                <c:pt idx="114">
                  <c:v>2.4413156509399414</c:v>
                </c:pt>
                <c:pt idx="115">
                  <c:v>2.4488208293914795</c:v>
                </c:pt>
                <c:pt idx="116">
                  <c:v>2.4547426700592041</c:v>
                </c:pt>
                <c:pt idx="117">
                  <c:v>2.4512860774993896</c:v>
                </c:pt>
                <c:pt idx="118">
                  <c:v>2.4607343673706055</c:v>
                </c:pt>
                <c:pt idx="119">
                  <c:v>2.445756196975708</c:v>
                </c:pt>
                <c:pt idx="120">
                  <c:v>2.4358749389648438</c:v>
                </c:pt>
                <c:pt idx="121">
                  <c:v>2.4488189220428467</c:v>
                </c:pt>
                <c:pt idx="122">
                  <c:v>2.4410400390625</c:v>
                </c:pt>
                <c:pt idx="123">
                  <c:v>2.4592761993408203</c:v>
                </c:pt>
                <c:pt idx="124">
                  <c:v>2.4670732021331787</c:v>
                </c:pt>
                <c:pt idx="125">
                  <c:v>2.4683542251586914</c:v>
                </c:pt>
                <c:pt idx="126">
                  <c:v>2.4631621837615967</c:v>
                </c:pt>
                <c:pt idx="127">
                  <c:v>2.4511787891387939</c:v>
                </c:pt>
                <c:pt idx="128">
                  <c:v>2.4541916847229004</c:v>
                </c:pt>
                <c:pt idx="129">
                  <c:v>2.4731810092926025</c:v>
                </c:pt>
                <c:pt idx="130">
                  <c:v>2.4695761203765869</c:v>
                </c:pt>
                <c:pt idx="131">
                  <c:v>2.4518086910247803</c:v>
                </c:pt>
                <c:pt idx="132">
                  <c:v>2.4448652267456055</c:v>
                </c:pt>
                <c:pt idx="133">
                  <c:v>2.4399559497833252</c:v>
                </c:pt>
                <c:pt idx="134">
                  <c:v>2.4560940265655518</c:v>
                </c:pt>
                <c:pt idx="135">
                  <c:v>2.4628670215606689</c:v>
                </c:pt>
                <c:pt idx="136">
                  <c:v>2.3260800838470459</c:v>
                </c:pt>
                <c:pt idx="137">
                  <c:v>2.2577672004699707</c:v>
                </c:pt>
                <c:pt idx="138">
                  <c:v>2.3749027252197266</c:v>
                </c:pt>
                <c:pt idx="139">
                  <c:v>2.4447433948516846</c:v>
                </c:pt>
                <c:pt idx="140">
                  <c:v>2.4375638961791992</c:v>
                </c:pt>
                <c:pt idx="141">
                  <c:v>2.4652500152587891</c:v>
                </c:pt>
                <c:pt idx="142">
                  <c:v>2.4691555500030518</c:v>
                </c:pt>
                <c:pt idx="143">
                  <c:v>2.4360449314117432</c:v>
                </c:pt>
                <c:pt idx="144">
                  <c:v>2.4518139362335205</c:v>
                </c:pt>
                <c:pt idx="145">
                  <c:v>2.4801836013793945</c:v>
                </c:pt>
                <c:pt idx="146">
                  <c:v>2.4440689086914063</c:v>
                </c:pt>
                <c:pt idx="147">
                  <c:v>2.4594266414642334</c:v>
                </c:pt>
                <c:pt idx="148">
                  <c:v>2.5428125858306885</c:v>
                </c:pt>
                <c:pt idx="149">
                  <c:v>2.5392720699310303</c:v>
                </c:pt>
                <c:pt idx="150">
                  <c:v>2.4584836959838867</c:v>
                </c:pt>
                <c:pt idx="151">
                  <c:v>2.4811265468597412</c:v>
                </c:pt>
                <c:pt idx="152">
                  <c:v>2.482210636138916</c:v>
                </c:pt>
                <c:pt idx="153">
                  <c:v>2.456676721572876</c:v>
                </c:pt>
                <c:pt idx="154">
                  <c:v>2.4582548141479492</c:v>
                </c:pt>
                <c:pt idx="155">
                  <c:v>2.4673182964324951</c:v>
                </c:pt>
                <c:pt idx="156">
                  <c:v>2.432142972946167</c:v>
                </c:pt>
                <c:pt idx="157">
                  <c:v>2.4256341457366943</c:v>
                </c:pt>
                <c:pt idx="158">
                  <c:v>2.4478957653045654</c:v>
                </c:pt>
                <c:pt idx="159">
                  <c:v>2.4453856945037842</c:v>
                </c:pt>
                <c:pt idx="160">
                  <c:v>2.4515671730041504</c:v>
                </c:pt>
                <c:pt idx="161">
                  <c:v>2.4269330501556396</c:v>
                </c:pt>
                <c:pt idx="162">
                  <c:v>2.4114413261413574</c:v>
                </c:pt>
                <c:pt idx="163">
                  <c:v>2.4572491645812988</c:v>
                </c:pt>
                <c:pt idx="164">
                  <c:v>2.4370522499084473</c:v>
                </c:pt>
                <c:pt idx="165">
                  <c:v>2.4338836669921875</c:v>
                </c:pt>
                <c:pt idx="166">
                  <c:v>2.46848464012146</c:v>
                </c:pt>
                <c:pt idx="167">
                  <c:v>2.4379448890686035</c:v>
                </c:pt>
                <c:pt idx="168">
                  <c:v>2.4679498672485352</c:v>
                </c:pt>
                <c:pt idx="169">
                  <c:v>2.4507172107696533</c:v>
                </c:pt>
                <c:pt idx="170">
                  <c:v>2.4302983283996582</c:v>
                </c:pt>
                <c:pt idx="171">
                  <c:v>2.4358983039855957</c:v>
                </c:pt>
                <c:pt idx="172">
                  <c:v>2.4501626491546631</c:v>
                </c:pt>
                <c:pt idx="173">
                  <c:v>2.4458205699920654</c:v>
                </c:pt>
                <c:pt idx="174">
                  <c:v>2.4321696758270264</c:v>
                </c:pt>
                <c:pt idx="175">
                  <c:v>2.4442265033721924</c:v>
                </c:pt>
                <c:pt idx="176">
                  <c:v>2.4334185123443604</c:v>
                </c:pt>
                <c:pt idx="177">
                  <c:v>2.446019172668457</c:v>
                </c:pt>
                <c:pt idx="178">
                  <c:v>2.4606823921203613</c:v>
                </c:pt>
                <c:pt idx="179">
                  <c:v>2.4660749435424805</c:v>
                </c:pt>
                <c:pt idx="180">
                  <c:v>2.4710342884063721</c:v>
                </c:pt>
                <c:pt idx="181">
                  <c:v>2.4669139385223389</c:v>
                </c:pt>
                <c:pt idx="182">
                  <c:v>2.4818313121795654</c:v>
                </c:pt>
                <c:pt idx="183">
                  <c:v>2.4483537673950195</c:v>
                </c:pt>
                <c:pt idx="184">
                  <c:v>2.4371719360351563</c:v>
                </c:pt>
                <c:pt idx="185">
                  <c:v>2.4388108253479004</c:v>
                </c:pt>
                <c:pt idx="186">
                  <c:v>2.4511091709136963</c:v>
                </c:pt>
                <c:pt idx="187">
                  <c:v>2.4691448211669922</c:v>
                </c:pt>
                <c:pt idx="188">
                  <c:v>2.4369287490844727</c:v>
                </c:pt>
                <c:pt idx="189">
                  <c:v>2.4443731307983398</c:v>
                </c:pt>
                <c:pt idx="190">
                  <c:v>2.4413084983825684</c:v>
                </c:pt>
                <c:pt idx="191">
                  <c:v>2.4202489852905273</c:v>
                </c:pt>
                <c:pt idx="192">
                  <c:v>2.4416053295135498</c:v>
                </c:pt>
                <c:pt idx="193">
                  <c:v>2.4296166896820068</c:v>
                </c:pt>
                <c:pt idx="194">
                  <c:v>2.4517083168029785</c:v>
                </c:pt>
                <c:pt idx="195">
                  <c:v>2.4635987281799316</c:v>
                </c:pt>
                <c:pt idx="196">
                  <c:v>2.5045385360717773</c:v>
                </c:pt>
                <c:pt idx="197">
                  <c:v>2.4911096096038818</c:v>
                </c:pt>
                <c:pt idx="198">
                  <c:v>2.4590544700622559</c:v>
                </c:pt>
                <c:pt idx="199">
                  <c:v>2.4731507301330566</c:v>
                </c:pt>
                <c:pt idx="200">
                  <c:v>2.4859015941619873</c:v>
                </c:pt>
                <c:pt idx="201">
                  <c:v>2.4770455360412598</c:v>
                </c:pt>
                <c:pt idx="202">
                  <c:v>2.4345600605010986</c:v>
                </c:pt>
                <c:pt idx="203">
                  <c:v>2.4676582813262939</c:v>
                </c:pt>
                <c:pt idx="204">
                  <c:v>2.4601778984069824</c:v>
                </c:pt>
                <c:pt idx="205">
                  <c:v>2.4731185436248779</c:v>
                </c:pt>
                <c:pt idx="206">
                  <c:v>2.4437916278839111</c:v>
                </c:pt>
                <c:pt idx="207">
                  <c:v>2.4493021965026855</c:v>
                </c:pt>
                <c:pt idx="208">
                  <c:v>2.4087505340576172</c:v>
                </c:pt>
                <c:pt idx="209">
                  <c:v>2.4048001766204834</c:v>
                </c:pt>
                <c:pt idx="210">
                  <c:v>2.4405891895294189</c:v>
                </c:pt>
                <c:pt idx="211">
                  <c:v>2.43532395362854</c:v>
                </c:pt>
                <c:pt idx="212">
                  <c:v>2.4787290096282959</c:v>
                </c:pt>
                <c:pt idx="213">
                  <c:v>2.4515528678894043</c:v>
                </c:pt>
                <c:pt idx="214">
                  <c:v>2.4751420021057129</c:v>
                </c:pt>
                <c:pt idx="215">
                  <c:v>2.4292285442352295</c:v>
                </c:pt>
                <c:pt idx="216">
                  <c:v>2.4432942867279053</c:v>
                </c:pt>
                <c:pt idx="217">
                  <c:v>2.4894332885742188</c:v>
                </c:pt>
                <c:pt idx="218">
                  <c:v>2.4359591007232666</c:v>
                </c:pt>
                <c:pt idx="219">
                  <c:v>2.4328835010528564</c:v>
                </c:pt>
                <c:pt idx="220">
                  <c:v>2.3790533542633057</c:v>
                </c:pt>
                <c:pt idx="221">
                  <c:v>2.4443159103393555</c:v>
                </c:pt>
                <c:pt idx="222">
                  <c:v>2.5484840869903564</c:v>
                </c:pt>
                <c:pt idx="223">
                  <c:v>2.4614894390106201</c:v>
                </c:pt>
                <c:pt idx="224">
                  <c:v>2.4795324802398682</c:v>
                </c:pt>
                <c:pt idx="225">
                  <c:v>2.3509252071380615</c:v>
                </c:pt>
              </c:numCache>
            </c:numRef>
          </c:yVal>
          <c:smooth val="1"/>
          <c:extLst>
            <c:ext xmlns:c16="http://schemas.microsoft.com/office/drawing/2014/chart" uri="{C3380CC4-5D6E-409C-BE32-E72D297353CC}">
              <c16:uniqueId val="{00000006-C55B-4A1A-87F7-276FE06EA34B}"/>
            </c:ext>
          </c:extLst>
        </c:ser>
        <c:dLbls>
          <c:showLegendKey val="0"/>
          <c:showVal val="0"/>
          <c:showCatName val="0"/>
          <c:showSerName val="0"/>
          <c:showPercent val="0"/>
          <c:showBubbleSize val="0"/>
        </c:dLbls>
        <c:axId val="1816209824"/>
        <c:axId val="1816210368"/>
      </c:scatterChart>
      <c:valAx>
        <c:axId val="1816209824"/>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0368"/>
        <c:crosses val="autoZero"/>
        <c:crossBetween val="midCat"/>
        <c:majorUnit val="50"/>
      </c:valAx>
      <c:valAx>
        <c:axId val="181621036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9824"/>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5"/>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6"/>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ChromatogramData!$B$2:$B$10001</c:f>
              <c:numCache>
                <c:formatCode>General</c:formatCode>
                <c:ptCount val="10000"/>
                <c:pt idx="0">
                  <c:v>75.977231239598467</c:v>
                </c:pt>
                <c:pt idx="1">
                  <c:v>76.783510700186781</c:v>
                </c:pt>
                <c:pt idx="2">
                  <c:v>73.279463747143552</c:v>
                </c:pt>
                <c:pt idx="3">
                  <c:v>69.309082187165473</c:v>
                </c:pt>
                <c:pt idx="4">
                  <c:v>66.755137517410091</c:v>
                </c:pt>
                <c:pt idx="5">
                  <c:v>64.615228246335192</c:v>
                </c:pt>
                <c:pt idx="6">
                  <c:v>62.213822933988396</c:v>
                </c:pt>
                <c:pt idx="7">
                  <c:v>60.457441190112256</c:v>
                </c:pt>
                <c:pt idx="8">
                  <c:v>59.760118413387239</c:v>
                </c:pt>
                <c:pt idx="9">
                  <c:v>59.563996382433317</c:v>
                </c:pt>
                <c:pt idx="10">
                  <c:v>59.363516084124882</c:v>
                </c:pt>
                <c:pt idx="11">
                  <c:v>58.892823209835484</c:v>
                </c:pt>
                <c:pt idx="12">
                  <c:v>58.452638207027832</c:v>
                </c:pt>
                <c:pt idx="13">
                  <c:v>58.021169738929224</c:v>
                </c:pt>
                <c:pt idx="14">
                  <c:v>58.012453204220151</c:v>
                </c:pt>
                <c:pt idx="15">
                  <c:v>59.067153904016749</c:v>
                </c:pt>
                <c:pt idx="16">
                  <c:v>61.137330897419154</c:v>
                </c:pt>
                <c:pt idx="17">
                  <c:v>63.081118137540138</c:v>
                </c:pt>
                <c:pt idx="18">
                  <c:v>64.427822750090343</c:v>
                </c:pt>
                <c:pt idx="19">
                  <c:v>65.277684884223959</c:v>
                </c:pt>
                <c:pt idx="20">
                  <c:v>65.62634627258646</c:v>
                </c:pt>
                <c:pt idx="21">
                  <c:v>65.098995922688175</c:v>
                </c:pt>
                <c:pt idx="22">
                  <c:v>63.377480317648278</c:v>
                </c:pt>
                <c:pt idx="23">
                  <c:v>60.627413616938981</c:v>
                </c:pt>
                <c:pt idx="24">
                  <c:v>57.389220972522168</c:v>
                </c:pt>
                <c:pt idx="25">
                  <c:v>54.486614914404271</c:v>
                </c:pt>
                <c:pt idx="26">
                  <c:v>52.656142625501097</c:v>
                </c:pt>
                <c:pt idx="27">
                  <c:v>51.780130887240297</c:v>
                </c:pt>
                <c:pt idx="28">
                  <c:v>51.418394696814183</c:v>
                </c:pt>
                <c:pt idx="29">
                  <c:v>51.183048259669484</c:v>
                </c:pt>
                <c:pt idx="30">
                  <c:v>50.947701822524792</c:v>
                </c:pt>
                <c:pt idx="31">
                  <c:v>50.734146722152765</c:v>
                </c:pt>
                <c:pt idx="32">
                  <c:v>50.468292413526342</c:v>
                </c:pt>
                <c:pt idx="33">
                  <c:v>50.219871174318058</c:v>
                </c:pt>
                <c:pt idx="34">
                  <c:v>50.054257014845874</c:v>
                </c:pt>
                <c:pt idx="35">
                  <c:v>49.897359390082734</c:v>
                </c:pt>
                <c:pt idx="36">
                  <c:v>49.757894834737733</c:v>
                </c:pt>
                <c:pt idx="37">
                  <c:v>49.605355477329134</c:v>
                </c:pt>
                <c:pt idx="38">
                  <c:v>49.513831862883983</c:v>
                </c:pt>
                <c:pt idx="39">
                  <c:v>49.465890921984133</c:v>
                </c:pt>
                <c:pt idx="40">
                  <c:v>49.492040526111317</c:v>
                </c:pt>
                <c:pt idx="41">
                  <c:v>49.561772803783818</c:v>
                </c:pt>
                <c:pt idx="42">
                  <c:v>49.670729487647108</c:v>
                </c:pt>
                <c:pt idx="43">
                  <c:v>49.818910577701175</c:v>
                </c:pt>
                <c:pt idx="44">
                  <c:v>50.028107410718683</c:v>
                </c:pt>
                <c:pt idx="45">
                  <c:v>50.250379045799775</c:v>
                </c:pt>
                <c:pt idx="46">
                  <c:v>50.477008948235408</c:v>
                </c:pt>
                <c:pt idx="47">
                  <c:v>50.712355385380107</c:v>
                </c:pt>
                <c:pt idx="48">
                  <c:v>50.969493159297457</c:v>
                </c:pt>
                <c:pt idx="49">
                  <c:v>51.331229349723557</c:v>
                </c:pt>
                <c:pt idx="50">
                  <c:v>51.749623015758566</c:v>
                </c:pt>
                <c:pt idx="51">
                  <c:v>52.272615098302332</c:v>
                </c:pt>
                <c:pt idx="52">
                  <c:v>52.865339458518598</c:v>
                </c:pt>
                <c:pt idx="53">
                  <c:v>53.453705551380338</c:v>
                </c:pt>
                <c:pt idx="54">
                  <c:v>54.159744862814414</c:v>
                </c:pt>
                <c:pt idx="55">
                  <c:v>54.878858976312102</c:v>
                </c:pt>
                <c:pt idx="56">
                  <c:v>55.497732940655553</c:v>
                </c:pt>
                <c:pt idx="57">
                  <c:v>56.086099033517293</c:v>
                </c:pt>
                <c:pt idx="58">
                  <c:v>56.718047799924349</c:v>
                </c:pt>
                <c:pt idx="59">
                  <c:v>57.411012309294826</c:v>
                </c:pt>
                <c:pt idx="60">
                  <c:v>58.125768155437967</c:v>
                </c:pt>
                <c:pt idx="61">
                  <c:v>58.814374397453918</c:v>
                </c:pt>
                <c:pt idx="62">
                  <c:v>59.507338906824415</c:v>
                </c:pt>
                <c:pt idx="63">
                  <c:v>60.108779801749748</c:v>
                </c:pt>
                <c:pt idx="64">
                  <c:v>60.836610449956481</c:v>
                </c:pt>
                <c:pt idx="65">
                  <c:v>61.682114316735571</c:v>
                </c:pt>
                <c:pt idx="66">
                  <c:v>62.671441006214195</c:v>
                </c:pt>
                <c:pt idx="67">
                  <c:v>63.787157448974227</c:v>
                </c:pt>
                <c:pt idx="68">
                  <c:v>65.103354190042694</c:v>
                </c:pt>
                <c:pt idx="69">
                  <c:v>66.689763507092124</c:v>
                </c:pt>
                <c:pt idx="70">
                  <c:v>68.520235795995305</c:v>
                </c:pt>
                <c:pt idx="71">
                  <c:v>70.398649025798321</c:v>
                </c:pt>
                <c:pt idx="72">
                  <c:v>72.303211859728535</c:v>
                </c:pt>
                <c:pt idx="73">
                  <c:v>74.1467589506953</c:v>
                </c:pt>
                <c:pt idx="74">
                  <c:v>76.216935944097699</c:v>
                </c:pt>
                <c:pt idx="75">
                  <c:v>78.474518433744947</c:v>
                </c:pt>
                <c:pt idx="76">
                  <c:v>80.618785972174393</c:v>
                </c:pt>
                <c:pt idx="77">
                  <c:v>82.257494497478191</c:v>
                </c:pt>
                <c:pt idx="78">
                  <c:v>83.155297572511657</c:v>
                </c:pt>
                <c:pt idx="79">
                  <c:v>83.787246338918692</c:v>
                </c:pt>
                <c:pt idx="80">
                  <c:v>83.887486488072923</c:v>
                </c:pt>
                <c:pt idx="81">
                  <c:v>82.919951135366972</c:v>
                </c:pt>
                <c:pt idx="82">
                  <c:v>80.810549735773762</c:v>
                </c:pt>
                <c:pt idx="83">
                  <c:v>78.23481372924573</c:v>
                </c:pt>
                <c:pt idx="84">
                  <c:v>75.990306041662066</c:v>
                </c:pt>
                <c:pt idx="85">
                  <c:v>74.251357367204051</c:v>
                </c:pt>
                <c:pt idx="86">
                  <c:v>72.795696070790584</c:v>
                </c:pt>
                <c:pt idx="87">
                  <c:v>71.597172548294438</c:v>
                </c:pt>
                <c:pt idx="88">
                  <c:v>71.048030861623502</c:v>
                </c:pt>
                <c:pt idx="89">
                  <c:v>70.943432445114738</c:v>
                </c:pt>
                <c:pt idx="90">
                  <c:v>70.899849771569436</c:v>
                </c:pt>
                <c:pt idx="91">
                  <c:v>70.629637195588487</c:v>
                </c:pt>
                <c:pt idx="92">
                  <c:v>70.202526994844419</c:v>
                </c:pt>
                <c:pt idx="93">
                  <c:v>69.827716002354705</c:v>
                </c:pt>
                <c:pt idx="94">
                  <c:v>69.614160901982672</c:v>
                </c:pt>
                <c:pt idx="95">
                  <c:v>69.422397138383289</c:v>
                </c:pt>
                <c:pt idx="96">
                  <c:v>69.348306593356256</c:v>
                </c:pt>
                <c:pt idx="97">
                  <c:v>69.496487683410322</c:v>
                </c:pt>
                <c:pt idx="98">
                  <c:v>69.871298675900022</c:v>
                </c:pt>
                <c:pt idx="99">
                  <c:v>70.154586053944556</c:v>
                </c:pt>
                <c:pt idx="100">
                  <c:v>70.280975807225971</c:v>
                </c:pt>
                <c:pt idx="101">
                  <c:v>70.141511251880971</c:v>
                </c:pt>
                <c:pt idx="102">
                  <c:v>69.96718055769972</c:v>
                </c:pt>
                <c:pt idx="103">
                  <c:v>69.980255359763305</c:v>
                </c:pt>
                <c:pt idx="104">
                  <c:v>70.577337987334104</c:v>
                </c:pt>
                <c:pt idx="105">
                  <c:v>70.864983632733171</c:v>
                </c:pt>
                <c:pt idx="106">
                  <c:v>70.882416702151303</c:v>
                </c:pt>
                <c:pt idx="107">
                  <c:v>70.869341900087718</c:v>
                </c:pt>
                <c:pt idx="108">
                  <c:v>71.396692249986003</c:v>
                </c:pt>
                <c:pt idx="109">
                  <c:v>71.932759134593368</c:v>
                </c:pt>
                <c:pt idx="110">
                  <c:v>72.089656759356501</c:v>
                </c:pt>
                <c:pt idx="111">
                  <c:v>71.954550471366019</c:v>
                </c:pt>
                <c:pt idx="112">
                  <c:v>71.623322152421636</c:v>
                </c:pt>
                <c:pt idx="113">
                  <c:v>71.244152892577404</c:v>
                </c:pt>
                <c:pt idx="114">
                  <c:v>71.906609530466184</c:v>
                </c:pt>
                <c:pt idx="115">
                  <c:v>72.23347958205602</c:v>
                </c:pt>
                <c:pt idx="116">
                  <c:v>71.910967797820703</c:v>
                </c:pt>
                <c:pt idx="117">
                  <c:v>72.124522898192737</c:v>
                </c:pt>
                <c:pt idx="118">
                  <c:v>74.10317627714997</c:v>
                </c:pt>
                <c:pt idx="119">
                  <c:v>76.848884710504748</c:v>
                </c:pt>
                <c:pt idx="120">
                  <c:v>76.356400499442714</c:v>
                </c:pt>
                <c:pt idx="121">
                  <c:v>75.397581681445814</c:v>
                </c:pt>
                <c:pt idx="122">
                  <c:v>75.275550195518932</c:v>
                </c:pt>
                <c:pt idx="123">
                  <c:v>75.205817917846417</c:v>
                </c:pt>
                <c:pt idx="124">
                  <c:v>73.981144791223102</c:v>
                </c:pt>
                <c:pt idx="125">
                  <c:v>72.067865422583836</c:v>
                </c:pt>
                <c:pt idx="126">
                  <c:v>71.387975715276951</c:v>
                </c:pt>
                <c:pt idx="127">
                  <c:v>71.091613535168804</c:v>
                </c:pt>
                <c:pt idx="128">
                  <c:v>70.847550563315053</c:v>
                </c:pt>
                <c:pt idx="129">
                  <c:v>70.647070265006604</c:v>
                </c:pt>
                <c:pt idx="130">
                  <c:v>70.690652938551921</c:v>
                </c:pt>
                <c:pt idx="131">
                  <c:v>71.863026856920854</c:v>
                </c:pt>
                <c:pt idx="132">
                  <c:v>72.917727556717452</c:v>
                </c:pt>
                <c:pt idx="133">
                  <c:v>73.192298400052934</c:v>
                </c:pt>
                <c:pt idx="134">
                  <c:v>72.185538641156185</c:v>
                </c:pt>
                <c:pt idx="135">
                  <c:v>70.424798629925505</c:v>
                </c:pt>
                <c:pt idx="136">
                  <c:v>69.461621544574072</c:v>
                </c:pt>
                <c:pt idx="137">
                  <c:v>69.313440454520006</c:v>
                </c:pt>
                <c:pt idx="138">
                  <c:v>69.644668773464389</c:v>
                </c:pt>
                <c:pt idx="139">
                  <c:v>70.280975807225971</c:v>
                </c:pt>
                <c:pt idx="140">
                  <c:v>70.394290758443773</c:v>
                </c:pt>
                <c:pt idx="141">
                  <c:v>70.590412789397703</c:v>
                </c:pt>
                <c:pt idx="142">
                  <c:v>70.41172382786192</c:v>
                </c:pt>
                <c:pt idx="143">
                  <c:v>69.936672686218003</c:v>
                </c:pt>
                <c:pt idx="144">
                  <c:v>70.259184470453306</c:v>
                </c:pt>
                <c:pt idx="145">
                  <c:v>76.256160350288468</c:v>
                </c:pt>
                <c:pt idx="146">
                  <c:v>87.478698788206771</c:v>
                </c:pt>
                <c:pt idx="147">
                  <c:v>88.699013647475567</c:v>
                </c:pt>
                <c:pt idx="148">
                  <c:v>79.99555374047641</c:v>
                </c:pt>
                <c:pt idx="149">
                  <c:v>72.826203942272286</c:v>
                </c:pt>
                <c:pt idx="150">
                  <c:v>71.061105663687087</c:v>
                </c:pt>
                <c:pt idx="151">
                  <c:v>71.161345812841319</c:v>
                </c:pt>
                <c:pt idx="152">
                  <c:v>70.991373386014587</c:v>
                </c:pt>
                <c:pt idx="153">
                  <c:v>70.485814372888953</c:v>
                </c:pt>
                <c:pt idx="154">
                  <c:v>70.51632224437067</c:v>
                </c:pt>
                <c:pt idx="155">
                  <c:v>70.673219869133789</c:v>
                </c:pt>
                <c:pt idx="156">
                  <c:v>71.13519620871412</c:v>
                </c:pt>
                <c:pt idx="157">
                  <c:v>71.370542645858819</c:v>
                </c:pt>
                <c:pt idx="158">
                  <c:v>71.122121406650535</c:v>
                </c:pt>
                <c:pt idx="159">
                  <c:v>70.58605452204317</c:v>
                </c:pt>
                <c:pt idx="160">
                  <c:v>70.080495508917522</c:v>
                </c:pt>
                <c:pt idx="161">
                  <c:v>70.076137241563003</c:v>
                </c:pt>
                <c:pt idx="162">
                  <c:v>70.102286845690188</c:v>
                </c:pt>
                <c:pt idx="163">
                  <c:v>70.311483678707688</c:v>
                </c:pt>
                <c:pt idx="164">
                  <c:v>70.886774969505836</c:v>
                </c:pt>
                <c:pt idx="165">
                  <c:v>71.592814280939919</c:v>
                </c:pt>
                <c:pt idx="166">
                  <c:v>71.76714497512117</c:v>
                </c:pt>
                <c:pt idx="167">
                  <c:v>71.632038687130702</c:v>
                </c:pt>
                <c:pt idx="168">
                  <c:v>71.235436357868352</c:v>
                </c:pt>
                <c:pt idx="169">
                  <c:v>71.344393041731621</c:v>
                </c:pt>
                <c:pt idx="170">
                  <c:v>71.706129232157735</c:v>
                </c:pt>
                <c:pt idx="171">
                  <c:v>71.924042599884288</c:v>
                </c:pt>
                <c:pt idx="172">
                  <c:v>72.499333890682436</c:v>
                </c:pt>
                <c:pt idx="173">
                  <c:v>73.588900729315284</c:v>
                </c:pt>
                <c:pt idx="174">
                  <c:v>73.806814097041851</c:v>
                </c:pt>
                <c:pt idx="175">
                  <c:v>73.584542461960737</c:v>
                </c:pt>
                <c:pt idx="176">
                  <c:v>73.253314143016354</c:v>
                </c:pt>
                <c:pt idx="177">
                  <c:v>72.595215772482135</c:v>
                </c:pt>
                <c:pt idx="178">
                  <c:v>72.133239432901803</c:v>
                </c:pt>
                <c:pt idx="179">
                  <c:v>72.085298492001968</c:v>
                </c:pt>
                <c:pt idx="180">
                  <c:v>71.954550471366019</c:v>
                </c:pt>
                <c:pt idx="181">
                  <c:v>71.618963885067103</c:v>
                </c:pt>
                <c:pt idx="182">
                  <c:v>71.714845766866787</c:v>
                </c:pt>
                <c:pt idx="183">
                  <c:v>72.320644929146653</c:v>
                </c:pt>
                <c:pt idx="184">
                  <c:v>80.466246614765794</c:v>
                </c:pt>
                <c:pt idx="185">
                  <c:v>96.652851569495297</c:v>
                </c:pt>
                <c:pt idx="186">
                  <c:v>100.00000089777541</c:v>
                </c:pt>
                <c:pt idx="187">
                  <c:v>90.677667026432815</c:v>
                </c:pt>
                <c:pt idx="188">
                  <c:v>78.705506603535113</c:v>
                </c:pt>
                <c:pt idx="189">
                  <c:v>73.724007017305766</c:v>
                </c:pt>
                <c:pt idx="190">
                  <c:v>72.490617355973384</c:v>
                </c:pt>
                <c:pt idx="191">
                  <c:v>72.516766960100568</c:v>
                </c:pt>
                <c:pt idx="192">
                  <c:v>72.564707901000418</c:v>
                </c:pt>
                <c:pt idx="193">
                  <c:v>72.769546466663385</c:v>
                </c:pt>
                <c:pt idx="194">
                  <c:v>72.895936219944801</c:v>
                </c:pt>
                <c:pt idx="195">
                  <c:v>72.878503150526669</c:v>
                </c:pt>
                <c:pt idx="196">
                  <c:v>72.734680327827121</c:v>
                </c:pt>
                <c:pt idx="197">
                  <c:v>72.664948050154635</c:v>
                </c:pt>
                <c:pt idx="198">
                  <c:v>72.699814188990871</c:v>
                </c:pt>
                <c:pt idx="199">
                  <c:v>72.795696070790584</c:v>
                </c:pt>
                <c:pt idx="200">
                  <c:v>72.830562209626819</c:v>
                </c:pt>
                <c:pt idx="201">
                  <c:v>72.861070081108551</c:v>
                </c:pt>
                <c:pt idx="202">
                  <c:v>72.861070081108551</c:v>
                </c:pt>
                <c:pt idx="203">
                  <c:v>72.861070081108551</c:v>
                </c:pt>
                <c:pt idx="204">
                  <c:v>72.987459834389938</c:v>
                </c:pt>
                <c:pt idx="205">
                  <c:v>73.157432261216684</c:v>
                </c:pt>
                <c:pt idx="206">
                  <c:v>73.23588107359825</c:v>
                </c:pt>
                <c:pt idx="207">
                  <c:v>73.275105479789033</c:v>
                </c:pt>
                <c:pt idx="208">
                  <c:v>73.370987361588703</c:v>
                </c:pt>
                <c:pt idx="209">
                  <c:v>73.45815270867935</c:v>
                </c:pt>
                <c:pt idx="210">
                  <c:v>73.432003104552166</c:v>
                </c:pt>
                <c:pt idx="211">
                  <c:v>73.484302312806548</c:v>
                </c:pt>
                <c:pt idx="212">
                  <c:v>73.554034590479034</c:v>
                </c:pt>
                <c:pt idx="213">
                  <c:v>74.704617172075316</c:v>
                </c:pt>
                <c:pt idx="214">
                  <c:v>79.354888439360295</c:v>
                </c:pt>
                <c:pt idx="215">
                  <c:v>81.063329242336593</c:v>
                </c:pt>
                <c:pt idx="216">
                  <c:v>81.324825283608476</c:v>
                </c:pt>
                <c:pt idx="217">
                  <c:v>78.622699523799028</c:v>
                </c:pt>
                <c:pt idx="218">
                  <c:v>76.413057975051615</c:v>
                </c:pt>
                <c:pt idx="219">
                  <c:v>75.336565938482366</c:v>
                </c:pt>
                <c:pt idx="220">
                  <c:v>75.136085640173917</c:v>
                </c:pt>
                <c:pt idx="221">
                  <c:v>75.188384848428299</c:v>
                </c:pt>
                <c:pt idx="222">
                  <c:v>75.2581171261008</c:v>
                </c:pt>
                <c:pt idx="223">
                  <c:v>75.153518709592049</c:v>
                </c:pt>
                <c:pt idx="224">
                  <c:v>74.844081727420317</c:v>
                </c:pt>
                <c:pt idx="225">
                  <c:v>74.66103449853</c:v>
                </c:pt>
                <c:pt idx="226">
                  <c:v>74.647959696466401</c:v>
                </c:pt>
                <c:pt idx="227">
                  <c:v>74.713333706784383</c:v>
                </c:pt>
                <c:pt idx="228">
                  <c:v>74.769991182393284</c:v>
                </c:pt>
                <c:pt idx="229">
                  <c:v>74.857156529483916</c:v>
                </c:pt>
                <c:pt idx="230">
                  <c:v>74.896380935674699</c:v>
                </c:pt>
                <c:pt idx="231">
                  <c:v>74.909455737738298</c:v>
                </c:pt>
                <c:pt idx="232">
                  <c:v>74.935605341865482</c:v>
                </c:pt>
                <c:pt idx="233">
                  <c:v>74.996621084828931</c:v>
                </c:pt>
                <c:pt idx="234">
                  <c:v>75.114294303401266</c:v>
                </c:pt>
                <c:pt idx="235">
                  <c:v>75.240684056682682</c:v>
                </c:pt>
                <c:pt idx="236">
                  <c:v>75.476030493827366</c:v>
                </c:pt>
                <c:pt idx="237">
                  <c:v>75.698302128908466</c:v>
                </c:pt>
                <c:pt idx="238">
                  <c:v>75.863916288380665</c:v>
                </c:pt>
                <c:pt idx="239">
                  <c:v>75.972872972243948</c:v>
                </c:pt>
                <c:pt idx="240">
                  <c:v>75.977231239598467</c:v>
                </c:pt>
                <c:pt idx="241">
                  <c:v>75.985947774307533</c:v>
                </c:pt>
                <c:pt idx="242">
                  <c:v>75.942365100762231</c:v>
                </c:pt>
                <c:pt idx="243">
                  <c:v>75.911857229280514</c:v>
                </c:pt>
                <c:pt idx="244">
                  <c:v>76.01645564578925</c:v>
                </c:pt>
                <c:pt idx="245">
                  <c:v>76.060038319334581</c:v>
                </c:pt>
                <c:pt idx="246">
                  <c:v>76.14284539907068</c:v>
                </c:pt>
                <c:pt idx="247">
                  <c:v>75.990306041662066</c:v>
                </c:pt>
                <c:pt idx="248">
                  <c:v>75.833408416898934</c:v>
                </c:pt>
                <c:pt idx="249">
                  <c:v>75.733168267744716</c:v>
                </c:pt>
                <c:pt idx="250">
                  <c:v>75.868274555735184</c:v>
                </c:pt>
                <c:pt idx="251">
                  <c:v>76.107979260234416</c:v>
                </c:pt>
                <c:pt idx="252">
                  <c:v>76.304101291188331</c:v>
                </c:pt>
                <c:pt idx="253">
                  <c:v>76.243085548224897</c:v>
                </c:pt>
                <c:pt idx="254">
                  <c:v>76.094904458170816</c:v>
                </c:pt>
                <c:pt idx="255">
                  <c:v>75.920573763989566</c:v>
                </c:pt>
                <c:pt idx="256">
                  <c:v>75.837766684253481</c:v>
                </c:pt>
                <c:pt idx="257">
                  <c:v>75.842124951608</c:v>
                </c:pt>
                <c:pt idx="258">
                  <c:v>75.903140694571448</c:v>
                </c:pt>
                <c:pt idx="259">
                  <c:v>75.946723368116764</c:v>
                </c:pt>
                <c:pt idx="260">
                  <c:v>75.981589506953014</c:v>
                </c:pt>
                <c:pt idx="261">
                  <c:v>76.012097378434731</c:v>
                </c:pt>
                <c:pt idx="262">
                  <c:v>76.090546190816298</c:v>
                </c:pt>
                <c:pt idx="263">
                  <c:v>76.14284539907068</c:v>
                </c:pt>
                <c:pt idx="264">
                  <c:v>76.14284539907068</c:v>
                </c:pt>
                <c:pt idx="265">
                  <c:v>76.121054062298001</c:v>
                </c:pt>
                <c:pt idx="266">
                  <c:v>75.990306041662066</c:v>
                </c:pt>
                <c:pt idx="267">
                  <c:v>75.802900545417216</c:v>
                </c:pt>
                <c:pt idx="268">
                  <c:v>75.567554108272532</c:v>
                </c:pt>
                <c:pt idx="269">
                  <c:v>75.336565938482366</c:v>
                </c:pt>
                <c:pt idx="270">
                  <c:v>75.149160442237516</c:v>
                </c:pt>
                <c:pt idx="271">
                  <c:v>75.018412421601568</c:v>
                </c:pt>
                <c:pt idx="272">
                  <c:v>75.018412421601568</c:v>
                </c:pt>
                <c:pt idx="273">
                  <c:v>75.153518709592049</c:v>
                </c:pt>
                <c:pt idx="274">
                  <c:v>75.2450423240372</c:v>
                </c:pt>
                <c:pt idx="275">
                  <c:v>75.275550195518932</c:v>
                </c:pt>
                <c:pt idx="276">
                  <c:v>75.131727372819384</c:v>
                </c:pt>
                <c:pt idx="277">
                  <c:v>74.861514796838449</c:v>
                </c:pt>
                <c:pt idx="278">
                  <c:v>74.578227418793915</c:v>
                </c:pt>
                <c:pt idx="279">
                  <c:v>74.321089644876551</c:v>
                </c:pt>
                <c:pt idx="280">
                  <c:v>74.094459742440918</c:v>
                </c:pt>
                <c:pt idx="281">
                  <c:v>73.9375621176778</c:v>
                </c:pt>
                <c:pt idx="282">
                  <c:v>73.911412513550601</c:v>
                </c:pt>
                <c:pt idx="283">
                  <c:v>74.04216053418655</c:v>
                </c:pt>
                <c:pt idx="284">
                  <c:v>74.037802266832017</c:v>
                </c:pt>
                <c:pt idx="285">
                  <c:v>74.077026673022786</c:v>
                </c:pt>
                <c:pt idx="286">
                  <c:v>73.832963701169049</c:v>
                </c:pt>
                <c:pt idx="287">
                  <c:v>73.532243253706369</c:v>
                </c:pt>
                <c:pt idx="288">
                  <c:v>73.131282657089486</c:v>
                </c:pt>
                <c:pt idx="289">
                  <c:v>72.67802285221822</c:v>
                </c:pt>
                <c:pt idx="290">
                  <c:v>72.285778790310403</c:v>
                </c:pt>
                <c:pt idx="291">
                  <c:v>72.011207946974935</c:v>
                </c:pt>
                <c:pt idx="292">
                  <c:v>71.889176461048052</c:v>
                </c:pt>
                <c:pt idx="293">
                  <c:v>71.83687725279367</c:v>
                </c:pt>
                <c:pt idx="294">
                  <c:v>71.706129232157735</c:v>
                </c:pt>
                <c:pt idx="295">
                  <c:v>71.405408784695069</c:v>
                </c:pt>
                <c:pt idx="296">
                  <c:v>71.008806455432705</c:v>
                </c:pt>
                <c:pt idx="297">
                  <c:v>70.459664768761755</c:v>
                </c:pt>
                <c:pt idx="298">
                  <c:v>69.845149071772838</c:v>
                </c:pt>
                <c:pt idx="299">
                  <c:v>72.037357551102133</c:v>
                </c:pt>
                <c:pt idx="300">
                  <c:v>81.564529988107708</c:v>
                </c:pt>
                <c:pt idx="301">
                  <c:v>83.421151881138073</c:v>
                </c:pt>
                <c:pt idx="302">
                  <c:v>85.787691054648619</c:v>
                </c:pt>
                <c:pt idx="303">
                  <c:v>78.67499873205341</c:v>
                </c:pt>
                <c:pt idx="304">
                  <c:v>70.830117493896921</c:v>
                </c:pt>
                <c:pt idx="305">
                  <c:v>67.552700443289339</c:v>
                </c:pt>
                <c:pt idx="306">
                  <c:v>66.611314694710558</c:v>
                </c:pt>
                <c:pt idx="307">
                  <c:v>66.236503702220858</c:v>
                </c:pt>
                <c:pt idx="308">
                  <c:v>65.73094468909521</c:v>
                </c:pt>
                <c:pt idx="309">
                  <c:v>64.998755773533958</c:v>
                </c:pt>
                <c:pt idx="310">
                  <c:v>64.135818837336728</c:v>
                </c:pt>
                <c:pt idx="311">
                  <c:v>63.229299227594204</c:v>
                </c:pt>
                <c:pt idx="312">
                  <c:v>62.405586697587786</c:v>
                </c:pt>
                <c:pt idx="313">
                  <c:v>61.603665504354005</c:v>
                </c:pt>
                <c:pt idx="314">
                  <c:v>60.945567133819765</c:v>
                </c:pt>
                <c:pt idx="315">
                  <c:v>60.335409704185373</c:v>
                </c:pt>
                <c:pt idx="316">
                  <c:v>59.625012125396765</c:v>
                </c:pt>
                <c:pt idx="317">
                  <c:v>58.857957070999241</c:v>
                </c:pt>
                <c:pt idx="318">
                  <c:v>57.886063450938749</c:v>
                </c:pt>
                <c:pt idx="319">
                  <c:v>56.879303692041994</c:v>
                </c:pt>
                <c:pt idx="320">
                  <c:v>55.885618735208851</c:v>
                </c:pt>
                <c:pt idx="321">
                  <c:v>54.626079469749278</c:v>
                </c:pt>
                <c:pt idx="322">
                  <c:v>53.46678035344393</c:v>
                </c:pt>
                <c:pt idx="323">
                  <c:v>52.04162692851218</c:v>
                </c:pt>
                <c:pt idx="324">
                  <c:v>50.755938058925423</c:v>
                </c:pt>
                <c:pt idx="325">
                  <c:v>49.609713744683667</c:v>
                </c:pt>
                <c:pt idx="326">
                  <c:v>48.450414628378326</c:v>
                </c:pt>
                <c:pt idx="327">
                  <c:v>47.073202144346403</c:v>
                </c:pt>
                <c:pt idx="328">
                  <c:v>45.443210153751671</c:v>
                </c:pt>
                <c:pt idx="329">
                  <c:v>43.5865882607213</c:v>
                </c:pt>
                <c:pt idx="330">
                  <c:v>41.621009683827658</c:v>
                </c:pt>
                <c:pt idx="331">
                  <c:v>39.607490166034168</c:v>
                </c:pt>
                <c:pt idx="332">
                  <c:v>37.550387974695354</c:v>
                </c:pt>
                <c:pt idx="333">
                  <c:v>35.536868456901857</c:v>
                </c:pt>
                <c:pt idx="334">
                  <c:v>33.518990671753834</c:v>
                </c:pt>
                <c:pt idx="335">
                  <c:v>31.501112886605803</c:v>
                </c:pt>
                <c:pt idx="336">
                  <c:v>29.465802032039655</c:v>
                </c:pt>
                <c:pt idx="337">
                  <c:v>27.404341573346315</c:v>
                </c:pt>
                <c:pt idx="338">
                  <c:v>25.3603141840711</c:v>
                </c:pt>
                <c:pt idx="339">
                  <c:v>23.38601907246839</c:v>
                </c:pt>
                <c:pt idx="340">
                  <c:v>22.562306542461961</c:v>
                </c:pt>
                <c:pt idx="341">
                  <c:v>22.448991591244148</c:v>
                </c:pt>
                <c:pt idx="342">
                  <c:v>21.302767277002392</c:v>
                </c:pt>
                <c:pt idx="343">
                  <c:v>18.635507656029194</c:v>
                </c:pt>
                <c:pt idx="344">
                  <c:v>14.952771741450182</c:v>
                </c:pt>
                <c:pt idx="345">
                  <c:v>12.934893956302155</c:v>
                </c:pt>
                <c:pt idx="346">
                  <c:v>11.614338947879153</c:v>
                </c:pt>
                <c:pt idx="347">
                  <c:v>10.32429181093786</c:v>
                </c:pt>
                <c:pt idx="348">
                  <c:v>8.8250478409790709</c:v>
                </c:pt>
                <c:pt idx="349">
                  <c:v>7.3824613466291877</c:v>
                </c:pt>
                <c:pt idx="350">
                  <c:v>6.1926543588421241</c:v>
                </c:pt>
                <c:pt idx="351">
                  <c:v>5.1205205896274046</c:v>
                </c:pt>
                <c:pt idx="352">
                  <c:v>4.1137608307306586</c:v>
                </c:pt>
                <c:pt idx="353">
                  <c:v>3.2595404292425099</c:v>
                </c:pt>
                <c:pt idx="354">
                  <c:v>2.6275916628354548</c:v>
                </c:pt>
                <c:pt idx="355">
                  <c:v>2.2745720071184157</c:v>
                </c:pt>
                <c:pt idx="356">
                  <c:v>2.0000011637829362</c:v>
                </c:pt>
              </c:numCache>
            </c:numRef>
          </c:yVal>
          <c:smooth val="1"/>
          <c:extLst>
            <c:ext xmlns:c16="http://schemas.microsoft.com/office/drawing/2014/chart" uri="{C3380CC4-5D6E-409C-BE32-E72D297353CC}">
              <c16:uniqueId val="{00000000-0B7A-4B2F-BFF6-096568D6F33F}"/>
            </c:ext>
          </c:extLst>
        </c:ser>
        <c:dLbls>
          <c:showLegendKey val="0"/>
          <c:showVal val="0"/>
          <c:showCatName val="0"/>
          <c:showSerName val="0"/>
          <c:showPercent val="0"/>
          <c:showBubbleSize val="0"/>
        </c:dLbls>
        <c:axId val="1816210912"/>
        <c:axId val="1816211456"/>
      </c:scatterChart>
      <c:scatterChart>
        <c:scatterStyle val="smoothMarker"/>
        <c:varyColors val="0"/>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ChromatogramData!$C$2:$C$10001</c:f>
              <c:numCache>
                <c:formatCode>General</c:formatCode>
                <c:ptCount val="10000"/>
                <c:pt idx="0">
                  <c:v>14.612825683489213</c:v>
                </c:pt>
                <c:pt idx="1">
                  <c:v>11.217735414309272</c:v>
                </c:pt>
                <c:pt idx="2">
                  <c:v>8.1713065334918404</c:v>
                </c:pt>
                <c:pt idx="3">
                  <c:v>7.3998932117397871</c:v>
                </c:pt>
                <c:pt idx="4">
                  <c:v>7.8357199471929251</c:v>
                </c:pt>
                <c:pt idx="5">
                  <c:v>8.3325624256095026</c:v>
                </c:pt>
                <c:pt idx="6">
                  <c:v>8.1538734640737154</c:v>
                </c:pt>
                <c:pt idx="7">
                  <c:v>7.7267632633296417</c:v>
                </c:pt>
                <c:pt idx="8">
                  <c:v>7.6483144509480763</c:v>
                </c:pt>
                <c:pt idx="9">
                  <c:v>7.5524325691483858</c:v>
                </c:pt>
                <c:pt idx="10">
                  <c:v>6.8769011291960229</c:v>
                </c:pt>
                <c:pt idx="11">
                  <c:v>5.7568264190814595</c:v>
                </c:pt>
                <c:pt idx="12">
                  <c:v>5.0072044341020634</c:v>
                </c:pt>
                <c:pt idx="13">
                  <c:v>5.0682201770655029</c:v>
                </c:pt>
                <c:pt idx="14">
                  <c:v>6.2318775607253789</c:v>
                </c:pt>
                <c:pt idx="15">
                  <c:v>8.6550742098448232</c:v>
                </c:pt>
                <c:pt idx="16">
                  <c:v>11.771235368334754</c:v>
                </c:pt>
                <c:pt idx="17">
                  <c:v>14.421061919889832</c:v>
                </c:pt>
                <c:pt idx="18">
                  <c:v>16.160010594347849</c:v>
                </c:pt>
                <c:pt idx="19">
                  <c:v>17.280085304462411</c:v>
                </c:pt>
                <c:pt idx="20">
                  <c:v>17.91203407086946</c:v>
                </c:pt>
                <c:pt idx="21">
                  <c:v>17.65489629695211</c:v>
                </c:pt>
                <c:pt idx="22">
                  <c:v>16.046695643130036</c:v>
                </c:pt>
                <c:pt idx="23">
                  <c:v>13.200747060621048</c:v>
                </c:pt>
                <c:pt idx="24">
                  <c:v>9.6967001075778221</c:v>
                </c:pt>
                <c:pt idx="25">
                  <c:v>6.4672239978700734</c:v>
                </c:pt>
                <c:pt idx="26">
                  <c:v>4.3796139350495453</c:v>
                </c:pt>
                <c:pt idx="27">
                  <c:v>3.4120785823435806</c:v>
                </c:pt>
                <c:pt idx="28">
                  <c:v>3.0372675898538826</c:v>
                </c:pt>
                <c:pt idx="29">
                  <c:v>2.8934447671543473</c:v>
                </c:pt>
                <c:pt idx="30">
                  <c:v>2.7975628853546572</c:v>
                </c:pt>
                <c:pt idx="31">
                  <c:v>2.6929644688459042</c:v>
                </c:pt>
                <c:pt idx="32">
                  <c:v>2.5796495176280883</c:v>
                </c:pt>
                <c:pt idx="33">
                  <c:v>2.4881259031829295</c:v>
                </c:pt>
                <c:pt idx="34">
                  <c:v>2.4053188234468332</c:v>
                </c:pt>
                <c:pt idx="35">
                  <c:v>2.3007204069380802</c:v>
                </c:pt>
                <c:pt idx="36">
                  <c:v>2.2266298619110469</c:v>
                </c:pt>
                <c:pt idx="37">
                  <c:v>2.1568975842385449</c:v>
                </c:pt>
                <c:pt idx="38">
                  <c:v>2.0915235739205742</c:v>
                </c:pt>
                <c:pt idx="39">
                  <c:v>2.0566574350843232</c:v>
                </c:pt>
                <c:pt idx="40">
                  <c:v>2.0174330288935409</c:v>
                </c:pt>
                <c:pt idx="41">
                  <c:v>1.9999999594754154</c:v>
                </c:pt>
                <c:pt idx="42">
                  <c:v>2.008716494184478</c:v>
                </c:pt>
                <c:pt idx="43">
                  <c:v>2.0305078309571352</c:v>
                </c:pt>
                <c:pt idx="44">
                  <c:v>2.0740905045024487</c:v>
                </c:pt>
                <c:pt idx="45">
                  <c:v>2.1176731780477627</c:v>
                </c:pt>
                <c:pt idx="46">
                  <c:v>2.1612558515930762</c:v>
                </c:pt>
                <c:pt idx="47">
                  <c:v>2.2179133272019844</c:v>
                </c:pt>
                <c:pt idx="48">
                  <c:v>2.2745708028108922</c:v>
                </c:pt>
                <c:pt idx="49">
                  <c:v>2.3617361499015193</c:v>
                </c:pt>
                <c:pt idx="50">
                  <c:v>2.4576180317012097</c:v>
                </c:pt>
                <c:pt idx="51">
                  <c:v>2.5752912502735565</c:v>
                </c:pt>
                <c:pt idx="52">
                  <c:v>2.7147558056185606</c:v>
                </c:pt>
                <c:pt idx="53">
                  <c:v>2.8716534303816901</c:v>
                </c:pt>
                <c:pt idx="54">
                  <c:v>3.0459841245629455</c:v>
                </c:pt>
                <c:pt idx="55">
                  <c:v>3.2508226902259194</c:v>
                </c:pt>
                <c:pt idx="56">
                  <c:v>3.4643777905979571</c:v>
                </c:pt>
                <c:pt idx="57">
                  <c:v>3.6692163562609315</c:v>
                </c:pt>
                <c:pt idx="58">
                  <c:v>3.9263541301782823</c:v>
                </c:pt>
                <c:pt idx="59">
                  <c:v>4.1747753693865715</c:v>
                </c:pt>
                <c:pt idx="60">
                  <c:v>4.3796139350495453</c:v>
                </c:pt>
                <c:pt idx="61">
                  <c:v>4.5626611639398629</c:v>
                </c:pt>
                <c:pt idx="62">
                  <c:v>4.7369918581211188</c:v>
                </c:pt>
                <c:pt idx="63">
                  <c:v>4.8677398787570594</c:v>
                </c:pt>
                <c:pt idx="64">
                  <c:v>5.0202792361656581</c:v>
                </c:pt>
                <c:pt idx="65">
                  <c:v>5.2512674059558204</c:v>
                </c:pt>
                <c:pt idx="66">
                  <c:v>5.5301965166458285</c:v>
                </c:pt>
                <c:pt idx="67">
                  <c:v>5.8614248355902117</c:v>
                </c:pt>
                <c:pt idx="68">
                  <c:v>6.288535036334288</c:v>
                </c:pt>
                <c:pt idx="69">
                  <c:v>6.7810192473963324</c:v>
                </c:pt>
                <c:pt idx="70">
                  <c:v>7.3432357361308798</c:v>
                </c:pt>
                <c:pt idx="71">
                  <c:v>7.9185270269290209</c:v>
                </c:pt>
                <c:pt idx="72">
                  <c:v>8.5243261892088817</c:v>
                </c:pt>
                <c:pt idx="73">
                  <c:v>9.1257670841342104</c:v>
                </c:pt>
                <c:pt idx="74">
                  <c:v>9.8012985240865742</c:v>
                </c:pt>
                <c:pt idx="75">
                  <c:v>10.507337835520659</c:v>
                </c:pt>
                <c:pt idx="76">
                  <c:v>11.126211799864112</c:v>
                </c:pt>
                <c:pt idx="77">
                  <c:v>11.601262941508033</c:v>
                </c:pt>
                <c:pt idx="78">
                  <c:v>11.910699923679759</c:v>
                </c:pt>
                <c:pt idx="79">
                  <c:v>12.111180221988203</c:v>
                </c:pt>
                <c:pt idx="80">
                  <c:v>12.080672350506482</c:v>
                </c:pt>
                <c:pt idx="81">
                  <c:v>11.736369229498504</c:v>
                </c:pt>
                <c:pt idx="82">
                  <c:v>11.265676355209116</c:v>
                </c:pt>
                <c:pt idx="83">
                  <c:v>10.777550411501602</c:v>
                </c:pt>
                <c:pt idx="84">
                  <c:v>10.258916596312368</c:v>
                </c:pt>
                <c:pt idx="85">
                  <c:v>9.7664323852503223</c:v>
                </c:pt>
                <c:pt idx="86">
                  <c:v>9.2129324312248393</c:v>
                </c:pt>
                <c:pt idx="87">
                  <c:v>8.7988970325443603</c:v>
                </c:pt>
                <c:pt idx="88">
                  <c:v>8.7945387651898272</c:v>
                </c:pt>
                <c:pt idx="89">
                  <c:v>9.2477985700610912</c:v>
                </c:pt>
                <c:pt idx="90">
                  <c:v>9.4090544621787515</c:v>
                </c:pt>
                <c:pt idx="91">
                  <c:v>9.1780662923885892</c:v>
                </c:pt>
                <c:pt idx="92">
                  <c:v>8.5504757933360693</c:v>
                </c:pt>
                <c:pt idx="93">
                  <c:v>7.9708262351833969</c:v>
                </c:pt>
                <c:pt idx="94">
                  <c:v>7.6788223224297951</c:v>
                </c:pt>
                <c:pt idx="95">
                  <c:v>7.4827002914758838</c:v>
                </c:pt>
                <c:pt idx="96">
                  <c:v>7.4827002914758838</c:v>
                </c:pt>
                <c:pt idx="97">
                  <c:v>7.6831805897843273</c:v>
                </c:pt>
                <c:pt idx="98">
                  <c:v>8.0667081169830865</c:v>
                </c:pt>
                <c:pt idx="99">
                  <c:v>8.3674285644457527</c:v>
                </c:pt>
                <c:pt idx="100">
                  <c:v>8.4763852483090378</c:v>
                </c:pt>
                <c:pt idx="101">
                  <c:v>8.3717868318002839</c:v>
                </c:pt>
                <c:pt idx="102">
                  <c:v>8.2061726723280906</c:v>
                </c:pt>
                <c:pt idx="103">
                  <c:v>8.180023068200903</c:v>
                </c:pt>
                <c:pt idx="104">
                  <c:v>8.8163301019624853</c:v>
                </c:pt>
                <c:pt idx="105">
                  <c:v>9.1649914903249936</c:v>
                </c:pt>
                <c:pt idx="106">
                  <c:v>8.7858222304807647</c:v>
                </c:pt>
                <c:pt idx="107">
                  <c:v>8.32384589090044</c:v>
                </c:pt>
                <c:pt idx="108">
                  <c:v>8.6463576751357607</c:v>
                </c:pt>
                <c:pt idx="109">
                  <c:v>8.8555545081532667</c:v>
                </c:pt>
                <c:pt idx="110">
                  <c:v>8.6855820813265439</c:v>
                </c:pt>
                <c:pt idx="111">
                  <c:v>8.4415191094727859</c:v>
                </c:pt>
                <c:pt idx="112">
                  <c:v>8.3979364359274733</c:v>
                </c:pt>
                <c:pt idx="113">
                  <c:v>8.4676687135999735</c:v>
                </c:pt>
                <c:pt idx="114">
                  <c:v>9.7054166422868846</c:v>
                </c:pt>
                <c:pt idx="115">
                  <c:v>10.550920509065971</c:v>
                </c:pt>
                <c:pt idx="116">
                  <c:v>10.38530634959378</c:v>
                </c:pt>
                <c:pt idx="117">
                  <c:v>10.681668529701911</c:v>
                </c:pt>
                <c:pt idx="118">
                  <c:v>13.043849435857917</c:v>
                </c:pt>
                <c:pt idx="119">
                  <c:v>16.282042080274728</c:v>
                </c:pt>
                <c:pt idx="120">
                  <c:v>15.554211432067989</c:v>
                </c:pt>
                <c:pt idx="121">
                  <c:v>12.987191960249008</c:v>
                </c:pt>
                <c:pt idx="122">
                  <c:v>11.213377146954739</c:v>
                </c:pt>
                <c:pt idx="123">
                  <c:v>10.590144915256753</c:v>
                </c:pt>
                <c:pt idx="124">
                  <c:v>9.9058969405953263</c:v>
                </c:pt>
                <c:pt idx="125">
                  <c:v>9.0037355982073333</c:v>
                </c:pt>
                <c:pt idx="126">
                  <c:v>8.7291647548718565</c:v>
                </c:pt>
                <c:pt idx="127">
                  <c:v>8.6376411404266982</c:v>
                </c:pt>
                <c:pt idx="128">
                  <c:v>8.5766253974632587</c:v>
                </c:pt>
                <c:pt idx="129">
                  <c:v>8.4763852483090378</c:v>
                </c:pt>
                <c:pt idx="130">
                  <c:v>8.4458773768273154</c:v>
                </c:pt>
                <c:pt idx="131">
                  <c:v>8.7553143589990459</c:v>
                </c:pt>
                <c:pt idx="132">
                  <c:v>9.2390820353520269</c:v>
                </c:pt>
                <c:pt idx="133">
                  <c:v>9.6008182257781325</c:v>
                </c:pt>
                <c:pt idx="134">
                  <c:v>9.3785465906970309</c:v>
                </c:pt>
                <c:pt idx="135">
                  <c:v>8.6245663383631026</c:v>
                </c:pt>
                <c:pt idx="136">
                  <c:v>7.9882593046015229</c:v>
                </c:pt>
                <c:pt idx="137">
                  <c:v>7.7659876695204231</c:v>
                </c:pt>
                <c:pt idx="138">
                  <c:v>7.8400782145474572</c:v>
                </c:pt>
                <c:pt idx="139">
                  <c:v>8.040558512855899</c:v>
                </c:pt>
                <c:pt idx="140">
                  <c:v>8.0928577211102759</c:v>
                </c:pt>
                <c:pt idx="141">
                  <c:v>8.2366805438098112</c:v>
                </c:pt>
                <c:pt idx="142">
                  <c:v>8.4328025747637234</c:v>
                </c:pt>
                <c:pt idx="143">
                  <c:v>8.4328025747637234</c:v>
                </c:pt>
                <c:pt idx="144">
                  <c:v>8.7073734180991984</c:v>
                </c:pt>
                <c:pt idx="145">
                  <c:v>18.513474965794792</c:v>
                </c:pt>
                <c:pt idx="146">
                  <c:v>38.530996925157396</c:v>
                </c:pt>
                <c:pt idx="147">
                  <c:v>40.980343178404027</c:v>
                </c:pt>
                <c:pt idx="148">
                  <c:v>25.826647586698439</c:v>
                </c:pt>
                <c:pt idx="149">
                  <c:v>13.192030525911981</c:v>
                </c:pt>
                <c:pt idx="150">
                  <c:v>8.9950190634982707</c:v>
                </c:pt>
                <c:pt idx="151">
                  <c:v>8.528684456563413</c:v>
                </c:pt>
                <c:pt idx="152">
                  <c:v>8.4415191094727859</c:v>
                </c:pt>
                <c:pt idx="153">
                  <c:v>8.2802632173551238</c:v>
                </c:pt>
                <c:pt idx="154">
                  <c:v>8.306412821482315</c:v>
                </c:pt>
                <c:pt idx="155">
                  <c:v>8.2410388111643424</c:v>
                </c:pt>
                <c:pt idx="156">
                  <c:v>8.5417592586270068</c:v>
                </c:pt>
                <c:pt idx="157">
                  <c:v>8.8860623796349856</c:v>
                </c:pt>
                <c:pt idx="158">
                  <c:v>8.8817041122804543</c:v>
                </c:pt>
                <c:pt idx="159">
                  <c:v>8.4676687135999735</c:v>
                </c:pt>
                <c:pt idx="160">
                  <c:v>7.8618695513201127</c:v>
                </c:pt>
                <c:pt idx="161">
                  <c:v>7.5567908365029171</c:v>
                </c:pt>
                <c:pt idx="162">
                  <c:v>7.5698656385665117</c:v>
                </c:pt>
                <c:pt idx="163">
                  <c:v>8.2279640091007487</c:v>
                </c:pt>
                <c:pt idx="164">
                  <c:v>9.0778261432343648</c:v>
                </c:pt>
                <c:pt idx="165">
                  <c:v>9.2172906985793706</c:v>
                </c:pt>
                <c:pt idx="166">
                  <c:v>8.7422395569354503</c:v>
                </c:pt>
                <c:pt idx="167">
                  <c:v>8.2715466826460631</c:v>
                </c:pt>
                <c:pt idx="168">
                  <c:v>8.0362002455013695</c:v>
                </c:pt>
                <c:pt idx="169">
                  <c:v>8.0884994537557446</c:v>
                </c:pt>
                <c:pt idx="170">
                  <c:v>8.180023068200903</c:v>
                </c:pt>
                <c:pt idx="171">
                  <c:v>8.2802632173551238</c:v>
                </c:pt>
                <c:pt idx="172">
                  <c:v>8.8511962407987355</c:v>
                </c:pt>
                <c:pt idx="173">
                  <c:v>9.9146134753043906</c:v>
                </c:pt>
                <c:pt idx="174">
                  <c:v>10.049719763294862</c:v>
                </c:pt>
                <c:pt idx="175">
                  <c:v>10.341723676048465</c:v>
                </c:pt>
                <c:pt idx="176">
                  <c:v>10.681668529701911</c:v>
                </c:pt>
                <c:pt idx="177">
                  <c:v>10.141243377740022</c:v>
                </c:pt>
                <c:pt idx="178">
                  <c:v>9.4918615419148473</c:v>
                </c:pt>
                <c:pt idx="179">
                  <c:v>9.4221292642423453</c:v>
                </c:pt>
                <c:pt idx="180">
                  <c:v>9.1301253514887435</c:v>
                </c:pt>
                <c:pt idx="181">
                  <c:v>8.5112513871452879</c:v>
                </c:pt>
                <c:pt idx="182">
                  <c:v>8.1059325231738697</c:v>
                </c:pt>
                <c:pt idx="183">
                  <c:v>8.2671884152915318</c:v>
                </c:pt>
                <c:pt idx="184">
                  <c:v>24.083340644885887</c:v>
                </c:pt>
                <c:pt idx="185">
                  <c:v>56.55243243614462</c:v>
                </c:pt>
                <c:pt idx="186">
                  <c:v>63.521301936040295</c:v>
                </c:pt>
                <c:pt idx="187">
                  <c:v>44.379791714938484</c:v>
                </c:pt>
                <c:pt idx="188">
                  <c:v>20.160900025807649</c:v>
                </c:pt>
                <c:pt idx="189">
                  <c:v>10.319932339275809</c:v>
                </c:pt>
                <c:pt idx="190">
                  <c:v>8.0492750475649615</c:v>
                </c:pt>
                <c:pt idx="191">
                  <c:v>8.0144089087287114</c:v>
                </c:pt>
                <c:pt idx="192">
                  <c:v>8.0362002455013695</c:v>
                </c:pt>
                <c:pt idx="193">
                  <c:v>8.0013341066651158</c:v>
                </c:pt>
                <c:pt idx="194">
                  <c:v>7.9272435616380834</c:v>
                </c:pt>
                <c:pt idx="195">
                  <c:v>7.8749443533837074</c:v>
                </c:pt>
                <c:pt idx="196">
                  <c:v>7.9403183637016781</c:v>
                </c:pt>
                <c:pt idx="197">
                  <c:v>8.0797829190466821</c:v>
                </c:pt>
                <c:pt idx="198">
                  <c:v>8.1364403946555903</c:v>
                </c:pt>
                <c:pt idx="199">
                  <c:v>8.0710663843376196</c:v>
                </c:pt>
                <c:pt idx="200">
                  <c:v>7.9490348984107406</c:v>
                </c:pt>
                <c:pt idx="201">
                  <c:v>7.8793026207382395</c:v>
                </c:pt>
                <c:pt idx="202">
                  <c:v>7.853153016611051</c:v>
                </c:pt>
                <c:pt idx="203">
                  <c:v>7.8400782145474572</c:v>
                </c:pt>
                <c:pt idx="204">
                  <c:v>7.9533931657652719</c:v>
                </c:pt>
                <c:pt idx="205">
                  <c:v>8.1146490578829322</c:v>
                </c:pt>
                <c:pt idx="206">
                  <c:v>8.0928577211102759</c:v>
                </c:pt>
                <c:pt idx="207">
                  <c:v>7.9446766310562085</c:v>
                </c:pt>
                <c:pt idx="208">
                  <c:v>7.8662278186746439</c:v>
                </c:pt>
                <c:pt idx="209">
                  <c:v>7.8575112839655814</c:v>
                </c:pt>
                <c:pt idx="210">
                  <c:v>7.8749443533837074</c:v>
                </c:pt>
                <c:pt idx="211">
                  <c:v>7.9054522248654271</c:v>
                </c:pt>
                <c:pt idx="212">
                  <c:v>7.9185270269290209</c:v>
                </c:pt>
                <c:pt idx="213">
                  <c:v>7.9751845025379291</c:v>
                </c:pt>
                <c:pt idx="214">
                  <c:v>8.2236057417462174</c:v>
                </c:pt>
                <c:pt idx="215">
                  <c:v>8.336920692964032</c:v>
                </c:pt>
                <c:pt idx="216">
                  <c:v>8.3979364359274733</c:v>
                </c:pt>
                <c:pt idx="217">
                  <c:v>8.2715466826460631</c:v>
                </c:pt>
                <c:pt idx="218">
                  <c:v>8.1538734640737154</c:v>
                </c:pt>
                <c:pt idx="219">
                  <c:v>8.0797829190466821</c:v>
                </c:pt>
                <c:pt idx="220">
                  <c:v>8.0710663843376196</c:v>
                </c:pt>
                <c:pt idx="221">
                  <c:v>8.0797829190466821</c:v>
                </c:pt>
                <c:pt idx="222">
                  <c:v>8.0754246516921508</c:v>
                </c:pt>
                <c:pt idx="223">
                  <c:v>8.0710663843376196</c:v>
                </c:pt>
                <c:pt idx="224">
                  <c:v>8.0536333149194945</c:v>
                </c:pt>
                <c:pt idx="225">
                  <c:v>8.0972159884648072</c:v>
                </c:pt>
                <c:pt idx="226">
                  <c:v>8.2148892070371549</c:v>
                </c:pt>
                <c:pt idx="227">
                  <c:v>8.319487623545907</c:v>
                </c:pt>
                <c:pt idx="228">
                  <c:v>8.3674285644457527</c:v>
                </c:pt>
                <c:pt idx="229">
                  <c:v>8.2802632173551238</c:v>
                </c:pt>
                <c:pt idx="230">
                  <c:v>8.2061726723280906</c:v>
                </c:pt>
                <c:pt idx="231">
                  <c:v>8.1451569293646529</c:v>
                </c:pt>
                <c:pt idx="232">
                  <c:v>8.110290790528401</c:v>
                </c:pt>
                <c:pt idx="233">
                  <c:v>8.1190073252374653</c:v>
                </c:pt>
                <c:pt idx="234">
                  <c:v>8.1364403946555903</c:v>
                </c:pt>
                <c:pt idx="235">
                  <c:v>8.1451569293646529</c:v>
                </c:pt>
                <c:pt idx="236">
                  <c:v>8.180023068200903</c:v>
                </c:pt>
                <c:pt idx="237">
                  <c:v>8.2018144049735611</c:v>
                </c:pt>
                <c:pt idx="238">
                  <c:v>8.249755345873405</c:v>
                </c:pt>
                <c:pt idx="239">
                  <c:v>8.3325624256095026</c:v>
                </c:pt>
                <c:pt idx="240">
                  <c:v>8.3587120297366901</c:v>
                </c:pt>
                <c:pt idx="241">
                  <c:v>8.4633104462454423</c:v>
                </c:pt>
                <c:pt idx="242">
                  <c:v>8.5199679218543523</c:v>
                </c:pt>
                <c:pt idx="243">
                  <c:v>8.5635505953996649</c:v>
                </c:pt>
                <c:pt idx="244">
                  <c:v>8.5548340606906024</c:v>
                </c:pt>
                <c:pt idx="245">
                  <c:v>8.4981765850816942</c:v>
                </c:pt>
                <c:pt idx="246">
                  <c:v>8.4720269809545066</c:v>
                </c:pt>
                <c:pt idx="247">
                  <c:v>8.4197277727001278</c:v>
                </c:pt>
                <c:pt idx="248">
                  <c:v>8.3848616338638777</c:v>
                </c:pt>
                <c:pt idx="249">
                  <c:v>8.3717868318002839</c:v>
                </c:pt>
                <c:pt idx="250">
                  <c:v>8.4110112379910653</c:v>
                </c:pt>
                <c:pt idx="251">
                  <c:v>8.4415191094727859</c:v>
                </c:pt>
                <c:pt idx="252">
                  <c:v>8.458952178890911</c:v>
                </c:pt>
                <c:pt idx="253">
                  <c:v>8.4502356441818485</c:v>
                </c:pt>
                <c:pt idx="254">
                  <c:v>8.4676687135999735</c:v>
                </c:pt>
                <c:pt idx="255">
                  <c:v>8.4633104462454423</c:v>
                </c:pt>
                <c:pt idx="256">
                  <c:v>8.5025348524362254</c:v>
                </c:pt>
                <c:pt idx="257">
                  <c:v>8.5591923280451319</c:v>
                </c:pt>
                <c:pt idx="258">
                  <c:v>8.5679088627541962</c:v>
                </c:pt>
                <c:pt idx="259">
                  <c:v>8.5548340606906024</c:v>
                </c:pt>
                <c:pt idx="260">
                  <c:v>8.5679088627541962</c:v>
                </c:pt>
                <c:pt idx="261">
                  <c:v>8.598416734235915</c:v>
                </c:pt>
                <c:pt idx="262">
                  <c:v>8.7073734180991984</c:v>
                </c:pt>
                <c:pt idx="263">
                  <c:v>8.7814639631262335</c:v>
                </c:pt>
                <c:pt idx="264">
                  <c:v>8.7988970325443603</c:v>
                </c:pt>
                <c:pt idx="265">
                  <c:v>8.8424797060896729</c:v>
                </c:pt>
                <c:pt idx="266">
                  <c:v>8.7814639631262335</c:v>
                </c:pt>
                <c:pt idx="267">
                  <c:v>8.7596726263535771</c:v>
                </c:pt>
                <c:pt idx="268">
                  <c:v>8.7248064875173252</c:v>
                </c:pt>
                <c:pt idx="269">
                  <c:v>8.7030151507446689</c:v>
                </c:pt>
                <c:pt idx="270">
                  <c:v>8.6855820813265439</c:v>
                </c:pt>
                <c:pt idx="271">
                  <c:v>8.6812238139720108</c:v>
                </c:pt>
                <c:pt idx="272">
                  <c:v>8.7030151507446689</c:v>
                </c:pt>
                <c:pt idx="273">
                  <c:v>8.7465978242899816</c:v>
                </c:pt>
                <c:pt idx="274">
                  <c:v>8.790180497835296</c:v>
                </c:pt>
                <c:pt idx="275">
                  <c:v>8.8119718346079523</c:v>
                </c:pt>
                <c:pt idx="276">
                  <c:v>8.8119718346079523</c:v>
                </c:pt>
                <c:pt idx="277">
                  <c:v>8.8119718346079523</c:v>
                </c:pt>
                <c:pt idx="278">
                  <c:v>8.8381214387351399</c:v>
                </c:pt>
                <c:pt idx="279">
                  <c:v>8.8947789143440499</c:v>
                </c:pt>
                <c:pt idx="280">
                  <c:v>8.9645111920165519</c:v>
                </c:pt>
                <c:pt idx="281">
                  <c:v>9.0168104002709271</c:v>
                </c:pt>
                <c:pt idx="282">
                  <c:v>9.0429600043981146</c:v>
                </c:pt>
                <c:pt idx="283">
                  <c:v>9.0429600043981146</c:v>
                </c:pt>
                <c:pt idx="284">
                  <c:v>9.0429600043981146</c:v>
                </c:pt>
                <c:pt idx="285">
                  <c:v>9.0429600043981146</c:v>
                </c:pt>
                <c:pt idx="286">
                  <c:v>9.0734678758798353</c:v>
                </c:pt>
                <c:pt idx="287">
                  <c:v>9.0865426779434291</c:v>
                </c:pt>
                <c:pt idx="288">
                  <c:v>9.0996174800070229</c:v>
                </c:pt>
                <c:pt idx="289">
                  <c:v>9.1170505494251479</c:v>
                </c:pt>
                <c:pt idx="290">
                  <c:v>9.138841886197806</c:v>
                </c:pt>
                <c:pt idx="291">
                  <c:v>9.1475584209068685</c:v>
                </c:pt>
                <c:pt idx="292">
                  <c:v>9.1824245597431187</c:v>
                </c:pt>
                <c:pt idx="293">
                  <c:v>9.2913812436064056</c:v>
                </c:pt>
                <c:pt idx="294">
                  <c:v>9.3785465906970309</c:v>
                </c:pt>
                <c:pt idx="295">
                  <c:v>9.400337927469689</c:v>
                </c:pt>
                <c:pt idx="296">
                  <c:v>9.4787867398512518</c:v>
                </c:pt>
                <c:pt idx="297">
                  <c:v>9.4352040663059391</c:v>
                </c:pt>
                <c:pt idx="298">
                  <c:v>9.3654717886334353</c:v>
                </c:pt>
                <c:pt idx="299">
                  <c:v>9.3349639171517182</c:v>
                </c:pt>
                <c:pt idx="300">
                  <c:v>9.3306056497971852</c:v>
                </c:pt>
                <c:pt idx="301">
                  <c:v>9.3654717886334353</c:v>
                </c:pt>
                <c:pt idx="302">
                  <c:v>9.4221292642423453</c:v>
                </c:pt>
                <c:pt idx="303">
                  <c:v>9.4962198092693786</c:v>
                </c:pt>
                <c:pt idx="304">
                  <c:v>9.5398024828146912</c:v>
                </c:pt>
                <c:pt idx="305">
                  <c:v>9.6051764931326638</c:v>
                </c:pt>
                <c:pt idx="306">
                  <c:v>9.6836253055142283</c:v>
                </c:pt>
                <c:pt idx="307">
                  <c:v>9.7446410484776678</c:v>
                </c:pt>
                <c:pt idx="308">
                  <c:v>9.7707906526048554</c:v>
                </c:pt>
                <c:pt idx="309">
                  <c:v>9.7751489199593866</c:v>
                </c:pt>
                <c:pt idx="310">
                  <c:v>9.7838654546684474</c:v>
                </c:pt>
                <c:pt idx="311">
                  <c:v>9.7925819893775135</c:v>
                </c:pt>
                <c:pt idx="312">
                  <c:v>9.814373326150168</c:v>
                </c:pt>
                <c:pt idx="313">
                  <c:v>9.8928221385317343</c:v>
                </c:pt>
                <c:pt idx="314">
                  <c:v>9.9712709509132971</c:v>
                </c:pt>
                <c:pt idx="315">
                  <c:v>10.023570159167674</c:v>
                </c:pt>
                <c:pt idx="316">
                  <c:v>10.067152832712987</c:v>
                </c:pt>
                <c:pt idx="317">
                  <c:v>10.080227634776582</c:v>
                </c:pt>
                <c:pt idx="318">
                  <c:v>10.097660704194709</c:v>
                </c:pt>
                <c:pt idx="319">
                  <c:v>10.13688511038549</c:v>
                </c:pt>
                <c:pt idx="320">
                  <c:v>10.163034714512678</c:v>
                </c:pt>
                <c:pt idx="321">
                  <c:v>10.189184318639866</c:v>
                </c:pt>
                <c:pt idx="322">
                  <c:v>10.263274863666901</c:v>
                </c:pt>
                <c:pt idx="323">
                  <c:v>10.315574071921278</c:v>
                </c:pt>
                <c:pt idx="324">
                  <c:v>10.38530634959378</c:v>
                </c:pt>
                <c:pt idx="325">
                  <c:v>10.472471696684408</c:v>
                </c:pt>
                <c:pt idx="326">
                  <c:v>10.537845707002377</c:v>
                </c:pt>
                <c:pt idx="327">
                  <c:v>10.585786647902221</c:v>
                </c:pt>
                <c:pt idx="328">
                  <c:v>10.616294519383942</c:v>
                </c:pt>
                <c:pt idx="329">
                  <c:v>10.651160658220194</c:v>
                </c:pt>
                <c:pt idx="330">
                  <c:v>10.694743331765505</c:v>
                </c:pt>
                <c:pt idx="331">
                  <c:v>10.738326005310821</c:v>
                </c:pt>
                <c:pt idx="332">
                  <c:v>10.808058282983323</c:v>
                </c:pt>
                <c:pt idx="333">
                  <c:v>10.873432293301292</c:v>
                </c:pt>
                <c:pt idx="334">
                  <c:v>10.956239373037388</c:v>
                </c:pt>
                <c:pt idx="335">
                  <c:v>11.065196056900673</c:v>
                </c:pt>
                <c:pt idx="336">
                  <c:v>11.169794473409427</c:v>
                </c:pt>
                <c:pt idx="337">
                  <c:v>11.270034622563648</c:v>
                </c:pt>
                <c:pt idx="338">
                  <c:v>11.3746330390724</c:v>
                </c:pt>
                <c:pt idx="339">
                  <c:v>11.487947990290216</c:v>
                </c:pt>
                <c:pt idx="340">
                  <c:v>11.579471604735376</c:v>
                </c:pt>
                <c:pt idx="341">
                  <c:v>11.692786555953191</c:v>
                </c:pt>
                <c:pt idx="342">
                  <c:v>11.793026705107414</c:v>
                </c:pt>
                <c:pt idx="343">
                  <c:v>11.888908586907103</c:v>
                </c:pt>
                <c:pt idx="344">
                  <c:v>11.97607393399773</c:v>
                </c:pt>
                <c:pt idx="345">
                  <c:v>12.119896756697264</c:v>
                </c:pt>
                <c:pt idx="346">
                  <c:v>12.259361312042268</c:v>
                </c:pt>
                <c:pt idx="347">
                  <c:v>12.381392797969148</c:v>
                </c:pt>
                <c:pt idx="348">
                  <c:v>12.459841610350713</c:v>
                </c:pt>
                <c:pt idx="349">
                  <c:v>12.525215620668682</c:v>
                </c:pt>
                <c:pt idx="350">
                  <c:v>12.664680176013686</c:v>
                </c:pt>
                <c:pt idx="351">
                  <c:v>12.830294335485879</c:v>
                </c:pt>
                <c:pt idx="352">
                  <c:v>12.921817949931039</c:v>
                </c:pt>
                <c:pt idx="353">
                  <c:v>12.969758890830885</c:v>
                </c:pt>
                <c:pt idx="354">
                  <c:v>12.987191960249008</c:v>
                </c:pt>
                <c:pt idx="355">
                  <c:v>13.048207703212448</c:v>
                </c:pt>
                <c:pt idx="356">
                  <c:v>13.148447852366671</c:v>
                </c:pt>
              </c:numCache>
            </c:numRef>
          </c:yVal>
          <c:smooth val="1"/>
          <c:extLst>
            <c:ext xmlns:c16="http://schemas.microsoft.com/office/drawing/2014/chart" uri="{C3380CC4-5D6E-409C-BE32-E72D297353CC}">
              <c16:uniqueId val="{00000001-0B7A-4B2F-BFF6-096568D6F33F}"/>
            </c:ext>
          </c:extLst>
        </c:ser>
        <c:dLbls>
          <c:showLegendKey val="0"/>
          <c:showVal val="0"/>
          <c:showCatName val="0"/>
          <c:showSerName val="0"/>
          <c:showPercent val="0"/>
          <c:showBubbleSize val="0"/>
        </c:dLbls>
        <c:axId val="1816227776"/>
        <c:axId val="1816225056"/>
      </c:scatterChart>
      <c:valAx>
        <c:axId val="1816210912"/>
        <c:scaling>
          <c:orientation val="minMax"/>
          <c:max val="10"/>
          <c:min val="0.5"/>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1456"/>
        <c:crosses val="autoZero"/>
        <c:crossBetween val="midCat"/>
        <c:majorUnit val="0.5"/>
      </c:valAx>
      <c:valAx>
        <c:axId val="181621145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0912"/>
        <c:crosses val="autoZero"/>
        <c:crossBetween val="midCat"/>
        <c:majorUnit val="50"/>
        <c:minorUnit val="5"/>
      </c:valAx>
      <c:valAx>
        <c:axId val="1816225056"/>
        <c:scaling>
          <c:orientation val="minMax"/>
          <c:max val="100"/>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27776"/>
        <c:crosses val="max"/>
        <c:crossBetween val="midCat"/>
        <c:majorUnit val="50"/>
      </c:valAx>
      <c:valAx>
        <c:axId val="1816227776"/>
        <c:scaling>
          <c:orientation val="minMax"/>
        </c:scaling>
        <c:delete val="1"/>
        <c:axPos val="b"/>
        <c:numFmt formatCode="General" sourceLinked="1"/>
        <c:majorTickMark val="out"/>
        <c:minorTickMark val="none"/>
        <c:tickLblPos val="nextTo"/>
        <c:crossAx val="1816225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ChromatogramData!$B$2:$B$10001</c:f>
              <c:numCache>
                <c:formatCode>General</c:formatCode>
                <c:ptCount val="10000"/>
                <c:pt idx="0">
                  <c:v>75.977231239598467</c:v>
                </c:pt>
                <c:pt idx="1">
                  <c:v>76.783510700186781</c:v>
                </c:pt>
                <c:pt idx="2">
                  <c:v>73.279463747143552</c:v>
                </c:pt>
                <c:pt idx="3">
                  <c:v>69.309082187165473</c:v>
                </c:pt>
                <c:pt idx="4">
                  <c:v>66.755137517410091</c:v>
                </c:pt>
                <c:pt idx="5">
                  <c:v>64.615228246335192</c:v>
                </c:pt>
                <c:pt idx="6">
                  <c:v>62.213822933988396</c:v>
                </c:pt>
                <c:pt idx="7">
                  <c:v>60.457441190112256</c:v>
                </c:pt>
                <c:pt idx="8">
                  <c:v>59.760118413387239</c:v>
                </c:pt>
                <c:pt idx="9">
                  <c:v>59.563996382433317</c:v>
                </c:pt>
                <c:pt idx="10">
                  <c:v>59.363516084124882</c:v>
                </c:pt>
                <c:pt idx="11">
                  <c:v>58.892823209835484</c:v>
                </c:pt>
                <c:pt idx="12">
                  <c:v>58.452638207027832</c:v>
                </c:pt>
                <c:pt idx="13">
                  <c:v>58.021169738929224</c:v>
                </c:pt>
                <c:pt idx="14">
                  <c:v>58.012453204220151</c:v>
                </c:pt>
                <c:pt idx="15">
                  <c:v>59.067153904016749</c:v>
                </c:pt>
                <c:pt idx="16">
                  <c:v>61.137330897419154</c:v>
                </c:pt>
                <c:pt idx="17">
                  <c:v>63.081118137540138</c:v>
                </c:pt>
                <c:pt idx="18">
                  <c:v>64.427822750090343</c:v>
                </c:pt>
                <c:pt idx="19">
                  <c:v>65.277684884223959</c:v>
                </c:pt>
                <c:pt idx="20">
                  <c:v>65.62634627258646</c:v>
                </c:pt>
                <c:pt idx="21">
                  <c:v>65.098995922688175</c:v>
                </c:pt>
                <c:pt idx="22">
                  <c:v>63.377480317648278</c:v>
                </c:pt>
                <c:pt idx="23">
                  <c:v>60.627413616938981</c:v>
                </c:pt>
                <c:pt idx="24">
                  <c:v>57.389220972522168</c:v>
                </c:pt>
                <c:pt idx="25">
                  <c:v>54.486614914404271</c:v>
                </c:pt>
                <c:pt idx="26">
                  <c:v>52.656142625501097</c:v>
                </c:pt>
                <c:pt idx="27">
                  <c:v>51.780130887240297</c:v>
                </c:pt>
                <c:pt idx="28">
                  <c:v>51.418394696814183</c:v>
                </c:pt>
                <c:pt idx="29">
                  <c:v>51.183048259669484</c:v>
                </c:pt>
                <c:pt idx="30">
                  <c:v>50.947701822524792</c:v>
                </c:pt>
                <c:pt idx="31">
                  <c:v>50.734146722152765</c:v>
                </c:pt>
                <c:pt idx="32">
                  <c:v>50.468292413526342</c:v>
                </c:pt>
                <c:pt idx="33">
                  <c:v>50.219871174318058</c:v>
                </c:pt>
                <c:pt idx="34">
                  <c:v>50.054257014845874</c:v>
                </c:pt>
                <c:pt idx="35">
                  <c:v>49.897359390082734</c:v>
                </c:pt>
                <c:pt idx="36">
                  <c:v>49.757894834737733</c:v>
                </c:pt>
                <c:pt idx="37">
                  <c:v>49.605355477329134</c:v>
                </c:pt>
                <c:pt idx="38">
                  <c:v>49.513831862883983</c:v>
                </c:pt>
                <c:pt idx="39">
                  <c:v>49.465890921984133</c:v>
                </c:pt>
                <c:pt idx="40">
                  <c:v>49.492040526111317</c:v>
                </c:pt>
                <c:pt idx="41">
                  <c:v>49.561772803783818</c:v>
                </c:pt>
                <c:pt idx="42">
                  <c:v>49.670729487647108</c:v>
                </c:pt>
                <c:pt idx="43">
                  <c:v>49.818910577701175</c:v>
                </c:pt>
                <c:pt idx="44">
                  <c:v>50.028107410718683</c:v>
                </c:pt>
                <c:pt idx="45">
                  <c:v>50.250379045799775</c:v>
                </c:pt>
                <c:pt idx="46">
                  <c:v>50.477008948235408</c:v>
                </c:pt>
                <c:pt idx="47">
                  <c:v>50.712355385380107</c:v>
                </c:pt>
                <c:pt idx="48">
                  <c:v>50.969493159297457</c:v>
                </c:pt>
                <c:pt idx="49">
                  <c:v>51.331229349723557</c:v>
                </c:pt>
                <c:pt idx="50">
                  <c:v>51.749623015758566</c:v>
                </c:pt>
                <c:pt idx="51">
                  <c:v>52.272615098302332</c:v>
                </c:pt>
                <c:pt idx="52">
                  <c:v>52.865339458518598</c:v>
                </c:pt>
                <c:pt idx="53">
                  <c:v>53.453705551380338</c:v>
                </c:pt>
                <c:pt idx="54">
                  <c:v>54.159744862814414</c:v>
                </c:pt>
                <c:pt idx="55">
                  <c:v>54.878858976312102</c:v>
                </c:pt>
                <c:pt idx="56">
                  <c:v>55.497732940655553</c:v>
                </c:pt>
                <c:pt idx="57">
                  <c:v>56.086099033517293</c:v>
                </c:pt>
                <c:pt idx="58">
                  <c:v>56.718047799924349</c:v>
                </c:pt>
                <c:pt idx="59">
                  <c:v>57.411012309294826</c:v>
                </c:pt>
                <c:pt idx="60">
                  <c:v>58.125768155437967</c:v>
                </c:pt>
                <c:pt idx="61">
                  <c:v>58.814374397453918</c:v>
                </c:pt>
                <c:pt idx="62">
                  <c:v>59.507338906824415</c:v>
                </c:pt>
                <c:pt idx="63">
                  <c:v>60.108779801749748</c:v>
                </c:pt>
                <c:pt idx="64">
                  <c:v>60.836610449956481</c:v>
                </c:pt>
                <c:pt idx="65">
                  <c:v>61.682114316735571</c:v>
                </c:pt>
                <c:pt idx="66">
                  <c:v>62.671441006214195</c:v>
                </c:pt>
                <c:pt idx="67">
                  <c:v>63.787157448974227</c:v>
                </c:pt>
                <c:pt idx="68">
                  <c:v>65.103354190042694</c:v>
                </c:pt>
                <c:pt idx="69">
                  <c:v>66.689763507092124</c:v>
                </c:pt>
                <c:pt idx="70">
                  <c:v>68.520235795995305</c:v>
                </c:pt>
                <c:pt idx="71">
                  <c:v>70.398649025798321</c:v>
                </c:pt>
                <c:pt idx="72">
                  <c:v>72.303211859728535</c:v>
                </c:pt>
                <c:pt idx="73">
                  <c:v>74.1467589506953</c:v>
                </c:pt>
                <c:pt idx="74">
                  <c:v>76.216935944097699</c:v>
                </c:pt>
                <c:pt idx="75">
                  <c:v>78.474518433744947</c:v>
                </c:pt>
                <c:pt idx="76">
                  <c:v>80.618785972174393</c:v>
                </c:pt>
                <c:pt idx="77">
                  <c:v>82.257494497478191</c:v>
                </c:pt>
                <c:pt idx="78">
                  <c:v>83.155297572511657</c:v>
                </c:pt>
                <c:pt idx="79">
                  <c:v>83.787246338918692</c:v>
                </c:pt>
                <c:pt idx="80">
                  <c:v>83.887486488072923</c:v>
                </c:pt>
                <c:pt idx="81">
                  <c:v>82.919951135366972</c:v>
                </c:pt>
                <c:pt idx="82">
                  <c:v>80.810549735773762</c:v>
                </c:pt>
                <c:pt idx="83">
                  <c:v>78.23481372924573</c:v>
                </c:pt>
                <c:pt idx="84">
                  <c:v>75.990306041662066</c:v>
                </c:pt>
                <c:pt idx="85">
                  <c:v>74.251357367204051</c:v>
                </c:pt>
                <c:pt idx="86">
                  <c:v>72.795696070790584</c:v>
                </c:pt>
                <c:pt idx="87">
                  <c:v>71.597172548294438</c:v>
                </c:pt>
                <c:pt idx="88">
                  <c:v>71.048030861623502</c:v>
                </c:pt>
                <c:pt idx="89">
                  <c:v>70.943432445114738</c:v>
                </c:pt>
                <c:pt idx="90">
                  <c:v>70.899849771569436</c:v>
                </c:pt>
                <c:pt idx="91">
                  <c:v>70.629637195588487</c:v>
                </c:pt>
                <c:pt idx="92">
                  <c:v>70.202526994844419</c:v>
                </c:pt>
                <c:pt idx="93">
                  <c:v>69.827716002354705</c:v>
                </c:pt>
                <c:pt idx="94">
                  <c:v>69.614160901982672</c:v>
                </c:pt>
                <c:pt idx="95">
                  <c:v>69.422397138383289</c:v>
                </c:pt>
                <c:pt idx="96">
                  <c:v>69.348306593356256</c:v>
                </c:pt>
                <c:pt idx="97">
                  <c:v>69.496487683410322</c:v>
                </c:pt>
                <c:pt idx="98">
                  <c:v>69.871298675900022</c:v>
                </c:pt>
                <c:pt idx="99">
                  <c:v>70.154586053944556</c:v>
                </c:pt>
                <c:pt idx="100">
                  <c:v>70.280975807225971</c:v>
                </c:pt>
                <c:pt idx="101">
                  <c:v>70.141511251880971</c:v>
                </c:pt>
                <c:pt idx="102">
                  <c:v>69.96718055769972</c:v>
                </c:pt>
                <c:pt idx="103">
                  <c:v>69.980255359763305</c:v>
                </c:pt>
                <c:pt idx="104">
                  <c:v>70.577337987334104</c:v>
                </c:pt>
                <c:pt idx="105">
                  <c:v>70.864983632733171</c:v>
                </c:pt>
                <c:pt idx="106">
                  <c:v>70.882416702151303</c:v>
                </c:pt>
                <c:pt idx="107">
                  <c:v>70.869341900087718</c:v>
                </c:pt>
                <c:pt idx="108">
                  <c:v>71.396692249986003</c:v>
                </c:pt>
                <c:pt idx="109">
                  <c:v>71.932759134593368</c:v>
                </c:pt>
                <c:pt idx="110">
                  <c:v>72.089656759356501</c:v>
                </c:pt>
                <c:pt idx="111">
                  <c:v>71.954550471366019</c:v>
                </c:pt>
                <c:pt idx="112">
                  <c:v>71.623322152421636</c:v>
                </c:pt>
                <c:pt idx="113">
                  <c:v>71.244152892577404</c:v>
                </c:pt>
                <c:pt idx="114">
                  <c:v>71.906609530466184</c:v>
                </c:pt>
                <c:pt idx="115">
                  <c:v>72.23347958205602</c:v>
                </c:pt>
                <c:pt idx="116">
                  <c:v>71.910967797820703</c:v>
                </c:pt>
                <c:pt idx="117">
                  <c:v>72.124522898192737</c:v>
                </c:pt>
                <c:pt idx="118">
                  <c:v>74.10317627714997</c:v>
                </c:pt>
                <c:pt idx="119">
                  <c:v>76.848884710504748</c:v>
                </c:pt>
                <c:pt idx="120">
                  <c:v>76.356400499442714</c:v>
                </c:pt>
                <c:pt idx="121">
                  <c:v>75.397581681445814</c:v>
                </c:pt>
                <c:pt idx="122">
                  <c:v>75.275550195518932</c:v>
                </c:pt>
                <c:pt idx="123">
                  <c:v>75.205817917846417</c:v>
                </c:pt>
                <c:pt idx="124">
                  <c:v>73.981144791223102</c:v>
                </c:pt>
                <c:pt idx="125">
                  <c:v>72.067865422583836</c:v>
                </c:pt>
                <c:pt idx="126">
                  <c:v>71.387975715276951</c:v>
                </c:pt>
                <c:pt idx="127">
                  <c:v>71.091613535168804</c:v>
                </c:pt>
                <c:pt idx="128">
                  <c:v>70.847550563315053</c:v>
                </c:pt>
                <c:pt idx="129">
                  <c:v>70.647070265006604</c:v>
                </c:pt>
                <c:pt idx="130">
                  <c:v>70.690652938551921</c:v>
                </c:pt>
                <c:pt idx="131">
                  <c:v>71.863026856920854</c:v>
                </c:pt>
                <c:pt idx="132">
                  <c:v>72.917727556717452</c:v>
                </c:pt>
                <c:pt idx="133">
                  <c:v>73.192298400052934</c:v>
                </c:pt>
                <c:pt idx="134">
                  <c:v>72.185538641156185</c:v>
                </c:pt>
                <c:pt idx="135">
                  <c:v>70.424798629925505</c:v>
                </c:pt>
                <c:pt idx="136">
                  <c:v>69.461621544574072</c:v>
                </c:pt>
                <c:pt idx="137">
                  <c:v>69.313440454520006</c:v>
                </c:pt>
                <c:pt idx="138">
                  <c:v>69.644668773464389</c:v>
                </c:pt>
                <c:pt idx="139">
                  <c:v>70.280975807225971</c:v>
                </c:pt>
                <c:pt idx="140">
                  <c:v>70.394290758443773</c:v>
                </c:pt>
                <c:pt idx="141">
                  <c:v>70.590412789397703</c:v>
                </c:pt>
                <c:pt idx="142">
                  <c:v>70.41172382786192</c:v>
                </c:pt>
                <c:pt idx="143">
                  <c:v>69.936672686218003</c:v>
                </c:pt>
                <c:pt idx="144">
                  <c:v>70.259184470453306</c:v>
                </c:pt>
                <c:pt idx="145">
                  <c:v>76.256160350288468</c:v>
                </c:pt>
                <c:pt idx="146">
                  <c:v>87.478698788206771</c:v>
                </c:pt>
                <c:pt idx="147">
                  <c:v>88.699013647475567</c:v>
                </c:pt>
                <c:pt idx="148">
                  <c:v>79.99555374047641</c:v>
                </c:pt>
                <c:pt idx="149">
                  <c:v>72.826203942272286</c:v>
                </c:pt>
                <c:pt idx="150">
                  <c:v>71.061105663687087</c:v>
                </c:pt>
                <c:pt idx="151">
                  <c:v>71.161345812841319</c:v>
                </c:pt>
                <c:pt idx="152">
                  <c:v>70.991373386014587</c:v>
                </c:pt>
                <c:pt idx="153">
                  <c:v>70.485814372888953</c:v>
                </c:pt>
                <c:pt idx="154">
                  <c:v>70.51632224437067</c:v>
                </c:pt>
                <c:pt idx="155">
                  <c:v>70.673219869133789</c:v>
                </c:pt>
                <c:pt idx="156">
                  <c:v>71.13519620871412</c:v>
                </c:pt>
                <c:pt idx="157">
                  <c:v>71.370542645858819</c:v>
                </c:pt>
                <c:pt idx="158">
                  <c:v>71.122121406650535</c:v>
                </c:pt>
                <c:pt idx="159">
                  <c:v>70.58605452204317</c:v>
                </c:pt>
                <c:pt idx="160">
                  <c:v>70.080495508917522</c:v>
                </c:pt>
                <c:pt idx="161">
                  <c:v>70.076137241563003</c:v>
                </c:pt>
                <c:pt idx="162">
                  <c:v>70.102286845690188</c:v>
                </c:pt>
                <c:pt idx="163">
                  <c:v>70.311483678707688</c:v>
                </c:pt>
                <c:pt idx="164">
                  <c:v>70.886774969505836</c:v>
                </c:pt>
                <c:pt idx="165">
                  <c:v>71.592814280939919</c:v>
                </c:pt>
                <c:pt idx="166">
                  <c:v>71.76714497512117</c:v>
                </c:pt>
                <c:pt idx="167">
                  <c:v>71.632038687130702</c:v>
                </c:pt>
                <c:pt idx="168">
                  <c:v>71.235436357868352</c:v>
                </c:pt>
                <c:pt idx="169">
                  <c:v>71.344393041731621</c:v>
                </c:pt>
                <c:pt idx="170">
                  <c:v>71.706129232157735</c:v>
                </c:pt>
                <c:pt idx="171">
                  <c:v>71.924042599884288</c:v>
                </c:pt>
                <c:pt idx="172">
                  <c:v>72.499333890682436</c:v>
                </c:pt>
                <c:pt idx="173">
                  <c:v>73.588900729315284</c:v>
                </c:pt>
                <c:pt idx="174">
                  <c:v>73.806814097041851</c:v>
                </c:pt>
                <c:pt idx="175">
                  <c:v>73.584542461960737</c:v>
                </c:pt>
                <c:pt idx="176">
                  <c:v>73.253314143016354</c:v>
                </c:pt>
                <c:pt idx="177">
                  <c:v>72.595215772482135</c:v>
                </c:pt>
                <c:pt idx="178">
                  <c:v>72.133239432901803</c:v>
                </c:pt>
                <c:pt idx="179">
                  <c:v>72.085298492001968</c:v>
                </c:pt>
                <c:pt idx="180">
                  <c:v>71.954550471366019</c:v>
                </c:pt>
                <c:pt idx="181">
                  <c:v>71.618963885067103</c:v>
                </c:pt>
                <c:pt idx="182">
                  <c:v>71.714845766866787</c:v>
                </c:pt>
                <c:pt idx="183">
                  <c:v>72.320644929146653</c:v>
                </c:pt>
                <c:pt idx="184">
                  <c:v>80.466246614765794</c:v>
                </c:pt>
                <c:pt idx="185">
                  <c:v>96.652851569495297</c:v>
                </c:pt>
                <c:pt idx="186">
                  <c:v>100.00000089777541</c:v>
                </c:pt>
                <c:pt idx="187">
                  <c:v>90.677667026432815</c:v>
                </c:pt>
                <c:pt idx="188">
                  <c:v>78.705506603535113</c:v>
                </c:pt>
                <c:pt idx="189">
                  <c:v>73.724007017305766</c:v>
                </c:pt>
                <c:pt idx="190">
                  <c:v>72.490617355973384</c:v>
                </c:pt>
                <c:pt idx="191">
                  <c:v>72.516766960100568</c:v>
                </c:pt>
                <c:pt idx="192">
                  <c:v>72.564707901000418</c:v>
                </c:pt>
                <c:pt idx="193">
                  <c:v>72.769546466663385</c:v>
                </c:pt>
                <c:pt idx="194">
                  <c:v>72.895936219944801</c:v>
                </c:pt>
                <c:pt idx="195">
                  <c:v>72.878503150526669</c:v>
                </c:pt>
                <c:pt idx="196">
                  <c:v>72.734680327827121</c:v>
                </c:pt>
                <c:pt idx="197">
                  <c:v>72.664948050154635</c:v>
                </c:pt>
                <c:pt idx="198">
                  <c:v>72.699814188990871</c:v>
                </c:pt>
                <c:pt idx="199">
                  <c:v>72.795696070790584</c:v>
                </c:pt>
                <c:pt idx="200">
                  <c:v>72.830562209626819</c:v>
                </c:pt>
                <c:pt idx="201">
                  <c:v>72.861070081108551</c:v>
                </c:pt>
                <c:pt idx="202">
                  <c:v>72.861070081108551</c:v>
                </c:pt>
                <c:pt idx="203">
                  <c:v>72.861070081108551</c:v>
                </c:pt>
                <c:pt idx="204">
                  <c:v>72.987459834389938</c:v>
                </c:pt>
                <c:pt idx="205">
                  <c:v>73.157432261216684</c:v>
                </c:pt>
                <c:pt idx="206">
                  <c:v>73.23588107359825</c:v>
                </c:pt>
                <c:pt idx="207">
                  <c:v>73.275105479789033</c:v>
                </c:pt>
                <c:pt idx="208">
                  <c:v>73.370987361588703</c:v>
                </c:pt>
                <c:pt idx="209">
                  <c:v>73.45815270867935</c:v>
                </c:pt>
                <c:pt idx="210">
                  <c:v>73.432003104552166</c:v>
                </c:pt>
                <c:pt idx="211">
                  <c:v>73.484302312806548</c:v>
                </c:pt>
                <c:pt idx="212">
                  <c:v>73.554034590479034</c:v>
                </c:pt>
                <c:pt idx="213">
                  <c:v>74.704617172075316</c:v>
                </c:pt>
                <c:pt idx="214">
                  <c:v>79.354888439360295</c:v>
                </c:pt>
                <c:pt idx="215">
                  <c:v>81.063329242336593</c:v>
                </c:pt>
                <c:pt idx="216">
                  <c:v>81.324825283608476</c:v>
                </c:pt>
                <c:pt idx="217">
                  <c:v>78.622699523799028</c:v>
                </c:pt>
                <c:pt idx="218">
                  <c:v>76.413057975051615</c:v>
                </c:pt>
                <c:pt idx="219">
                  <c:v>75.336565938482366</c:v>
                </c:pt>
                <c:pt idx="220">
                  <c:v>75.136085640173917</c:v>
                </c:pt>
                <c:pt idx="221">
                  <c:v>75.188384848428299</c:v>
                </c:pt>
                <c:pt idx="222">
                  <c:v>75.2581171261008</c:v>
                </c:pt>
                <c:pt idx="223">
                  <c:v>75.153518709592049</c:v>
                </c:pt>
                <c:pt idx="224">
                  <c:v>74.844081727420317</c:v>
                </c:pt>
                <c:pt idx="225">
                  <c:v>74.66103449853</c:v>
                </c:pt>
                <c:pt idx="226">
                  <c:v>74.647959696466401</c:v>
                </c:pt>
                <c:pt idx="227">
                  <c:v>74.713333706784383</c:v>
                </c:pt>
                <c:pt idx="228">
                  <c:v>74.769991182393284</c:v>
                </c:pt>
                <c:pt idx="229">
                  <c:v>74.857156529483916</c:v>
                </c:pt>
                <c:pt idx="230">
                  <c:v>74.896380935674699</c:v>
                </c:pt>
                <c:pt idx="231">
                  <c:v>74.909455737738298</c:v>
                </c:pt>
                <c:pt idx="232">
                  <c:v>74.935605341865482</c:v>
                </c:pt>
                <c:pt idx="233">
                  <c:v>74.996621084828931</c:v>
                </c:pt>
                <c:pt idx="234">
                  <c:v>75.114294303401266</c:v>
                </c:pt>
                <c:pt idx="235">
                  <c:v>75.240684056682682</c:v>
                </c:pt>
                <c:pt idx="236">
                  <c:v>75.476030493827366</c:v>
                </c:pt>
                <c:pt idx="237">
                  <c:v>75.698302128908466</c:v>
                </c:pt>
                <c:pt idx="238">
                  <c:v>75.863916288380665</c:v>
                </c:pt>
                <c:pt idx="239">
                  <c:v>75.972872972243948</c:v>
                </c:pt>
                <c:pt idx="240">
                  <c:v>75.977231239598467</c:v>
                </c:pt>
                <c:pt idx="241">
                  <c:v>75.985947774307533</c:v>
                </c:pt>
                <c:pt idx="242">
                  <c:v>75.942365100762231</c:v>
                </c:pt>
                <c:pt idx="243">
                  <c:v>75.911857229280514</c:v>
                </c:pt>
                <c:pt idx="244">
                  <c:v>76.01645564578925</c:v>
                </c:pt>
                <c:pt idx="245">
                  <c:v>76.060038319334581</c:v>
                </c:pt>
                <c:pt idx="246">
                  <c:v>76.14284539907068</c:v>
                </c:pt>
                <c:pt idx="247">
                  <c:v>75.990306041662066</c:v>
                </c:pt>
                <c:pt idx="248">
                  <c:v>75.833408416898934</c:v>
                </c:pt>
                <c:pt idx="249">
                  <c:v>75.733168267744716</c:v>
                </c:pt>
                <c:pt idx="250">
                  <c:v>75.868274555735184</c:v>
                </c:pt>
                <c:pt idx="251">
                  <c:v>76.107979260234416</c:v>
                </c:pt>
                <c:pt idx="252">
                  <c:v>76.304101291188331</c:v>
                </c:pt>
                <c:pt idx="253">
                  <c:v>76.243085548224897</c:v>
                </c:pt>
                <c:pt idx="254">
                  <c:v>76.094904458170816</c:v>
                </c:pt>
                <c:pt idx="255">
                  <c:v>75.920573763989566</c:v>
                </c:pt>
                <c:pt idx="256">
                  <c:v>75.837766684253481</c:v>
                </c:pt>
                <c:pt idx="257">
                  <c:v>75.842124951608</c:v>
                </c:pt>
                <c:pt idx="258">
                  <c:v>75.903140694571448</c:v>
                </c:pt>
                <c:pt idx="259">
                  <c:v>75.946723368116764</c:v>
                </c:pt>
                <c:pt idx="260">
                  <c:v>75.981589506953014</c:v>
                </c:pt>
                <c:pt idx="261">
                  <c:v>76.012097378434731</c:v>
                </c:pt>
                <c:pt idx="262">
                  <c:v>76.090546190816298</c:v>
                </c:pt>
                <c:pt idx="263">
                  <c:v>76.14284539907068</c:v>
                </c:pt>
                <c:pt idx="264">
                  <c:v>76.14284539907068</c:v>
                </c:pt>
                <c:pt idx="265">
                  <c:v>76.121054062298001</c:v>
                </c:pt>
                <c:pt idx="266">
                  <c:v>75.990306041662066</c:v>
                </c:pt>
                <c:pt idx="267">
                  <c:v>75.802900545417216</c:v>
                </c:pt>
                <c:pt idx="268">
                  <c:v>75.567554108272532</c:v>
                </c:pt>
                <c:pt idx="269">
                  <c:v>75.336565938482366</c:v>
                </c:pt>
                <c:pt idx="270">
                  <c:v>75.149160442237516</c:v>
                </c:pt>
                <c:pt idx="271">
                  <c:v>75.018412421601568</c:v>
                </c:pt>
                <c:pt idx="272">
                  <c:v>75.018412421601568</c:v>
                </c:pt>
                <c:pt idx="273">
                  <c:v>75.153518709592049</c:v>
                </c:pt>
                <c:pt idx="274">
                  <c:v>75.2450423240372</c:v>
                </c:pt>
                <c:pt idx="275">
                  <c:v>75.275550195518932</c:v>
                </c:pt>
                <c:pt idx="276">
                  <c:v>75.131727372819384</c:v>
                </c:pt>
                <c:pt idx="277">
                  <c:v>74.861514796838449</c:v>
                </c:pt>
                <c:pt idx="278">
                  <c:v>74.578227418793915</c:v>
                </c:pt>
                <c:pt idx="279">
                  <c:v>74.321089644876551</c:v>
                </c:pt>
                <c:pt idx="280">
                  <c:v>74.094459742440918</c:v>
                </c:pt>
                <c:pt idx="281">
                  <c:v>73.9375621176778</c:v>
                </c:pt>
                <c:pt idx="282">
                  <c:v>73.911412513550601</c:v>
                </c:pt>
                <c:pt idx="283">
                  <c:v>74.04216053418655</c:v>
                </c:pt>
                <c:pt idx="284">
                  <c:v>74.037802266832017</c:v>
                </c:pt>
                <c:pt idx="285">
                  <c:v>74.077026673022786</c:v>
                </c:pt>
                <c:pt idx="286">
                  <c:v>73.832963701169049</c:v>
                </c:pt>
                <c:pt idx="287">
                  <c:v>73.532243253706369</c:v>
                </c:pt>
                <c:pt idx="288">
                  <c:v>73.131282657089486</c:v>
                </c:pt>
                <c:pt idx="289">
                  <c:v>72.67802285221822</c:v>
                </c:pt>
                <c:pt idx="290">
                  <c:v>72.285778790310403</c:v>
                </c:pt>
                <c:pt idx="291">
                  <c:v>72.011207946974935</c:v>
                </c:pt>
                <c:pt idx="292">
                  <c:v>71.889176461048052</c:v>
                </c:pt>
                <c:pt idx="293">
                  <c:v>71.83687725279367</c:v>
                </c:pt>
                <c:pt idx="294">
                  <c:v>71.706129232157735</c:v>
                </c:pt>
                <c:pt idx="295">
                  <c:v>71.405408784695069</c:v>
                </c:pt>
                <c:pt idx="296">
                  <c:v>71.008806455432705</c:v>
                </c:pt>
                <c:pt idx="297">
                  <c:v>70.459664768761755</c:v>
                </c:pt>
                <c:pt idx="298">
                  <c:v>69.845149071772838</c:v>
                </c:pt>
                <c:pt idx="299">
                  <c:v>72.037357551102133</c:v>
                </c:pt>
                <c:pt idx="300">
                  <c:v>81.564529988107708</c:v>
                </c:pt>
                <c:pt idx="301">
                  <c:v>83.421151881138073</c:v>
                </c:pt>
                <c:pt idx="302">
                  <c:v>85.787691054648619</c:v>
                </c:pt>
                <c:pt idx="303">
                  <c:v>78.67499873205341</c:v>
                </c:pt>
                <c:pt idx="304">
                  <c:v>70.830117493896921</c:v>
                </c:pt>
                <c:pt idx="305">
                  <c:v>67.552700443289339</c:v>
                </c:pt>
                <c:pt idx="306">
                  <c:v>66.611314694710558</c:v>
                </c:pt>
                <c:pt idx="307">
                  <c:v>66.236503702220858</c:v>
                </c:pt>
                <c:pt idx="308">
                  <c:v>65.73094468909521</c:v>
                </c:pt>
                <c:pt idx="309">
                  <c:v>64.998755773533958</c:v>
                </c:pt>
                <c:pt idx="310">
                  <c:v>64.135818837336728</c:v>
                </c:pt>
                <c:pt idx="311">
                  <c:v>63.229299227594204</c:v>
                </c:pt>
                <c:pt idx="312">
                  <c:v>62.405586697587786</c:v>
                </c:pt>
                <c:pt idx="313">
                  <c:v>61.603665504354005</c:v>
                </c:pt>
                <c:pt idx="314">
                  <c:v>60.945567133819765</c:v>
                </c:pt>
                <c:pt idx="315">
                  <c:v>60.335409704185373</c:v>
                </c:pt>
                <c:pt idx="316">
                  <c:v>59.625012125396765</c:v>
                </c:pt>
                <c:pt idx="317">
                  <c:v>58.857957070999241</c:v>
                </c:pt>
                <c:pt idx="318">
                  <c:v>57.886063450938749</c:v>
                </c:pt>
                <c:pt idx="319">
                  <c:v>56.879303692041994</c:v>
                </c:pt>
                <c:pt idx="320">
                  <c:v>55.885618735208851</c:v>
                </c:pt>
                <c:pt idx="321">
                  <c:v>54.626079469749278</c:v>
                </c:pt>
                <c:pt idx="322">
                  <c:v>53.46678035344393</c:v>
                </c:pt>
                <c:pt idx="323">
                  <c:v>52.04162692851218</c:v>
                </c:pt>
                <c:pt idx="324">
                  <c:v>50.755938058925423</c:v>
                </c:pt>
                <c:pt idx="325">
                  <c:v>49.609713744683667</c:v>
                </c:pt>
                <c:pt idx="326">
                  <c:v>48.450414628378326</c:v>
                </c:pt>
                <c:pt idx="327">
                  <c:v>47.073202144346403</c:v>
                </c:pt>
                <c:pt idx="328">
                  <c:v>45.443210153751671</c:v>
                </c:pt>
                <c:pt idx="329">
                  <c:v>43.5865882607213</c:v>
                </c:pt>
                <c:pt idx="330">
                  <c:v>41.621009683827658</c:v>
                </c:pt>
                <c:pt idx="331">
                  <c:v>39.607490166034168</c:v>
                </c:pt>
                <c:pt idx="332">
                  <c:v>37.550387974695354</c:v>
                </c:pt>
                <c:pt idx="333">
                  <c:v>35.536868456901857</c:v>
                </c:pt>
                <c:pt idx="334">
                  <c:v>33.518990671753834</c:v>
                </c:pt>
                <c:pt idx="335">
                  <c:v>31.501112886605803</c:v>
                </c:pt>
                <c:pt idx="336">
                  <c:v>29.465802032039655</c:v>
                </c:pt>
                <c:pt idx="337">
                  <c:v>27.404341573346315</c:v>
                </c:pt>
                <c:pt idx="338">
                  <c:v>25.3603141840711</c:v>
                </c:pt>
                <c:pt idx="339">
                  <c:v>23.38601907246839</c:v>
                </c:pt>
                <c:pt idx="340">
                  <c:v>22.562306542461961</c:v>
                </c:pt>
                <c:pt idx="341">
                  <c:v>22.448991591244148</c:v>
                </c:pt>
                <c:pt idx="342">
                  <c:v>21.302767277002392</c:v>
                </c:pt>
                <c:pt idx="343">
                  <c:v>18.635507656029194</c:v>
                </c:pt>
                <c:pt idx="344">
                  <c:v>14.952771741450182</c:v>
                </c:pt>
                <c:pt idx="345">
                  <c:v>12.934893956302155</c:v>
                </c:pt>
                <c:pt idx="346">
                  <c:v>11.614338947879153</c:v>
                </c:pt>
                <c:pt idx="347">
                  <c:v>10.32429181093786</c:v>
                </c:pt>
                <c:pt idx="348">
                  <c:v>8.8250478409790709</c:v>
                </c:pt>
                <c:pt idx="349">
                  <c:v>7.3824613466291877</c:v>
                </c:pt>
                <c:pt idx="350">
                  <c:v>6.1926543588421241</c:v>
                </c:pt>
                <c:pt idx="351">
                  <c:v>5.1205205896274046</c:v>
                </c:pt>
                <c:pt idx="352">
                  <c:v>4.1137608307306586</c:v>
                </c:pt>
                <c:pt idx="353">
                  <c:v>3.2595404292425099</c:v>
                </c:pt>
                <c:pt idx="354">
                  <c:v>2.6275916628354548</c:v>
                </c:pt>
                <c:pt idx="355">
                  <c:v>2.2745720071184157</c:v>
                </c:pt>
                <c:pt idx="356">
                  <c:v>2.0000011637829362</c:v>
                </c:pt>
              </c:numCache>
            </c:numRef>
          </c:yVal>
          <c:smooth val="1"/>
          <c:extLst>
            <c:ext xmlns:c16="http://schemas.microsoft.com/office/drawing/2014/chart" uri="{C3380CC4-5D6E-409C-BE32-E72D297353CC}">
              <c16:uniqueId val="{00000000-6C55-4540-A99B-AF279F0EE33F}"/>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ChromatogramData!$C$2:$C$10001</c:f>
              <c:numCache>
                <c:formatCode>General</c:formatCode>
                <c:ptCount val="10000"/>
                <c:pt idx="0">
                  <c:v>14.612825683489213</c:v>
                </c:pt>
                <c:pt idx="1">
                  <c:v>11.217735414309272</c:v>
                </c:pt>
                <c:pt idx="2">
                  <c:v>8.1713065334918404</c:v>
                </c:pt>
                <c:pt idx="3">
                  <c:v>7.3998932117397871</c:v>
                </c:pt>
                <c:pt idx="4">
                  <c:v>7.8357199471929251</c:v>
                </c:pt>
                <c:pt idx="5">
                  <c:v>8.3325624256095026</c:v>
                </c:pt>
                <c:pt idx="6">
                  <c:v>8.1538734640737154</c:v>
                </c:pt>
                <c:pt idx="7">
                  <c:v>7.7267632633296417</c:v>
                </c:pt>
                <c:pt idx="8">
                  <c:v>7.6483144509480763</c:v>
                </c:pt>
                <c:pt idx="9">
                  <c:v>7.5524325691483858</c:v>
                </c:pt>
                <c:pt idx="10">
                  <c:v>6.8769011291960229</c:v>
                </c:pt>
                <c:pt idx="11">
                  <c:v>5.7568264190814595</c:v>
                </c:pt>
                <c:pt idx="12">
                  <c:v>5.0072044341020634</c:v>
                </c:pt>
                <c:pt idx="13">
                  <c:v>5.0682201770655029</c:v>
                </c:pt>
                <c:pt idx="14">
                  <c:v>6.2318775607253789</c:v>
                </c:pt>
                <c:pt idx="15">
                  <c:v>8.6550742098448232</c:v>
                </c:pt>
                <c:pt idx="16">
                  <c:v>11.771235368334754</c:v>
                </c:pt>
                <c:pt idx="17">
                  <c:v>14.421061919889832</c:v>
                </c:pt>
                <c:pt idx="18">
                  <c:v>16.160010594347849</c:v>
                </c:pt>
                <c:pt idx="19">
                  <c:v>17.280085304462411</c:v>
                </c:pt>
                <c:pt idx="20">
                  <c:v>17.91203407086946</c:v>
                </c:pt>
                <c:pt idx="21">
                  <c:v>17.65489629695211</c:v>
                </c:pt>
                <c:pt idx="22">
                  <c:v>16.046695643130036</c:v>
                </c:pt>
                <c:pt idx="23">
                  <c:v>13.200747060621048</c:v>
                </c:pt>
                <c:pt idx="24">
                  <c:v>9.6967001075778221</c:v>
                </c:pt>
                <c:pt idx="25">
                  <c:v>6.4672239978700734</c:v>
                </c:pt>
                <c:pt idx="26">
                  <c:v>4.3796139350495453</c:v>
                </c:pt>
                <c:pt idx="27">
                  <c:v>3.4120785823435806</c:v>
                </c:pt>
                <c:pt idx="28">
                  <c:v>3.0372675898538826</c:v>
                </c:pt>
                <c:pt idx="29">
                  <c:v>2.8934447671543473</c:v>
                </c:pt>
                <c:pt idx="30">
                  <c:v>2.7975628853546572</c:v>
                </c:pt>
                <c:pt idx="31">
                  <c:v>2.6929644688459042</c:v>
                </c:pt>
                <c:pt idx="32">
                  <c:v>2.5796495176280883</c:v>
                </c:pt>
                <c:pt idx="33">
                  <c:v>2.4881259031829295</c:v>
                </c:pt>
                <c:pt idx="34">
                  <c:v>2.4053188234468332</c:v>
                </c:pt>
                <c:pt idx="35">
                  <c:v>2.3007204069380802</c:v>
                </c:pt>
                <c:pt idx="36">
                  <c:v>2.2266298619110469</c:v>
                </c:pt>
                <c:pt idx="37">
                  <c:v>2.1568975842385449</c:v>
                </c:pt>
                <c:pt idx="38">
                  <c:v>2.0915235739205742</c:v>
                </c:pt>
                <c:pt idx="39">
                  <c:v>2.0566574350843232</c:v>
                </c:pt>
                <c:pt idx="40">
                  <c:v>2.0174330288935409</c:v>
                </c:pt>
                <c:pt idx="41">
                  <c:v>1.9999999594754154</c:v>
                </c:pt>
                <c:pt idx="42">
                  <c:v>2.008716494184478</c:v>
                </c:pt>
                <c:pt idx="43">
                  <c:v>2.0305078309571352</c:v>
                </c:pt>
                <c:pt idx="44">
                  <c:v>2.0740905045024487</c:v>
                </c:pt>
                <c:pt idx="45">
                  <c:v>2.1176731780477627</c:v>
                </c:pt>
                <c:pt idx="46">
                  <c:v>2.1612558515930762</c:v>
                </c:pt>
                <c:pt idx="47">
                  <c:v>2.2179133272019844</c:v>
                </c:pt>
                <c:pt idx="48">
                  <c:v>2.2745708028108922</c:v>
                </c:pt>
                <c:pt idx="49">
                  <c:v>2.3617361499015193</c:v>
                </c:pt>
                <c:pt idx="50">
                  <c:v>2.4576180317012097</c:v>
                </c:pt>
                <c:pt idx="51">
                  <c:v>2.5752912502735565</c:v>
                </c:pt>
                <c:pt idx="52">
                  <c:v>2.7147558056185606</c:v>
                </c:pt>
                <c:pt idx="53">
                  <c:v>2.8716534303816901</c:v>
                </c:pt>
                <c:pt idx="54">
                  <c:v>3.0459841245629455</c:v>
                </c:pt>
                <c:pt idx="55">
                  <c:v>3.2508226902259194</c:v>
                </c:pt>
                <c:pt idx="56">
                  <c:v>3.4643777905979571</c:v>
                </c:pt>
                <c:pt idx="57">
                  <c:v>3.6692163562609315</c:v>
                </c:pt>
                <c:pt idx="58">
                  <c:v>3.9263541301782823</c:v>
                </c:pt>
                <c:pt idx="59">
                  <c:v>4.1747753693865715</c:v>
                </c:pt>
                <c:pt idx="60">
                  <c:v>4.3796139350495453</c:v>
                </c:pt>
                <c:pt idx="61">
                  <c:v>4.5626611639398629</c:v>
                </c:pt>
                <c:pt idx="62">
                  <c:v>4.7369918581211188</c:v>
                </c:pt>
                <c:pt idx="63">
                  <c:v>4.8677398787570594</c:v>
                </c:pt>
                <c:pt idx="64">
                  <c:v>5.0202792361656581</c:v>
                </c:pt>
                <c:pt idx="65">
                  <c:v>5.2512674059558204</c:v>
                </c:pt>
                <c:pt idx="66">
                  <c:v>5.5301965166458285</c:v>
                </c:pt>
                <c:pt idx="67">
                  <c:v>5.8614248355902117</c:v>
                </c:pt>
                <c:pt idx="68">
                  <c:v>6.288535036334288</c:v>
                </c:pt>
                <c:pt idx="69">
                  <c:v>6.7810192473963324</c:v>
                </c:pt>
                <c:pt idx="70">
                  <c:v>7.3432357361308798</c:v>
                </c:pt>
                <c:pt idx="71">
                  <c:v>7.9185270269290209</c:v>
                </c:pt>
                <c:pt idx="72">
                  <c:v>8.5243261892088817</c:v>
                </c:pt>
                <c:pt idx="73">
                  <c:v>9.1257670841342104</c:v>
                </c:pt>
                <c:pt idx="74">
                  <c:v>9.8012985240865742</c:v>
                </c:pt>
                <c:pt idx="75">
                  <c:v>10.507337835520659</c:v>
                </c:pt>
                <c:pt idx="76">
                  <c:v>11.126211799864112</c:v>
                </c:pt>
                <c:pt idx="77">
                  <c:v>11.601262941508033</c:v>
                </c:pt>
                <c:pt idx="78">
                  <c:v>11.910699923679759</c:v>
                </c:pt>
                <c:pt idx="79">
                  <c:v>12.111180221988203</c:v>
                </c:pt>
                <c:pt idx="80">
                  <c:v>12.080672350506482</c:v>
                </c:pt>
                <c:pt idx="81">
                  <c:v>11.736369229498504</c:v>
                </c:pt>
                <c:pt idx="82">
                  <c:v>11.265676355209116</c:v>
                </c:pt>
                <c:pt idx="83">
                  <c:v>10.777550411501602</c:v>
                </c:pt>
                <c:pt idx="84">
                  <c:v>10.258916596312368</c:v>
                </c:pt>
                <c:pt idx="85">
                  <c:v>9.7664323852503223</c:v>
                </c:pt>
                <c:pt idx="86">
                  <c:v>9.2129324312248393</c:v>
                </c:pt>
                <c:pt idx="87">
                  <c:v>8.7988970325443603</c:v>
                </c:pt>
                <c:pt idx="88">
                  <c:v>8.7945387651898272</c:v>
                </c:pt>
                <c:pt idx="89">
                  <c:v>9.2477985700610912</c:v>
                </c:pt>
                <c:pt idx="90">
                  <c:v>9.4090544621787515</c:v>
                </c:pt>
                <c:pt idx="91">
                  <c:v>9.1780662923885892</c:v>
                </c:pt>
                <c:pt idx="92">
                  <c:v>8.5504757933360693</c:v>
                </c:pt>
                <c:pt idx="93">
                  <c:v>7.9708262351833969</c:v>
                </c:pt>
                <c:pt idx="94">
                  <c:v>7.6788223224297951</c:v>
                </c:pt>
                <c:pt idx="95">
                  <c:v>7.4827002914758838</c:v>
                </c:pt>
                <c:pt idx="96">
                  <c:v>7.4827002914758838</c:v>
                </c:pt>
                <c:pt idx="97">
                  <c:v>7.6831805897843273</c:v>
                </c:pt>
                <c:pt idx="98">
                  <c:v>8.0667081169830865</c:v>
                </c:pt>
                <c:pt idx="99">
                  <c:v>8.3674285644457527</c:v>
                </c:pt>
                <c:pt idx="100">
                  <c:v>8.4763852483090378</c:v>
                </c:pt>
                <c:pt idx="101">
                  <c:v>8.3717868318002839</c:v>
                </c:pt>
                <c:pt idx="102">
                  <c:v>8.2061726723280906</c:v>
                </c:pt>
                <c:pt idx="103">
                  <c:v>8.180023068200903</c:v>
                </c:pt>
                <c:pt idx="104">
                  <c:v>8.8163301019624853</c:v>
                </c:pt>
                <c:pt idx="105">
                  <c:v>9.1649914903249936</c:v>
                </c:pt>
                <c:pt idx="106">
                  <c:v>8.7858222304807647</c:v>
                </c:pt>
                <c:pt idx="107">
                  <c:v>8.32384589090044</c:v>
                </c:pt>
                <c:pt idx="108">
                  <c:v>8.6463576751357607</c:v>
                </c:pt>
                <c:pt idx="109">
                  <c:v>8.8555545081532667</c:v>
                </c:pt>
                <c:pt idx="110">
                  <c:v>8.6855820813265439</c:v>
                </c:pt>
                <c:pt idx="111">
                  <c:v>8.4415191094727859</c:v>
                </c:pt>
                <c:pt idx="112">
                  <c:v>8.3979364359274733</c:v>
                </c:pt>
                <c:pt idx="113">
                  <c:v>8.4676687135999735</c:v>
                </c:pt>
                <c:pt idx="114">
                  <c:v>9.7054166422868846</c:v>
                </c:pt>
                <c:pt idx="115">
                  <c:v>10.550920509065971</c:v>
                </c:pt>
                <c:pt idx="116">
                  <c:v>10.38530634959378</c:v>
                </c:pt>
                <c:pt idx="117">
                  <c:v>10.681668529701911</c:v>
                </c:pt>
                <c:pt idx="118">
                  <c:v>13.043849435857917</c:v>
                </c:pt>
                <c:pt idx="119">
                  <c:v>16.282042080274728</c:v>
                </c:pt>
                <c:pt idx="120">
                  <c:v>15.554211432067989</c:v>
                </c:pt>
                <c:pt idx="121">
                  <c:v>12.987191960249008</c:v>
                </c:pt>
                <c:pt idx="122">
                  <c:v>11.213377146954739</c:v>
                </c:pt>
                <c:pt idx="123">
                  <c:v>10.590144915256753</c:v>
                </c:pt>
                <c:pt idx="124">
                  <c:v>9.9058969405953263</c:v>
                </c:pt>
                <c:pt idx="125">
                  <c:v>9.0037355982073333</c:v>
                </c:pt>
                <c:pt idx="126">
                  <c:v>8.7291647548718565</c:v>
                </c:pt>
                <c:pt idx="127">
                  <c:v>8.6376411404266982</c:v>
                </c:pt>
                <c:pt idx="128">
                  <c:v>8.5766253974632587</c:v>
                </c:pt>
                <c:pt idx="129">
                  <c:v>8.4763852483090378</c:v>
                </c:pt>
                <c:pt idx="130">
                  <c:v>8.4458773768273154</c:v>
                </c:pt>
                <c:pt idx="131">
                  <c:v>8.7553143589990459</c:v>
                </c:pt>
                <c:pt idx="132">
                  <c:v>9.2390820353520269</c:v>
                </c:pt>
                <c:pt idx="133">
                  <c:v>9.6008182257781325</c:v>
                </c:pt>
                <c:pt idx="134">
                  <c:v>9.3785465906970309</c:v>
                </c:pt>
                <c:pt idx="135">
                  <c:v>8.6245663383631026</c:v>
                </c:pt>
                <c:pt idx="136">
                  <c:v>7.9882593046015229</c:v>
                </c:pt>
                <c:pt idx="137">
                  <c:v>7.7659876695204231</c:v>
                </c:pt>
                <c:pt idx="138">
                  <c:v>7.8400782145474572</c:v>
                </c:pt>
                <c:pt idx="139">
                  <c:v>8.040558512855899</c:v>
                </c:pt>
                <c:pt idx="140">
                  <c:v>8.0928577211102759</c:v>
                </c:pt>
                <c:pt idx="141">
                  <c:v>8.2366805438098112</c:v>
                </c:pt>
                <c:pt idx="142">
                  <c:v>8.4328025747637234</c:v>
                </c:pt>
                <c:pt idx="143">
                  <c:v>8.4328025747637234</c:v>
                </c:pt>
                <c:pt idx="144">
                  <c:v>8.7073734180991984</c:v>
                </c:pt>
                <c:pt idx="145">
                  <c:v>18.513474965794792</c:v>
                </c:pt>
                <c:pt idx="146">
                  <c:v>38.530996925157396</c:v>
                </c:pt>
                <c:pt idx="147">
                  <c:v>40.980343178404027</c:v>
                </c:pt>
                <c:pt idx="148">
                  <c:v>25.826647586698439</c:v>
                </c:pt>
                <c:pt idx="149">
                  <c:v>13.192030525911981</c:v>
                </c:pt>
                <c:pt idx="150">
                  <c:v>8.9950190634982707</c:v>
                </c:pt>
                <c:pt idx="151">
                  <c:v>8.528684456563413</c:v>
                </c:pt>
                <c:pt idx="152">
                  <c:v>8.4415191094727859</c:v>
                </c:pt>
                <c:pt idx="153">
                  <c:v>8.2802632173551238</c:v>
                </c:pt>
                <c:pt idx="154">
                  <c:v>8.306412821482315</c:v>
                </c:pt>
                <c:pt idx="155">
                  <c:v>8.2410388111643424</c:v>
                </c:pt>
                <c:pt idx="156">
                  <c:v>8.5417592586270068</c:v>
                </c:pt>
                <c:pt idx="157">
                  <c:v>8.8860623796349856</c:v>
                </c:pt>
                <c:pt idx="158">
                  <c:v>8.8817041122804543</c:v>
                </c:pt>
                <c:pt idx="159">
                  <c:v>8.4676687135999735</c:v>
                </c:pt>
                <c:pt idx="160">
                  <c:v>7.8618695513201127</c:v>
                </c:pt>
                <c:pt idx="161">
                  <c:v>7.5567908365029171</c:v>
                </c:pt>
                <c:pt idx="162">
                  <c:v>7.5698656385665117</c:v>
                </c:pt>
                <c:pt idx="163">
                  <c:v>8.2279640091007487</c:v>
                </c:pt>
                <c:pt idx="164">
                  <c:v>9.0778261432343648</c:v>
                </c:pt>
                <c:pt idx="165">
                  <c:v>9.2172906985793706</c:v>
                </c:pt>
                <c:pt idx="166">
                  <c:v>8.7422395569354503</c:v>
                </c:pt>
                <c:pt idx="167">
                  <c:v>8.2715466826460631</c:v>
                </c:pt>
                <c:pt idx="168">
                  <c:v>8.0362002455013695</c:v>
                </c:pt>
                <c:pt idx="169">
                  <c:v>8.0884994537557446</c:v>
                </c:pt>
                <c:pt idx="170">
                  <c:v>8.180023068200903</c:v>
                </c:pt>
                <c:pt idx="171">
                  <c:v>8.2802632173551238</c:v>
                </c:pt>
                <c:pt idx="172">
                  <c:v>8.8511962407987355</c:v>
                </c:pt>
                <c:pt idx="173">
                  <c:v>9.9146134753043906</c:v>
                </c:pt>
                <c:pt idx="174">
                  <c:v>10.049719763294862</c:v>
                </c:pt>
                <c:pt idx="175">
                  <c:v>10.341723676048465</c:v>
                </c:pt>
                <c:pt idx="176">
                  <c:v>10.681668529701911</c:v>
                </c:pt>
                <c:pt idx="177">
                  <c:v>10.141243377740022</c:v>
                </c:pt>
                <c:pt idx="178">
                  <c:v>9.4918615419148473</c:v>
                </c:pt>
                <c:pt idx="179">
                  <c:v>9.4221292642423453</c:v>
                </c:pt>
                <c:pt idx="180">
                  <c:v>9.1301253514887435</c:v>
                </c:pt>
                <c:pt idx="181">
                  <c:v>8.5112513871452879</c:v>
                </c:pt>
                <c:pt idx="182">
                  <c:v>8.1059325231738697</c:v>
                </c:pt>
                <c:pt idx="183">
                  <c:v>8.2671884152915318</c:v>
                </c:pt>
                <c:pt idx="184">
                  <c:v>24.083340644885887</c:v>
                </c:pt>
                <c:pt idx="185">
                  <c:v>56.55243243614462</c:v>
                </c:pt>
                <c:pt idx="186">
                  <c:v>63.521301936040295</c:v>
                </c:pt>
                <c:pt idx="187">
                  <c:v>44.379791714938484</c:v>
                </c:pt>
                <c:pt idx="188">
                  <c:v>20.160900025807649</c:v>
                </c:pt>
                <c:pt idx="189">
                  <c:v>10.319932339275809</c:v>
                </c:pt>
                <c:pt idx="190">
                  <c:v>8.0492750475649615</c:v>
                </c:pt>
                <c:pt idx="191">
                  <c:v>8.0144089087287114</c:v>
                </c:pt>
                <c:pt idx="192">
                  <c:v>8.0362002455013695</c:v>
                </c:pt>
                <c:pt idx="193">
                  <c:v>8.0013341066651158</c:v>
                </c:pt>
                <c:pt idx="194">
                  <c:v>7.9272435616380834</c:v>
                </c:pt>
                <c:pt idx="195">
                  <c:v>7.8749443533837074</c:v>
                </c:pt>
                <c:pt idx="196">
                  <c:v>7.9403183637016781</c:v>
                </c:pt>
                <c:pt idx="197">
                  <c:v>8.0797829190466821</c:v>
                </c:pt>
                <c:pt idx="198">
                  <c:v>8.1364403946555903</c:v>
                </c:pt>
                <c:pt idx="199">
                  <c:v>8.0710663843376196</c:v>
                </c:pt>
                <c:pt idx="200">
                  <c:v>7.9490348984107406</c:v>
                </c:pt>
                <c:pt idx="201">
                  <c:v>7.8793026207382395</c:v>
                </c:pt>
                <c:pt idx="202">
                  <c:v>7.853153016611051</c:v>
                </c:pt>
                <c:pt idx="203">
                  <c:v>7.8400782145474572</c:v>
                </c:pt>
                <c:pt idx="204">
                  <c:v>7.9533931657652719</c:v>
                </c:pt>
                <c:pt idx="205">
                  <c:v>8.1146490578829322</c:v>
                </c:pt>
                <c:pt idx="206">
                  <c:v>8.0928577211102759</c:v>
                </c:pt>
                <c:pt idx="207">
                  <c:v>7.9446766310562085</c:v>
                </c:pt>
                <c:pt idx="208">
                  <c:v>7.8662278186746439</c:v>
                </c:pt>
                <c:pt idx="209">
                  <c:v>7.8575112839655814</c:v>
                </c:pt>
                <c:pt idx="210">
                  <c:v>7.8749443533837074</c:v>
                </c:pt>
                <c:pt idx="211">
                  <c:v>7.9054522248654271</c:v>
                </c:pt>
                <c:pt idx="212">
                  <c:v>7.9185270269290209</c:v>
                </c:pt>
                <c:pt idx="213">
                  <c:v>7.9751845025379291</c:v>
                </c:pt>
                <c:pt idx="214">
                  <c:v>8.2236057417462174</c:v>
                </c:pt>
                <c:pt idx="215">
                  <c:v>8.336920692964032</c:v>
                </c:pt>
                <c:pt idx="216">
                  <c:v>8.3979364359274733</c:v>
                </c:pt>
                <c:pt idx="217">
                  <c:v>8.2715466826460631</c:v>
                </c:pt>
                <c:pt idx="218">
                  <c:v>8.1538734640737154</c:v>
                </c:pt>
                <c:pt idx="219">
                  <c:v>8.0797829190466821</c:v>
                </c:pt>
                <c:pt idx="220">
                  <c:v>8.0710663843376196</c:v>
                </c:pt>
                <c:pt idx="221">
                  <c:v>8.0797829190466821</c:v>
                </c:pt>
                <c:pt idx="222">
                  <c:v>8.0754246516921508</c:v>
                </c:pt>
                <c:pt idx="223">
                  <c:v>8.0710663843376196</c:v>
                </c:pt>
                <c:pt idx="224">
                  <c:v>8.0536333149194945</c:v>
                </c:pt>
                <c:pt idx="225">
                  <c:v>8.0972159884648072</c:v>
                </c:pt>
                <c:pt idx="226">
                  <c:v>8.2148892070371549</c:v>
                </c:pt>
                <c:pt idx="227">
                  <c:v>8.319487623545907</c:v>
                </c:pt>
                <c:pt idx="228">
                  <c:v>8.3674285644457527</c:v>
                </c:pt>
                <c:pt idx="229">
                  <c:v>8.2802632173551238</c:v>
                </c:pt>
                <c:pt idx="230">
                  <c:v>8.2061726723280906</c:v>
                </c:pt>
                <c:pt idx="231">
                  <c:v>8.1451569293646529</c:v>
                </c:pt>
                <c:pt idx="232">
                  <c:v>8.110290790528401</c:v>
                </c:pt>
                <c:pt idx="233">
                  <c:v>8.1190073252374653</c:v>
                </c:pt>
                <c:pt idx="234">
                  <c:v>8.1364403946555903</c:v>
                </c:pt>
                <c:pt idx="235">
                  <c:v>8.1451569293646529</c:v>
                </c:pt>
                <c:pt idx="236">
                  <c:v>8.180023068200903</c:v>
                </c:pt>
                <c:pt idx="237">
                  <c:v>8.2018144049735611</c:v>
                </c:pt>
                <c:pt idx="238">
                  <c:v>8.249755345873405</c:v>
                </c:pt>
                <c:pt idx="239">
                  <c:v>8.3325624256095026</c:v>
                </c:pt>
                <c:pt idx="240">
                  <c:v>8.3587120297366901</c:v>
                </c:pt>
                <c:pt idx="241">
                  <c:v>8.4633104462454423</c:v>
                </c:pt>
                <c:pt idx="242">
                  <c:v>8.5199679218543523</c:v>
                </c:pt>
                <c:pt idx="243">
                  <c:v>8.5635505953996649</c:v>
                </c:pt>
                <c:pt idx="244">
                  <c:v>8.5548340606906024</c:v>
                </c:pt>
                <c:pt idx="245">
                  <c:v>8.4981765850816942</c:v>
                </c:pt>
                <c:pt idx="246">
                  <c:v>8.4720269809545066</c:v>
                </c:pt>
                <c:pt idx="247">
                  <c:v>8.4197277727001278</c:v>
                </c:pt>
                <c:pt idx="248">
                  <c:v>8.3848616338638777</c:v>
                </c:pt>
                <c:pt idx="249">
                  <c:v>8.3717868318002839</c:v>
                </c:pt>
                <c:pt idx="250">
                  <c:v>8.4110112379910653</c:v>
                </c:pt>
                <c:pt idx="251">
                  <c:v>8.4415191094727859</c:v>
                </c:pt>
                <c:pt idx="252">
                  <c:v>8.458952178890911</c:v>
                </c:pt>
                <c:pt idx="253">
                  <c:v>8.4502356441818485</c:v>
                </c:pt>
                <c:pt idx="254">
                  <c:v>8.4676687135999735</c:v>
                </c:pt>
                <c:pt idx="255">
                  <c:v>8.4633104462454423</c:v>
                </c:pt>
                <c:pt idx="256">
                  <c:v>8.5025348524362254</c:v>
                </c:pt>
                <c:pt idx="257">
                  <c:v>8.5591923280451319</c:v>
                </c:pt>
                <c:pt idx="258">
                  <c:v>8.5679088627541962</c:v>
                </c:pt>
                <c:pt idx="259">
                  <c:v>8.5548340606906024</c:v>
                </c:pt>
                <c:pt idx="260">
                  <c:v>8.5679088627541962</c:v>
                </c:pt>
                <c:pt idx="261">
                  <c:v>8.598416734235915</c:v>
                </c:pt>
                <c:pt idx="262">
                  <c:v>8.7073734180991984</c:v>
                </c:pt>
                <c:pt idx="263">
                  <c:v>8.7814639631262335</c:v>
                </c:pt>
                <c:pt idx="264">
                  <c:v>8.7988970325443603</c:v>
                </c:pt>
                <c:pt idx="265">
                  <c:v>8.8424797060896729</c:v>
                </c:pt>
                <c:pt idx="266">
                  <c:v>8.7814639631262335</c:v>
                </c:pt>
                <c:pt idx="267">
                  <c:v>8.7596726263535771</c:v>
                </c:pt>
                <c:pt idx="268">
                  <c:v>8.7248064875173252</c:v>
                </c:pt>
                <c:pt idx="269">
                  <c:v>8.7030151507446689</c:v>
                </c:pt>
                <c:pt idx="270">
                  <c:v>8.6855820813265439</c:v>
                </c:pt>
                <c:pt idx="271">
                  <c:v>8.6812238139720108</c:v>
                </c:pt>
                <c:pt idx="272">
                  <c:v>8.7030151507446689</c:v>
                </c:pt>
                <c:pt idx="273">
                  <c:v>8.7465978242899816</c:v>
                </c:pt>
                <c:pt idx="274">
                  <c:v>8.790180497835296</c:v>
                </c:pt>
                <c:pt idx="275">
                  <c:v>8.8119718346079523</c:v>
                </c:pt>
                <c:pt idx="276">
                  <c:v>8.8119718346079523</c:v>
                </c:pt>
                <c:pt idx="277">
                  <c:v>8.8119718346079523</c:v>
                </c:pt>
                <c:pt idx="278">
                  <c:v>8.8381214387351399</c:v>
                </c:pt>
                <c:pt idx="279">
                  <c:v>8.8947789143440499</c:v>
                </c:pt>
                <c:pt idx="280">
                  <c:v>8.9645111920165519</c:v>
                </c:pt>
                <c:pt idx="281">
                  <c:v>9.0168104002709271</c:v>
                </c:pt>
                <c:pt idx="282">
                  <c:v>9.0429600043981146</c:v>
                </c:pt>
                <c:pt idx="283">
                  <c:v>9.0429600043981146</c:v>
                </c:pt>
                <c:pt idx="284">
                  <c:v>9.0429600043981146</c:v>
                </c:pt>
                <c:pt idx="285">
                  <c:v>9.0429600043981146</c:v>
                </c:pt>
                <c:pt idx="286">
                  <c:v>9.0734678758798353</c:v>
                </c:pt>
                <c:pt idx="287">
                  <c:v>9.0865426779434291</c:v>
                </c:pt>
                <c:pt idx="288">
                  <c:v>9.0996174800070229</c:v>
                </c:pt>
                <c:pt idx="289">
                  <c:v>9.1170505494251479</c:v>
                </c:pt>
                <c:pt idx="290">
                  <c:v>9.138841886197806</c:v>
                </c:pt>
                <c:pt idx="291">
                  <c:v>9.1475584209068685</c:v>
                </c:pt>
                <c:pt idx="292">
                  <c:v>9.1824245597431187</c:v>
                </c:pt>
                <c:pt idx="293">
                  <c:v>9.2913812436064056</c:v>
                </c:pt>
                <c:pt idx="294">
                  <c:v>9.3785465906970309</c:v>
                </c:pt>
                <c:pt idx="295">
                  <c:v>9.400337927469689</c:v>
                </c:pt>
                <c:pt idx="296">
                  <c:v>9.4787867398512518</c:v>
                </c:pt>
                <c:pt idx="297">
                  <c:v>9.4352040663059391</c:v>
                </c:pt>
                <c:pt idx="298">
                  <c:v>9.3654717886334353</c:v>
                </c:pt>
                <c:pt idx="299">
                  <c:v>9.3349639171517182</c:v>
                </c:pt>
                <c:pt idx="300">
                  <c:v>9.3306056497971852</c:v>
                </c:pt>
                <c:pt idx="301">
                  <c:v>9.3654717886334353</c:v>
                </c:pt>
                <c:pt idx="302">
                  <c:v>9.4221292642423453</c:v>
                </c:pt>
                <c:pt idx="303">
                  <c:v>9.4962198092693786</c:v>
                </c:pt>
                <c:pt idx="304">
                  <c:v>9.5398024828146912</c:v>
                </c:pt>
                <c:pt idx="305">
                  <c:v>9.6051764931326638</c:v>
                </c:pt>
                <c:pt idx="306">
                  <c:v>9.6836253055142283</c:v>
                </c:pt>
                <c:pt idx="307">
                  <c:v>9.7446410484776678</c:v>
                </c:pt>
                <c:pt idx="308">
                  <c:v>9.7707906526048554</c:v>
                </c:pt>
                <c:pt idx="309">
                  <c:v>9.7751489199593866</c:v>
                </c:pt>
                <c:pt idx="310">
                  <c:v>9.7838654546684474</c:v>
                </c:pt>
                <c:pt idx="311">
                  <c:v>9.7925819893775135</c:v>
                </c:pt>
                <c:pt idx="312">
                  <c:v>9.814373326150168</c:v>
                </c:pt>
                <c:pt idx="313">
                  <c:v>9.8928221385317343</c:v>
                </c:pt>
                <c:pt idx="314">
                  <c:v>9.9712709509132971</c:v>
                </c:pt>
                <c:pt idx="315">
                  <c:v>10.023570159167674</c:v>
                </c:pt>
                <c:pt idx="316">
                  <c:v>10.067152832712987</c:v>
                </c:pt>
                <c:pt idx="317">
                  <c:v>10.080227634776582</c:v>
                </c:pt>
                <c:pt idx="318">
                  <c:v>10.097660704194709</c:v>
                </c:pt>
                <c:pt idx="319">
                  <c:v>10.13688511038549</c:v>
                </c:pt>
                <c:pt idx="320">
                  <c:v>10.163034714512678</c:v>
                </c:pt>
                <c:pt idx="321">
                  <c:v>10.189184318639866</c:v>
                </c:pt>
                <c:pt idx="322">
                  <c:v>10.263274863666901</c:v>
                </c:pt>
                <c:pt idx="323">
                  <c:v>10.315574071921278</c:v>
                </c:pt>
                <c:pt idx="324">
                  <c:v>10.38530634959378</c:v>
                </c:pt>
                <c:pt idx="325">
                  <c:v>10.472471696684408</c:v>
                </c:pt>
                <c:pt idx="326">
                  <c:v>10.537845707002377</c:v>
                </c:pt>
                <c:pt idx="327">
                  <c:v>10.585786647902221</c:v>
                </c:pt>
                <c:pt idx="328">
                  <c:v>10.616294519383942</c:v>
                </c:pt>
                <c:pt idx="329">
                  <c:v>10.651160658220194</c:v>
                </c:pt>
                <c:pt idx="330">
                  <c:v>10.694743331765505</c:v>
                </c:pt>
                <c:pt idx="331">
                  <c:v>10.738326005310821</c:v>
                </c:pt>
                <c:pt idx="332">
                  <c:v>10.808058282983323</c:v>
                </c:pt>
                <c:pt idx="333">
                  <c:v>10.873432293301292</c:v>
                </c:pt>
                <c:pt idx="334">
                  <c:v>10.956239373037388</c:v>
                </c:pt>
                <c:pt idx="335">
                  <c:v>11.065196056900673</c:v>
                </c:pt>
                <c:pt idx="336">
                  <c:v>11.169794473409427</c:v>
                </c:pt>
                <c:pt idx="337">
                  <c:v>11.270034622563648</c:v>
                </c:pt>
                <c:pt idx="338">
                  <c:v>11.3746330390724</c:v>
                </c:pt>
                <c:pt idx="339">
                  <c:v>11.487947990290216</c:v>
                </c:pt>
                <c:pt idx="340">
                  <c:v>11.579471604735376</c:v>
                </c:pt>
                <c:pt idx="341">
                  <c:v>11.692786555953191</c:v>
                </c:pt>
                <c:pt idx="342">
                  <c:v>11.793026705107414</c:v>
                </c:pt>
                <c:pt idx="343">
                  <c:v>11.888908586907103</c:v>
                </c:pt>
                <c:pt idx="344">
                  <c:v>11.97607393399773</c:v>
                </c:pt>
                <c:pt idx="345">
                  <c:v>12.119896756697264</c:v>
                </c:pt>
                <c:pt idx="346">
                  <c:v>12.259361312042268</c:v>
                </c:pt>
                <c:pt idx="347">
                  <c:v>12.381392797969148</c:v>
                </c:pt>
                <c:pt idx="348">
                  <c:v>12.459841610350713</c:v>
                </c:pt>
                <c:pt idx="349">
                  <c:v>12.525215620668682</c:v>
                </c:pt>
                <c:pt idx="350">
                  <c:v>12.664680176013686</c:v>
                </c:pt>
                <c:pt idx="351">
                  <c:v>12.830294335485879</c:v>
                </c:pt>
                <c:pt idx="352">
                  <c:v>12.921817949931039</c:v>
                </c:pt>
                <c:pt idx="353">
                  <c:v>12.969758890830885</c:v>
                </c:pt>
                <c:pt idx="354">
                  <c:v>12.987191960249008</c:v>
                </c:pt>
                <c:pt idx="355">
                  <c:v>13.048207703212448</c:v>
                </c:pt>
                <c:pt idx="356">
                  <c:v>13.148447852366671</c:v>
                </c:pt>
              </c:numCache>
            </c:numRef>
          </c:yVal>
          <c:smooth val="1"/>
          <c:extLst>
            <c:ext xmlns:c16="http://schemas.microsoft.com/office/drawing/2014/chart" uri="{C3380CC4-5D6E-409C-BE32-E72D297353CC}">
              <c16:uniqueId val="{00000001-6C55-4540-A99B-AF279F0EE33F}"/>
            </c:ext>
          </c:extLst>
        </c:ser>
        <c:ser>
          <c:idx val="4"/>
          <c:order val="4"/>
          <c:tx>
            <c:v>Labels</c:v>
          </c:tx>
          <c:spPr>
            <a:ln w="19050" cap="rnd">
              <a:noFill/>
              <a:round/>
            </a:ln>
            <a:effectLst/>
          </c:spPr>
          <c:marker>
            <c:symbol val="none"/>
          </c:marker>
          <c:dLbls>
            <c:dLbl>
              <c:idx val="0"/>
              <c:tx>
                <c:rich>
                  <a:bodyPr/>
                  <a:lstStyle/>
                  <a:p>
                    <a:fld id="{DE65EEEF-66ED-4070-BF07-885F15297A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F63-4A9B-A6C5-CBFA3E394BBF}"/>
                </c:ext>
              </c:extLst>
            </c:dLbl>
            <c:dLbl>
              <c:idx val="1"/>
              <c:tx>
                <c:rich>
                  <a:bodyPr/>
                  <a:lstStyle/>
                  <a:p>
                    <a:fld id="{A0A442BB-754B-4942-9C0A-AAE68EE732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F63-4A9B-A6C5-CBFA3E394BBF}"/>
                </c:ext>
              </c:extLst>
            </c:dLbl>
            <c:dLbl>
              <c:idx val="2"/>
              <c:tx>
                <c:rich>
                  <a:bodyPr/>
                  <a:lstStyle/>
                  <a:p>
                    <a:fld id="{BFCA8257-AEA4-453E-90DA-09134C5A4C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F63-4A9B-A6C5-CBFA3E394BBF}"/>
                </c:ext>
              </c:extLst>
            </c:dLbl>
            <c:dLbl>
              <c:idx val="3"/>
              <c:tx>
                <c:rich>
                  <a:bodyPr/>
                  <a:lstStyle/>
                  <a:p>
                    <a:fld id="{C286E52D-5392-4E69-8FA4-BE049ACD76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F63-4A9B-A6C5-CBFA3E394BBF}"/>
                </c:ext>
              </c:extLst>
            </c:dLbl>
            <c:dLbl>
              <c:idx val="4"/>
              <c:tx>
                <c:rich>
                  <a:bodyPr/>
                  <a:lstStyle/>
                  <a:p>
                    <a:fld id="{BDACCC2A-4A89-4345-A0A2-4B4E3DF1F1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F63-4A9B-A6C5-CBFA3E394BBF}"/>
                </c:ext>
              </c:extLst>
            </c:dLbl>
            <c:dLbl>
              <c:idx val="5"/>
              <c:tx>
                <c:rich>
                  <a:bodyPr/>
                  <a:lstStyle/>
                  <a:p>
                    <a:fld id="{89BE155B-8B64-40BF-8EE8-4A6A759CB7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F63-4A9B-A6C5-CBFA3E394BBF}"/>
                </c:ext>
              </c:extLst>
            </c:dLbl>
            <c:dLbl>
              <c:idx val="6"/>
              <c:tx>
                <c:rich>
                  <a:bodyPr/>
                  <a:lstStyle/>
                  <a:p>
                    <a:fld id="{A52D6571-4FF2-4A9A-B180-0A11FF7E72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63-4A9B-A6C5-CBFA3E394BBF}"/>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F63-4A9B-A6C5-CBFA3E394BBF}"/>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F63-4A9B-A6C5-CBFA3E394BBF}"/>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F63-4A9B-A6C5-CBFA3E394BBF}"/>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F63-4A9B-A6C5-CBFA3E394BBF}"/>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F63-4A9B-A6C5-CBFA3E394BBF}"/>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F63-4A9B-A6C5-CBFA3E394BBF}"/>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F63-4A9B-A6C5-CBFA3E394BBF}"/>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F63-4A9B-A6C5-CBFA3E394BBF}"/>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F63-4A9B-A6C5-CBFA3E394BBF}"/>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F63-4A9B-A6C5-CBFA3E394BBF}"/>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F63-4A9B-A6C5-CBFA3E394BBF}"/>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F63-4A9B-A6C5-CBFA3E394BBF}"/>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F63-4A9B-A6C5-CBFA3E394BBF}"/>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F63-4A9B-A6C5-CBFA3E394BBF}"/>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F63-4A9B-A6C5-CBFA3E394BBF}"/>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F63-4A9B-A6C5-CBFA3E394BBF}"/>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F63-4A9B-A6C5-CBFA3E394BBF}"/>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F63-4A9B-A6C5-CBFA3E394BBF}"/>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F63-4A9B-A6C5-CBFA3E394BBF}"/>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F63-4A9B-A6C5-CBFA3E394BBF}"/>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F63-4A9B-A6C5-CBFA3E394BBF}"/>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F63-4A9B-A6C5-CBFA3E394BBF}"/>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F63-4A9B-A6C5-CBFA3E394BBF}"/>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F63-4A9B-A6C5-CBFA3E394BBF}"/>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F63-4A9B-A6C5-CBFA3E394BBF}"/>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F63-4A9B-A6C5-CBFA3E394BBF}"/>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F63-4A9B-A6C5-CBFA3E394BBF}"/>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F63-4A9B-A6C5-CBFA3E394BBF}"/>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F63-4A9B-A6C5-CBFA3E394BBF}"/>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F63-4A9B-A6C5-CBFA3E394BBF}"/>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F63-4A9B-A6C5-CBFA3E394BBF}"/>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F63-4A9B-A6C5-CBFA3E394BBF}"/>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F63-4A9B-A6C5-CBFA3E394BBF}"/>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F63-4A9B-A6C5-CBFA3E394BBF}"/>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F63-4A9B-A6C5-CBFA3E394BBF}"/>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F63-4A9B-A6C5-CBFA3E394BBF}"/>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F63-4A9B-A6C5-CBFA3E394BBF}"/>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F63-4A9B-A6C5-CBFA3E394BBF}"/>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F63-4A9B-A6C5-CBFA3E394BBF}"/>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F63-4A9B-A6C5-CBFA3E394BBF}"/>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F63-4A9B-A6C5-CBFA3E394BBF}"/>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F63-4A9B-A6C5-CBFA3E394BBF}"/>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F63-4A9B-A6C5-CBFA3E394BBF}"/>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F63-4A9B-A6C5-CBFA3E394BBF}"/>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F63-4A9B-A6C5-CBFA3E394BBF}"/>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F63-4A9B-A6C5-CBFA3E394BBF}"/>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F63-4A9B-A6C5-CBFA3E394BBF}"/>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F63-4A9B-A6C5-CBFA3E394BBF}"/>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F63-4A9B-A6C5-CBFA3E394BBF}"/>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F63-4A9B-A6C5-CBFA3E394BBF}"/>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F63-4A9B-A6C5-CBFA3E394BBF}"/>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F63-4A9B-A6C5-CBFA3E394BBF}"/>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F63-4A9B-A6C5-CBFA3E394BBF}"/>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F63-4A9B-A6C5-CBFA3E394BBF}"/>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F63-4A9B-A6C5-CBFA3E394BBF}"/>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F63-4A9B-A6C5-CBFA3E394BBF}"/>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F63-4A9B-A6C5-CBFA3E394BBF}"/>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F63-4A9B-A6C5-CBFA3E394BBF}"/>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F63-4A9B-A6C5-CBFA3E394BBF}"/>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F63-4A9B-A6C5-CBFA3E394BBF}"/>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F63-4A9B-A6C5-CBFA3E394BBF}"/>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F63-4A9B-A6C5-CBFA3E394BBF}"/>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F63-4A9B-A6C5-CBFA3E394BBF}"/>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F63-4A9B-A6C5-CBFA3E394BBF}"/>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F63-4A9B-A6C5-CBFA3E394BBF}"/>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F63-4A9B-A6C5-CBFA3E394BBF}"/>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F63-4A9B-A6C5-CBFA3E394BBF}"/>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F63-4A9B-A6C5-CBFA3E394BBF}"/>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F63-4A9B-A6C5-CBFA3E394BBF}"/>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F63-4A9B-A6C5-CBFA3E394BBF}"/>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F63-4A9B-A6C5-CBFA3E394BBF}"/>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F63-4A9B-A6C5-CBFA3E394BBF}"/>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F63-4A9B-A6C5-CBFA3E394BBF}"/>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F63-4A9B-A6C5-CBFA3E394BBF}"/>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F63-4A9B-A6C5-CBFA3E394BBF}"/>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F63-4A9B-A6C5-CBFA3E394BBF}"/>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F63-4A9B-A6C5-CBFA3E394BBF}"/>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F63-4A9B-A6C5-CBFA3E394BBF}"/>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F63-4A9B-A6C5-CBFA3E394BBF}"/>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F63-4A9B-A6C5-CBFA3E394BBF}"/>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F63-4A9B-A6C5-CBFA3E394BBF}"/>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F63-4A9B-A6C5-CBFA3E394BBF}"/>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F63-4A9B-A6C5-CBFA3E394BBF}"/>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F63-4A9B-A6C5-CBFA3E394BBF}"/>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F63-4A9B-A6C5-CBFA3E394BBF}"/>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F63-4A9B-A6C5-CBFA3E394BBF}"/>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F63-4A9B-A6C5-CBFA3E394BBF}"/>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F63-4A9B-A6C5-CBFA3E394BBF}"/>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F63-4A9B-A6C5-CBFA3E394BBF}"/>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F63-4A9B-A6C5-CBFA3E394BBF}"/>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F63-4A9B-A6C5-CBFA3E394BBF}"/>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F63-4A9B-A6C5-CBFA3E394BBF}"/>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F63-4A9B-A6C5-CBFA3E394BBF}"/>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1.0410649999999999</c:v>
                </c:pt>
                <c:pt idx="1">
                  <c:v>2.631443</c:v>
                </c:pt>
                <c:pt idx="2">
                  <c:v>3.6893760000000002</c:v>
                </c:pt>
                <c:pt idx="3">
                  <c:v>4.4176849999999996</c:v>
                </c:pt>
                <c:pt idx="4">
                  <c:v>5.4606690000000002</c:v>
                </c:pt>
                <c:pt idx="5">
                  <c:v>6.2618320000000001</c:v>
                </c:pt>
                <c:pt idx="6">
                  <c:v>8.5605089999999997</c:v>
                </c:pt>
              </c:numCache>
            </c:numRef>
          </c:xVal>
          <c:yVal>
            <c:numRef>
              <c:f>Peaks!$R$5:$R$104</c:f>
              <c:numCache>
                <c:formatCode>0.0</c:formatCode>
                <c:ptCount val="100"/>
                <c:pt idx="0">
                  <c:v>38.727756953822386</c:v>
                </c:pt>
                <c:pt idx="1">
                  <c:v>74.055602646701445</c:v>
                </c:pt>
                <c:pt idx="2">
                  <c:v>20.84671670861897</c:v>
                </c:pt>
                <c:pt idx="3">
                  <c:v>70.444900673492924</c:v>
                </c:pt>
                <c:pt idx="4">
                  <c:v>100</c:v>
                </c:pt>
                <c:pt idx="5">
                  <c:v>26.48719675898322</c:v>
                </c:pt>
                <c:pt idx="6">
                  <c:v>72.964307776270132</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6C55-4540-A99B-AF279F0EE33F}"/>
            </c:ext>
          </c:extLst>
        </c:ser>
        <c:dLbls>
          <c:showLegendKey val="0"/>
          <c:showVal val="0"/>
          <c:showCatName val="0"/>
          <c:showSerName val="0"/>
          <c:showPercent val="0"/>
          <c:showBubbleSize val="0"/>
        </c:dLbls>
        <c:axId val="1816217984"/>
        <c:axId val="1816223424"/>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6C55-4540-A99B-AF279F0EE33F}"/>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6C55-4540-A99B-AF279F0EE33F}"/>
            </c:ext>
          </c:extLst>
        </c:ser>
        <c:dLbls>
          <c:showLegendKey val="0"/>
          <c:showVal val="0"/>
          <c:showCatName val="0"/>
          <c:showSerName val="0"/>
          <c:showPercent val="0"/>
          <c:showBubbleSize val="0"/>
        </c:dLbls>
        <c:axId val="1816214176"/>
        <c:axId val="1816223968"/>
      </c:scatterChart>
      <c:valAx>
        <c:axId val="1816217984"/>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3424"/>
        <c:crosses val="autoZero"/>
        <c:crossBetween val="midCat"/>
        <c:majorUnit val="0.5"/>
      </c:valAx>
      <c:valAx>
        <c:axId val="1816223424"/>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7984"/>
        <c:crosses val="autoZero"/>
        <c:crossBetween val="midCat"/>
        <c:majorUnit val="20"/>
        <c:minorUnit val="5"/>
      </c:valAx>
      <c:valAx>
        <c:axId val="1816223968"/>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14176"/>
        <c:crosses val="max"/>
        <c:crossBetween val="midCat"/>
        <c:minorUnit val="5"/>
      </c:valAx>
      <c:valAx>
        <c:axId val="1816214176"/>
        <c:scaling>
          <c:orientation val="minMax"/>
        </c:scaling>
        <c:delete val="1"/>
        <c:axPos val="b"/>
        <c:numFmt formatCode="General" sourceLinked="1"/>
        <c:majorTickMark val="out"/>
        <c:minorTickMark val="none"/>
        <c:tickLblPos val="nextTo"/>
        <c:crossAx val="1816223968"/>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ChromatogramData!$B$2:$B$10001</c:f>
              <c:numCache>
                <c:formatCode>General</c:formatCode>
                <c:ptCount val="10000"/>
                <c:pt idx="0">
                  <c:v>75.977231239598467</c:v>
                </c:pt>
                <c:pt idx="1">
                  <c:v>76.783510700186781</c:v>
                </c:pt>
                <c:pt idx="2">
                  <c:v>73.279463747143552</c:v>
                </c:pt>
                <c:pt idx="3">
                  <c:v>69.309082187165473</c:v>
                </c:pt>
                <c:pt idx="4">
                  <c:v>66.755137517410091</c:v>
                </c:pt>
                <c:pt idx="5">
                  <c:v>64.615228246335192</c:v>
                </c:pt>
                <c:pt idx="6">
                  <c:v>62.213822933988396</c:v>
                </c:pt>
                <c:pt idx="7">
                  <c:v>60.457441190112256</c:v>
                </c:pt>
                <c:pt idx="8">
                  <c:v>59.760118413387239</c:v>
                </c:pt>
                <c:pt idx="9">
                  <c:v>59.563996382433317</c:v>
                </c:pt>
                <c:pt idx="10">
                  <c:v>59.363516084124882</c:v>
                </c:pt>
                <c:pt idx="11">
                  <c:v>58.892823209835484</c:v>
                </c:pt>
                <c:pt idx="12">
                  <c:v>58.452638207027832</c:v>
                </c:pt>
                <c:pt idx="13">
                  <c:v>58.021169738929224</c:v>
                </c:pt>
                <c:pt idx="14">
                  <c:v>58.012453204220151</c:v>
                </c:pt>
                <c:pt idx="15">
                  <c:v>59.067153904016749</c:v>
                </c:pt>
                <c:pt idx="16">
                  <c:v>61.137330897419154</c:v>
                </c:pt>
                <c:pt idx="17">
                  <c:v>63.081118137540138</c:v>
                </c:pt>
                <c:pt idx="18">
                  <c:v>64.427822750090343</c:v>
                </c:pt>
                <c:pt idx="19">
                  <c:v>65.277684884223959</c:v>
                </c:pt>
                <c:pt idx="20">
                  <c:v>65.62634627258646</c:v>
                </c:pt>
                <c:pt idx="21">
                  <c:v>65.098995922688175</c:v>
                </c:pt>
                <c:pt idx="22">
                  <c:v>63.377480317648278</c:v>
                </c:pt>
                <c:pt idx="23">
                  <c:v>60.627413616938981</c:v>
                </c:pt>
                <c:pt idx="24">
                  <c:v>57.389220972522168</c:v>
                </c:pt>
                <c:pt idx="25">
                  <c:v>54.486614914404271</c:v>
                </c:pt>
                <c:pt idx="26">
                  <c:v>52.656142625501097</c:v>
                </c:pt>
                <c:pt idx="27">
                  <c:v>51.780130887240297</c:v>
                </c:pt>
                <c:pt idx="28">
                  <c:v>51.418394696814183</c:v>
                </c:pt>
                <c:pt idx="29">
                  <c:v>51.183048259669484</c:v>
                </c:pt>
                <c:pt idx="30">
                  <c:v>50.947701822524792</c:v>
                </c:pt>
                <c:pt idx="31">
                  <c:v>50.734146722152765</c:v>
                </c:pt>
                <c:pt idx="32">
                  <c:v>50.468292413526342</c:v>
                </c:pt>
                <c:pt idx="33">
                  <c:v>50.219871174318058</c:v>
                </c:pt>
                <c:pt idx="34">
                  <c:v>50.054257014845874</c:v>
                </c:pt>
                <c:pt idx="35">
                  <c:v>49.897359390082734</c:v>
                </c:pt>
                <c:pt idx="36">
                  <c:v>49.757894834737733</c:v>
                </c:pt>
                <c:pt idx="37">
                  <c:v>49.605355477329134</c:v>
                </c:pt>
                <c:pt idx="38">
                  <c:v>49.513831862883983</c:v>
                </c:pt>
                <c:pt idx="39">
                  <c:v>49.465890921984133</c:v>
                </c:pt>
                <c:pt idx="40">
                  <c:v>49.492040526111317</c:v>
                </c:pt>
                <c:pt idx="41">
                  <c:v>49.561772803783818</c:v>
                </c:pt>
                <c:pt idx="42">
                  <c:v>49.670729487647108</c:v>
                </c:pt>
                <c:pt idx="43">
                  <c:v>49.818910577701175</c:v>
                </c:pt>
                <c:pt idx="44">
                  <c:v>50.028107410718683</c:v>
                </c:pt>
                <c:pt idx="45">
                  <c:v>50.250379045799775</c:v>
                </c:pt>
                <c:pt idx="46">
                  <c:v>50.477008948235408</c:v>
                </c:pt>
                <c:pt idx="47">
                  <c:v>50.712355385380107</c:v>
                </c:pt>
                <c:pt idx="48">
                  <c:v>50.969493159297457</c:v>
                </c:pt>
                <c:pt idx="49">
                  <c:v>51.331229349723557</c:v>
                </c:pt>
                <c:pt idx="50">
                  <c:v>51.749623015758566</c:v>
                </c:pt>
                <c:pt idx="51">
                  <c:v>52.272615098302332</c:v>
                </c:pt>
                <c:pt idx="52">
                  <c:v>52.865339458518598</c:v>
                </c:pt>
                <c:pt idx="53">
                  <c:v>53.453705551380338</c:v>
                </c:pt>
                <c:pt idx="54">
                  <c:v>54.159744862814414</c:v>
                </c:pt>
                <c:pt idx="55">
                  <c:v>54.878858976312102</c:v>
                </c:pt>
                <c:pt idx="56">
                  <c:v>55.497732940655553</c:v>
                </c:pt>
                <c:pt idx="57">
                  <c:v>56.086099033517293</c:v>
                </c:pt>
                <c:pt idx="58">
                  <c:v>56.718047799924349</c:v>
                </c:pt>
                <c:pt idx="59">
                  <c:v>57.411012309294826</c:v>
                </c:pt>
                <c:pt idx="60">
                  <c:v>58.125768155437967</c:v>
                </c:pt>
                <c:pt idx="61">
                  <c:v>58.814374397453918</c:v>
                </c:pt>
                <c:pt idx="62">
                  <c:v>59.507338906824415</c:v>
                </c:pt>
                <c:pt idx="63">
                  <c:v>60.108779801749748</c:v>
                </c:pt>
                <c:pt idx="64">
                  <c:v>60.836610449956481</c:v>
                </c:pt>
                <c:pt idx="65">
                  <c:v>61.682114316735571</c:v>
                </c:pt>
                <c:pt idx="66">
                  <c:v>62.671441006214195</c:v>
                </c:pt>
                <c:pt idx="67">
                  <c:v>63.787157448974227</c:v>
                </c:pt>
                <c:pt idx="68">
                  <c:v>65.103354190042694</c:v>
                </c:pt>
                <c:pt idx="69">
                  <c:v>66.689763507092124</c:v>
                </c:pt>
                <c:pt idx="70">
                  <c:v>68.520235795995305</c:v>
                </c:pt>
                <c:pt idx="71">
                  <c:v>70.398649025798321</c:v>
                </c:pt>
                <c:pt idx="72">
                  <c:v>72.303211859728535</c:v>
                </c:pt>
                <c:pt idx="73">
                  <c:v>74.1467589506953</c:v>
                </c:pt>
                <c:pt idx="74">
                  <c:v>76.216935944097699</c:v>
                </c:pt>
                <c:pt idx="75">
                  <c:v>78.474518433744947</c:v>
                </c:pt>
                <c:pt idx="76">
                  <c:v>80.618785972174393</c:v>
                </c:pt>
                <c:pt idx="77">
                  <c:v>82.257494497478191</c:v>
                </c:pt>
                <c:pt idx="78">
                  <c:v>83.155297572511657</c:v>
                </c:pt>
                <c:pt idx="79">
                  <c:v>83.787246338918692</c:v>
                </c:pt>
                <c:pt idx="80">
                  <c:v>83.887486488072923</c:v>
                </c:pt>
                <c:pt idx="81">
                  <c:v>82.919951135366972</c:v>
                </c:pt>
                <c:pt idx="82">
                  <c:v>80.810549735773762</c:v>
                </c:pt>
                <c:pt idx="83">
                  <c:v>78.23481372924573</c:v>
                </c:pt>
                <c:pt idx="84">
                  <c:v>75.990306041662066</c:v>
                </c:pt>
                <c:pt idx="85">
                  <c:v>74.251357367204051</c:v>
                </c:pt>
                <c:pt idx="86">
                  <c:v>72.795696070790584</c:v>
                </c:pt>
                <c:pt idx="87">
                  <c:v>71.597172548294438</c:v>
                </c:pt>
                <c:pt idx="88">
                  <c:v>71.048030861623502</c:v>
                </c:pt>
                <c:pt idx="89">
                  <c:v>70.943432445114738</c:v>
                </c:pt>
                <c:pt idx="90">
                  <c:v>70.899849771569436</c:v>
                </c:pt>
                <c:pt idx="91">
                  <c:v>70.629637195588487</c:v>
                </c:pt>
                <c:pt idx="92">
                  <c:v>70.202526994844419</c:v>
                </c:pt>
                <c:pt idx="93">
                  <c:v>69.827716002354705</c:v>
                </c:pt>
                <c:pt idx="94">
                  <c:v>69.614160901982672</c:v>
                </c:pt>
                <c:pt idx="95">
                  <c:v>69.422397138383289</c:v>
                </c:pt>
                <c:pt idx="96">
                  <c:v>69.348306593356256</c:v>
                </c:pt>
                <c:pt idx="97">
                  <c:v>69.496487683410322</c:v>
                </c:pt>
                <c:pt idx="98">
                  <c:v>69.871298675900022</c:v>
                </c:pt>
                <c:pt idx="99">
                  <c:v>70.154586053944556</c:v>
                </c:pt>
                <c:pt idx="100">
                  <c:v>70.280975807225971</c:v>
                </c:pt>
                <c:pt idx="101">
                  <c:v>70.141511251880971</c:v>
                </c:pt>
                <c:pt idx="102">
                  <c:v>69.96718055769972</c:v>
                </c:pt>
                <c:pt idx="103">
                  <c:v>69.980255359763305</c:v>
                </c:pt>
                <c:pt idx="104">
                  <c:v>70.577337987334104</c:v>
                </c:pt>
                <c:pt idx="105">
                  <c:v>70.864983632733171</c:v>
                </c:pt>
                <c:pt idx="106">
                  <c:v>70.882416702151303</c:v>
                </c:pt>
                <c:pt idx="107">
                  <c:v>70.869341900087718</c:v>
                </c:pt>
                <c:pt idx="108">
                  <c:v>71.396692249986003</c:v>
                </c:pt>
                <c:pt idx="109">
                  <c:v>71.932759134593368</c:v>
                </c:pt>
                <c:pt idx="110">
                  <c:v>72.089656759356501</c:v>
                </c:pt>
                <c:pt idx="111">
                  <c:v>71.954550471366019</c:v>
                </c:pt>
                <c:pt idx="112">
                  <c:v>71.623322152421636</c:v>
                </c:pt>
                <c:pt idx="113">
                  <c:v>71.244152892577404</c:v>
                </c:pt>
                <c:pt idx="114">
                  <c:v>71.906609530466184</c:v>
                </c:pt>
                <c:pt idx="115">
                  <c:v>72.23347958205602</c:v>
                </c:pt>
                <c:pt idx="116">
                  <c:v>71.910967797820703</c:v>
                </c:pt>
                <c:pt idx="117">
                  <c:v>72.124522898192737</c:v>
                </c:pt>
                <c:pt idx="118">
                  <c:v>74.10317627714997</c:v>
                </c:pt>
                <c:pt idx="119">
                  <c:v>76.848884710504748</c:v>
                </c:pt>
                <c:pt idx="120">
                  <c:v>76.356400499442714</c:v>
                </c:pt>
                <c:pt idx="121">
                  <c:v>75.397581681445814</c:v>
                </c:pt>
                <c:pt idx="122">
                  <c:v>75.275550195518932</c:v>
                </c:pt>
                <c:pt idx="123">
                  <c:v>75.205817917846417</c:v>
                </c:pt>
                <c:pt idx="124">
                  <c:v>73.981144791223102</c:v>
                </c:pt>
                <c:pt idx="125">
                  <c:v>72.067865422583836</c:v>
                </c:pt>
                <c:pt idx="126">
                  <c:v>71.387975715276951</c:v>
                </c:pt>
                <c:pt idx="127">
                  <c:v>71.091613535168804</c:v>
                </c:pt>
                <c:pt idx="128">
                  <c:v>70.847550563315053</c:v>
                </c:pt>
                <c:pt idx="129">
                  <c:v>70.647070265006604</c:v>
                </c:pt>
                <c:pt idx="130">
                  <c:v>70.690652938551921</c:v>
                </c:pt>
                <c:pt idx="131">
                  <c:v>71.863026856920854</c:v>
                </c:pt>
                <c:pt idx="132">
                  <c:v>72.917727556717452</c:v>
                </c:pt>
                <c:pt idx="133">
                  <c:v>73.192298400052934</c:v>
                </c:pt>
                <c:pt idx="134">
                  <c:v>72.185538641156185</c:v>
                </c:pt>
                <c:pt idx="135">
                  <c:v>70.424798629925505</c:v>
                </c:pt>
                <c:pt idx="136">
                  <c:v>69.461621544574072</c:v>
                </c:pt>
                <c:pt idx="137">
                  <c:v>69.313440454520006</c:v>
                </c:pt>
                <c:pt idx="138">
                  <c:v>69.644668773464389</c:v>
                </c:pt>
                <c:pt idx="139">
                  <c:v>70.280975807225971</c:v>
                </c:pt>
                <c:pt idx="140">
                  <c:v>70.394290758443773</c:v>
                </c:pt>
                <c:pt idx="141">
                  <c:v>70.590412789397703</c:v>
                </c:pt>
                <c:pt idx="142">
                  <c:v>70.41172382786192</c:v>
                </c:pt>
                <c:pt idx="143">
                  <c:v>69.936672686218003</c:v>
                </c:pt>
                <c:pt idx="144">
                  <c:v>70.259184470453306</c:v>
                </c:pt>
                <c:pt idx="145">
                  <c:v>76.256160350288468</c:v>
                </c:pt>
                <c:pt idx="146">
                  <c:v>87.478698788206771</c:v>
                </c:pt>
                <c:pt idx="147">
                  <c:v>88.699013647475567</c:v>
                </c:pt>
                <c:pt idx="148">
                  <c:v>79.99555374047641</c:v>
                </c:pt>
                <c:pt idx="149">
                  <c:v>72.826203942272286</c:v>
                </c:pt>
                <c:pt idx="150">
                  <c:v>71.061105663687087</c:v>
                </c:pt>
                <c:pt idx="151">
                  <c:v>71.161345812841319</c:v>
                </c:pt>
                <c:pt idx="152">
                  <c:v>70.991373386014587</c:v>
                </c:pt>
                <c:pt idx="153">
                  <c:v>70.485814372888953</c:v>
                </c:pt>
                <c:pt idx="154">
                  <c:v>70.51632224437067</c:v>
                </c:pt>
                <c:pt idx="155">
                  <c:v>70.673219869133789</c:v>
                </c:pt>
                <c:pt idx="156">
                  <c:v>71.13519620871412</c:v>
                </c:pt>
                <c:pt idx="157">
                  <c:v>71.370542645858819</c:v>
                </c:pt>
                <c:pt idx="158">
                  <c:v>71.122121406650535</c:v>
                </c:pt>
                <c:pt idx="159">
                  <c:v>70.58605452204317</c:v>
                </c:pt>
                <c:pt idx="160">
                  <c:v>70.080495508917522</c:v>
                </c:pt>
                <c:pt idx="161">
                  <c:v>70.076137241563003</c:v>
                </c:pt>
                <c:pt idx="162">
                  <c:v>70.102286845690188</c:v>
                </c:pt>
                <c:pt idx="163">
                  <c:v>70.311483678707688</c:v>
                </c:pt>
                <c:pt idx="164">
                  <c:v>70.886774969505836</c:v>
                </c:pt>
                <c:pt idx="165">
                  <c:v>71.592814280939919</c:v>
                </c:pt>
                <c:pt idx="166">
                  <c:v>71.76714497512117</c:v>
                </c:pt>
                <c:pt idx="167">
                  <c:v>71.632038687130702</c:v>
                </c:pt>
                <c:pt idx="168">
                  <c:v>71.235436357868352</c:v>
                </c:pt>
                <c:pt idx="169">
                  <c:v>71.344393041731621</c:v>
                </c:pt>
                <c:pt idx="170">
                  <c:v>71.706129232157735</c:v>
                </c:pt>
                <c:pt idx="171">
                  <c:v>71.924042599884288</c:v>
                </c:pt>
                <c:pt idx="172">
                  <c:v>72.499333890682436</c:v>
                </c:pt>
                <c:pt idx="173">
                  <c:v>73.588900729315284</c:v>
                </c:pt>
                <c:pt idx="174">
                  <c:v>73.806814097041851</c:v>
                </c:pt>
                <c:pt idx="175">
                  <c:v>73.584542461960737</c:v>
                </c:pt>
                <c:pt idx="176">
                  <c:v>73.253314143016354</c:v>
                </c:pt>
                <c:pt idx="177">
                  <c:v>72.595215772482135</c:v>
                </c:pt>
                <c:pt idx="178">
                  <c:v>72.133239432901803</c:v>
                </c:pt>
                <c:pt idx="179">
                  <c:v>72.085298492001968</c:v>
                </c:pt>
                <c:pt idx="180">
                  <c:v>71.954550471366019</c:v>
                </c:pt>
                <c:pt idx="181">
                  <c:v>71.618963885067103</c:v>
                </c:pt>
                <c:pt idx="182">
                  <c:v>71.714845766866787</c:v>
                </c:pt>
                <c:pt idx="183">
                  <c:v>72.320644929146653</c:v>
                </c:pt>
                <c:pt idx="184">
                  <c:v>80.466246614765794</c:v>
                </c:pt>
                <c:pt idx="185">
                  <c:v>96.652851569495297</c:v>
                </c:pt>
                <c:pt idx="186">
                  <c:v>100.00000089777541</c:v>
                </c:pt>
                <c:pt idx="187">
                  <c:v>90.677667026432815</c:v>
                </c:pt>
                <c:pt idx="188">
                  <c:v>78.705506603535113</c:v>
                </c:pt>
                <c:pt idx="189">
                  <c:v>73.724007017305766</c:v>
                </c:pt>
                <c:pt idx="190">
                  <c:v>72.490617355973384</c:v>
                </c:pt>
                <c:pt idx="191">
                  <c:v>72.516766960100568</c:v>
                </c:pt>
                <c:pt idx="192">
                  <c:v>72.564707901000418</c:v>
                </c:pt>
                <c:pt idx="193">
                  <c:v>72.769546466663385</c:v>
                </c:pt>
                <c:pt idx="194">
                  <c:v>72.895936219944801</c:v>
                </c:pt>
                <c:pt idx="195">
                  <c:v>72.878503150526669</c:v>
                </c:pt>
                <c:pt idx="196">
                  <c:v>72.734680327827121</c:v>
                </c:pt>
                <c:pt idx="197">
                  <c:v>72.664948050154635</c:v>
                </c:pt>
                <c:pt idx="198">
                  <c:v>72.699814188990871</c:v>
                </c:pt>
                <c:pt idx="199">
                  <c:v>72.795696070790584</c:v>
                </c:pt>
                <c:pt idx="200">
                  <c:v>72.830562209626819</c:v>
                </c:pt>
                <c:pt idx="201">
                  <c:v>72.861070081108551</c:v>
                </c:pt>
                <c:pt idx="202">
                  <c:v>72.861070081108551</c:v>
                </c:pt>
                <c:pt idx="203">
                  <c:v>72.861070081108551</c:v>
                </c:pt>
                <c:pt idx="204">
                  <c:v>72.987459834389938</c:v>
                </c:pt>
                <c:pt idx="205">
                  <c:v>73.157432261216684</c:v>
                </c:pt>
                <c:pt idx="206">
                  <c:v>73.23588107359825</c:v>
                </c:pt>
                <c:pt idx="207">
                  <c:v>73.275105479789033</c:v>
                </c:pt>
                <c:pt idx="208">
                  <c:v>73.370987361588703</c:v>
                </c:pt>
                <c:pt idx="209">
                  <c:v>73.45815270867935</c:v>
                </c:pt>
                <c:pt idx="210">
                  <c:v>73.432003104552166</c:v>
                </c:pt>
                <c:pt idx="211">
                  <c:v>73.484302312806548</c:v>
                </c:pt>
                <c:pt idx="212">
                  <c:v>73.554034590479034</c:v>
                </c:pt>
                <c:pt idx="213">
                  <c:v>74.704617172075316</c:v>
                </c:pt>
                <c:pt idx="214">
                  <c:v>79.354888439360295</c:v>
                </c:pt>
                <c:pt idx="215">
                  <c:v>81.063329242336593</c:v>
                </c:pt>
                <c:pt idx="216">
                  <c:v>81.324825283608476</c:v>
                </c:pt>
                <c:pt idx="217">
                  <c:v>78.622699523799028</c:v>
                </c:pt>
                <c:pt idx="218">
                  <c:v>76.413057975051615</c:v>
                </c:pt>
                <c:pt idx="219">
                  <c:v>75.336565938482366</c:v>
                </c:pt>
                <c:pt idx="220">
                  <c:v>75.136085640173917</c:v>
                </c:pt>
                <c:pt idx="221">
                  <c:v>75.188384848428299</c:v>
                </c:pt>
                <c:pt idx="222">
                  <c:v>75.2581171261008</c:v>
                </c:pt>
                <c:pt idx="223">
                  <c:v>75.153518709592049</c:v>
                </c:pt>
                <c:pt idx="224">
                  <c:v>74.844081727420317</c:v>
                </c:pt>
                <c:pt idx="225">
                  <c:v>74.66103449853</c:v>
                </c:pt>
                <c:pt idx="226">
                  <c:v>74.647959696466401</c:v>
                </c:pt>
                <c:pt idx="227">
                  <c:v>74.713333706784383</c:v>
                </c:pt>
                <c:pt idx="228">
                  <c:v>74.769991182393284</c:v>
                </c:pt>
                <c:pt idx="229">
                  <c:v>74.857156529483916</c:v>
                </c:pt>
                <c:pt idx="230">
                  <c:v>74.896380935674699</c:v>
                </c:pt>
                <c:pt idx="231">
                  <c:v>74.909455737738298</c:v>
                </c:pt>
                <c:pt idx="232">
                  <c:v>74.935605341865482</c:v>
                </c:pt>
                <c:pt idx="233">
                  <c:v>74.996621084828931</c:v>
                </c:pt>
                <c:pt idx="234">
                  <c:v>75.114294303401266</c:v>
                </c:pt>
                <c:pt idx="235">
                  <c:v>75.240684056682682</c:v>
                </c:pt>
                <c:pt idx="236">
                  <c:v>75.476030493827366</c:v>
                </c:pt>
                <c:pt idx="237">
                  <c:v>75.698302128908466</c:v>
                </c:pt>
                <c:pt idx="238">
                  <c:v>75.863916288380665</c:v>
                </c:pt>
                <c:pt idx="239">
                  <c:v>75.972872972243948</c:v>
                </c:pt>
                <c:pt idx="240">
                  <c:v>75.977231239598467</c:v>
                </c:pt>
                <c:pt idx="241">
                  <c:v>75.985947774307533</c:v>
                </c:pt>
                <c:pt idx="242">
                  <c:v>75.942365100762231</c:v>
                </c:pt>
                <c:pt idx="243">
                  <c:v>75.911857229280514</c:v>
                </c:pt>
                <c:pt idx="244">
                  <c:v>76.01645564578925</c:v>
                </c:pt>
                <c:pt idx="245">
                  <c:v>76.060038319334581</c:v>
                </c:pt>
                <c:pt idx="246">
                  <c:v>76.14284539907068</c:v>
                </c:pt>
                <c:pt idx="247">
                  <c:v>75.990306041662066</c:v>
                </c:pt>
                <c:pt idx="248">
                  <c:v>75.833408416898934</c:v>
                </c:pt>
                <c:pt idx="249">
                  <c:v>75.733168267744716</c:v>
                </c:pt>
                <c:pt idx="250">
                  <c:v>75.868274555735184</c:v>
                </c:pt>
                <c:pt idx="251">
                  <c:v>76.107979260234416</c:v>
                </c:pt>
                <c:pt idx="252">
                  <c:v>76.304101291188331</c:v>
                </c:pt>
                <c:pt idx="253">
                  <c:v>76.243085548224897</c:v>
                </c:pt>
                <c:pt idx="254">
                  <c:v>76.094904458170816</c:v>
                </c:pt>
                <c:pt idx="255">
                  <c:v>75.920573763989566</c:v>
                </c:pt>
                <c:pt idx="256">
                  <c:v>75.837766684253481</c:v>
                </c:pt>
                <c:pt idx="257">
                  <c:v>75.842124951608</c:v>
                </c:pt>
                <c:pt idx="258">
                  <c:v>75.903140694571448</c:v>
                </c:pt>
                <c:pt idx="259">
                  <c:v>75.946723368116764</c:v>
                </c:pt>
                <c:pt idx="260">
                  <c:v>75.981589506953014</c:v>
                </c:pt>
                <c:pt idx="261">
                  <c:v>76.012097378434731</c:v>
                </c:pt>
                <c:pt idx="262">
                  <c:v>76.090546190816298</c:v>
                </c:pt>
                <c:pt idx="263">
                  <c:v>76.14284539907068</c:v>
                </c:pt>
                <c:pt idx="264">
                  <c:v>76.14284539907068</c:v>
                </c:pt>
                <c:pt idx="265">
                  <c:v>76.121054062298001</c:v>
                </c:pt>
                <c:pt idx="266">
                  <c:v>75.990306041662066</c:v>
                </c:pt>
                <c:pt idx="267">
                  <c:v>75.802900545417216</c:v>
                </c:pt>
                <c:pt idx="268">
                  <c:v>75.567554108272532</c:v>
                </c:pt>
                <c:pt idx="269">
                  <c:v>75.336565938482366</c:v>
                </c:pt>
                <c:pt idx="270">
                  <c:v>75.149160442237516</c:v>
                </c:pt>
                <c:pt idx="271">
                  <c:v>75.018412421601568</c:v>
                </c:pt>
                <c:pt idx="272">
                  <c:v>75.018412421601568</c:v>
                </c:pt>
                <c:pt idx="273">
                  <c:v>75.153518709592049</c:v>
                </c:pt>
                <c:pt idx="274">
                  <c:v>75.2450423240372</c:v>
                </c:pt>
                <c:pt idx="275">
                  <c:v>75.275550195518932</c:v>
                </c:pt>
                <c:pt idx="276">
                  <c:v>75.131727372819384</c:v>
                </c:pt>
                <c:pt idx="277">
                  <c:v>74.861514796838449</c:v>
                </c:pt>
                <c:pt idx="278">
                  <c:v>74.578227418793915</c:v>
                </c:pt>
                <c:pt idx="279">
                  <c:v>74.321089644876551</c:v>
                </c:pt>
                <c:pt idx="280">
                  <c:v>74.094459742440918</c:v>
                </c:pt>
                <c:pt idx="281">
                  <c:v>73.9375621176778</c:v>
                </c:pt>
                <c:pt idx="282">
                  <c:v>73.911412513550601</c:v>
                </c:pt>
                <c:pt idx="283">
                  <c:v>74.04216053418655</c:v>
                </c:pt>
                <c:pt idx="284">
                  <c:v>74.037802266832017</c:v>
                </c:pt>
                <c:pt idx="285">
                  <c:v>74.077026673022786</c:v>
                </c:pt>
                <c:pt idx="286">
                  <c:v>73.832963701169049</c:v>
                </c:pt>
                <c:pt idx="287">
                  <c:v>73.532243253706369</c:v>
                </c:pt>
                <c:pt idx="288">
                  <c:v>73.131282657089486</c:v>
                </c:pt>
                <c:pt idx="289">
                  <c:v>72.67802285221822</c:v>
                </c:pt>
                <c:pt idx="290">
                  <c:v>72.285778790310403</c:v>
                </c:pt>
                <c:pt idx="291">
                  <c:v>72.011207946974935</c:v>
                </c:pt>
                <c:pt idx="292">
                  <c:v>71.889176461048052</c:v>
                </c:pt>
                <c:pt idx="293">
                  <c:v>71.83687725279367</c:v>
                </c:pt>
                <c:pt idx="294">
                  <c:v>71.706129232157735</c:v>
                </c:pt>
                <c:pt idx="295">
                  <c:v>71.405408784695069</c:v>
                </c:pt>
                <c:pt idx="296">
                  <c:v>71.008806455432705</c:v>
                </c:pt>
                <c:pt idx="297">
                  <c:v>70.459664768761755</c:v>
                </c:pt>
                <c:pt idx="298">
                  <c:v>69.845149071772838</c:v>
                </c:pt>
                <c:pt idx="299">
                  <c:v>72.037357551102133</c:v>
                </c:pt>
                <c:pt idx="300">
                  <c:v>81.564529988107708</c:v>
                </c:pt>
                <c:pt idx="301">
                  <c:v>83.421151881138073</c:v>
                </c:pt>
                <c:pt idx="302">
                  <c:v>85.787691054648619</c:v>
                </c:pt>
                <c:pt idx="303">
                  <c:v>78.67499873205341</c:v>
                </c:pt>
                <c:pt idx="304">
                  <c:v>70.830117493896921</c:v>
                </c:pt>
                <c:pt idx="305">
                  <c:v>67.552700443289339</c:v>
                </c:pt>
                <c:pt idx="306">
                  <c:v>66.611314694710558</c:v>
                </c:pt>
                <c:pt idx="307">
                  <c:v>66.236503702220858</c:v>
                </c:pt>
                <c:pt idx="308">
                  <c:v>65.73094468909521</c:v>
                </c:pt>
                <c:pt idx="309">
                  <c:v>64.998755773533958</c:v>
                </c:pt>
                <c:pt idx="310">
                  <c:v>64.135818837336728</c:v>
                </c:pt>
                <c:pt idx="311">
                  <c:v>63.229299227594204</c:v>
                </c:pt>
                <c:pt idx="312">
                  <c:v>62.405586697587786</c:v>
                </c:pt>
                <c:pt idx="313">
                  <c:v>61.603665504354005</c:v>
                </c:pt>
                <c:pt idx="314">
                  <c:v>60.945567133819765</c:v>
                </c:pt>
                <c:pt idx="315">
                  <c:v>60.335409704185373</c:v>
                </c:pt>
                <c:pt idx="316">
                  <c:v>59.625012125396765</c:v>
                </c:pt>
                <c:pt idx="317">
                  <c:v>58.857957070999241</c:v>
                </c:pt>
                <c:pt idx="318">
                  <c:v>57.886063450938749</c:v>
                </c:pt>
                <c:pt idx="319">
                  <c:v>56.879303692041994</c:v>
                </c:pt>
                <c:pt idx="320">
                  <c:v>55.885618735208851</c:v>
                </c:pt>
                <c:pt idx="321">
                  <c:v>54.626079469749278</c:v>
                </c:pt>
                <c:pt idx="322">
                  <c:v>53.46678035344393</c:v>
                </c:pt>
                <c:pt idx="323">
                  <c:v>52.04162692851218</c:v>
                </c:pt>
                <c:pt idx="324">
                  <c:v>50.755938058925423</c:v>
                </c:pt>
                <c:pt idx="325">
                  <c:v>49.609713744683667</c:v>
                </c:pt>
                <c:pt idx="326">
                  <c:v>48.450414628378326</c:v>
                </c:pt>
                <c:pt idx="327">
                  <c:v>47.073202144346403</c:v>
                </c:pt>
                <c:pt idx="328">
                  <c:v>45.443210153751671</c:v>
                </c:pt>
                <c:pt idx="329">
                  <c:v>43.5865882607213</c:v>
                </c:pt>
                <c:pt idx="330">
                  <c:v>41.621009683827658</c:v>
                </c:pt>
                <c:pt idx="331">
                  <c:v>39.607490166034168</c:v>
                </c:pt>
                <c:pt idx="332">
                  <c:v>37.550387974695354</c:v>
                </c:pt>
                <c:pt idx="333">
                  <c:v>35.536868456901857</c:v>
                </c:pt>
                <c:pt idx="334">
                  <c:v>33.518990671753834</c:v>
                </c:pt>
                <c:pt idx="335">
                  <c:v>31.501112886605803</c:v>
                </c:pt>
                <c:pt idx="336">
                  <c:v>29.465802032039655</c:v>
                </c:pt>
                <c:pt idx="337">
                  <c:v>27.404341573346315</c:v>
                </c:pt>
                <c:pt idx="338">
                  <c:v>25.3603141840711</c:v>
                </c:pt>
                <c:pt idx="339">
                  <c:v>23.38601907246839</c:v>
                </c:pt>
                <c:pt idx="340">
                  <c:v>22.562306542461961</c:v>
                </c:pt>
                <c:pt idx="341">
                  <c:v>22.448991591244148</c:v>
                </c:pt>
                <c:pt idx="342">
                  <c:v>21.302767277002392</c:v>
                </c:pt>
                <c:pt idx="343">
                  <c:v>18.635507656029194</c:v>
                </c:pt>
                <c:pt idx="344">
                  <c:v>14.952771741450182</c:v>
                </c:pt>
                <c:pt idx="345">
                  <c:v>12.934893956302155</c:v>
                </c:pt>
                <c:pt idx="346">
                  <c:v>11.614338947879153</c:v>
                </c:pt>
                <c:pt idx="347">
                  <c:v>10.32429181093786</c:v>
                </c:pt>
                <c:pt idx="348">
                  <c:v>8.8250478409790709</c:v>
                </c:pt>
                <c:pt idx="349">
                  <c:v>7.3824613466291877</c:v>
                </c:pt>
                <c:pt idx="350">
                  <c:v>6.1926543588421241</c:v>
                </c:pt>
                <c:pt idx="351">
                  <c:v>5.1205205896274046</c:v>
                </c:pt>
                <c:pt idx="352">
                  <c:v>4.1137608307306586</c:v>
                </c:pt>
                <c:pt idx="353">
                  <c:v>3.2595404292425099</c:v>
                </c:pt>
                <c:pt idx="354">
                  <c:v>2.6275916628354548</c:v>
                </c:pt>
                <c:pt idx="355">
                  <c:v>2.2745720071184157</c:v>
                </c:pt>
                <c:pt idx="356">
                  <c:v>2.0000011637829362</c:v>
                </c:pt>
              </c:numCache>
            </c:numRef>
          </c:yVal>
          <c:smooth val="1"/>
          <c:extLst>
            <c:ext xmlns:c16="http://schemas.microsoft.com/office/drawing/2014/chart" uri="{C3380CC4-5D6E-409C-BE32-E72D297353CC}">
              <c16:uniqueId val="{00000000-E192-4130-B7D2-7905CBA103B5}"/>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0.50800000000000001</c:v>
                </c:pt>
                <c:pt idx="1">
                  <c:v>0.53500000000000003</c:v>
                </c:pt>
                <c:pt idx="2">
                  <c:v>0.56100000000000005</c:v>
                </c:pt>
                <c:pt idx="3">
                  <c:v>0.58799999999999997</c:v>
                </c:pt>
                <c:pt idx="4">
                  <c:v>0.61499999999999999</c:v>
                </c:pt>
                <c:pt idx="5">
                  <c:v>0.64100000000000001</c:v>
                </c:pt>
                <c:pt idx="6">
                  <c:v>0.66800000000000004</c:v>
                </c:pt>
                <c:pt idx="7">
                  <c:v>0.69499999999999995</c:v>
                </c:pt>
                <c:pt idx="8">
                  <c:v>0.72099999999999997</c:v>
                </c:pt>
                <c:pt idx="9">
                  <c:v>0.748</c:v>
                </c:pt>
                <c:pt idx="10">
                  <c:v>0.77500000000000002</c:v>
                </c:pt>
                <c:pt idx="11">
                  <c:v>0.80100000000000005</c:v>
                </c:pt>
                <c:pt idx="12">
                  <c:v>0.82799999999999996</c:v>
                </c:pt>
                <c:pt idx="13">
                  <c:v>0.85499999999999998</c:v>
                </c:pt>
                <c:pt idx="14">
                  <c:v>0.88100000000000001</c:v>
                </c:pt>
                <c:pt idx="15">
                  <c:v>0.90800000000000003</c:v>
                </c:pt>
                <c:pt idx="16">
                  <c:v>0.93500000000000005</c:v>
                </c:pt>
                <c:pt idx="17">
                  <c:v>0.96099999999999997</c:v>
                </c:pt>
                <c:pt idx="18">
                  <c:v>0.98799999999999999</c:v>
                </c:pt>
                <c:pt idx="19">
                  <c:v>1.0149999999999999</c:v>
                </c:pt>
                <c:pt idx="20">
                  <c:v>1.0409999999999999</c:v>
                </c:pt>
                <c:pt idx="21">
                  <c:v>1.0680000000000001</c:v>
                </c:pt>
                <c:pt idx="22">
                  <c:v>1.095</c:v>
                </c:pt>
                <c:pt idx="23">
                  <c:v>1.121</c:v>
                </c:pt>
                <c:pt idx="24">
                  <c:v>1.1479999999999999</c:v>
                </c:pt>
                <c:pt idx="25">
                  <c:v>1.175</c:v>
                </c:pt>
                <c:pt idx="26">
                  <c:v>1.2010000000000001</c:v>
                </c:pt>
                <c:pt idx="27">
                  <c:v>1.228</c:v>
                </c:pt>
                <c:pt idx="28">
                  <c:v>1.2549999999999999</c:v>
                </c:pt>
                <c:pt idx="29">
                  <c:v>1.2809999999999999</c:v>
                </c:pt>
                <c:pt idx="30">
                  <c:v>1.3080000000000001</c:v>
                </c:pt>
                <c:pt idx="31">
                  <c:v>1.335</c:v>
                </c:pt>
                <c:pt idx="32">
                  <c:v>1.361</c:v>
                </c:pt>
                <c:pt idx="33">
                  <c:v>1.3879999999999999</c:v>
                </c:pt>
                <c:pt idx="34">
                  <c:v>1.415</c:v>
                </c:pt>
                <c:pt idx="35">
                  <c:v>1.4410000000000001</c:v>
                </c:pt>
                <c:pt idx="36">
                  <c:v>1.468</c:v>
                </c:pt>
                <c:pt idx="37">
                  <c:v>1.4950000000000001</c:v>
                </c:pt>
                <c:pt idx="38">
                  <c:v>1.5209999999999999</c:v>
                </c:pt>
                <c:pt idx="39">
                  <c:v>1.548</c:v>
                </c:pt>
                <c:pt idx="40">
                  <c:v>1.575</c:v>
                </c:pt>
                <c:pt idx="41">
                  <c:v>1.601</c:v>
                </c:pt>
                <c:pt idx="42">
                  <c:v>1.6279999999999999</c:v>
                </c:pt>
                <c:pt idx="43">
                  <c:v>1.655</c:v>
                </c:pt>
                <c:pt idx="44">
                  <c:v>1.681</c:v>
                </c:pt>
                <c:pt idx="45">
                  <c:v>1.708</c:v>
                </c:pt>
                <c:pt idx="46">
                  <c:v>1.7350000000000001</c:v>
                </c:pt>
                <c:pt idx="47">
                  <c:v>1.7609999999999999</c:v>
                </c:pt>
                <c:pt idx="48">
                  <c:v>1.788</c:v>
                </c:pt>
                <c:pt idx="49">
                  <c:v>1.8149999999999999</c:v>
                </c:pt>
                <c:pt idx="50">
                  <c:v>1.841</c:v>
                </c:pt>
                <c:pt idx="51">
                  <c:v>1.8680000000000001</c:v>
                </c:pt>
                <c:pt idx="52">
                  <c:v>1.895</c:v>
                </c:pt>
                <c:pt idx="53">
                  <c:v>1.921</c:v>
                </c:pt>
                <c:pt idx="54">
                  <c:v>1.948</c:v>
                </c:pt>
                <c:pt idx="55">
                  <c:v>1.9750000000000001</c:v>
                </c:pt>
                <c:pt idx="56">
                  <c:v>2.0009999999999999</c:v>
                </c:pt>
                <c:pt idx="57">
                  <c:v>2.028</c:v>
                </c:pt>
                <c:pt idx="58">
                  <c:v>2.0550000000000002</c:v>
                </c:pt>
                <c:pt idx="59">
                  <c:v>2.081</c:v>
                </c:pt>
                <c:pt idx="60">
                  <c:v>2.1080000000000001</c:v>
                </c:pt>
                <c:pt idx="61">
                  <c:v>2.1349999999999998</c:v>
                </c:pt>
                <c:pt idx="62">
                  <c:v>2.161</c:v>
                </c:pt>
                <c:pt idx="63">
                  <c:v>2.1880000000000002</c:v>
                </c:pt>
                <c:pt idx="64">
                  <c:v>2.2149999999999999</c:v>
                </c:pt>
                <c:pt idx="65">
                  <c:v>2.2410000000000001</c:v>
                </c:pt>
                <c:pt idx="66">
                  <c:v>2.2679999999999998</c:v>
                </c:pt>
                <c:pt idx="67">
                  <c:v>2.2949999999999999</c:v>
                </c:pt>
                <c:pt idx="68">
                  <c:v>2.3210000000000002</c:v>
                </c:pt>
                <c:pt idx="69">
                  <c:v>2.3479999999999999</c:v>
                </c:pt>
                <c:pt idx="70">
                  <c:v>2.375</c:v>
                </c:pt>
                <c:pt idx="71">
                  <c:v>2.4009999999999998</c:v>
                </c:pt>
                <c:pt idx="72">
                  <c:v>2.4279999999999999</c:v>
                </c:pt>
                <c:pt idx="73">
                  <c:v>2.4550000000000001</c:v>
                </c:pt>
                <c:pt idx="74">
                  <c:v>2.4809999999999999</c:v>
                </c:pt>
                <c:pt idx="75">
                  <c:v>2.508</c:v>
                </c:pt>
                <c:pt idx="76">
                  <c:v>2.5350000000000001</c:v>
                </c:pt>
                <c:pt idx="77">
                  <c:v>2.5609999999999999</c:v>
                </c:pt>
                <c:pt idx="78">
                  <c:v>2.5880000000000001</c:v>
                </c:pt>
                <c:pt idx="79">
                  <c:v>2.6150000000000002</c:v>
                </c:pt>
                <c:pt idx="80">
                  <c:v>2.641</c:v>
                </c:pt>
                <c:pt idx="81">
                  <c:v>2.6680000000000001</c:v>
                </c:pt>
                <c:pt idx="82">
                  <c:v>2.6949999999999998</c:v>
                </c:pt>
                <c:pt idx="83">
                  <c:v>2.7210000000000001</c:v>
                </c:pt>
                <c:pt idx="84">
                  <c:v>2.7480000000000002</c:v>
                </c:pt>
                <c:pt idx="85">
                  <c:v>2.7749999999999999</c:v>
                </c:pt>
                <c:pt idx="86">
                  <c:v>2.8010000000000002</c:v>
                </c:pt>
                <c:pt idx="87">
                  <c:v>2.8279999999999998</c:v>
                </c:pt>
                <c:pt idx="88">
                  <c:v>2.855</c:v>
                </c:pt>
                <c:pt idx="89">
                  <c:v>2.8809999999999998</c:v>
                </c:pt>
                <c:pt idx="90">
                  <c:v>2.9079999999999999</c:v>
                </c:pt>
                <c:pt idx="91">
                  <c:v>2.9350000000000001</c:v>
                </c:pt>
                <c:pt idx="92">
                  <c:v>2.9609999999999999</c:v>
                </c:pt>
                <c:pt idx="93">
                  <c:v>2.988</c:v>
                </c:pt>
                <c:pt idx="94">
                  <c:v>3.0150000000000001</c:v>
                </c:pt>
                <c:pt idx="95">
                  <c:v>3.0409999999999999</c:v>
                </c:pt>
                <c:pt idx="96">
                  <c:v>3.0680000000000001</c:v>
                </c:pt>
                <c:pt idx="97">
                  <c:v>3.0950000000000002</c:v>
                </c:pt>
                <c:pt idx="98">
                  <c:v>3.121</c:v>
                </c:pt>
                <c:pt idx="99">
                  <c:v>3.1480000000000001</c:v>
                </c:pt>
                <c:pt idx="100">
                  <c:v>3.1749999999999998</c:v>
                </c:pt>
                <c:pt idx="101">
                  <c:v>3.2010000000000001</c:v>
                </c:pt>
                <c:pt idx="102">
                  <c:v>3.2280000000000002</c:v>
                </c:pt>
                <c:pt idx="103">
                  <c:v>3.2549999999999999</c:v>
                </c:pt>
                <c:pt idx="104">
                  <c:v>3.2810000000000001</c:v>
                </c:pt>
                <c:pt idx="105">
                  <c:v>3.3079999999999998</c:v>
                </c:pt>
                <c:pt idx="106">
                  <c:v>3.335</c:v>
                </c:pt>
                <c:pt idx="107">
                  <c:v>3.3610000000000002</c:v>
                </c:pt>
                <c:pt idx="108">
                  <c:v>3.3879999999999999</c:v>
                </c:pt>
                <c:pt idx="109">
                  <c:v>3.415</c:v>
                </c:pt>
                <c:pt idx="110">
                  <c:v>3.4409999999999998</c:v>
                </c:pt>
                <c:pt idx="111">
                  <c:v>3.468</c:v>
                </c:pt>
                <c:pt idx="112">
                  <c:v>3.4950000000000001</c:v>
                </c:pt>
                <c:pt idx="113">
                  <c:v>3.5209999999999999</c:v>
                </c:pt>
                <c:pt idx="114">
                  <c:v>3.548</c:v>
                </c:pt>
                <c:pt idx="115">
                  <c:v>3.5750000000000002</c:v>
                </c:pt>
                <c:pt idx="116">
                  <c:v>3.601</c:v>
                </c:pt>
                <c:pt idx="117">
                  <c:v>3.6280000000000001</c:v>
                </c:pt>
                <c:pt idx="118">
                  <c:v>3.6549999999999998</c:v>
                </c:pt>
                <c:pt idx="119">
                  <c:v>3.681</c:v>
                </c:pt>
                <c:pt idx="120">
                  <c:v>3.7080000000000002</c:v>
                </c:pt>
                <c:pt idx="121">
                  <c:v>3.7349999999999999</c:v>
                </c:pt>
                <c:pt idx="122">
                  <c:v>3.7610000000000001</c:v>
                </c:pt>
                <c:pt idx="123">
                  <c:v>3.7879999999999998</c:v>
                </c:pt>
                <c:pt idx="124">
                  <c:v>3.8149999999999999</c:v>
                </c:pt>
                <c:pt idx="125">
                  <c:v>3.8410000000000002</c:v>
                </c:pt>
                <c:pt idx="126">
                  <c:v>3.8679999999999999</c:v>
                </c:pt>
                <c:pt idx="127">
                  <c:v>3.895</c:v>
                </c:pt>
                <c:pt idx="128">
                  <c:v>3.9209999999999998</c:v>
                </c:pt>
                <c:pt idx="129">
                  <c:v>3.948</c:v>
                </c:pt>
                <c:pt idx="130">
                  <c:v>3.9750000000000001</c:v>
                </c:pt>
                <c:pt idx="131">
                  <c:v>4.0010000000000003</c:v>
                </c:pt>
                <c:pt idx="132">
                  <c:v>4.0279999999999996</c:v>
                </c:pt>
                <c:pt idx="133">
                  <c:v>4.0549999999999997</c:v>
                </c:pt>
                <c:pt idx="134">
                  <c:v>4.0810000000000004</c:v>
                </c:pt>
                <c:pt idx="135">
                  <c:v>4.1079999999999997</c:v>
                </c:pt>
                <c:pt idx="136">
                  <c:v>4.1349999999999998</c:v>
                </c:pt>
                <c:pt idx="137">
                  <c:v>4.1609999999999996</c:v>
                </c:pt>
                <c:pt idx="138">
                  <c:v>4.1879999999999997</c:v>
                </c:pt>
                <c:pt idx="139">
                  <c:v>4.2149999999999999</c:v>
                </c:pt>
                <c:pt idx="140">
                  <c:v>4.2409999999999997</c:v>
                </c:pt>
                <c:pt idx="141">
                  <c:v>4.2679999999999998</c:v>
                </c:pt>
                <c:pt idx="142">
                  <c:v>4.2949999999999999</c:v>
                </c:pt>
                <c:pt idx="143">
                  <c:v>4.3209999999999997</c:v>
                </c:pt>
                <c:pt idx="144">
                  <c:v>4.3479999999999999</c:v>
                </c:pt>
                <c:pt idx="145">
                  <c:v>4.375</c:v>
                </c:pt>
                <c:pt idx="146">
                  <c:v>4.4009999999999998</c:v>
                </c:pt>
                <c:pt idx="147">
                  <c:v>4.4279999999999999</c:v>
                </c:pt>
                <c:pt idx="148">
                  <c:v>4.4550000000000001</c:v>
                </c:pt>
                <c:pt idx="149">
                  <c:v>4.4809999999999999</c:v>
                </c:pt>
                <c:pt idx="150">
                  <c:v>4.508</c:v>
                </c:pt>
                <c:pt idx="151">
                  <c:v>4.5350000000000001</c:v>
                </c:pt>
                <c:pt idx="152">
                  <c:v>4.5609999999999999</c:v>
                </c:pt>
                <c:pt idx="153">
                  <c:v>4.5880000000000001</c:v>
                </c:pt>
                <c:pt idx="154">
                  <c:v>4.6150000000000002</c:v>
                </c:pt>
                <c:pt idx="155">
                  <c:v>4.641</c:v>
                </c:pt>
                <c:pt idx="156">
                  <c:v>4.6680000000000001</c:v>
                </c:pt>
                <c:pt idx="157">
                  <c:v>4.6950000000000003</c:v>
                </c:pt>
                <c:pt idx="158">
                  <c:v>4.7210000000000001</c:v>
                </c:pt>
                <c:pt idx="159">
                  <c:v>4.7480000000000002</c:v>
                </c:pt>
                <c:pt idx="160">
                  <c:v>4.7750000000000004</c:v>
                </c:pt>
                <c:pt idx="161">
                  <c:v>4.8010000000000002</c:v>
                </c:pt>
                <c:pt idx="162">
                  <c:v>4.8280000000000003</c:v>
                </c:pt>
                <c:pt idx="163">
                  <c:v>4.8550000000000004</c:v>
                </c:pt>
                <c:pt idx="164">
                  <c:v>4.8810000000000002</c:v>
                </c:pt>
                <c:pt idx="165">
                  <c:v>4.9080000000000004</c:v>
                </c:pt>
                <c:pt idx="166">
                  <c:v>4.9349999999999996</c:v>
                </c:pt>
                <c:pt idx="167">
                  <c:v>4.9610000000000003</c:v>
                </c:pt>
                <c:pt idx="168">
                  <c:v>4.9880000000000004</c:v>
                </c:pt>
                <c:pt idx="169">
                  <c:v>5.0149999999999997</c:v>
                </c:pt>
                <c:pt idx="170">
                  <c:v>5.0410000000000004</c:v>
                </c:pt>
                <c:pt idx="171">
                  <c:v>5.0679999999999996</c:v>
                </c:pt>
                <c:pt idx="172">
                  <c:v>5.0949999999999998</c:v>
                </c:pt>
                <c:pt idx="173">
                  <c:v>5.1210000000000004</c:v>
                </c:pt>
                <c:pt idx="174">
                  <c:v>5.1479999999999997</c:v>
                </c:pt>
                <c:pt idx="175">
                  <c:v>5.1749999999999998</c:v>
                </c:pt>
                <c:pt idx="176">
                  <c:v>5.2009999999999996</c:v>
                </c:pt>
                <c:pt idx="177">
                  <c:v>5.2279999999999998</c:v>
                </c:pt>
                <c:pt idx="178">
                  <c:v>5.2549999999999999</c:v>
                </c:pt>
                <c:pt idx="179">
                  <c:v>5.2809999999999997</c:v>
                </c:pt>
                <c:pt idx="180">
                  <c:v>5.3079999999999998</c:v>
                </c:pt>
                <c:pt idx="181">
                  <c:v>5.335</c:v>
                </c:pt>
                <c:pt idx="182">
                  <c:v>5.3609999999999998</c:v>
                </c:pt>
                <c:pt idx="183">
                  <c:v>5.3879999999999999</c:v>
                </c:pt>
                <c:pt idx="184">
                  <c:v>5.415</c:v>
                </c:pt>
                <c:pt idx="185">
                  <c:v>5.4409999999999998</c:v>
                </c:pt>
                <c:pt idx="186">
                  <c:v>5.468</c:v>
                </c:pt>
                <c:pt idx="187">
                  <c:v>5.4950000000000001</c:v>
                </c:pt>
                <c:pt idx="188">
                  <c:v>5.5209999999999999</c:v>
                </c:pt>
                <c:pt idx="189">
                  <c:v>5.548</c:v>
                </c:pt>
                <c:pt idx="190">
                  <c:v>5.5750000000000002</c:v>
                </c:pt>
                <c:pt idx="191">
                  <c:v>5.601</c:v>
                </c:pt>
                <c:pt idx="192">
                  <c:v>5.6280000000000001</c:v>
                </c:pt>
                <c:pt idx="193">
                  <c:v>5.6550000000000002</c:v>
                </c:pt>
                <c:pt idx="194">
                  <c:v>5.681</c:v>
                </c:pt>
                <c:pt idx="195">
                  <c:v>5.7080000000000002</c:v>
                </c:pt>
                <c:pt idx="196">
                  <c:v>5.7350000000000003</c:v>
                </c:pt>
                <c:pt idx="197">
                  <c:v>5.7610000000000001</c:v>
                </c:pt>
                <c:pt idx="198">
                  <c:v>5.7880000000000003</c:v>
                </c:pt>
                <c:pt idx="199">
                  <c:v>5.8150000000000004</c:v>
                </c:pt>
                <c:pt idx="200">
                  <c:v>5.8410000000000002</c:v>
                </c:pt>
                <c:pt idx="201">
                  <c:v>5.8680000000000003</c:v>
                </c:pt>
                <c:pt idx="202">
                  <c:v>5.8949999999999996</c:v>
                </c:pt>
                <c:pt idx="203">
                  <c:v>5.9210000000000003</c:v>
                </c:pt>
                <c:pt idx="204">
                  <c:v>5.9480000000000004</c:v>
                </c:pt>
                <c:pt idx="205">
                  <c:v>5.9749999999999996</c:v>
                </c:pt>
                <c:pt idx="206">
                  <c:v>6.0010000000000003</c:v>
                </c:pt>
                <c:pt idx="207">
                  <c:v>6.0279999999999996</c:v>
                </c:pt>
                <c:pt idx="208">
                  <c:v>6.0549999999999997</c:v>
                </c:pt>
                <c:pt idx="209">
                  <c:v>6.0810000000000004</c:v>
                </c:pt>
                <c:pt idx="210">
                  <c:v>6.1079999999999997</c:v>
                </c:pt>
                <c:pt idx="211">
                  <c:v>6.1349999999999998</c:v>
                </c:pt>
                <c:pt idx="212">
                  <c:v>6.1609999999999996</c:v>
                </c:pt>
                <c:pt idx="213">
                  <c:v>6.1879999999999997</c:v>
                </c:pt>
                <c:pt idx="214">
                  <c:v>6.2149999999999999</c:v>
                </c:pt>
                <c:pt idx="215">
                  <c:v>6.2409999999999997</c:v>
                </c:pt>
                <c:pt idx="216">
                  <c:v>6.2679999999999998</c:v>
                </c:pt>
                <c:pt idx="217">
                  <c:v>6.2949999999999999</c:v>
                </c:pt>
                <c:pt idx="218">
                  <c:v>6.3209999999999997</c:v>
                </c:pt>
                <c:pt idx="219">
                  <c:v>6.3479999999999999</c:v>
                </c:pt>
                <c:pt idx="220">
                  <c:v>6.375</c:v>
                </c:pt>
                <c:pt idx="221">
                  <c:v>6.4009999999999998</c:v>
                </c:pt>
                <c:pt idx="222">
                  <c:v>6.4279999999999999</c:v>
                </c:pt>
                <c:pt idx="223">
                  <c:v>6.4550000000000001</c:v>
                </c:pt>
                <c:pt idx="224">
                  <c:v>6.4809999999999999</c:v>
                </c:pt>
                <c:pt idx="225">
                  <c:v>6.508</c:v>
                </c:pt>
                <c:pt idx="226">
                  <c:v>6.5350000000000001</c:v>
                </c:pt>
                <c:pt idx="227">
                  <c:v>6.5609999999999999</c:v>
                </c:pt>
                <c:pt idx="228">
                  <c:v>6.5880000000000001</c:v>
                </c:pt>
                <c:pt idx="229">
                  <c:v>6.6150000000000002</c:v>
                </c:pt>
                <c:pt idx="230">
                  <c:v>6.641</c:v>
                </c:pt>
                <c:pt idx="231">
                  <c:v>6.6680000000000001</c:v>
                </c:pt>
                <c:pt idx="232">
                  <c:v>6.6950000000000003</c:v>
                </c:pt>
                <c:pt idx="233">
                  <c:v>6.7210000000000001</c:v>
                </c:pt>
                <c:pt idx="234">
                  <c:v>6.7480000000000002</c:v>
                </c:pt>
                <c:pt idx="235">
                  <c:v>6.7750000000000004</c:v>
                </c:pt>
                <c:pt idx="236">
                  <c:v>6.8010000000000002</c:v>
                </c:pt>
                <c:pt idx="237">
                  <c:v>6.8280000000000003</c:v>
                </c:pt>
                <c:pt idx="238">
                  <c:v>6.8550000000000004</c:v>
                </c:pt>
                <c:pt idx="239">
                  <c:v>6.8810000000000002</c:v>
                </c:pt>
                <c:pt idx="240">
                  <c:v>6.9080000000000004</c:v>
                </c:pt>
                <c:pt idx="241">
                  <c:v>6.9349999999999996</c:v>
                </c:pt>
                <c:pt idx="242">
                  <c:v>6.9610000000000003</c:v>
                </c:pt>
                <c:pt idx="243">
                  <c:v>6.9880000000000004</c:v>
                </c:pt>
                <c:pt idx="244">
                  <c:v>7.0149999999999997</c:v>
                </c:pt>
                <c:pt idx="245">
                  <c:v>7.0410000000000004</c:v>
                </c:pt>
                <c:pt idx="246">
                  <c:v>7.0679999999999996</c:v>
                </c:pt>
                <c:pt idx="247">
                  <c:v>7.0949999999999998</c:v>
                </c:pt>
                <c:pt idx="248">
                  <c:v>7.1210000000000004</c:v>
                </c:pt>
                <c:pt idx="249">
                  <c:v>7.1479999999999997</c:v>
                </c:pt>
                <c:pt idx="250">
                  <c:v>7.1749999999999998</c:v>
                </c:pt>
                <c:pt idx="251">
                  <c:v>7.2009999999999996</c:v>
                </c:pt>
                <c:pt idx="252">
                  <c:v>7.2279999999999998</c:v>
                </c:pt>
                <c:pt idx="253">
                  <c:v>7.2549999999999999</c:v>
                </c:pt>
                <c:pt idx="254">
                  <c:v>7.2809999999999997</c:v>
                </c:pt>
                <c:pt idx="255">
                  <c:v>7.3079999999999998</c:v>
                </c:pt>
                <c:pt idx="256">
                  <c:v>7.335</c:v>
                </c:pt>
                <c:pt idx="257">
                  <c:v>7.3609999999999998</c:v>
                </c:pt>
                <c:pt idx="258">
                  <c:v>7.3879999999999999</c:v>
                </c:pt>
                <c:pt idx="259">
                  <c:v>7.415</c:v>
                </c:pt>
                <c:pt idx="260">
                  <c:v>7.4409999999999998</c:v>
                </c:pt>
                <c:pt idx="261">
                  <c:v>7.468</c:v>
                </c:pt>
                <c:pt idx="262">
                  <c:v>7.4950000000000001</c:v>
                </c:pt>
                <c:pt idx="263">
                  <c:v>7.5209999999999999</c:v>
                </c:pt>
                <c:pt idx="264">
                  <c:v>7.548</c:v>
                </c:pt>
                <c:pt idx="265">
                  <c:v>7.5750000000000002</c:v>
                </c:pt>
                <c:pt idx="266">
                  <c:v>7.601</c:v>
                </c:pt>
                <c:pt idx="267">
                  <c:v>7.6280000000000001</c:v>
                </c:pt>
                <c:pt idx="268">
                  <c:v>7.6550000000000002</c:v>
                </c:pt>
                <c:pt idx="269">
                  <c:v>7.681</c:v>
                </c:pt>
                <c:pt idx="270">
                  <c:v>7.7080000000000002</c:v>
                </c:pt>
                <c:pt idx="271">
                  <c:v>7.7350000000000003</c:v>
                </c:pt>
                <c:pt idx="272">
                  <c:v>7.7610000000000001</c:v>
                </c:pt>
                <c:pt idx="273">
                  <c:v>7.7880000000000003</c:v>
                </c:pt>
                <c:pt idx="274">
                  <c:v>7.8150000000000004</c:v>
                </c:pt>
                <c:pt idx="275">
                  <c:v>7.8410000000000002</c:v>
                </c:pt>
                <c:pt idx="276">
                  <c:v>7.8680000000000003</c:v>
                </c:pt>
                <c:pt idx="277">
                  <c:v>7.8949999999999996</c:v>
                </c:pt>
                <c:pt idx="278">
                  <c:v>7.9210000000000003</c:v>
                </c:pt>
                <c:pt idx="279">
                  <c:v>7.9480000000000004</c:v>
                </c:pt>
                <c:pt idx="280">
                  <c:v>7.9749999999999996</c:v>
                </c:pt>
                <c:pt idx="281">
                  <c:v>8.0009999999999994</c:v>
                </c:pt>
                <c:pt idx="282">
                  <c:v>8.0280000000000005</c:v>
                </c:pt>
                <c:pt idx="283">
                  <c:v>8.0549999999999997</c:v>
                </c:pt>
                <c:pt idx="284">
                  <c:v>8.0809999999999995</c:v>
                </c:pt>
                <c:pt idx="285">
                  <c:v>8.1080000000000005</c:v>
                </c:pt>
                <c:pt idx="286">
                  <c:v>8.1349999999999998</c:v>
                </c:pt>
                <c:pt idx="287">
                  <c:v>8.1609999999999996</c:v>
                </c:pt>
                <c:pt idx="288">
                  <c:v>8.1880000000000006</c:v>
                </c:pt>
                <c:pt idx="289">
                  <c:v>8.2149999999999999</c:v>
                </c:pt>
                <c:pt idx="290">
                  <c:v>8.2409999999999997</c:v>
                </c:pt>
                <c:pt idx="291">
                  <c:v>8.2680000000000007</c:v>
                </c:pt>
                <c:pt idx="292">
                  <c:v>8.2949999999999999</c:v>
                </c:pt>
                <c:pt idx="293">
                  <c:v>8.3209999999999997</c:v>
                </c:pt>
                <c:pt idx="294">
                  <c:v>8.3480000000000008</c:v>
                </c:pt>
                <c:pt idx="295">
                  <c:v>8.375</c:v>
                </c:pt>
                <c:pt idx="296">
                  <c:v>8.4009999999999998</c:v>
                </c:pt>
                <c:pt idx="297">
                  <c:v>8.4280000000000008</c:v>
                </c:pt>
                <c:pt idx="298">
                  <c:v>8.4550000000000001</c:v>
                </c:pt>
                <c:pt idx="299">
                  <c:v>8.4809999999999999</c:v>
                </c:pt>
                <c:pt idx="300">
                  <c:v>8.5079999999999991</c:v>
                </c:pt>
                <c:pt idx="301">
                  <c:v>8.5350000000000001</c:v>
                </c:pt>
                <c:pt idx="302">
                  <c:v>8.5609999999999999</c:v>
                </c:pt>
                <c:pt idx="303">
                  <c:v>8.5879999999999992</c:v>
                </c:pt>
                <c:pt idx="304">
                  <c:v>8.6150000000000002</c:v>
                </c:pt>
                <c:pt idx="305">
                  <c:v>8.641</c:v>
                </c:pt>
                <c:pt idx="306">
                  <c:v>8.6679999999999993</c:v>
                </c:pt>
                <c:pt idx="307">
                  <c:v>8.6950000000000003</c:v>
                </c:pt>
                <c:pt idx="308">
                  <c:v>8.7210000000000001</c:v>
                </c:pt>
                <c:pt idx="309">
                  <c:v>8.7479999999999993</c:v>
                </c:pt>
                <c:pt idx="310">
                  <c:v>8.7750000000000004</c:v>
                </c:pt>
                <c:pt idx="311">
                  <c:v>8.8010000000000002</c:v>
                </c:pt>
                <c:pt idx="312">
                  <c:v>8.8279999999999994</c:v>
                </c:pt>
                <c:pt idx="313">
                  <c:v>8.8550000000000004</c:v>
                </c:pt>
                <c:pt idx="314">
                  <c:v>8.8810000000000002</c:v>
                </c:pt>
                <c:pt idx="315">
                  <c:v>8.9079999999999995</c:v>
                </c:pt>
                <c:pt idx="316">
                  <c:v>8.9350000000000005</c:v>
                </c:pt>
                <c:pt idx="317">
                  <c:v>8.9610000000000003</c:v>
                </c:pt>
                <c:pt idx="318">
                  <c:v>8.9879999999999995</c:v>
                </c:pt>
                <c:pt idx="319">
                  <c:v>9.0150000000000006</c:v>
                </c:pt>
                <c:pt idx="320">
                  <c:v>9.0410000000000004</c:v>
                </c:pt>
                <c:pt idx="321">
                  <c:v>9.0679999999999996</c:v>
                </c:pt>
                <c:pt idx="322">
                  <c:v>9.0950000000000006</c:v>
                </c:pt>
                <c:pt idx="323">
                  <c:v>9.1210000000000004</c:v>
                </c:pt>
                <c:pt idx="324">
                  <c:v>9.1479999999999997</c:v>
                </c:pt>
                <c:pt idx="325">
                  <c:v>9.1750000000000007</c:v>
                </c:pt>
                <c:pt idx="326">
                  <c:v>9.2010000000000005</c:v>
                </c:pt>
                <c:pt idx="327">
                  <c:v>9.2279999999999998</c:v>
                </c:pt>
                <c:pt idx="328">
                  <c:v>9.2550000000000008</c:v>
                </c:pt>
                <c:pt idx="329">
                  <c:v>9.2810000000000006</c:v>
                </c:pt>
                <c:pt idx="330">
                  <c:v>9.3079999999999998</c:v>
                </c:pt>
                <c:pt idx="331">
                  <c:v>9.3350000000000009</c:v>
                </c:pt>
                <c:pt idx="332">
                  <c:v>9.3610000000000007</c:v>
                </c:pt>
                <c:pt idx="333">
                  <c:v>9.3879999999999999</c:v>
                </c:pt>
                <c:pt idx="334">
                  <c:v>9.4149999999999991</c:v>
                </c:pt>
                <c:pt idx="335">
                  <c:v>9.4410000000000007</c:v>
                </c:pt>
                <c:pt idx="336">
                  <c:v>9.468</c:v>
                </c:pt>
                <c:pt idx="337">
                  <c:v>9.4949999999999992</c:v>
                </c:pt>
                <c:pt idx="338">
                  <c:v>9.5210000000000008</c:v>
                </c:pt>
                <c:pt idx="339">
                  <c:v>9.548</c:v>
                </c:pt>
                <c:pt idx="340">
                  <c:v>9.5749999999999993</c:v>
                </c:pt>
                <c:pt idx="341">
                  <c:v>9.6010000000000009</c:v>
                </c:pt>
                <c:pt idx="342">
                  <c:v>9.6280000000000001</c:v>
                </c:pt>
                <c:pt idx="343">
                  <c:v>9.6549999999999994</c:v>
                </c:pt>
                <c:pt idx="344">
                  <c:v>9.6809999999999992</c:v>
                </c:pt>
                <c:pt idx="345">
                  <c:v>9.7080000000000002</c:v>
                </c:pt>
                <c:pt idx="346">
                  <c:v>9.7349999999999994</c:v>
                </c:pt>
                <c:pt idx="347">
                  <c:v>9.7609999999999992</c:v>
                </c:pt>
                <c:pt idx="348">
                  <c:v>9.7880000000000003</c:v>
                </c:pt>
                <c:pt idx="349">
                  <c:v>9.8149999999999995</c:v>
                </c:pt>
                <c:pt idx="350">
                  <c:v>9.8409999999999993</c:v>
                </c:pt>
                <c:pt idx="351">
                  <c:v>9.8680000000000003</c:v>
                </c:pt>
                <c:pt idx="352">
                  <c:v>9.8949999999999996</c:v>
                </c:pt>
                <c:pt idx="353">
                  <c:v>9.9209999999999994</c:v>
                </c:pt>
                <c:pt idx="354">
                  <c:v>9.9480000000000004</c:v>
                </c:pt>
                <c:pt idx="355">
                  <c:v>9.9749999999999996</c:v>
                </c:pt>
                <c:pt idx="356">
                  <c:v>10.000999999999999</c:v>
                </c:pt>
              </c:numCache>
            </c:numRef>
          </c:xVal>
          <c:yVal>
            <c:numRef>
              <c:f>ChromatogramData!$C$2:$C$10001</c:f>
              <c:numCache>
                <c:formatCode>General</c:formatCode>
                <c:ptCount val="10000"/>
                <c:pt idx="0">
                  <c:v>14.612825683489213</c:v>
                </c:pt>
                <c:pt idx="1">
                  <c:v>11.217735414309272</c:v>
                </c:pt>
                <c:pt idx="2">
                  <c:v>8.1713065334918404</c:v>
                </c:pt>
                <c:pt idx="3">
                  <c:v>7.3998932117397871</c:v>
                </c:pt>
                <c:pt idx="4">
                  <c:v>7.8357199471929251</c:v>
                </c:pt>
                <c:pt idx="5">
                  <c:v>8.3325624256095026</c:v>
                </c:pt>
                <c:pt idx="6">
                  <c:v>8.1538734640737154</c:v>
                </c:pt>
                <c:pt idx="7">
                  <c:v>7.7267632633296417</c:v>
                </c:pt>
                <c:pt idx="8">
                  <c:v>7.6483144509480763</c:v>
                </c:pt>
                <c:pt idx="9">
                  <c:v>7.5524325691483858</c:v>
                </c:pt>
                <c:pt idx="10">
                  <c:v>6.8769011291960229</c:v>
                </c:pt>
                <c:pt idx="11">
                  <c:v>5.7568264190814595</c:v>
                </c:pt>
                <c:pt idx="12">
                  <c:v>5.0072044341020634</c:v>
                </c:pt>
                <c:pt idx="13">
                  <c:v>5.0682201770655029</c:v>
                </c:pt>
                <c:pt idx="14">
                  <c:v>6.2318775607253789</c:v>
                </c:pt>
                <c:pt idx="15">
                  <c:v>8.6550742098448232</c:v>
                </c:pt>
                <c:pt idx="16">
                  <c:v>11.771235368334754</c:v>
                </c:pt>
                <c:pt idx="17">
                  <c:v>14.421061919889832</c:v>
                </c:pt>
                <c:pt idx="18">
                  <c:v>16.160010594347849</c:v>
                </c:pt>
                <c:pt idx="19">
                  <c:v>17.280085304462411</c:v>
                </c:pt>
                <c:pt idx="20">
                  <c:v>17.91203407086946</c:v>
                </c:pt>
                <c:pt idx="21">
                  <c:v>17.65489629695211</c:v>
                </c:pt>
                <c:pt idx="22">
                  <c:v>16.046695643130036</c:v>
                </c:pt>
                <c:pt idx="23">
                  <c:v>13.200747060621048</c:v>
                </c:pt>
                <c:pt idx="24">
                  <c:v>9.6967001075778221</c:v>
                </c:pt>
                <c:pt idx="25">
                  <c:v>6.4672239978700734</c:v>
                </c:pt>
                <c:pt idx="26">
                  <c:v>4.3796139350495453</c:v>
                </c:pt>
                <c:pt idx="27">
                  <c:v>3.4120785823435806</c:v>
                </c:pt>
                <c:pt idx="28">
                  <c:v>3.0372675898538826</c:v>
                </c:pt>
                <c:pt idx="29">
                  <c:v>2.8934447671543473</c:v>
                </c:pt>
                <c:pt idx="30">
                  <c:v>2.7975628853546572</c:v>
                </c:pt>
                <c:pt idx="31">
                  <c:v>2.6929644688459042</c:v>
                </c:pt>
                <c:pt idx="32">
                  <c:v>2.5796495176280883</c:v>
                </c:pt>
                <c:pt idx="33">
                  <c:v>2.4881259031829295</c:v>
                </c:pt>
                <c:pt idx="34">
                  <c:v>2.4053188234468332</c:v>
                </c:pt>
                <c:pt idx="35">
                  <c:v>2.3007204069380802</c:v>
                </c:pt>
                <c:pt idx="36">
                  <c:v>2.2266298619110469</c:v>
                </c:pt>
                <c:pt idx="37">
                  <c:v>2.1568975842385449</c:v>
                </c:pt>
                <c:pt idx="38">
                  <c:v>2.0915235739205742</c:v>
                </c:pt>
                <c:pt idx="39">
                  <c:v>2.0566574350843232</c:v>
                </c:pt>
                <c:pt idx="40">
                  <c:v>2.0174330288935409</c:v>
                </c:pt>
                <c:pt idx="41">
                  <c:v>1.9999999594754154</c:v>
                </c:pt>
                <c:pt idx="42">
                  <c:v>2.008716494184478</c:v>
                </c:pt>
                <c:pt idx="43">
                  <c:v>2.0305078309571352</c:v>
                </c:pt>
                <c:pt idx="44">
                  <c:v>2.0740905045024487</c:v>
                </c:pt>
                <c:pt idx="45">
                  <c:v>2.1176731780477627</c:v>
                </c:pt>
                <c:pt idx="46">
                  <c:v>2.1612558515930762</c:v>
                </c:pt>
                <c:pt idx="47">
                  <c:v>2.2179133272019844</c:v>
                </c:pt>
                <c:pt idx="48">
                  <c:v>2.2745708028108922</c:v>
                </c:pt>
                <c:pt idx="49">
                  <c:v>2.3617361499015193</c:v>
                </c:pt>
                <c:pt idx="50">
                  <c:v>2.4576180317012097</c:v>
                </c:pt>
                <c:pt idx="51">
                  <c:v>2.5752912502735565</c:v>
                </c:pt>
                <c:pt idx="52">
                  <c:v>2.7147558056185606</c:v>
                </c:pt>
                <c:pt idx="53">
                  <c:v>2.8716534303816901</c:v>
                </c:pt>
                <c:pt idx="54">
                  <c:v>3.0459841245629455</c:v>
                </c:pt>
                <c:pt idx="55">
                  <c:v>3.2508226902259194</c:v>
                </c:pt>
                <c:pt idx="56">
                  <c:v>3.4643777905979571</c:v>
                </c:pt>
                <c:pt idx="57">
                  <c:v>3.6692163562609315</c:v>
                </c:pt>
                <c:pt idx="58">
                  <c:v>3.9263541301782823</c:v>
                </c:pt>
                <c:pt idx="59">
                  <c:v>4.1747753693865715</c:v>
                </c:pt>
                <c:pt idx="60">
                  <c:v>4.3796139350495453</c:v>
                </c:pt>
                <c:pt idx="61">
                  <c:v>4.5626611639398629</c:v>
                </c:pt>
                <c:pt idx="62">
                  <c:v>4.7369918581211188</c:v>
                </c:pt>
                <c:pt idx="63">
                  <c:v>4.8677398787570594</c:v>
                </c:pt>
                <c:pt idx="64">
                  <c:v>5.0202792361656581</c:v>
                </c:pt>
                <c:pt idx="65">
                  <c:v>5.2512674059558204</c:v>
                </c:pt>
                <c:pt idx="66">
                  <c:v>5.5301965166458285</c:v>
                </c:pt>
                <c:pt idx="67">
                  <c:v>5.8614248355902117</c:v>
                </c:pt>
                <c:pt idx="68">
                  <c:v>6.288535036334288</c:v>
                </c:pt>
                <c:pt idx="69">
                  <c:v>6.7810192473963324</c:v>
                </c:pt>
                <c:pt idx="70">
                  <c:v>7.3432357361308798</c:v>
                </c:pt>
                <c:pt idx="71">
                  <c:v>7.9185270269290209</c:v>
                </c:pt>
                <c:pt idx="72">
                  <c:v>8.5243261892088817</c:v>
                </c:pt>
                <c:pt idx="73">
                  <c:v>9.1257670841342104</c:v>
                </c:pt>
                <c:pt idx="74">
                  <c:v>9.8012985240865742</c:v>
                </c:pt>
                <c:pt idx="75">
                  <c:v>10.507337835520659</c:v>
                </c:pt>
                <c:pt idx="76">
                  <c:v>11.126211799864112</c:v>
                </c:pt>
                <c:pt idx="77">
                  <c:v>11.601262941508033</c:v>
                </c:pt>
                <c:pt idx="78">
                  <c:v>11.910699923679759</c:v>
                </c:pt>
                <c:pt idx="79">
                  <c:v>12.111180221988203</c:v>
                </c:pt>
                <c:pt idx="80">
                  <c:v>12.080672350506482</c:v>
                </c:pt>
                <c:pt idx="81">
                  <c:v>11.736369229498504</c:v>
                </c:pt>
                <c:pt idx="82">
                  <c:v>11.265676355209116</c:v>
                </c:pt>
                <c:pt idx="83">
                  <c:v>10.777550411501602</c:v>
                </c:pt>
                <c:pt idx="84">
                  <c:v>10.258916596312368</c:v>
                </c:pt>
                <c:pt idx="85">
                  <c:v>9.7664323852503223</c:v>
                </c:pt>
                <c:pt idx="86">
                  <c:v>9.2129324312248393</c:v>
                </c:pt>
                <c:pt idx="87">
                  <c:v>8.7988970325443603</c:v>
                </c:pt>
                <c:pt idx="88">
                  <c:v>8.7945387651898272</c:v>
                </c:pt>
                <c:pt idx="89">
                  <c:v>9.2477985700610912</c:v>
                </c:pt>
                <c:pt idx="90">
                  <c:v>9.4090544621787515</c:v>
                </c:pt>
                <c:pt idx="91">
                  <c:v>9.1780662923885892</c:v>
                </c:pt>
                <c:pt idx="92">
                  <c:v>8.5504757933360693</c:v>
                </c:pt>
                <c:pt idx="93">
                  <c:v>7.9708262351833969</c:v>
                </c:pt>
                <c:pt idx="94">
                  <c:v>7.6788223224297951</c:v>
                </c:pt>
                <c:pt idx="95">
                  <c:v>7.4827002914758838</c:v>
                </c:pt>
                <c:pt idx="96">
                  <c:v>7.4827002914758838</c:v>
                </c:pt>
                <c:pt idx="97">
                  <c:v>7.6831805897843273</c:v>
                </c:pt>
                <c:pt idx="98">
                  <c:v>8.0667081169830865</c:v>
                </c:pt>
                <c:pt idx="99">
                  <c:v>8.3674285644457527</c:v>
                </c:pt>
                <c:pt idx="100">
                  <c:v>8.4763852483090378</c:v>
                </c:pt>
                <c:pt idx="101">
                  <c:v>8.3717868318002839</c:v>
                </c:pt>
                <c:pt idx="102">
                  <c:v>8.2061726723280906</c:v>
                </c:pt>
                <c:pt idx="103">
                  <c:v>8.180023068200903</c:v>
                </c:pt>
                <c:pt idx="104">
                  <c:v>8.8163301019624853</c:v>
                </c:pt>
                <c:pt idx="105">
                  <c:v>9.1649914903249936</c:v>
                </c:pt>
                <c:pt idx="106">
                  <c:v>8.7858222304807647</c:v>
                </c:pt>
                <c:pt idx="107">
                  <c:v>8.32384589090044</c:v>
                </c:pt>
                <c:pt idx="108">
                  <c:v>8.6463576751357607</c:v>
                </c:pt>
                <c:pt idx="109">
                  <c:v>8.8555545081532667</c:v>
                </c:pt>
                <c:pt idx="110">
                  <c:v>8.6855820813265439</c:v>
                </c:pt>
                <c:pt idx="111">
                  <c:v>8.4415191094727859</c:v>
                </c:pt>
                <c:pt idx="112">
                  <c:v>8.3979364359274733</c:v>
                </c:pt>
                <c:pt idx="113">
                  <c:v>8.4676687135999735</c:v>
                </c:pt>
                <c:pt idx="114">
                  <c:v>9.7054166422868846</c:v>
                </c:pt>
                <c:pt idx="115">
                  <c:v>10.550920509065971</c:v>
                </c:pt>
                <c:pt idx="116">
                  <c:v>10.38530634959378</c:v>
                </c:pt>
                <c:pt idx="117">
                  <c:v>10.681668529701911</c:v>
                </c:pt>
                <c:pt idx="118">
                  <c:v>13.043849435857917</c:v>
                </c:pt>
                <c:pt idx="119">
                  <c:v>16.282042080274728</c:v>
                </c:pt>
                <c:pt idx="120">
                  <c:v>15.554211432067989</c:v>
                </c:pt>
                <c:pt idx="121">
                  <c:v>12.987191960249008</c:v>
                </c:pt>
                <c:pt idx="122">
                  <c:v>11.213377146954739</c:v>
                </c:pt>
                <c:pt idx="123">
                  <c:v>10.590144915256753</c:v>
                </c:pt>
                <c:pt idx="124">
                  <c:v>9.9058969405953263</c:v>
                </c:pt>
                <c:pt idx="125">
                  <c:v>9.0037355982073333</c:v>
                </c:pt>
                <c:pt idx="126">
                  <c:v>8.7291647548718565</c:v>
                </c:pt>
                <c:pt idx="127">
                  <c:v>8.6376411404266982</c:v>
                </c:pt>
                <c:pt idx="128">
                  <c:v>8.5766253974632587</c:v>
                </c:pt>
                <c:pt idx="129">
                  <c:v>8.4763852483090378</c:v>
                </c:pt>
                <c:pt idx="130">
                  <c:v>8.4458773768273154</c:v>
                </c:pt>
                <c:pt idx="131">
                  <c:v>8.7553143589990459</c:v>
                </c:pt>
                <c:pt idx="132">
                  <c:v>9.2390820353520269</c:v>
                </c:pt>
                <c:pt idx="133">
                  <c:v>9.6008182257781325</c:v>
                </c:pt>
                <c:pt idx="134">
                  <c:v>9.3785465906970309</c:v>
                </c:pt>
                <c:pt idx="135">
                  <c:v>8.6245663383631026</c:v>
                </c:pt>
                <c:pt idx="136">
                  <c:v>7.9882593046015229</c:v>
                </c:pt>
                <c:pt idx="137">
                  <c:v>7.7659876695204231</c:v>
                </c:pt>
                <c:pt idx="138">
                  <c:v>7.8400782145474572</c:v>
                </c:pt>
                <c:pt idx="139">
                  <c:v>8.040558512855899</c:v>
                </c:pt>
                <c:pt idx="140">
                  <c:v>8.0928577211102759</c:v>
                </c:pt>
                <c:pt idx="141">
                  <c:v>8.2366805438098112</c:v>
                </c:pt>
                <c:pt idx="142">
                  <c:v>8.4328025747637234</c:v>
                </c:pt>
                <c:pt idx="143">
                  <c:v>8.4328025747637234</c:v>
                </c:pt>
                <c:pt idx="144">
                  <c:v>8.7073734180991984</c:v>
                </c:pt>
                <c:pt idx="145">
                  <c:v>18.513474965794792</c:v>
                </c:pt>
                <c:pt idx="146">
                  <c:v>38.530996925157396</c:v>
                </c:pt>
                <c:pt idx="147">
                  <c:v>40.980343178404027</c:v>
                </c:pt>
                <c:pt idx="148">
                  <c:v>25.826647586698439</c:v>
                </c:pt>
                <c:pt idx="149">
                  <c:v>13.192030525911981</c:v>
                </c:pt>
                <c:pt idx="150">
                  <c:v>8.9950190634982707</c:v>
                </c:pt>
                <c:pt idx="151">
                  <c:v>8.528684456563413</c:v>
                </c:pt>
                <c:pt idx="152">
                  <c:v>8.4415191094727859</c:v>
                </c:pt>
                <c:pt idx="153">
                  <c:v>8.2802632173551238</c:v>
                </c:pt>
                <c:pt idx="154">
                  <c:v>8.306412821482315</c:v>
                </c:pt>
                <c:pt idx="155">
                  <c:v>8.2410388111643424</c:v>
                </c:pt>
                <c:pt idx="156">
                  <c:v>8.5417592586270068</c:v>
                </c:pt>
                <c:pt idx="157">
                  <c:v>8.8860623796349856</c:v>
                </c:pt>
                <c:pt idx="158">
                  <c:v>8.8817041122804543</c:v>
                </c:pt>
                <c:pt idx="159">
                  <c:v>8.4676687135999735</c:v>
                </c:pt>
                <c:pt idx="160">
                  <c:v>7.8618695513201127</c:v>
                </c:pt>
                <c:pt idx="161">
                  <c:v>7.5567908365029171</c:v>
                </c:pt>
                <c:pt idx="162">
                  <c:v>7.5698656385665117</c:v>
                </c:pt>
                <c:pt idx="163">
                  <c:v>8.2279640091007487</c:v>
                </c:pt>
                <c:pt idx="164">
                  <c:v>9.0778261432343648</c:v>
                </c:pt>
                <c:pt idx="165">
                  <c:v>9.2172906985793706</c:v>
                </c:pt>
                <c:pt idx="166">
                  <c:v>8.7422395569354503</c:v>
                </c:pt>
                <c:pt idx="167">
                  <c:v>8.2715466826460631</c:v>
                </c:pt>
                <c:pt idx="168">
                  <c:v>8.0362002455013695</c:v>
                </c:pt>
                <c:pt idx="169">
                  <c:v>8.0884994537557446</c:v>
                </c:pt>
                <c:pt idx="170">
                  <c:v>8.180023068200903</c:v>
                </c:pt>
                <c:pt idx="171">
                  <c:v>8.2802632173551238</c:v>
                </c:pt>
                <c:pt idx="172">
                  <c:v>8.8511962407987355</c:v>
                </c:pt>
                <c:pt idx="173">
                  <c:v>9.9146134753043906</c:v>
                </c:pt>
                <c:pt idx="174">
                  <c:v>10.049719763294862</c:v>
                </c:pt>
                <c:pt idx="175">
                  <c:v>10.341723676048465</c:v>
                </c:pt>
                <c:pt idx="176">
                  <c:v>10.681668529701911</c:v>
                </c:pt>
                <c:pt idx="177">
                  <c:v>10.141243377740022</c:v>
                </c:pt>
                <c:pt idx="178">
                  <c:v>9.4918615419148473</c:v>
                </c:pt>
                <c:pt idx="179">
                  <c:v>9.4221292642423453</c:v>
                </c:pt>
                <c:pt idx="180">
                  <c:v>9.1301253514887435</c:v>
                </c:pt>
                <c:pt idx="181">
                  <c:v>8.5112513871452879</c:v>
                </c:pt>
                <c:pt idx="182">
                  <c:v>8.1059325231738697</c:v>
                </c:pt>
                <c:pt idx="183">
                  <c:v>8.2671884152915318</c:v>
                </c:pt>
                <c:pt idx="184">
                  <c:v>24.083340644885887</c:v>
                </c:pt>
                <c:pt idx="185">
                  <c:v>56.55243243614462</c:v>
                </c:pt>
                <c:pt idx="186">
                  <c:v>63.521301936040295</c:v>
                </c:pt>
                <c:pt idx="187">
                  <c:v>44.379791714938484</c:v>
                </c:pt>
                <c:pt idx="188">
                  <c:v>20.160900025807649</c:v>
                </c:pt>
                <c:pt idx="189">
                  <c:v>10.319932339275809</c:v>
                </c:pt>
                <c:pt idx="190">
                  <c:v>8.0492750475649615</c:v>
                </c:pt>
                <c:pt idx="191">
                  <c:v>8.0144089087287114</c:v>
                </c:pt>
                <c:pt idx="192">
                  <c:v>8.0362002455013695</c:v>
                </c:pt>
                <c:pt idx="193">
                  <c:v>8.0013341066651158</c:v>
                </c:pt>
                <c:pt idx="194">
                  <c:v>7.9272435616380834</c:v>
                </c:pt>
                <c:pt idx="195">
                  <c:v>7.8749443533837074</c:v>
                </c:pt>
                <c:pt idx="196">
                  <c:v>7.9403183637016781</c:v>
                </c:pt>
                <c:pt idx="197">
                  <c:v>8.0797829190466821</c:v>
                </c:pt>
                <c:pt idx="198">
                  <c:v>8.1364403946555903</c:v>
                </c:pt>
                <c:pt idx="199">
                  <c:v>8.0710663843376196</c:v>
                </c:pt>
                <c:pt idx="200">
                  <c:v>7.9490348984107406</c:v>
                </c:pt>
                <c:pt idx="201">
                  <c:v>7.8793026207382395</c:v>
                </c:pt>
                <c:pt idx="202">
                  <c:v>7.853153016611051</c:v>
                </c:pt>
                <c:pt idx="203">
                  <c:v>7.8400782145474572</c:v>
                </c:pt>
                <c:pt idx="204">
                  <c:v>7.9533931657652719</c:v>
                </c:pt>
                <c:pt idx="205">
                  <c:v>8.1146490578829322</c:v>
                </c:pt>
                <c:pt idx="206">
                  <c:v>8.0928577211102759</c:v>
                </c:pt>
                <c:pt idx="207">
                  <c:v>7.9446766310562085</c:v>
                </c:pt>
                <c:pt idx="208">
                  <c:v>7.8662278186746439</c:v>
                </c:pt>
                <c:pt idx="209">
                  <c:v>7.8575112839655814</c:v>
                </c:pt>
                <c:pt idx="210">
                  <c:v>7.8749443533837074</c:v>
                </c:pt>
                <c:pt idx="211">
                  <c:v>7.9054522248654271</c:v>
                </c:pt>
                <c:pt idx="212">
                  <c:v>7.9185270269290209</c:v>
                </c:pt>
                <c:pt idx="213">
                  <c:v>7.9751845025379291</c:v>
                </c:pt>
                <c:pt idx="214">
                  <c:v>8.2236057417462174</c:v>
                </c:pt>
                <c:pt idx="215">
                  <c:v>8.336920692964032</c:v>
                </c:pt>
                <c:pt idx="216">
                  <c:v>8.3979364359274733</c:v>
                </c:pt>
                <c:pt idx="217">
                  <c:v>8.2715466826460631</c:v>
                </c:pt>
                <c:pt idx="218">
                  <c:v>8.1538734640737154</c:v>
                </c:pt>
                <c:pt idx="219">
                  <c:v>8.0797829190466821</c:v>
                </c:pt>
                <c:pt idx="220">
                  <c:v>8.0710663843376196</c:v>
                </c:pt>
                <c:pt idx="221">
                  <c:v>8.0797829190466821</c:v>
                </c:pt>
                <c:pt idx="222">
                  <c:v>8.0754246516921508</c:v>
                </c:pt>
                <c:pt idx="223">
                  <c:v>8.0710663843376196</c:v>
                </c:pt>
                <c:pt idx="224">
                  <c:v>8.0536333149194945</c:v>
                </c:pt>
                <c:pt idx="225">
                  <c:v>8.0972159884648072</c:v>
                </c:pt>
                <c:pt idx="226">
                  <c:v>8.2148892070371549</c:v>
                </c:pt>
                <c:pt idx="227">
                  <c:v>8.319487623545907</c:v>
                </c:pt>
                <c:pt idx="228">
                  <c:v>8.3674285644457527</c:v>
                </c:pt>
                <c:pt idx="229">
                  <c:v>8.2802632173551238</c:v>
                </c:pt>
                <c:pt idx="230">
                  <c:v>8.2061726723280906</c:v>
                </c:pt>
                <c:pt idx="231">
                  <c:v>8.1451569293646529</c:v>
                </c:pt>
                <c:pt idx="232">
                  <c:v>8.110290790528401</c:v>
                </c:pt>
                <c:pt idx="233">
                  <c:v>8.1190073252374653</c:v>
                </c:pt>
                <c:pt idx="234">
                  <c:v>8.1364403946555903</c:v>
                </c:pt>
                <c:pt idx="235">
                  <c:v>8.1451569293646529</c:v>
                </c:pt>
                <c:pt idx="236">
                  <c:v>8.180023068200903</c:v>
                </c:pt>
                <c:pt idx="237">
                  <c:v>8.2018144049735611</c:v>
                </c:pt>
                <c:pt idx="238">
                  <c:v>8.249755345873405</c:v>
                </c:pt>
                <c:pt idx="239">
                  <c:v>8.3325624256095026</c:v>
                </c:pt>
                <c:pt idx="240">
                  <c:v>8.3587120297366901</c:v>
                </c:pt>
                <c:pt idx="241">
                  <c:v>8.4633104462454423</c:v>
                </c:pt>
                <c:pt idx="242">
                  <c:v>8.5199679218543523</c:v>
                </c:pt>
                <c:pt idx="243">
                  <c:v>8.5635505953996649</c:v>
                </c:pt>
                <c:pt idx="244">
                  <c:v>8.5548340606906024</c:v>
                </c:pt>
                <c:pt idx="245">
                  <c:v>8.4981765850816942</c:v>
                </c:pt>
                <c:pt idx="246">
                  <c:v>8.4720269809545066</c:v>
                </c:pt>
                <c:pt idx="247">
                  <c:v>8.4197277727001278</c:v>
                </c:pt>
                <c:pt idx="248">
                  <c:v>8.3848616338638777</c:v>
                </c:pt>
                <c:pt idx="249">
                  <c:v>8.3717868318002839</c:v>
                </c:pt>
                <c:pt idx="250">
                  <c:v>8.4110112379910653</c:v>
                </c:pt>
                <c:pt idx="251">
                  <c:v>8.4415191094727859</c:v>
                </c:pt>
                <c:pt idx="252">
                  <c:v>8.458952178890911</c:v>
                </c:pt>
                <c:pt idx="253">
                  <c:v>8.4502356441818485</c:v>
                </c:pt>
                <c:pt idx="254">
                  <c:v>8.4676687135999735</c:v>
                </c:pt>
                <c:pt idx="255">
                  <c:v>8.4633104462454423</c:v>
                </c:pt>
                <c:pt idx="256">
                  <c:v>8.5025348524362254</c:v>
                </c:pt>
                <c:pt idx="257">
                  <c:v>8.5591923280451319</c:v>
                </c:pt>
                <c:pt idx="258">
                  <c:v>8.5679088627541962</c:v>
                </c:pt>
                <c:pt idx="259">
                  <c:v>8.5548340606906024</c:v>
                </c:pt>
                <c:pt idx="260">
                  <c:v>8.5679088627541962</c:v>
                </c:pt>
                <c:pt idx="261">
                  <c:v>8.598416734235915</c:v>
                </c:pt>
                <c:pt idx="262">
                  <c:v>8.7073734180991984</c:v>
                </c:pt>
                <c:pt idx="263">
                  <c:v>8.7814639631262335</c:v>
                </c:pt>
                <c:pt idx="264">
                  <c:v>8.7988970325443603</c:v>
                </c:pt>
                <c:pt idx="265">
                  <c:v>8.8424797060896729</c:v>
                </c:pt>
                <c:pt idx="266">
                  <c:v>8.7814639631262335</c:v>
                </c:pt>
                <c:pt idx="267">
                  <c:v>8.7596726263535771</c:v>
                </c:pt>
                <c:pt idx="268">
                  <c:v>8.7248064875173252</c:v>
                </c:pt>
                <c:pt idx="269">
                  <c:v>8.7030151507446689</c:v>
                </c:pt>
                <c:pt idx="270">
                  <c:v>8.6855820813265439</c:v>
                </c:pt>
                <c:pt idx="271">
                  <c:v>8.6812238139720108</c:v>
                </c:pt>
                <c:pt idx="272">
                  <c:v>8.7030151507446689</c:v>
                </c:pt>
                <c:pt idx="273">
                  <c:v>8.7465978242899816</c:v>
                </c:pt>
                <c:pt idx="274">
                  <c:v>8.790180497835296</c:v>
                </c:pt>
                <c:pt idx="275">
                  <c:v>8.8119718346079523</c:v>
                </c:pt>
                <c:pt idx="276">
                  <c:v>8.8119718346079523</c:v>
                </c:pt>
                <c:pt idx="277">
                  <c:v>8.8119718346079523</c:v>
                </c:pt>
                <c:pt idx="278">
                  <c:v>8.8381214387351399</c:v>
                </c:pt>
                <c:pt idx="279">
                  <c:v>8.8947789143440499</c:v>
                </c:pt>
                <c:pt idx="280">
                  <c:v>8.9645111920165519</c:v>
                </c:pt>
                <c:pt idx="281">
                  <c:v>9.0168104002709271</c:v>
                </c:pt>
                <c:pt idx="282">
                  <c:v>9.0429600043981146</c:v>
                </c:pt>
                <c:pt idx="283">
                  <c:v>9.0429600043981146</c:v>
                </c:pt>
                <c:pt idx="284">
                  <c:v>9.0429600043981146</c:v>
                </c:pt>
                <c:pt idx="285">
                  <c:v>9.0429600043981146</c:v>
                </c:pt>
                <c:pt idx="286">
                  <c:v>9.0734678758798353</c:v>
                </c:pt>
                <c:pt idx="287">
                  <c:v>9.0865426779434291</c:v>
                </c:pt>
                <c:pt idx="288">
                  <c:v>9.0996174800070229</c:v>
                </c:pt>
                <c:pt idx="289">
                  <c:v>9.1170505494251479</c:v>
                </c:pt>
                <c:pt idx="290">
                  <c:v>9.138841886197806</c:v>
                </c:pt>
                <c:pt idx="291">
                  <c:v>9.1475584209068685</c:v>
                </c:pt>
                <c:pt idx="292">
                  <c:v>9.1824245597431187</c:v>
                </c:pt>
                <c:pt idx="293">
                  <c:v>9.2913812436064056</c:v>
                </c:pt>
                <c:pt idx="294">
                  <c:v>9.3785465906970309</c:v>
                </c:pt>
                <c:pt idx="295">
                  <c:v>9.400337927469689</c:v>
                </c:pt>
                <c:pt idx="296">
                  <c:v>9.4787867398512518</c:v>
                </c:pt>
                <c:pt idx="297">
                  <c:v>9.4352040663059391</c:v>
                </c:pt>
                <c:pt idx="298">
                  <c:v>9.3654717886334353</c:v>
                </c:pt>
                <c:pt idx="299">
                  <c:v>9.3349639171517182</c:v>
                </c:pt>
                <c:pt idx="300">
                  <c:v>9.3306056497971852</c:v>
                </c:pt>
                <c:pt idx="301">
                  <c:v>9.3654717886334353</c:v>
                </c:pt>
                <c:pt idx="302">
                  <c:v>9.4221292642423453</c:v>
                </c:pt>
                <c:pt idx="303">
                  <c:v>9.4962198092693786</c:v>
                </c:pt>
                <c:pt idx="304">
                  <c:v>9.5398024828146912</c:v>
                </c:pt>
                <c:pt idx="305">
                  <c:v>9.6051764931326638</c:v>
                </c:pt>
                <c:pt idx="306">
                  <c:v>9.6836253055142283</c:v>
                </c:pt>
                <c:pt idx="307">
                  <c:v>9.7446410484776678</c:v>
                </c:pt>
                <c:pt idx="308">
                  <c:v>9.7707906526048554</c:v>
                </c:pt>
                <c:pt idx="309">
                  <c:v>9.7751489199593866</c:v>
                </c:pt>
                <c:pt idx="310">
                  <c:v>9.7838654546684474</c:v>
                </c:pt>
                <c:pt idx="311">
                  <c:v>9.7925819893775135</c:v>
                </c:pt>
                <c:pt idx="312">
                  <c:v>9.814373326150168</c:v>
                </c:pt>
                <c:pt idx="313">
                  <c:v>9.8928221385317343</c:v>
                </c:pt>
                <c:pt idx="314">
                  <c:v>9.9712709509132971</c:v>
                </c:pt>
                <c:pt idx="315">
                  <c:v>10.023570159167674</c:v>
                </c:pt>
                <c:pt idx="316">
                  <c:v>10.067152832712987</c:v>
                </c:pt>
                <c:pt idx="317">
                  <c:v>10.080227634776582</c:v>
                </c:pt>
                <c:pt idx="318">
                  <c:v>10.097660704194709</c:v>
                </c:pt>
                <c:pt idx="319">
                  <c:v>10.13688511038549</c:v>
                </c:pt>
                <c:pt idx="320">
                  <c:v>10.163034714512678</c:v>
                </c:pt>
                <c:pt idx="321">
                  <c:v>10.189184318639866</c:v>
                </c:pt>
                <c:pt idx="322">
                  <c:v>10.263274863666901</c:v>
                </c:pt>
                <c:pt idx="323">
                  <c:v>10.315574071921278</c:v>
                </c:pt>
                <c:pt idx="324">
                  <c:v>10.38530634959378</c:v>
                </c:pt>
                <c:pt idx="325">
                  <c:v>10.472471696684408</c:v>
                </c:pt>
                <c:pt idx="326">
                  <c:v>10.537845707002377</c:v>
                </c:pt>
                <c:pt idx="327">
                  <c:v>10.585786647902221</c:v>
                </c:pt>
                <c:pt idx="328">
                  <c:v>10.616294519383942</c:v>
                </c:pt>
                <c:pt idx="329">
                  <c:v>10.651160658220194</c:v>
                </c:pt>
                <c:pt idx="330">
                  <c:v>10.694743331765505</c:v>
                </c:pt>
                <c:pt idx="331">
                  <c:v>10.738326005310821</c:v>
                </c:pt>
                <c:pt idx="332">
                  <c:v>10.808058282983323</c:v>
                </c:pt>
                <c:pt idx="333">
                  <c:v>10.873432293301292</c:v>
                </c:pt>
                <c:pt idx="334">
                  <c:v>10.956239373037388</c:v>
                </c:pt>
                <c:pt idx="335">
                  <c:v>11.065196056900673</c:v>
                </c:pt>
                <c:pt idx="336">
                  <c:v>11.169794473409427</c:v>
                </c:pt>
                <c:pt idx="337">
                  <c:v>11.270034622563648</c:v>
                </c:pt>
                <c:pt idx="338">
                  <c:v>11.3746330390724</c:v>
                </c:pt>
                <c:pt idx="339">
                  <c:v>11.487947990290216</c:v>
                </c:pt>
                <c:pt idx="340">
                  <c:v>11.579471604735376</c:v>
                </c:pt>
                <c:pt idx="341">
                  <c:v>11.692786555953191</c:v>
                </c:pt>
                <c:pt idx="342">
                  <c:v>11.793026705107414</c:v>
                </c:pt>
                <c:pt idx="343">
                  <c:v>11.888908586907103</c:v>
                </c:pt>
                <c:pt idx="344">
                  <c:v>11.97607393399773</c:v>
                </c:pt>
                <c:pt idx="345">
                  <c:v>12.119896756697264</c:v>
                </c:pt>
                <c:pt idx="346">
                  <c:v>12.259361312042268</c:v>
                </c:pt>
                <c:pt idx="347">
                  <c:v>12.381392797969148</c:v>
                </c:pt>
                <c:pt idx="348">
                  <c:v>12.459841610350713</c:v>
                </c:pt>
                <c:pt idx="349">
                  <c:v>12.525215620668682</c:v>
                </c:pt>
                <c:pt idx="350">
                  <c:v>12.664680176013686</c:v>
                </c:pt>
                <c:pt idx="351">
                  <c:v>12.830294335485879</c:v>
                </c:pt>
                <c:pt idx="352">
                  <c:v>12.921817949931039</c:v>
                </c:pt>
                <c:pt idx="353">
                  <c:v>12.969758890830885</c:v>
                </c:pt>
                <c:pt idx="354">
                  <c:v>12.987191960249008</c:v>
                </c:pt>
                <c:pt idx="355">
                  <c:v>13.048207703212448</c:v>
                </c:pt>
                <c:pt idx="356">
                  <c:v>13.148447852366671</c:v>
                </c:pt>
              </c:numCache>
            </c:numRef>
          </c:yVal>
          <c:smooth val="1"/>
          <c:extLst>
            <c:ext xmlns:c16="http://schemas.microsoft.com/office/drawing/2014/chart" uri="{C3380CC4-5D6E-409C-BE32-E72D297353CC}">
              <c16:uniqueId val="{00000001-E192-4130-B7D2-7905CBA103B5}"/>
            </c:ext>
          </c:extLst>
        </c:ser>
        <c:ser>
          <c:idx val="4"/>
          <c:order val="4"/>
          <c:tx>
            <c:v>Labels</c:v>
          </c:tx>
          <c:spPr>
            <a:ln w="19050" cap="rnd">
              <a:noFill/>
              <a:round/>
            </a:ln>
            <a:effectLst/>
          </c:spPr>
          <c:marker>
            <c:symbol val="none"/>
          </c:marker>
          <c:dLbls>
            <c:dLbl>
              <c:idx val="0"/>
              <c:tx>
                <c:rich>
                  <a:bodyPr/>
                  <a:lstStyle/>
                  <a:p>
                    <a:fld id="{9F428952-CC34-49AB-A4B2-1BB466A0F3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C299-411D-8491-5FA2C4AD30BB}"/>
                </c:ext>
              </c:extLst>
            </c:dLbl>
            <c:dLbl>
              <c:idx val="1"/>
              <c:tx>
                <c:rich>
                  <a:bodyPr/>
                  <a:lstStyle/>
                  <a:p>
                    <a:fld id="{FB3730E9-2CE2-4440-9238-FE7051D9DF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299-411D-8491-5FA2C4AD30BB}"/>
                </c:ext>
              </c:extLst>
            </c:dLbl>
            <c:dLbl>
              <c:idx val="2"/>
              <c:tx>
                <c:rich>
                  <a:bodyPr/>
                  <a:lstStyle/>
                  <a:p>
                    <a:fld id="{E98A7BA4-C998-49E3-8D84-6650434A64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299-411D-8491-5FA2C4AD30BB}"/>
                </c:ext>
              </c:extLst>
            </c:dLbl>
            <c:dLbl>
              <c:idx val="3"/>
              <c:tx>
                <c:rich>
                  <a:bodyPr/>
                  <a:lstStyle/>
                  <a:p>
                    <a:fld id="{DC0E9886-B171-4DC5-B2EC-8BF4D27A3D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299-411D-8491-5FA2C4AD30BB}"/>
                </c:ext>
              </c:extLst>
            </c:dLbl>
            <c:dLbl>
              <c:idx val="4"/>
              <c:tx>
                <c:rich>
                  <a:bodyPr/>
                  <a:lstStyle/>
                  <a:p>
                    <a:fld id="{990B7CDD-B26B-4BA8-956C-ED349FFFE8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299-411D-8491-5FA2C4AD30BB}"/>
                </c:ext>
              </c:extLst>
            </c:dLbl>
            <c:dLbl>
              <c:idx val="5"/>
              <c:tx>
                <c:rich>
                  <a:bodyPr/>
                  <a:lstStyle/>
                  <a:p>
                    <a:fld id="{0D62FD7C-0838-43CC-958D-FBE4F06D30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299-411D-8491-5FA2C4AD30BB}"/>
                </c:ext>
              </c:extLst>
            </c:dLbl>
            <c:dLbl>
              <c:idx val="6"/>
              <c:tx>
                <c:rich>
                  <a:bodyPr/>
                  <a:lstStyle/>
                  <a:p>
                    <a:fld id="{447B6085-FDAC-4667-9123-9341A09DB2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299-411D-8491-5FA2C4AD30BB}"/>
                </c:ext>
              </c:extLst>
            </c:dLbl>
            <c:dLbl>
              <c:idx val="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C299-411D-8491-5FA2C4AD30BB}"/>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C299-411D-8491-5FA2C4AD30BB}"/>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C299-411D-8491-5FA2C4AD30BB}"/>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C299-411D-8491-5FA2C4AD30BB}"/>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C299-411D-8491-5FA2C4AD30BB}"/>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C299-411D-8491-5FA2C4AD30BB}"/>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C299-411D-8491-5FA2C4AD30BB}"/>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C299-411D-8491-5FA2C4AD30BB}"/>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C299-411D-8491-5FA2C4AD30BB}"/>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C299-411D-8491-5FA2C4AD30BB}"/>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C299-411D-8491-5FA2C4AD30BB}"/>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C299-411D-8491-5FA2C4AD30BB}"/>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C299-411D-8491-5FA2C4AD30BB}"/>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C299-411D-8491-5FA2C4AD30BB}"/>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C299-411D-8491-5FA2C4AD30BB}"/>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C299-411D-8491-5FA2C4AD30BB}"/>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C299-411D-8491-5FA2C4AD30BB}"/>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C299-411D-8491-5FA2C4AD30BB}"/>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C299-411D-8491-5FA2C4AD30BB}"/>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C299-411D-8491-5FA2C4AD30BB}"/>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C299-411D-8491-5FA2C4AD30BB}"/>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C299-411D-8491-5FA2C4AD30BB}"/>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C299-411D-8491-5FA2C4AD30BB}"/>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C299-411D-8491-5FA2C4AD30BB}"/>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C299-411D-8491-5FA2C4AD30BB}"/>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C299-411D-8491-5FA2C4AD30BB}"/>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C299-411D-8491-5FA2C4AD30BB}"/>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C299-411D-8491-5FA2C4AD30BB}"/>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C299-411D-8491-5FA2C4AD30BB}"/>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C299-411D-8491-5FA2C4AD30BB}"/>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C299-411D-8491-5FA2C4AD30BB}"/>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C299-411D-8491-5FA2C4AD30BB}"/>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C299-411D-8491-5FA2C4AD30BB}"/>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C299-411D-8491-5FA2C4AD30BB}"/>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C299-411D-8491-5FA2C4AD30BB}"/>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C299-411D-8491-5FA2C4AD30BB}"/>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C299-411D-8491-5FA2C4AD30BB}"/>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C299-411D-8491-5FA2C4AD30BB}"/>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C299-411D-8491-5FA2C4AD30BB}"/>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C299-411D-8491-5FA2C4AD30BB}"/>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C299-411D-8491-5FA2C4AD30BB}"/>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C299-411D-8491-5FA2C4AD30BB}"/>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C299-411D-8491-5FA2C4AD30BB}"/>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C299-411D-8491-5FA2C4AD30BB}"/>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C299-411D-8491-5FA2C4AD30BB}"/>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C299-411D-8491-5FA2C4AD30BB}"/>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C299-411D-8491-5FA2C4AD30BB}"/>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C299-411D-8491-5FA2C4AD30BB}"/>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C299-411D-8491-5FA2C4AD30BB}"/>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C299-411D-8491-5FA2C4AD30BB}"/>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C299-411D-8491-5FA2C4AD30BB}"/>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C299-411D-8491-5FA2C4AD30BB}"/>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C299-411D-8491-5FA2C4AD30BB}"/>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C299-411D-8491-5FA2C4AD30BB}"/>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C299-411D-8491-5FA2C4AD30BB}"/>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C299-411D-8491-5FA2C4AD30BB}"/>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C299-411D-8491-5FA2C4AD30BB}"/>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C299-411D-8491-5FA2C4AD30BB}"/>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C299-411D-8491-5FA2C4AD30BB}"/>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C299-411D-8491-5FA2C4AD30BB}"/>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C299-411D-8491-5FA2C4AD30BB}"/>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C299-411D-8491-5FA2C4AD30BB}"/>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C299-411D-8491-5FA2C4AD30BB}"/>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C299-411D-8491-5FA2C4AD30BB}"/>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C299-411D-8491-5FA2C4AD30BB}"/>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C299-411D-8491-5FA2C4AD30BB}"/>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C299-411D-8491-5FA2C4AD30BB}"/>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C299-411D-8491-5FA2C4AD30BB}"/>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C299-411D-8491-5FA2C4AD30BB}"/>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C299-411D-8491-5FA2C4AD30BB}"/>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C299-411D-8491-5FA2C4AD30BB}"/>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C299-411D-8491-5FA2C4AD30BB}"/>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C299-411D-8491-5FA2C4AD30BB}"/>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C299-411D-8491-5FA2C4AD30BB}"/>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C299-411D-8491-5FA2C4AD30BB}"/>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C299-411D-8491-5FA2C4AD30BB}"/>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C299-411D-8491-5FA2C4AD30BB}"/>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C299-411D-8491-5FA2C4AD30BB}"/>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C299-411D-8491-5FA2C4AD30BB}"/>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C299-411D-8491-5FA2C4AD30BB}"/>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C299-411D-8491-5FA2C4AD30BB}"/>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C299-411D-8491-5FA2C4AD30BB}"/>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C299-411D-8491-5FA2C4AD30BB}"/>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C299-411D-8491-5FA2C4AD30BB}"/>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C299-411D-8491-5FA2C4AD30BB}"/>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C299-411D-8491-5FA2C4AD30BB}"/>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C299-411D-8491-5FA2C4AD30BB}"/>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C299-411D-8491-5FA2C4AD30BB}"/>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C299-411D-8491-5FA2C4AD30BB}"/>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C299-411D-8491-5FA2C4AD30BB}"/>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C299-411D-8491-5FA2C4AD30BB}"/>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C299-411D-8491-5FA2C4AD30BB}"/>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C299-411D-8491-5FA2C4AD30BB}"/>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1.0410649999999999</c:v>
                </c:pt>
                <c:pt idx="1">
                  <c:v>2.631443</c:v>
                </c:pt>
                <c:pt idx="2">
                  <c:v>3.6893760000000002</c:v>
                </c:pt>
                <c:pt idx="3">
                  <c:v>4.4176849999999996</c:v>
                </c:pt>
                <c:pt idx="4">
                  <c:v>5.4606690000000002</c:v>
                </c:pt>
                <c:pt idx="5">
                  <c:v>6.2618320000000001</c:v>
                </c:pt>
                <c:pt idx="6">
                  <c:v>8.5605089999999997</c:v>
                </c:pt>
              </c:numCache>
            </c:numRef>
          </c:xVal>
          <c:yVal>
            <c:numRef>
              <c:f>Peaks!$R$5:$R$104</c:f>
              <c:numCache>
                <c:formatCode>0.0</c:formatCode>
                <c:ptCount val="100"/>
                <c:pt idx="0">
                  <c:v>38.727756953822386</c:v>
                </c:pt>
                <c:pt idx="1">
                  <c:v>74.055602646701445</c:v>
                </c:pt>
                <c:pt idx="2">
                  <c:v>20.84671670861897</c:v>
                </c:pt>
                <c:pt idx="3">
                  <c:v>70.444900673492924</c:v>
                </c:pt>
                <c:pt idx="4">
                  <c:v>100</c:v>
                </c:pt>
                <c:pt idx="5">
                  <c:v>26.48719675898322</c:v>
                </c:pt>
                <c:pt idx="6">
                  <c:v>72.964307776270132</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15:dlblRangeCache>
              </c15:datalabelsRange>
            </c:ext>
            <c:ext xmlns:c16="http://schemas.microsoft.com/office/drawing/2014/chart" uri="{C3380CC4-5D6E-409C-BE32-E72D297353CC}">
              <c16:uniqueId val="{00000002-E192-4130-B7D2-7905CBA103B5}"/>
            </c:ext>
          </c:extLst>
        </c:ser>
        <c:dLbls>
          <c:showLegendKey val="0"/>
          <c:showVal val="0"/>
          <c:showCatName val="0"/>
          <c:showSerName val="0"/>
          <c:showPercent val="0"/>
          <c:showBubbleSize val="0"/>
        </c:dLbls>
        <c:axId val="1816219616"/>
        <c:axId val="1816224512"/>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E192-4130-B7D2-7905CBA103B5}"/>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E192-4130-B7D2-7905CBA103B5}"/>
            </c:ext>
          </c:extLst>
        </c:ser>
        <c:dLbls>
          <c:showLegendKey val="0"/>
          <c:showVal val="0"/>
          <c:showCatName val="0"/>
          <c:showSerName val="0"/>
          <c:showPercent val="0"/>
          <c:showBubbleSize val="0"/>
        </c:dLbls>
        <c:axId val="1816225600"/>
        <c:axId val="1816217440"/>
      </c:scatterChart>
      <c:valAx>
        <c:axId val="18162196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4512"/>
        <c:crosses val="autoZero"/>
        <c:crossBetween val="midCat"/>
        <c:majorUnit val="0.5"/>
      </c:valAx>
      <c:valAx>
        <c:axId val="1816224512"/>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9616"/>
        <c:crosses val="autoZero"/>
        <c:crossBetween val="midCat"/>
        <c:majorUnit val="20"/>
        <c:minorUnit val="5"/>
      </c:valAx>
      <c:valAx>
        <c:axId val="1816217440"/>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25600"/>
        <c:crosses val="max"/>
        <c:crossBetween val="midCat"/>
        <c:minorUnit val="5"/>
      </c:valAx>
      <c:valAx>
        <c:axId val="1816225600"/>
        <c:scaling>
          <c:orientation val="minMax"/>
        </c:scaling>
        <c:delete val="1"/>
        <c:axPos val="b"/>
        <c:numFmt formatCode="General" sourceLinked="1"/>
        <c:majorTickMark val="out"/>
        <c:minorTickMark val="none"/>
        <c:tickLblPos val="nextTo"/>
        <c:crossAx val="181621744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42.519634246826172</c:v>
                </c:pt>
                <c:pt idx="1">
                  <c:v>45.231914520263672</c:v>
                </c:pt>
                <c:pt idx="2">
                  <c:v>47.565940856933594</c:v>
                </c:pt>
                <c:pt idx="3">
                  <c:v>49.828319549560547</c:v>
                </c:pt>
                <c:pt idx="4">
                  <c:v>52.125213623046875</c:v>
                </c:pt>
                <c:pt idx="5">
                  <c:v>54.285453796386719</c:v>
                </c:pt>
                <c:pt idx="6">
                  <c:v>56.566947937011719</c:v>
                </c:pt>
                <c:pt idx="7">
                  <c:v>58.388450622558594</c:v>
                </c:pt>
                <c:pt idx="8">
                  <c:v>59.295761108398438</c:v>
                </c:pt>
                <c:pt idx="9">
                  <c:v>58.979148864746094</c:v>
                </c:pt>
                <c:pt idx="10">
                  <c:v>57.431575775146484</c:v>
                </c:pt>
                <c:pt idx="11">
                  <c:v>54.598590850830078</c:v>
                </c:pt>
                <c:pt idx="12">
                  <c:v>50.616008758544922</c:v>
                </c:pt>
                <c:pt idx="13">
                  <c:v>46.122188568115234</c:v>
                </c:pt>
                <c:pt idx="14">
                  <c:v>41.764686584472656</c:v>
                </c:pt>
                <c:pt idx="15">
                  <c:v>38.527557373046875</c:v>
                </c:pt>
                <c:pt idx="16">
                  <c:v>37.365257263183594</c:v>
                </c:pt>
                <c:pt idx="17">
                  <c:v>38.510078430175781</c:v>
                </c:pt>
                <c:pt idx="18">
                  <c:v>41.975467681884766</c:v>
                </c:pt>
                <c:pt idx="19">
                  <c:v>47.68365478515625</c:v>
                </c:pt>
                <c:pt idx="20">
                  <c:v>55.088260650634766</c:v>
                </c:pt>
                <c:pt idx="21">
                  <c:v>63.822109222412109</c:v>
                </c:pt>
                <c:pt idx="22">
                  <c:v>73.21929931640625</c:v>
                </c:pt>
                <c:pt idx="23">
                  <c:v>82.201301574707031</c:v>
                </c:pt>
                <c:pt idx="24">
                  <c:v>90.616744995117188</c:v>
                </c:pt>
                <c:pt idx="25">
                  <c:v>96.794242858886719</c:v>
                </c:pt>
                <c:pt idx="26">
                  <c:v>100</c:v>
                </c:pt>
                <c:pt idx="27">
                  <c:v>99.172607421875</c:v>
                </c:pt>
                <c:pt idx="28">
                  <c:v>94.263420104980469</c:v>
                </c:pt>
                <c:pt idx="29">
                  <c:v>87.219505310058594</c:v>
                </c:pt>
                <c:pt idx="30">
                  <c:v>80.031326293945313</c:v>
                </c:pt>
                <c:pt idx="31">
                  <c:v>74.509445190429688</c:v>
                </c:pt>
                <c:pt idx="32">
                  <c:v>70.89837646484375</c:v>
                </c:pt>
                <c:pt idx="33">
                  <c:v>68.685585021972656</c:v>
                </c:pt>
                <c:pt idx="34">
                  <c:v>66.81646728515625</c:v>
                </c:pt>
                <c:pt idx="35">
                  <c:v>64.568931579589844</c:v>
                </c:pt>
                <c:pt idx="36">
                  <c:v>61.502025604248047</c:v>
                </c:pt>
                <c:pt idx="37">
                  <c:v>57.204578399658203</c:v>
                </c:pt>
                <c:pt idx="38">
                  <c:v>52.039913177490234</c:v>
                </c:pt>
                <c:pt idx="39">
                  <c:v>46.427558898925781</c:v>
                </c:pt>
                <c:pt idx="40">
                  <c:v>40.971111297607422</c:v>
                </c:pt>
                <c:pt idx="41">
                  <c:v>36.305850982666016</c:v>
                </c:pt>
                <c:pt idx="42">
                  <c:v>32.863803863525391</c:v>
                </c:pt>
                <c:pt idx="43">
                  <c:v>30.707721710205078</c:v>
                </c:pt>
                <c:pt idx="44">
                  <c:v>29.726972579956055</c:v>
                </c:pt>
                <c:pt idx="45">
                  <c:v>29.384273529052734</c:v>
                </c:pt>
                <c:pt idx="46">
                  <c:v>29.284149169921875</c:v>
                </c:pt>
                <c:pt idx="47">
                  <c:v>29.323070526123047</c:v>
                </c:pt>
                <c:pt idx="48">
                  <c:v>29.238170623779297</c:v>
                </c:pt>
                <c:pt idx="49">
                  <c:v>28.964925765991211</c:v>
                </c:pt>
                <c:pt idx="50">
                  <c:v>28.352787017822266</c:v>
                </c:pt>
                <c:pt idx="51">
                  <c:v>27.114151000976563</c:v>
                </c:pt>
                <c:pt idx="52">
                  <c:v>25.556600570678711</c:v>
                </c:pt>
                <c:pt idx="53">
                  <c:v>23.961700439453125</c:v>
                </c:pt>
                <c:pt idx="54">
                  <c:v>21.959999084472656</c:v>
                </c:pt>
                <c:pt idx="55">
                  <c:v>19.76353645324707</c:v>
                </c:pt>
                <c:pt idx="56">
                  <c:v>17.780796051025391</c:v>
                </c:pt>
                <c:pt idx="57">
                  <c:v>15.849370002746582</c:v>
                </c:pt>
                <c:pt idx="58">
                  <c:v>14.097014427185059</c:v>
                </c:pt>
                <c:pt idx="59">
                  <c:v>12.821404457092285</c:v>
                </c:pt>
                <c:pt idx="60">
                  <c:v>12.078629493713379</c:v>
                </c:pt>
                <c:pt idx="61">
                  <c:v>11.858976364135742</c:v>
                </c:pt>
                <c:pt idx="62">
                  <c:v>11.781952857971191</c:v>
                </c:pt>
                <c:pt idx="63">
                  <c:v>11.97901439666748</c:v>
                </c:pt>
                <c:pt idx="64">
                  <c:v>12.683222770690918</c:v>
                </c:pt>
                <c:pt idx="65">
                  <c:v>13.590354919433594</c:v>
                </c:pt>
                <c:pt idx="66">
                  <c:v>14.678684234619141</c:v>
                </c:pt>
                <c:pt idx="67">
                  <c:v>15.896632194519043</c:v>
                </c:pt>
                <c:pt idx="68">
                  <c:v>17.177221298217773</c:v>
                </c:pt>
                <c:pt idx="69">
                  <c:v>18.531936645507813</c:v>
                </c:pt>
                <c:pt idx="70">
                  <c:v>19.884082794189453</c:v>
                </c:pt>
                <c:pt idx="71">
                  <c:v>21.359033584594727</c:v>
                </c:pt>
                <c:pt idx="72">
                  <c:v>22.837791442871094</c:v>
                </c:pt>
                <c:pt idx="73">
                  <c:v>24.210206985473633</c:v>
                </c:pt>
                <c:pt idx="74">
                  <c:v>25.577245712280273</c:v>
                </c:pt>
                <c:pt idx="75">
                  <c:v>26.8946533203125</c:v>
                </c:pt>
                <c:pt idx="76">
                  <c:v>28.063568115234375</c:v>
                </c:pt>
                <c:pt idx="77">
                  <c:v>29.098793029785156</c:v>
                </c:pt>
                <c:pt idx="78">
                  <c:v>30.223676681518555</c:v>
                </c:pt>
                <c:pt idx="79">
                  <c:v>31.082328796386719</c:v>
                </c:pt>
                <c:pt idx="80">
                  <c:v>31.828134536743164</c:v>
                </c:pt>
                <c:pt idx="81">
                  <c:v>32.515968322753906</c:v>
                </c:pt>
                <c:pt idx="82">
                  <c:v>32.927616119384766</c:v>
                </c:pt>
                <c:pt idx="83">
                  <c:v>33.045131683349609</c:v>
                </c:pt>
                <c:pt idx="84">
                  <c:v>32.801605224609375</c:v>
                </c:pt>
                <c:pt idx="85">
                  <c:v>32.281269073486328</c:v>
                </c:pt>
                <c:pt idx="86">
                  <c:v>31.724714279174805</c:v>
                </c:pt>
                <c:pt idx="87">
                  <c:v>30.919609069824219</c:v>
                </c:pt>
                <c:pt idx="88">
                  <c:v>30.000770568847656</c:v>
                </c:pt>
                <c:pt idx="89">
                  <c:v>28.901931762695313</c:v>
                </c:pt>
                <c:pt idx="90">
                  <c:v>27.703475952148438</c:v>
                </c:pt>
                <c:pt idx="91">
                  <c:v>26.333671569824219</c:v>
                </c:pt>
                <c:pt idx="92">
                  <c:v>24.721733093261719</c:v>
                </c:pt>
                <c:pt idx="93">
                  <c:v>23.131479263305664</c:v>
                </c:pt>
                <c:pt idx="94">
                  <c:v>21.543062210083008</c:v>
                </c:pt>
                <c:pt idx="95">
                  <c:v>19.903974533081055</c:v>
                </c:pt>
                <c:pt idx="96">
                  <c:v>18.01777458190918</c:v>
                </c:pt>
                <c:pt idx="97">
                  <c:v>16.341360092163086</c:v>
                </c:pt>
                <c:pt idx="98">
                  <c:v>14.956707954406738</c:v>
                </c:pt>
                <c:pt idx="99">
                  <c:v>13.632462501525879</c:v>
                </c:pt>
                <c:pt idx="100">
                  <c:v>12.268256187438965</c:v>
                </c:pt>
                <c:pt idx="101">
                  <c:v>10.944210052490234</c:v>
                </c:pt>
                <c:pt idx="102">
                  <c:v>9.6584205627441406</c:v>
                </c:pt>
                <c:pt idx="103">
                  <c:v>8.4906787872314453</c:v>
                </c:pt>
                <c:pt idx="104">
                  <c:v>7.4533295631408691</c:v>
                </c:pt>
                <c:pt idx="105">
                  <c:v>6.7452049255371094</c:v>
                </c:pt>
                <c:pt idx="106">
                  <c:v>6.1705055236816406</c:v>
                </c:pt>
                <c:pt idx="107">
                  <c:v>5.397615909576416</c:v>
                </c:pt>
                <c:pt idx="108">
                  <c:v>4.7846150398254395</c:v>
                </c:pt>
                <c:pt idx="109">
                  <c:v>4.2921161651611328</c:v>
                </c:pt>
                <c:pt idx="110">
                  <c:v>3.9048750400543213</c:v>
                </c:pt>
                <c:pt idx="111">
                  <c:v>3.6704192161560059</c:v>
                </c:pt>
                <c:pt idx="112">
                  <c:v>3.3566610813140869</c:v>
                </c:pt>
                <c:pt idx="113">
                  <c:v>3.3946971893310547</c:v>
                </c:pt>
                <c:pt idx="114">
                  <c:v>3.3888776302337646</c:v>
                </c:pt>
                <c:pt idx="115">
                  <c:v>3.30545973777771</c:v>
                </c:pt>
                <c:pt idx="116">
                  <c:v>3.3337156772613525</c:v>
                </c:pt>
                <c:pt idx="117">
                  <c:v>2.9447484016418457</c:v>
                </c:pt>
                <c:pt idx="118">
                  <c:v>2.7324638366699219</c:v>
                </c:pt>
                <c:pt idx="119">
                  <c:v>2.7397212982177734</c:v>
                </c:pt>
                <c:pt idx="120">
                  <c:v>2.8149745464324951</c:v>
                </c:pt>
                <c:pt idx="121">
                  <c:v>3.0105977058410645</c:v>
                </c:pt>
                <c:pt idx="122">
                  <c:v>2.8895421028137207</c:v>
                </c:pt>
                <c:pt idx="123">
                  <c:v>2.8398008346557617</c:v>
                </c:pt>
                <c:pt idx="124">
                  <c:v>3.0755620002746582</c:v>
                </c:pt>
                <c:pt idx="125">
                  <c:v>2.7997071743011475</c:v>
                </c:pt>
                <c:pt idx="126">
                  <c:v>2.6977245807647705</c:v>
                </c:pt>
                <c:pt idx="127">
                  <c:v>2.9651272296905518</c:v>
                </c:pt>
                <c:pt idx="128">
                  <c:v>2.9065132141113281</c:v>
                </c:pt>
                <c:pt idx="129">
                  <c:v>2.852236270904541</c:v>
                </c:pt>
                <c:pt idx="130">
                  <c:v>2.9176430702209473</c:v>
                </c:pt>
                <c:pt idx="131">
                  <c:v>2.8847846984863281</c:v>
                </c:pt>
                <c:pt idx="132">
                  <c:v>2.7666497230529785</c:v>
                </c:pt>
                <c:pt idx="133">
                  <c:v>2.8451113700866699</c:v>
                </c:pt>
                <c:pt idx="134">
                  <c:v>2.7319326400756836</c:v>
                </c:pt>
                <c:pt idx="135">
                  <c:v>2.6607065200805664</c:v>
                </c:pt>
                <c:pt idx="136">
                  <c:v>3.2127704620361328</c:v>
                </c:pt>
                <c:pt idx="137">
                  <c:v>3.2951927185058594</c:v>
                </c:pt>
                <c:pt idx="138">
                  <c:v>2.8859353065490723</c:v>
                </c:pt>
                <c:pt idx="139">
                  <c:v>2.6095271110534668</c:v>
                </c:pt>
                <c:pt idx="140">
                  <c:v>2.5140056610107422</c:v>
                </c:pt>
                <c:pt idx="141">
                  <c:v>2.8479213714599609</c:v>
                </c:pt>
                <c:pt idx="142">
                  <c:v>2.878279447555542</c:v>
                </c:pt>
                <c:pt idx="143">
                  <c:v>2.6970829963684082</c:v>
                </c:pt>
                <c:pt idx="144">
                  <c:v>2.8083586692810059</c:v>
                </c:pt>
                <c:pt idx="145">
                  <c:v>2.7292110919952393</c:v>
                </c:pt>
                <c:pt idx="146">
                  <c:v>2.9688444137573242</c:v>
                </c:pt>
                <c:pt idx="147">
                  <c:v>3.1155009269714355</c:v>
                </c:pt>
                <c:pt idx="148">
                  <c:v>3.0507357120513916</c:v>
                </c:pt>
                <c:pt idx="149">
                  <c:v>2.9913032054901123</c:v>
                </c:pt>
                <c:pt idx="150">
                  <c:v>2.685112476348877</c:v>
                </c:pt>
                <c:pt idx="151">
                  <c:v>2.7384159564971924</c:v>
                </c:pt>
                <c:pt idx="152">
                  <c:v>2.7303838729858398</c:v>
                </c:pt>
                <c:pt idx="153">
                  <c:v>2.5452709197998047</c:v>
                </c:pt>
                <c:pt idx="154">
                  <c:v>2.6782972812652588</c:v>
                </c:pt>
                <c:pt idx="155">
                  <c:v>2.9744424819946289</c:v>
                </c:pt>
                <c:pt idx="156">
                  <c:v>3.0586349964141846</c:v>
                </c:pt>
                <c:pt idx="157">
                  <c:v>2.899388313293457</c:v>
                </c:pt>
                <c:pt idx="158">
                  <c:v>2.8502669334411621</c:v>
                </c:pt>
                <c:pt idx="159">
                  <c:v>2.7210021018981934</c:v>
                </c:pt>
                <c:pt idx="160">
                  <c:v>2.4814350605010986</c:v>
                </c:pt>
                <c:pt idx="161">
                  <c:v>2.3927950859069824</c:v>
                </c:pt>
                <c:pt idx="162">
                  <c:v>2.5275917053222656</c:v>
                </c:pt>
                <c:pt idx="163">
                  <c:v>2.7723362445831299</c:v>
                </c:pt>
                <c:pt idx="164">
                  <c:v>2.8139567375183105</c:v>
                </c:pt>
                <c:pt idx="165">
                  <c:v>2.8648927211761475</c:v>
                </c:pt>
                <c:pt idx="166">
                  <c:v>3.0176782608032227</c:v>
                </c:pt>
                <c:pt idx="167">
                  <c:v>2.9784696102142334</c:v>
                </c:pt>
                <c:pt idx="168">
                  <c:v>3.2686185836791992</c:v>
                </c:pt>
                <c:pt idx="169">
                  <c:v>3.0252900123596191</c:v>
                </c:pt>
                <c:pt idx="170">
                  <c:v>2.6105892658233643</c:v>
                </c:pt>
                <c:pt idx="171">
                  <c:v>2.5970256328582764</c:v>
                </c:pt>
                <c:pt idx="172">
                  <c:v>2.6354377269744873</c:v>
                </c:pt>
                <c:pt idx="173">
                  <c:v>2.6536922454833984</c:v>
                </c:pt>
                <c:pt idx="174">
                  <c:v>2.4966361522674561</c:v>
                </c:pt>
                <c:pt idx="175">
                  <c:v>2.7163333892822266</c:v>
                </c:pt>
                <c:pt idx="176">
                  <c:v>2.7350525856018066</c:v>
                </c:pt>
                <c:pt idx="177">
                  <c:v>2.6939408779144287</c:v>
                </c:pt>
                <c:pt idx="178">
                  <c:v>3.2206475734710693</c:v>
                </c:pt>
                <c:pt idx="179">
                  <c:v>3.0713579654693604</c:v>
                </c:pt>
                <c:pt idx="180">
                  <c:v>2.5570645332336426</c:v>
                </c:pt>
                <c:pt idx="181">
                  <c:v>2.5024998188018799</c:v>
                </c:pt>
                <c:pt idx="182">
                  <c:v>2.5322604179382324</c:v>
                </c:pt>
                <c:pt idx="183">
                  <c:v>2.782581090927124</c:v>
                </c:pt>
                <c:pt idx="184">
                  <c:v>2.6086642742156982</c:v>
                </c:pt>
                <c:pt idx="185">
                  <c:v>2</c:v>
                </c:pt>
                <c:pt idx="186">
                  <c:v>2.4204535484313965</c:v>
                </c:pt>
                <c:pt idx="187">
                  <c:v>2.8330080509185791</c:v>
                </c:pt>
                <c:pt idx="188">
                  <c:v>2.6617686748504639</c:v>
                </c:pt>
                <c:pt idx="189">
                  <c:v>2.8772172927856445</c:v>
                </c:pt>
                <c:pt idx="190">
                  <c:v>2.8069427013397217</c:v>
                </c:pt>
                <c:pt idx="191">
                  <c:v>2.5697875022888184</c:v>
                </c:pt>
                <c:pt idx="192">
                  <c:v>2.8263921737670898</c:v>
                </c:pt>
                <c:pt idx="193">
                  <c:v>2.9841783046722412</c:v>
                </c:pt>
                <c:pt idx="194">
                  <c:v>2.9662778377532959</c:v>
                </c:pt>
                <c:pt idx="195">
                  <c:v>2.8330302238464355</c:v>
                </c:pt>
                <c:pt idx="196">
                  <c:v>2.816058874130249</c:v>
                </c:pt>
                <c:pt idx="197">
                  <c:v>2.7407612800598145</c:v>
                </c:pt>
                <c:pt idx="198">
                  <c:v>2.7055354118347168</c:v>
                </c:pt>
                <c:pt idx="199">
                  <c:v>3.0150895118713379</c:v>
                </c:pt>
                <c:pt idx="200">
                  <c:v>2.8869974613189697</c:v>
                </c:pt>
                <c:pt idx="201">
                  <c:v>2.9580466747283936</c:v>
                </c:pt>
                <c:pt idx="202">
                  <c:v>3.0649411678314209</c:v>
                </c:pt>
                <c:pt idx="203">
                  <c:v>3.0097126960754395</c:v>
                </c:pt>
                <c:pt idx="204">
                  <c:v>2.7357163429260254</c:v>
                </c:pt>
                <c:pt idx="205">
                  <c:v>2.8205506801605225</c:v>
                </c:pt>
                <c:pt idx="206">
                  <c:v>2.7510061264038086</c:v>
                </c:pt>
                <c:pt idx="207">
                  <c:v>2.5443637371063232</c:v>
                </c:pt>
                <c:pt idx="208">
                  <c:v>2.4079298973083496</c:v>
                </c:pt>
                <c:pt idx="209">
                  <c:v>2.6063852310180664</c:v>
                </c:pt>
                <c:pt idx="210">
                  <c:v>2.8364377021789551</c:v>
                </c:pt>
                <c:pt idx="211">
                  <c:v>2.6194841861724854</c:v>
                </c:pt>
                <c:pt idx="212">
                  <c:v>2.7052478790283203</c:v>
                </c:pt>
                <c:pt idx="213">
                  <c:v>2.8613746166229248</c:v>
                </c:pt>
                <c:pt idx="214">
                  <c:v>2.8564624786376953</c:v>
                </c:pt>
                <c:pt idx="215">
                  <c:v>2.752223014831543</c:v>
                </c:pt>
                <c:pt idx="216">
                  <c:v>2.4107177257537842</c:v>
                </c:pt>
                <c:pt idx="217">
                  <c:v>2.5029866695404053</c:v>
                </c:pt>
                <c:pt idx="218">
                  <c:v>2.425940990447998</c:v>
                </c:pt>
                <c:pt idx="219">
                  <c:v>2.6312999725341797</c:v>
                </c:pt>
                <c:pt idx="220">
                  <c:v>2.8604452610015869</c:v>
                </c:pt>
                <c:pt idx="221">
                  <c:v>2.9100978374481201</c:v>
                </c:pt>
                <c:pt idx="222">
                  <c:v>3.1235992908477783</c:v>
                </c:pt>
                <c:pt idx="223">
                  <c:v>2.6524310111999512</c:v>
                </c:pt>
                <c:pt idx="224">
                  <c:v>2.456343412399292</c:v>
                </c:pt>
                <c:pt idx="225">
                  <c:v>2.3936359882354736</c:v>
                </c:pt>
              </c:numCache>
            </c:numRef>
          </c:yVal>
          <c:smooth val="1"/>
          <c:extLst>
            <c:ext xmlns:c16="http://schemas.microsoft.com/office/drawing/2014/chart" uri="{C3380CC4-5D6E-409C-BE32-E72D297353CC}">
              <c16:uniqueId val="{00000000-69D2-4E8F-89E0-EC448D877EBD}"/>
            </c:ext>
          </c:extLst>
        </c:ser>
        <c:dLbls>
          <c:showLegendKey val="0"/>
          <c:showVal val="0"/>
          <c:showCatName val="0"/>
          <c:showSerName val="0"/>
          <c:showPercent val="0"/>
          <c:showBubbleSize val="0"/>
        </c:dLbls>
        <c:axId val="1816227232"/>
        <c:axId val="1816218528"/>
      </c:scatterChart>
      <c:valAx>
        <c:axId val="1816227232"/>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8528"/>
        <c:crosses val="autoZero"/>
        <c:crossBetween val="midCat"/>
        <c:majorUnit val="50"/>
      </c:valAx>
      <c:valAx>
        <c:axId val="181621852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7232"/>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CheckBox" checked="Checked" lockText="1" noThreeD="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CheckBox" checked="Checked" lockText="1" noThreeD="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CheckBox" checked="Checked" lockText="1" noThreeD="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CheckBox" checked="Checked"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Radio" checked="Checked" firstButton="1"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checked="Checked" lockText="1" noThreeD="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CheckBox" checked="Checked" lockText="1" noThreeD="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checked="Checked"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checked="Checked" lockText="1" noThreeD="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checked="Checked" lockText="1" noThreeD="1"/>
</file>

<file path=xl/ctrlProps/ctrlProp219.xml><?xml version="1.0" encoding="utf-8"?>
<formControlPr xmlns="http://schemas.microsoft.com/office/spreadsheetml/2009/9/main" objectType="Radio" checked="Checked" firstButton="1"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Radio" checked="Checked" firstButton="1"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CheckBox" checked="Checked"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14</xdr:col>
      <xdr:colOff>0</xdr:colOff>
      <xdr:row>4</xdr:row>
      <xdr:rowOff>1543050</xdr:rowOff>
    </xdr:to>
    <xdr:graphicFrame macro="">
      <xdr:nvGraphicFramePr>
        <xdr:cNvPr id="1726" name="Chart 1">
          <a:extLst>
            <a:ext uri="{FF2B5EF4-FFF2-40B4-BE49-F238E27FC236}">
              <a16:creationId xmlns:a16="http://schemas.microsoft.com/office/drawing/2014/main" id="{00000000-0008-0000-0000-0000B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14</xdr:col>
      <xdr:colOff>0</xdr:colOff>
      <xdr:row>5</xdr:row>
      <xdr:rowOff>1543050</xdr:rowOff>
    </xdr:to>
    <xdr:graphicFrame macro="">
      <xdr:nvGraphicFramePr>
        <xdr:cNvPr id="1727" name="Chart 2">
          <a:extLst>
            <a:ext uri="{FF2B5EF4-FFF2-40B4-BE49-F238E27FC236}">
              <a16:creationId xmlns:a16="http://schemas.microsoft.com/office/drawing/2014/main" id="{00000000-0008-0000-0000-0000B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xdr:row>
      <xdr:rowOff>0</xdr:rowOff>
    </xdr:from>
    <xdr:to>
      <xdr:col>14</xdr:col>
      <xdr:colOff>0</xdr:colOff>
      <xdr:row>6</xdr:row>
      <xdr:rowOff>1543050</xdr:rowOff>
    </xdr:to>
    <xdr:graphicFrame macro="">
      <xdr:nvGraphicFramePr>
        <xdr:cNvPr id="1728" name="Chart 3">
          <a:extLst>
            <a:ext uri="{FF2B5EF4-FFF2-40B4-BE49-F238E27FC236}">
              <a16:creationId xmlns:a16="http://schemas.microsoft.com/office/drawing/2014/main" id="{00000000-0008-0000-0000-0000C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14</xdr:col>
      <xdr:colOff>0</xdr:colOff>
      <xdr:row>7</xdr:row>
      <xdr:rowOff>1543050</xdr:rowOff>
    </xdr:to>
    <xdr:graphicFrame macro="">
      <xdr:nvGraphicFramePr>
        <xdr:cNvPr id="1729" name="Chart 4">
          <a:extLst>
            <a:ext uri="{FF2B5EF4-FFF2-40B4-BE49-F238E27FC236}">
              <a16:creationId xmlns:a16="http://schemas.microsoft.com/office/drawing/2014/main" id="{00000000-0008-0000-0000-0000C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8</xdr:row>
      <xdr:rowOff>0</xdr:rowOff>
    </xdr:from>
    <xdr:to>
      <xdr:col>14</xdr:col>
      <xdr:colOff>0</xdr:colOff>
      <xdr:row>8</xdr:row>
      <xdr:rowOff>1543050</xdr:rowOff>
    </xdr:to>
    <xdr:graphicFrame macro="">
      <xdr:nvGraphicFramePr>
        <xdr:cNvPr id="1730" name="Chart 5">
          <a:extLst>
            <a:ext uri="{FF2B5EF4-FFF2-40B4-BE49-F238E27FC236}">
              <a16:creationId xmlns:a16="http://schemas.microsoft.com/office/drawing/2014/main" id="{00000000-0008-0000-0000-0000C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9</xdr:row>
      <xdr:rowOff>0</xdr:rowOff>
    </xdr:from>
    <xdr:to>
      <xdr:col>14</xdr:col>
      <xdr:colOff>0</xdr:colOff>
      <xdr:row>9</xdr:row>
      <xdr:rowOff>1543050</xdr:rowOff>
    </xdr:to>
    <xdr:graphicFrame macro="">
      <xdr:nvGraphicFramePr>
        <xdr:cNvPr id="1731" name="Chart 6">
          <a:extLst>
            <a:ext uri="{FF2B5EF4-FFF2-40B4-BE49-F238E27FC236}">
              <a16:creationId xmlns:a16="http://schemas.microsoft.com/office/drawing/2014/main" id="{00000000-0008-0000-0000-0000C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0</xdr:rowOff>
    </xdr:from>
    <xdr:to>
      <xdr:col>14</xdr:col>
      <xdr:colOff>0</xdr:colOff>
      <xdr:row>10</xdr:row>
      <xdr:rowOff>1543050</xdr:rowOff>
    </xdr:to>
    <xdr:graphicFrame macro="">
      <xdr:nvGraphicFramePr>
        <xdr:cNvPr id="1732" name="Chart 7">
          <a:extLst>
            <a:ext uri="{FF2B5EF4-FFF2-40B4-BE49-F238E27FC236}">
              <a16:creationId xmlns:a16="http://schemas.microsoft.com/office/drawing/2014/main" id="{00000000-0008-0000-0000-0000C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1</xdr:row>
          <xdr:rowOff>0</xdr:rowOff>
        </xdr:from>
        <xdr:to>
          <xdr:col>10</xdr:col>
          <xdr:colOff>0</xdr:colOff>
          <xdr:row>2</xdr:row>
          <xdr:rowOff>9525</xdr:rowOff>
        </xdr:to>
        <xdr:sp macro="" textlink="">
          <xdr:nvSpPr>
            <xdr:cNvPr id="1026" name="Button 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Load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666750</xdr:rowOff>
        </xdr:from>
        <xdr:to>
          <xdr:col>12</xdr:col>
          <xdr:colOff>247650</xdr:colOff>
          <xdr:row>4</xdr:row>
          <xdr:rowOff>885825</xdr:rowOff>
        </xdr:to>
        <xdr:sp macro="" textlink="">
          <xdr:nvSpPr>
            <xdr:cNvPr id="1033" name="CheckBox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666750</xdr:rowOff>
        </xdr:from>
        <xdr:to>
          <xdr:col>12</xdr:col>
          <xdr:colOff>247650</xdr:colOff>
          <xdr:row>5</xdr:row>
          <xdr:rowOff>885825</xdr:rowOff>
        </xdr:to>
        <xdr:sp macro="" textlink="">
          <xdr:nvSpPr>
            <xdr:cNvPr id="1034" name="CheckBox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666750</xdr:rowOff>
        </xdr:from>
        <xdr:to>
          <xdr:col>12</xdr:col>
          <xdr:colOff>247650</xdr:colOff>
          <xdr:row>6</xdr:row>
          <xdr:rowOff>885825</xdr:rowOff>
        </xdr:to>
        <xdr:sp macro="" textlink="">
          <xdr:nvSpPr>
            <xdr:cNvPr id="1035" name="CheckBox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7</xdr:row>
          <xdr:rowOff>666750</xdr:rowOff>
        </xdr:from>
        <xdr:to>
          <xdr:col>12</xdr:col>
          <xdr:colOff>247650</xdr:colOff>
          <xdr:row>7</xdr:row>
          <xdr:rowOff>885825</xdr:rowOff>
        </xdr:to>
        <xdr:sp macro="" textlink="">
          <xdr:nvSpPr>
            <xdr:cNvPr id="1036" name="CheckBox4"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666750</xdr:rowOff>
        </xdr:from>
        <xdr:to>
          <xdr:col>12</xdr:col>
          <xdr:colOff>247650</xdr:colOff>
          <xdr:row>8</xdr:row>
          <xdr:rowOff>885825</xdr:rowOff>
        </xdr:to>
        <xdr:sp macro="" textlink="">
          <xdr:nvSpPr>
            <xdr:cNvPr id="1037" name="CheckBox5"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666750</xdr:rowOff>
        </xdr:from>
        <xdr:to>
          <xdr:col>12</xdr:col>
          <xdr:colOff>247650</xdr:colOff>
          <xdr:row>9</xdr:row>
          <xdr:rowOff>885825</xdr:rowOff>
        </xdr:to>
        <xdr:sp macro="" textlink="">
          <xdr:nvSpPr>
            <xdr:cNvPr id="1038" name="CheckBox6"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666750</xdr:rowOff>
        </xdr:from>
        <xdr:to>
          <xdr:col>12</xdr:col>
          <xdr:colOff>247650</xdr:colOff>
          <xdr:row>10</xdr:row>
          <xdr:rowOff>885825</xdr:rowOff>
        </xdr:to>
        <xdr:sp macro="" textlink="">
          <xdr:nvSpPr>
            <xdr:cNvPr id="1039" name="CheckBox7"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xdr:row>
          <xdr:rowOff>9525</xdr:rowOff>
        </xdr:from>
        <xdr:to>
          <xdr:col>13</xdr:col>
          <xdr:colOff>647700</xdr:colOff>
          <xdr:row>3</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xdr:row>
          <xdr:rowOff>9525</xdr:rowOff>
        </xdr:from>
        <xdr:to>
          <xdr:col>13</xdr:col>
          <xdr:colOff>647700</xdr:colOff>
          <xdr:row>2</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666750</xdr:colOff>
          <xdr:row>1</xdr:row>
          <xdr:rowOff>0</xdr:rowOff>
        </xdr:from>
        <xdr:to>
          <xdr:col>13</xdr:col>
          <xdr:colOff>1714500</xdr:colOff>
          <xdr:row>2</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1724025</xdr:colOff>
          <xdr:row>1</xdr:row>
          <xdr:rowOff>9525</xdr:rowOff>
        </xdr:from>
        <xdr:to>
          <xdr:col>14</xdr:col>
          <xdr:colOff>57150</xdr:colOff>
          <xdr:row>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5</xdr:col>
          <xdr:colOff>952500</xdr:colOff>
          <xdr:row>2</xdr:row>
          <xdr:rowOff>219075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Recalc. Cutoffs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942975</xdr:colOff>
          <xdr:row>2</xdr:row>
          <xdr:rowOff>219075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Calc. CumArea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xdr:row>
          <xdr:rowOff>9525</xdr:rowOff>
        </xdr:from>
        <xdr:to>
          <xdr:col>14</xdr:col>
          <xdr:colOff>962025</xdr:colOff>
          <xdr:row>2</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2</xdr:row>
          <xdr:rowOff>9525</xdr:rowOff>
        </xdr:from>
        <xdr:to>
          <xdr:col>14</xdr:col>
          <xdr:colOff>962025</xdr:colOff>
          <xdr:row>3</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0</xdr:rowOff>
        </xdr:from>
        <xdr:to>
          <xdr:col>9</xdr:col>
          <xdr:colOff>1114425</xdr:colOff>
          <xdr:row>2</xdr:row>
          <xdr:rowOff>9525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Lock NovaC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2</xdr:row>
          <xdr:rowOff>9525</xdr:rowOff>
        </xdr:from>
        <xdr:to>
          <xdr:col>12</xdr:col>
          <xdr:colOff>0</xdr:colOff>
          <xdr:row>3</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UV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9525</xdr:rowOff>
        </xdr:from>
        <xdr:to>
          <xdr:col>8</xdr:col>
          <xdr:colOff>533400</xdr:colOff>
          <xdr:row>2</xdr:row>
          <xdr:rowOff>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1</xdr:row>
          <xdr:rowOff>9525</xdr:rowOff>
        </xdr:from>
        <xdr:to>
          <xdr:col>8</xdr:col>
          <xdr:colOff>1057275</xdr:colOff>
          <xdr:row>2</xdr:row>
          <xdr:rowOff>0</xdr:rowOff>
        </xdr:to>
        <xdr:sp macro="" textlink="">
          <xdr:nvSpPr>
            <xdr:cNvPr id="1150" name="Option 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657225</xdr:colOff>
          <xdr:row>2</xdr:row>
          <xdr:rowOff>9525</xdr:rowOff>
        </xdr:from>
        <xdr:to>
          <xdr:col>13</xdr:col>
          <xdr:colOff>1714500</xdr:colOff>
          <xdr:row>3</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1</xdr:row>
          <xdr:rowOff>9525</xdr:rowOff>
        </xdr:from>
        <xdr:to>
          <xdr:col>12</xdr:col>
          <xdr:colOff>0</xdr:colOff>
          <xdr:row>2</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Mass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10</xdr:col>
          <xdr:colOff>1114425</xdr:colOff>
          <xdr:row>2</xdr:row>
          <xdr:rowOff>9525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Copy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xdr:row>
          <xdr:rowOff>9525</xdr:rowOff>
        </xdr:from>
        <xdr:to>
          <xdr:col>11</xdr:col>
          <xdr:colOff>971550</xdr:colOff>
          <xdr:row>3</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11</xdr:col>
          <xdr:colOff>971550</xdr:colOff>
          <xdr:row>2</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Auto UV Class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32</xdr:row>
          <xdr:rowOff>9525</xdr:rowOff>
        </xdr:from>
        <xdr:to>
          <xdr:col>2</xdr:col>
          <xdr:colOff>2133600</xdr:colOff>
          <xdr:row>34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29</xdr:row>
          <xdr:rowOff>76200</xdr:rowOff>
        </xdr:from>
        <xdr:to>
          <xdr:col>8</xdr:col>
          <xdr:colOff>266700</xdr:colOff>
          <xdr:row>30</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31</xdr:row>
          <xdr:rowOff>28575</xdr:rowOff>
        </xdr:from>
        <xdr:to>
          <xdr:col>8</xdr:col>
          <xdr:colOff>266700</xdr:colOff>
          <xdr:row>32</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36</xdr:row>
          <xdr:rowOff>76200</xdr:rowOff>
        </xdr:from>
        <xdr:to>
          <xdr:col>8</xdr:col>
          <xdr:colOff>266700</xdr:colOff>
          <xdr:row>37</xdr:row>
          <xdr:rowOff>123825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190500</xdr:rowOff>
        </xdr:from>
        <xdr:to>
          <xdr:col>2</xdr:col>
          <xdr:colOff>2181225</xdr:colOff>
          <xdr:row>36</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Exclude Hidden Peaks from 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32</xdr:row>
          <xdr:rowOff>171450</xdr:rowOff>
        </xdr:from>
        <xdr:to>
          <xdr:col>8</xdr:col>
          <xdr:colOff>266700</xdr:colOff>
          <xdr:row>34</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0</xdr:row>
          <xdr:rowOff>19050</xdr:rowOff>
        </xdr:from>
        <xdr:to>
          <xdr:col>1</xdr:col>
          <xdr:colOff>504825</xdr:colOff>
          <xdr:row>2</xdr:row>
          <xdr:rowOff>85725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a:t>
              </a:r>
            </a:p>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161925</xdr:rowOff>
        </xdr:from>
        <xdr:to>
          <xdr:col>7</xdr:col>
          <xdr:colOff>0</xdr:colOff>
          <xdr:row>34</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0" i="0" u="none" strike="noStrike" baseline="0">
                  <a:solidFill>
                    <a:srgbClr val="000000"/>
                  </a:solidFill>
                  <a:latin typeface="Calibri"/>
                  <a:cs typeface="Calibri"/>
                </a:rPr>
                <a:t>&lt;- Show only top 'n' peaks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34</xdr:row>
          <xdr:rowOff>123825</xdr:rowOff>
        </xdr:from>
        <xdr:to>
          <xdr:col>8</xdr:col>
          <xdr:colOff>266700</xdr:colOff>
          <xdr:row>35</xdr:row>
          <xdr:rowOff>171450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Unlabelled</a:t>
              </a:r>
            </a:p>
          </xdr:txBody>
        </xdr:sp>
        <xdr:clientData fPrintsWithSheet="0"/>
      </xdr:twoCellAnchor>
    </mc:Choice>
    <mc:Fallback/>
  </mc:AlternateContent>
  <xdr:twoCellAnchor>
    <xdr:from>
      <xdr:col>1</xdr:col>
      <xdr:colOff>295275</xdr:colOff>
      <xdr:row>2</xdr:row>
      <xdr:rowOff>114300</xdr:rowOff>
    </xdr:from>
    <xdr:to>
      <xdr:col>1</xdr:col>
      <xdr:colOff>295275</xdr:colOff>
      <xdr:row>7</xdr:row>
      <xdr:rowOff>104775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904875" y="504825"/>
          <a:ext cx="0" cy="9429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7</xdr:row>
      <xdr:rowOff>104775</xdr:rowOff>
    </xdr:from>
    <xdr:to>
      <xdr:col>1</xdr:col>
      <xdr:colOff>295275</xdr:colOff>
      <xdr:row>7</xdr:row>
      <xdr:rowOff>104775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76275" y="1447800"/>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5</xdr:row>
      <xdr:rowOff>95250</xdr:rowOff>
    </xdr:from>
    <xdr:to>
      <xdr:col>1</xdr:col>
      <xdr:colOff>285750</xdr:colOff>
      <xdr:row>5</xdr:row>
      <xdr:rowOff>95250</xdr:rowOff>
    </xdr:to>
    <xdr:cxnSp macro="">
      <xdr:nvCxnSpPr>
        <xdr:cNvPr id="16" name="Straight Arrow Connector 15">
          <a:extLst>
            <a:ext uri="{FF2B5EF4-FFF2-40B4-BE49-F238E27FC236}">
              <a16:creationId xmlns:a16="http://schemas.microsoft.com/office/drawing/2014/main" id="{00000000-0008-0000-0100-000010000000}"/>
            </a:ext>
          </a:extLst>
        </xdr:cNvPr>
        <xdr:cNvCxnSpPr/>
      </xdr:nvCxnSpPr>
      <xdr:spPr>
        <a:xfrm flipH="1">
          <a:off x="666750" y="1057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3</xdr:row>
      <xdr:rowOff>95250</xdr:rowOff>
    </xdr:from>
    <xdr:to>
      <xdr:col>1</xdr:col>
      <xdr:colOff>285750</xdr:colOff>
      <xdr:row>3</xdr:row>
      <xdr:rowOff>95250</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flipH="1">
          <a:off x="666750" y="676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4761</xdr:rowOff>
    </xdr:from>
    <xdr:to>
      <xdr:col>23</xdr:col>
      <xdr:colOff>590550</xdr:colOff>
      <xdr:row>35</xdr:row>
      <xdr:rowOff>180974</xdr:rowOff>
    </xdr:to>
    <xdr:graphicFrame macro="">
      <xdr:nvGraphicFramePr>
        <xdr:cNvPr id="2" name="Chart Chromatogr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47625</xdr:rowOff>
        </xdr:from>
        <xdr:to>
          <xdr:col>27</xdr:col>
          <xdr:colOff>0</xdr:colOff>
          <xdr:row>16</xdr:row>
          <xdr:rowOff>104775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xdr:twoCellAnchor>
    <xdr:from>
      <xdr:col>25</xdr:col>
      <xdr:colOff>1</xdr:colOff>
      <xdr:row>23</xdr:row>
      <xdr:rowOff>9525</xdr:rowOff>
    </xdr:from>
    <xdr:to>
      <xdr:col>29</xdr:col>
      <xdr:colOff>1</xdr:colOff>
      <xdr:row>36</xdr:row>
      <xdr:rowOff>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27</xdr:col>
          <xdr:colOff>19050</xdr:colOff>
          <xdr:row>19</xdr:row>
          <xdr:rowOff>104775</xdr:rowOff>
        </xdr:from>
        <xdr:to>
          <xdr:col>27</xdr:col>
          <xdr:colOff>381000</xdr:colOff>
          <xdr:row>21</xdr:row>
          <xdr:rowOff>95250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104775</xdr:rowOff>
        </xdr:from>
        <xdr:to>
          <xdr:col>25</xdr:col>
          <xdr:colOff>600075</xdr:colOff>
          <xdr:row>21</xdr:row>
          <xdr:rowOff>85725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13</xdr:row>
          <xdr:rowOff>142875</xdr:rowOff>
        </xdr:from>
        <xdr:to>
          <xdr:col>29</xdr:col>
          <xdr:colOff>9525</xdr:colOff>
          <xdr:row>15</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2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0</xdr:row>
          <xdr:rowOff>57150</xdr:rowOff>
        </xdr:from>
        <xdr:to>
          <xdr:col>28</xdr:col>
          <xdr:colOff>457200</xdr:colOff>
          <xdr:row>2</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2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3</xdr:row>
          <xdr:rowOff>0</xdr:rowOff>
        </xdr:from>
        <xdr:to>
          <xdr:col>28</xdr:col>
          <xdr:colOff>457200</xdr:colOff>
          <xdr:row>4</xdr:row>
          <xdr:rowOff>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2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5</xdr:row>
          <xdr:rowOff>0</xdr:rowOff>
        </xdr:from>
        <xdr:to>
          <xdr:col>28</xdr:col>
          <xdr:colOff>457200</xdr:colOff>
          <xdr:row>6</xdr:row>
          <xdr:rowOff>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11</xdr:row>
          <xdr:rowOff>0</xdr:rowOff>
        </xdr:from>
        <xdr:to>
          <xdr:col>28</xdr:col>
          <xdr:colOff>457200</xdr:colOff>
          <xdr:row>12</xdr:row>
          <xdr:rowOff>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114300</xdr:rowOff>
        </xdr:from>
        <xdr:to>
          <xdr:col>25</xdr:col>
          <xdr:colOff>600075</xdr:colOff>
          <xdr:row>22</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28</xdr:col>
          <xdr:colOff>600075</xdr:colOff>
          <xdr:row>22</xdr:row>
          <xdr:rowOff>114300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142875</xdr:rowOff>
        </xdr:from>
        <xdr:to>
          <xdr:col>28</xdr:col>
          <xdr:colOff>0</xdr:colOff>
          <xdr:row>15</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2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0</xdr:colOff>
          <xdr:row>22</xdr:row>
          <xdr:rowOff>114300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2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314325</xdr:colOff>
          <xdr:row>17</xdr:row>
          <xdr:rowOff>0</xdr:rowOff>
        </xdr:from>
        <xdr:to>
          <xdr:col>28</xdr:col>
          <xdr:colOff>609600</xdr:colOff>
          <xdr:row>17</xdr:row>
          <xdr:rowOff>200025</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57150</xdr:rowOff>
        </xdr:from>
        <xdr:to>
          <xdr:col>29</xdr:col>
          <xdr:colOff>0</xdr:colOff>
          <xdr:row>16</xdr:row>
          <xdr:rowOff>104775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12</xdr:row>
          <xdr:rowOff>76200</xdr:rowOff>
        </xdr:from>
        <xdr:to>
          <xdr:col>29</xdr:col>
          <xdr:colOff>9525</xdr:colOff>
          <xdr:row>13</xdr:row>
          <xdr:rowOff>95250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0</xdr:row>
          <xdr:rowOff>57150</xdr:rowOff>
        </xdr:from>
        <xdr:to>
          <xdr:col>29</xdr:col>
          <xdr:colOff>295275</xdr:colOff>
          <xdr:row>2</xdr:row>
          <xdr:rowOff>66675</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3</xdr:row>
          <xdr:rowOff>0</xdr:rowOff>
        </xdr:from>
        <xdr:to>
          <xdr:col>29</xdr:col>
          <xdr:colOff>285750</xdr:colOff>
          <xdr:row>4</xdr:row>
          <xdr:rowOff>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5</xdr:row>
          <xdr:rowOff>0</xdr:rowOff>
        </xdr:from>
        <xdr:to>
          <xdr:col>29</xdr:col>
          <xdr:colOff>285750</xdr:colOff>
          <xdr:row>6</xdr:row>
          <xdr:rowOff>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11</xdr:row>
          <xdr:rowOff>0</xdr:rowOff>
        </xdr:from>
        <xdr:to>
          <xdr:col>29</xdr:col>
          <xdr:colOff>285750</xdr:colOff>
          <xdr:row>12</xdr:row>
          <xdr:rowOff>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104775</xdr:rowOff>
        </xdr:from>
        <xdr:to>
          <xdr:col>25</xdr:col>
          <xdr:colOff>228600</xdr:colOff>
          <xdr:row>21</xdr:row>
          <xdr:rowOff>85725</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104775</xdr:rowOff>
        </xdr:from>
        <xdr:to>
          <xdr:col>28</xdr:col>
          <xdr:colOff>0</xdr:colOff>
          <xdr:row>21</xdr:row>
          <xdr:rowOff>95250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4A8914BD-7B63-480D-9B73-FCAEA74DEAD6}"/>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0.12559</cdr:y>
    </cdr:to>
    <cdr:sp macro="" textlink="">
      <cdr:nvSpPr>
        <cdr:cNvPr id="2" name="TextBox 1"/>
        <cdr:cNvSpPr txBox="1"/>
      </cdr:nvSpPr>
      <cdr:spPr>
        <a:xfrm xmlns:a="http://schemas.openxmlformats.org/drawingml/2006/main">
          <a:off x="13363575" y="147639"/>
          <a:ext cx="1152525" cy="733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12
254: 14</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0.71318</cdr:x>
      <cdr:y>0.33591</cdr:y>
    </cdr:from>
    <cdr:to>
      <cdr:x>0.90458</cdr:x>
      <cdr:y>0.81853</cdr:y>
    </cdr:to>
    <cdr:sp macro="" textlink="">
      <cdr:nvSpPr>
        <cdr:cNvPr id="2" name="TextBox 1"/>
        <cdr:cNvSpPr txBox="1"/>
      </cdr:nvSpPr>
      <cdr:spPr>
        <a:xfrm xmlns:a="http://schemas.openxmlformats.org/drawingml/2006/main">
          <a:off x="1744733" y="828675"/>
          <a:ext cx="468245" cy="1190618"/>
        </a:xfrm>
        <a:prstGeom xmlns:a="http://schemas.openxmlformats.org/drawingml/2006/main" prst="rect">
          <a:avLst/>
        </a:prstGeom>
      </cdr:spPr>
      <cdr:txBody>
        <a:bodyPr xmlns:a="http://schemas.openxmlformats.org/drawingml/2006/main" vertOverflow="clip" wrap="square" lIns="46800" rIns="46800" rtlCol="0"/>
        <a:lstStyle xmlns:a="http://schemas.openxmlformats.org/drawingml/2006/main"/>
        <a:p xmlns:a="http://schemas.openxmlformats.org/drawingml/2006/main">
          <a:pPr algn="r"/>
          <a:r>
            <a:rPr lang="en-AU" sz="1100">
              <a:latin typeface="Arial" panose="020B0604020202020204" pitchFamily="34" charset="0"/>
              <a:cs typeface="Arial" panose="020B0604020202020204" pitchFamily="34" charset="0"/>
            </a:rPr>
            <a:t>MW</a:t>
          </a:r>
        </a:p>
      </cdr:txBody>
    </cdr:sp>
  </cdr:relSizeAnchor>
  <cdr:relSizeAnchor xmlns:cdr="http://schemas.openxmlformats.org/drawingml/2006/chartDrawing">
    <cdr:from>
      <cdr:x>0.69141</cdr:x>
      <cdr:y>0.01544</cdr:y>
    </cdr:from>
    <cdr:to>
      <cdr:x>0.89844</cdr:x>
      <cdr:y>0.07336</cdr:y>
    </cdr:to>
    <cdr:sp macro="" textlink="">
      <cdr:nvSpPr>
        <cdr:cNvPr id="3" name="TextBox 2"/>
        <cdr:cNvSpPr txBox="1"/>
      </cdr:nvSpPr>
      <cdr:spPr>
        <a:xfrm xmlns:a="http://schemas.openxmlformats.org/drawingml/2006/main">
          <a:off x="1685924" y="38100"/>
          <a:ext cx="504825" cy="142875"/>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Max</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9525</xdr:colOff>
      <xdr:row>6</xdr:row>
      <xdr:rowOff>104775</xdr:rowOff>
    </xdr:from>
    <xdr:to>
      <xdr:col>22</xdr:col>
      <xdr:colOff>600075</xdr:colOff>
      <xdr:row>36</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457200</xdr:colOff>
          <xdr:row>0</xdr:row>
          <xdr:rowOff>38100</xdr:rowOff>
        </xdr:from>
        <xdr:to>
          <xdr:col>26</xdr:col>
          <xdr:colOff>161925</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Checked Peaks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30</xdr:row>
          <xdr:rowOff>171450</xdr:rowOff>
        </xdr:from>
        <xdr:to>
          <xdr:col>26</xdr:col>
          <xdr:colOff>171450</xdr:colOff>
          <xdr:row>32</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34</xdr:row>
          <xdr:rowOff>0</xdr:rowOff>
        </xdr:from>
        <xdr:to>
          <xdr:col>26</xdr:col>
          <xdr:colOff>171450</xdr:colOff>
          <xdr:row>35</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28</xdr:row>
          <xdr:rowOff>104775</xdr:rowOff>
        </xdr:from>
        <xdr:to>
          <xdr:col>26</xdr:col>
          <xdr:colOff>171450</xdr:colOff>
          <xdr:row>29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26</xdr:row>
          <xdr:rowOff>114300</xdr:rowOff>
        </xdr:from>
        <xdr:to>
          <xdr:col>26</xdr:col>
          <xdr:colOff>171450</xdr:colOff>
          <xdr:row>28</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12</xdr:row>
          <xdr:rowOff>152400</xdr:rowOff>
        </xdr:from>
        <xdr:to>
          <xdr:col>28</xdr:col>
          <xdr:colOff>600075</xdr:colOff>
          <xdr:row>14</xdr:row>
          <xdr:rowOff>19050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14</xdr:row>
          <xdr:rowOff>180975</xdr:rowOff>
        </xdr:from>
        <xdr:to>
          <xdr:col>28</xdr:col>
          <xdr:colOff>600075</xdr:colOff>
          <xdr:row>17</xdr:row>
          <xdr:rowOff>9525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18</xdr:row>
          <xdr:rowOff>152400</xdr:rowOff>
        </xdr:from>
        <xdr:to>
          <xdr:col>28</xdr:col>
          <xdr:colOff>600075</xdr:colOff>
          <xdr:row>20</xdr:row>
          <xdr:rowOff>28575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20</xdr:row>
          <xdr:rowOff>180975</xdr:rowOff>
        </xdr:from>
        <xdr:to>
          <xdr:col>28</xdr:col>
          <xdr:colOff>600075</xdr:colOff>
          <xdr:row>23</xdr:row>
          <xdr:rowOff>9525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161925</xdr:rowOff>
        </xdr:from>
        <xdr:to>
          <xdr:col>28</xdr:col>
          <xdr:colOff>600075</xdr:colOff>
          <xdr:row>2</xdr:row>
          <xdr:rowOff>28575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xdr:row>
          <xdr:rowOff>0</xdr:rowOff>
        </xdr:from>
        <xdr:to>
          <xdr:col>28</xdr:col>
          <xdr:colOff>600075</xdr:colOff>
          <xdr:row>5</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6</xdr:row>
          <xdr:rowOff>152400</xdr:rowOff>
        </xdr:from>
        <xdr:to>
          <xdr:col>28</xdr:col>
          <xdr:colOff>600075</xdr:colOff>
          <xdr:row>8</xdr:row>
          <xdr:rowOff>28575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8</xdr:row>
          <xdr:rowOff>180975</xdr:rowOff>
        </xdr:from>
        <xdr:to>
          <xdr:col>28</xdr:col>
          <xdr:colOff>600075</xdr:colOff>
          <xdr:row>11</xdr:row>
          <xdr:rowOff>9525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24</xdr:row>
          <xdr:rowOff>114300</xdr:rowOff>
        </xdr:from>
        <xdr:to>
          <xdr:col>26</xdr:col>
          <xdr:colOff>171450</xdr:colOff>
          <xdr:row>26</xdr:row>
          <xdr:rowOff>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25</xdr:row>
          <xdr:rowOff>0</xdr:rowOff>
        </xdr:from>
        <xdr:to>
          <xdr:col>28</xdr:col>
          <xdr:colOff>600075</xdr:colOff>
          <xdr:row>26</xdr:row>
          <xdr:rowOff>9525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28</xdr:row>
          <xdr:rowOff>0</xdr:rowOff>
        </xdr:from>
        <xdr:to>
          <xdr:col>29</xdr:col>
          <xdr:colOff>0</xdr:colOff>
          <xdr:row>29</xdr:row>
          <xdr:rowOff>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NonPol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26</xdr:row>
          <xdr:rowOff>95250</xdr:rowOff>
        </xdr:from>
        <xdr:to>
          <xdr:col>28</xdr:col>
          <xdr:colOff>600075</xdr:colOff>
          <xdr:row>27</xdr:row>
          <xdr:rowOff>95250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Intermed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30</xdr:row>
          <xdr:rowOff>180975</xdr:rowOff>
        </xdr:from>
        <xdr:to>
          <xdr:col>28</xdr:col>
          <xdr:colOff>600075</xdr:colOff>
          <xdr:row>32</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Acidic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34</xdr:row>
          <xdr:rowOff>0</xdr:rowOff>
        </xdr:from>
        <xdr:to>
          <xdr:col>28</xdr:col>
          <xdr:colOff>600075</xdr:colOff>
          <xdr:row>35</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32</xdr:row>
          <xdr:rowOff>85725</xdr:rowOff>
        </xdr:from>
        <xdr:to>
          <xdr:col>28</xdr:col>
          <xdr:colOff>600075</xdr:colOff>
          <xdr:row>33</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Neutral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9525</xdr:rowOff>
        </xdr:from>
        <xdr:to>
          <xdr:col>26</xdr:col>
          <xdr:colOff>9525</xdr:colOff>
          <xdr:row>9</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13</xdr:row>
          <xdr:rowOff>0</xdr:rowOff>
        </xdr:from>
        <xdr:to>
          <xdr:col>26</xdr:col>
          <xdr:colOff>0</xdr:colOff>
          <xdr:row>15</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a:t>
              </a:r>
            </a:p>
          </xdr:txBody>
        </xdr:sp>
        <xdr:clientData fPrintsWithSheet="0"/>
      </xdr:twoCellAnchor>
    </mc:Choice>
    <mc:Fallback/>
  </mc:AlternateContent>
  <xdr:twoCellAnchor>
    <xdr:from>
      <xdr:col>23</xdr:col>
      <xdr:colOff>457200</xdr:colOff>
      <xdr:row>3</xdr:row>
      <xdr:rowOff>114301</xdr:rowOff>
    </xdr:from>
    <xdr:to>
      <xdr:col>26</xdr:col>
      <xdr:colOff>152400</xdr:colOff>
      <xdr:row>23</xdr:row>
      <xdr:rowOff>19051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4478000" y="685801"/>
          <a:ext cx="1495425" cy="375285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24</xdr:col>
          <xdr:colOff>0</xdr:colOff>
          <xdr:row>15</xdr:row>
          <xdr:rowOff>180975</xdr:rowOff>
        </xdr:from>
        <xdr:to>
          <xdr:col>26</xdr:col>
          <xdr:colOff>0</xdr:colOff>
          <xdr:row>17</xdr:row>
          <xdr:rowOff>190500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xdr:row>
          <xdr:rowOff>66675</xdr:rowOff>
        </xdr:from>
        <xdr:to>
          <xdr:col>25</xdr:col>
          <xdr:colOff>1104900</xdr:colOff>
          <xdr:row>6</xdr:row>
          <xdr:rowOff>114300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Increment Class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590550</xdr:colOff>
          <xdr:row>19</xdr:row>
          <xdr:rowOff>95250</xdr:rowOff>
        </xdr:from>
        <xdr:to>
          <xdr:col>26</xdr:col>
          <xdr:colOff>0</xdr:colOff>
          <xdr:row>22</xdr:row>
          <xdr:rowOff>104775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and Copy</a:t>
              </a:r>
            </a:p>
          </xdr:txBody>
        </xdr:sp>
        <xdr:clientData fPrintsWithSheet="0"/>
      </xdr:twoCellAnchor>
    </mc:Choice>
    <mc:Fallback/>
  </mc:AlternateContent>
  <xdr:twoCellAnchor>
    <xdr:from>
      <xdr:col>0</xdr:col>
      <xdr:colOff>19049</xdr:colOff>
      <xdr:row>0</xdr:row>
      <xdr:rowOff>0</xdr:rowOff>
    </xdr:from>
    <xdr:to>
      <xdr:col>20</xdr:col>
      <xdr:colOff>0</xdr:colOff>
      <xdr:row>6</xdr:row>
      <xdr:rowOff>104775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21</xdr:col>
          <xdr:colOff>600075</xdr:colOff>
          <xdr:row>1</xdr:row>
          <xdr:rowOff>190500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0</xdr:rowOff>
        </xdr:from>
        <xdr:to>
          <xdr:col>22</xdr:col>
          <xdr:colOff>600075</xdr:colOff>
          <xdr:row>2</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xdr:row>
          <xdr:rowOff>0</xdr:rowOff>
        </xdr:from>
        <xdr:to>
          <xdr:col>21</xdr:col>
          <xdr:colOff>295275</xdr:colOff>
          <xdr:row>4</xdr:row>
          <xdr:rowOff>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2</xdr:row>
          <xdr:rowOff>180975</xdr:rowOff>
        </xdr:from>
        <xdr:to>
          <xdr:col>21</xdr:col>
          <xdr:colOff>600075</xdr:colOff>
          <xdr:row>3</xdr:row>
          <xdr:rowOff>190500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0</xdr:rowOff>
        </xdr:from>
        <xdr:to>
          <xdr:col>22</xdr:col>
          <xdr:colOff>295275</xdr:colOff>
          <xdr:row>4</xdr:row>
          <xdr:rowOff>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2</xdr:row>
          <xdr:rowOff>180975</xdr:rowOff>
        </xdr:from>
        <xdr:to>
          <xdr:col>22</xdr:col>
          <xdr:colOff>600075</xdr:colOff>
          <xdr:row>3</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xdr:row>
          <xdr:rowOff>0</xdr:rowOff>
        </xdr:from>
        <xdr:to>
          <xdr:col>21</xdr:col>
          <xdr:colOff>295275</xdr:colOff>
          <xdr:row>4</xdr:row>
          <xdr:rowOff>209550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4</xdr:row>
          <xdr:rowOff>0</xdr:rowOff>
        </xdr:from>
        <xdr:to>
          <xdr:col>21</xdr:col>
          <xdr:colOff>600075</xdr:colOff>
          <xdr:row>4</xdr:row>
          <xdr:rowOff>209550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0</xdr:rowOff>
        </xdr:from>
        <xdr:to>
          <xdr:col>22</xdr:col>
          <xdr:colOff>295275</xdr:colOff>
          <xdr:row>4</xdr:row>
          <xdr:rowOff>200025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4</xdr:row>
          <xdr:rowOff>0</xdr:rowOff>
        </xdr:from>
        <xdr:to>
          <xdr:col>22</xdr:col>
          <xdr:colOff>600075</xdr:colOff>
          <xdr:row>4</xdr:row>
          <xdr:rowOff>200025</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5</xdr:row>
          <xdr:rowOff>0</xdr:rowOff>
        </xdr:from>
        <xdr:to>
          <xdr:col>21</xdr:col>
          <xdr:colOff>600075</xdr:colOff>
          <xdr:row>6</xdr:row>
          <xdr:rowOff>9525</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0</xdr:rowOff>
        </xdr:from>
        <xdr:to>
          <xdr:col>22</xdr:col>
          <xdr:colOff>609600</xdr:colOff>
          <xdr:row>6</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xdr:row>
          <xdr:rowOff>9525</xdr:rowOff>
        </xdr:from>
        <xdr:to>
          <xdr:col>22</xdr:col>
          <xdr:colOff>600075</xdr:colOff>
          <xdr:row>3</xdr:row>
          <xdr:rowOff>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1</xdr:row>
          <xdr:rowOff>171450</xdr:rowOff>
        </xdr:from>
        <xdr:to>
          <xdr:col>26</xdr:col>
          <xdr:colOff>161925</xdr:colOff>
          <xdr:row>3</xdr:row>
          <xdr:rowOff>57150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Selected Class</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A79977C6-062B-4D1D-912E-B763E35B3B38}"/>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0.01751</cdr:x>
      <cdr:y>0</cdr:y>
    </cdr:from>
    <cdr:to>
      <cdr:x>0.01751</cdr:x>
      <cdr:y>1</cdr:y>
    </cdr:to>
    <cdr:cxnSp macro="">
      <cdr:nvCxnSpPr>
        <cdr:cNvPr id="4" name="Straight Connector 3">
          <a:extLst xmlns:a="http://schemas.openxmlformats.org/drawingml/2006/main">
            <a:ext uri="{FF2B5EF4-FFF2-40B4-BE49-F238E27FC236}">
              <a16:creationId xmlns:a16="http://schemas.microsoft.com/office/drawing/2014/main" id="{06469AFB-7441-4B4D-81A5-BF772F62E22A}"/>
            </a:ext>
          </a:extLst>
        </cdr:cNvPr>
        <cdr:cNvCxnSpPr/>
      </cdr:nvCxnSpPr>
      <cdr:spPr>
        <a:xfrm xmlns:a="http://schemas.openxmlformats.org/drawingml/2006/main" flipV="1">
          <a:off x="213150" y="0"/>
          <a:ext cx="0" cy="129540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19050</xdr:rowOff>
        </xdr:from>
        <xdr:to>
          <xdr:col>27</xdr:col>
          <xdr:colOff>0</xdr:colOff>
          <xdr:row>16</xdr:row>
          <xdr:rowOff>104775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22</xdr:row>
          <xdr:rowOff>180975</xdr:rowOff>
        </xdr:from>
        <xdr:to>
          <xdr:col>26</xdr:col>
          <xdr:colOff>600075</xdr:colOff>
          <xdr:row>25</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104775</xdr:rowOff>
        </xdr:from>
        <xdr:to>
          <xdr:col>25</xdr:col>
          <xdr:colOff>600075</xdr:colOff>
          <xdr:row>22</xdr:row>
          <xdr:rowOff>123825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2326" name="Check Box 39"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29</xdr:col>
          <xdr:colOff>0</xdr:colOff>
          <xdr:row>22</xdr:row>
          <xdr:rowOff>123825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19050</xdr:colOff>
          <xdr:row>22</xdr:row>
          <xdr:rowOff>123825</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400-00002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152400</xdr:rowOff>
        </xdr:from>
        <xdr:to>
          <xdr:col>29</xdr:col>
          <xdr:colOff>9525</xdr:colOff>
          <xdr:row>15</xdr:row>
          <xdr:rowOff>28575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400-00002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38100</xdr:rowOff>
        </xdr:from>
        <xdr:to>
          <xdr:col>29</xdr:col>
          <xdr:colOff>0</xdr:colOff>
          <xdr:row>16</xdr:row>
          <xdr:rowOff>104775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400-00002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34</xdr:row>
          <xdr:rowOff>142875</xdr:rowOff>
        </xdr:from>
        <xdr:to>
          <xdr:col>29</xdr:col>
          <xdr:colOff>0</xdr:colOff>
          <xdr:row>36</xdr:row>
          <xdr:rowOff>0</xdr:rowOff>
        </xdr:to>
        <xdr:sp macro="" textlink="">
          <xdr:nvSpPr>
            <xdr:cNvPr id="12335" name="Button 1" hidden="1">
              <a:extLst>
                <a:ext uri="{63B3BB69-23CF-44E3-9099-C40C66FF867C}">
                  <a14:compatExt spid="_x0000_s12335"/>
                </a:ext>
                <a:ext uri="{FF2B5EF4-FFF2-40B4-BE49-F238E27FC236}">
                  <a16:creationId xmlns:a16="http://schemas.microsoft.com/office/drawing/2014/main" id="{00000000-0008-0000-0400-00002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Generate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12336" name="Check Box 41" hidden="1">
              <a:extLst>
                <a:ext uri="{63B3BB69-23CF-44E3-9099-C40C66FF867C}">
                  <a14:compatExt spid="_x0000_s12336"/>
                </a:ext>
                <a:ext uri="{FF2B5EF4-FFF2-40B4-BE49-F238E27FC236}">
                  <a16:creationId xmlns:a16="http://schemas.microsoft.com/office/drawing/2014/main" id="{00000000-0008-0000-04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12337" name="Check Box 42" hidden="1">
              <a:extLst>
                <a:ext uri="{63B3BB69-23CF-44E3-9099-C40C66FF867C}">
                  <a14:compatExt spid="_x0000_s12337"/>
                </a:ext>
                <a:ext uri="{FF2B5EF4-FFF2-40B4-BE49-F238E27FC236}">
                  <a16:creationId xmlns:a16="http://schemas.microsoft.com/office/drawing/2014/main" id="{00000000-0008-0000-04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12338" name="Check Box 43" hidden="1">
              <a:extLst>
                <a:ext uri="{63B3BB69-23CF-44E3-9099-C40C66FF867C}">
                  <a14:compatExt spid="_x0000_s12338"/>
                </a:ext>
                <a:ext uri="{FF2B5EF4-FFF2-40B4-BE49-F238E27FC236}">
                  <a16:creationId xmlns:a16="http://schemas.microsoft.com/office/drawing/2014/main" id="{00000000-0008-0000-04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27</xdr:row>
          <xdr:rowOff>0</xdr:rowOff>
        </xdr:from>
        <xdr:to>
          <xdr:col>26</xdr:col>
          <xdr:colOff>600075</xdr:colOff>
          <xdr:row>28</xdr:row>
          <xdr:rowOff>9525</xdr:rowOff>
        </xdr:to>
        <xdr:sp macro="" textlink="">
          <xdr:nvSpPr>
            <xdr:cNvPr id="12341" name="Option Button 53" hidden="1">
              <a:extLst>
                <a:ext uri="{63B3BB69-23CF-44E3-9099-C40C66FF867C}">
                  <a14:compatExt spid="_x0000_s12341"/>
                </a:ext>
                <a:ext uri="{FF2B5EF4-FFF2-40B4-BE49-F238E27FC236}">
                  <a16:creationId xmlns:a16="http://schemas.microsoft.com/office/drawing/2014/main" id="{00000000-0008-0000-04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Display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28</xdr:row>
          <xdr:rowOff>0</xdr:rowOff>
        </xdr:from>
        <xdr:to>
          <xdr:col>26</xdr:col>
          <xdr:colOff>600075</xdr:colOff>
          <xdr:row>29</xdr:row>
          <xdr:rowOff>9525</xdr:rowOff>
        </xdr:to>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4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29</xdr:row>
          <xdr:rowOff>9525</xdr:rowOff>
        </xdr:from>
        <xdr:to>
          <xdr:col>26</xdr:col>
          <xdr:colOff>600075</xdr:colOff>
          <xdr:row>30</xdr:row>
          <xdr:rowOff>9525</xdr:rowOff>
        </xdr:to>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4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30</xdr:row>
          <xdr:rowOff>19050</xdr:rowOff>
        </xdr:from>
        <xdr:to>
          <xdr:col>26</xdr:col>
          <xdr:colOff>600075</xdr:colOff>
          <xdr:row>31</xdr:row>
          <xdr:rowOff>19050</xdr:rowOff>
        </xdr:to>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4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 and 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304800</xdr:colOff>
          <xdr:row>17</xdr:row>
          <xdr:rowOff>9525</xdr:rowOff>
        </xdr:from>
        <xdr:to>
          <xdr:col>28</xdr:col>
          <xdr:colOff>600075</xdr:colOff>
          <xdr:row>18</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4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26</xdr:row>
          <xdr:rowOff>171450</xdr:rowOff>
        </xdr:from>
        <xdr:to>
          <xdr:col>29</xdr:col>
          <xdr:colOff>9525</xdr:colOff>
          <xdr:row>28</xdr:row>
          <xdr:rowOff>19050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4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Hidden Peaks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19050</xdr:colOff>
          <xdr:row>31</xdr:row>
          <xdr:rowOff>171450</xdr:rowOff>
        </xdr:from>
        <xdr:to>
          <xdr:col>29</xdr:col>
          <xdr:colOff>0</xdr:colOff>
          <xdr:row>34</xdr:row>
          <xdr:rowOff>57150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Update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400-00004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400-00004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4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27</xdr:row>
          <xdr:rowOff>180975</xdr:rowOff>
        </xdr:from>
        <xdr:to>
          <xdr:col>29</xdr:col>
          <xdr:colOff>0</xdr:colOff>
          <xdr:row>29</xdr:row>
          <xdr:rowOff>9525</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4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Watermark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29</xdr:row>
          <xdr:rowOff>0</xdr:rowOff>
        </xdr:from>
        <xdr:to>
          <xdr:col>29</xdr:col>
          <xdr:colOff>0</xdr:colOff>
          <xdr:row>30</xdr:row>
          <xdr:rowOff>19050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4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Darken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2359" name="Button 71" hidden="1">
              <a:extLst>
                <a:ext uri="{63B3BB69-23CF-44E3-9099-C40C66FF867C}">
                  <a14:compatExt spid="_x0000_s12359"/>
                </a:ext>
                <a:ext uri="{FF2B5EF4-FFF2-40B4-BE49-F238E27FC236}">
                  <a16:creationId xmlns:a16="http://schemas.microsoft.com/office/drawing/2014/main" id="{00000000-0008-0000-0400-00004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2360" name="Button 72" hidden="1">
              <a:extLst>
                <a:ext uri="{63B3BB69-23CF-44E3-9099-C40C66FF867C}">
                  <a14:compatExt spid="_x0000_s12360"/>
                </a:ext>
                <a:ext uri="{FF2B5EF4-FFF2-40B4-BE49-F238E27FC236}">
                  <a16:creationId xmlns:a16="http://schemas.microsoft.com/office/drawing/2014/main" id="{00000000-0008-0000-0400-00004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2361" name="Button 73" hidden="1">
              <a:extLst>
                <a:ext uri="{63B3BB69-23CF-44E3-9099-C40C66FF867C}">
                  <a14:compatExt spid="_x0000_s12361"/>
                </a:ext>
                <a:ext uri="{FF2B5EF4-FFF2-40B4-BE49-F238E27FC236}">
                  <a16:creationId xmlns:a16="http://schemas.microsoft.com/office/drawing/2014/main" id="{00000000-0008-0000-0400-00004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400-00004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0509B1DB-04CC-4C9A-8D57-8E191726CC8C}"/>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12
254: 14</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14</xdr:row>
          <xdr:rowOff>9525</xdr:rowOff>
        </xdr:from>
        <xdr:to>
          <xdr:col>29</xdr:col>
          <xdr:colOff>133350</xdr:colOff>
          <xdr:row>16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5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5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6410" name="Button 28"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6411" name="Button 29" hidden="1">
              <a:extLst>
                <a:ext uri="{63B3BB69-23CF-44E3-9099-C40C66FF867C}">
                  <a14:compatExt spid="_x0000_s16411"/>
                </a:ext>
                <a:ext uri="{FF2B5EF4-FFF2-40B4-BE49-F238E27FC236}">
                  <a16:creationId xmlns:a16="http://schemas.microsoft.com/office/drawing/2014/main" id="{00000000-0008-0000-0500-00001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6412" name="Button 30" hidden="1">
              <a:extLst>
                <a:ext uri="{63B3BB69-23CF-44E3-9099-C40C66FF867C}">
                  <a14:compatExt spid="_x0000_s16412"/>
                </a:ext>
                <a:ext uri="{FF2B5EF4-FFF2-40B4-BE49-F238E27FC236}">
                  <a16:creationId xmlns:a16="http://schemas.microsoft.com/office/drawing/2014/main" id="{00000000-0008-0000-05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6415" name="Button 33"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6420" name="Check Box 39"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76200</xdr:rowOff>
        </xdr:to>
        <xdr:sp macro="" textlink="">
          <xdr:nvSpPr>
            <xdr:cNvPr id="16426" name="Check Box 41" hidden="1">
              <a:extLst>
                <a:ext uri="{63B3BB69-23CF-44E3-9099-C40C66FF867C}">
                  <a14:compatExt spid="_x0000_s16426"/>
                </a:ext>
                <a:ext uri="{FF2B5EF4-FFF2-40B4-BE49-F238E27FC236}">
                  <a16:creationId xmlns:a16="http://schemas.microsoft.com/office/drawing/2014/main" id="{00000000-0008-0000-05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76200</xdr:rowOff>
        </xdr:to>
        <xdr:sp macro="" textlink="">
          <xdr:nvSpPr>
            <xdr:cNvPr id="16427" name="Check Box 42" hidden="1">
              <a:extLst>
                <a:ext uri="{63B3BB69-23CF-44E3-9099-C40C66FF867C}">
                  <a14:compatExt spid="_x0000_s16427"/>
                </a:ext>
                <a:ext uri="{FF2B5EF4-FFF2-40B4-BE49-F238E27FC236}">
                  <a16:creationId xmlns:a16="http://schemas.microsoft.com/office/drawing/2014/main" id="{00000000-0008-0000-05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76200</xdr:rowOff>
        </xdr:to>
        <xdr:sp macro="" textlink="">
          <xdr:nvSpPr>
            <xdr:cNvPr id="16428" name="Check Box 43" hidden="1">
              <a:extLst>
                <a:ext uri="{63B3BB69-23CF-44E3-9099-C40C66FF867C}">
                  <a14:compatExt spid="_x0000_s16428"/>
                </a:ext>
                <a:ext uri="{FF2B5EF4-FFF2-40B4-BE49-F238E27FC236}">
                  <a16:creationId xmlns:a16="http://schemas.microsoft.com/office/drawing/2014/main" id="{00000000-0008-0000-05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6436" name="Button 50"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6437" name="Button 51"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6438" name="Button 52" hidden="1">
              <a:extLst>
                <a:ext uri="{63B3BB69-23CF-44E3-9099-C40C66FF867C}">
                  <a14:compatExt spid="_x0000_s16438"/>
                </a:ext>
                <a:ext uri="{FF2B5EF4-FFF2-40B4-BE49-F238E27FC236}">
                  <a16:creationId xmlns:a16="http://schemas.microsoft.com/office/drawing/2014/main" id="{00000000-0008-0000-0500-00003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6441" name="Button 55" hidden="1">
              <a:extLst>
                <a:ext uri="{63B3BB69-23CF-44E3-9099-C40C66FF867C}">
                  <a14:compatExt spid="_x0000_s16441"/>
                </a:ext>
                <a:ext uri="{FF2B5EF4-FFF2-40B4-BE49-F238E27FC236}">
                  <a16:creationId xmlns:a16="http://schemas.microsoft.com/office/drawing/2014/main" id="{00000000-0008-0000-05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6444" name="Button 60" hidden="1">
              <a:extLst>
                <a:ext uri="{63B3BB69-23CF-44E3-9099-C40C66FF867C}">
                  <a14:compatExt spid="_x0000_s16444"/>
                </a:ext>
                <a:ext uri="{FF2B5EF4-FFF2-40B4-BE49-F238E27FC236}">
                  <a16:creationId xmlns:a16="http://schemas.microsoft.com/office/drawing/2014/main" id="{00000000-0008-0000-05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5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6446" name="Button 62" hidden="1">
              <a:extLst>
                <a:ext uri="{63B3BB69-23CF-44E3-9099-C40C66FF867C}">
                  <a14:compatExt spid="_x0000_s16446"/>
                </a:ext>
                <a:ext uri="{FF2B5EF4-FFF2-40B4-BE49-F238E27FC236}">
                  <a16:creationId xmlns:a16="http://schemas.microsoft.com/office/drawing/2014/main" id="{00000000-0008-0000-0500-00003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6447" name="Button 63" hidden="1">
              <a:extLst>
                <a:ext uri="{63B3BB69-23CF-44E3-9099-C40C66FF867C}">
                  <a14:compatExt spid="_x0000_s16447"/>
                </a:ext>
                <a:ext uri="{FF2B5EF4-FFF2-40B4-BE49-F238E27FC236}">
                  <a16:creationId xmlns:a16="http://schemas.microsoft.com/office/drawing/2014/main" id="{00000000-0008-0000-0500-00003F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twoCellAnchor>
    <xdr:from>
      <xdr:col>0</xdr:col>
      <xdr:colOff>28575</xdr:colOff>
      <xdr:row>10</xdr:row>
      <xdr:rowOff>0</xdr:rowOff>
    </xdr:from>
    <xdr:to>
      <xdr:col>18</xdr:col>
      <xdr:colOff>200025</xdr:colOff>
      <xdr:row>35</xdr:row>
      <xdr:rowOff>180975</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552450</xdr:colOff>
          <xdr:row>23</xdr:row>
          <xdr:rowOff>9525</xdr:rowOff>
        </xdr:from>
        <xdr:to>
          <xdr:col>28</xdr:col>
          <xdr:colOff>542925</xdr:colOff>
          <xdr:row>35</xdr:row>
          <xdr:rowOff>180975</xdr:rowOff>
        </xdr:to>
        <xdr:sp macro="" textlink="">
          <xdr:nvSpPr>
            <xdr:cNvPr id="16448" name="ListBox1"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609600</xdr:colOff>
          <xdr:row>17</xdr:row>
          <xdr:rowOff>0</xdr:rowOff>
        </xdr:from>
        <xdr:to>
          <xdr:col>26</xdr:col>
          <xdr:colOff>609600</xdr:colOff>
          <xdr:row>19</xdr:row>
          <xdr:rowOff>9525</xdr:rowOff>
        </xdr:to>
        <xdr:sp macro="" textlink="">
          <xdr:nvSpPr>
            <xdr:cNvPr id="16450" name="Button 66" hidden="1">
              <a:extLst>
                <a:ext uri="{63B3BB69-23CF-44E3-9099-C40C66FF867C}">
                  <a14:compatExt spid="_x0000_s16450"/>
                </a:ext>
                <a:ext uri="{FF2B5EF4-FFF2-40B4-BE49-F238E27FC236}">
                  <a16:creationId xmlns:a16="http://schemas.microsoft.com/office/drawing/2014/main" id="{00000000-0008-0000-0500-00004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17</xdr:row>
          <xdr:rowOff>0</xdr:rowOff>
        </xdr:from>
        <xdr:to>
          <xdr:col>28</xdr:col>
          <xdr:colOff>0</xdr:colOff>
          <xdr:row>19</xdr:row>
          <xdr:rowOff>9525</xdr:rowOff>
        </xdr:to>
        <xdr:sp macro="" textlink="">
          <xdr:nvSpPr>
            <xdr:cNvPr id="16451" name="Button 67" hidden="1">
              <a:extLst>
                <a:ext uri="{63B3BB69-23CF-44E3-9099-C40C66FF867C}">
                  <a14:compatExt spid="_x0000_s16451"/>
                </a:ext>
                <a:ext uri="{FF2B5EF4-FFF2-40B4-BE49-F238E27FC236}">
                  <a16:creationId xmlns:a16="http://schemas.microsoft.com/office/drawing/2014/main" id="{00000000-0008-0000-0500-00004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0</xdr:rowOff>
        </xdr:from>
        <xdr:to>
          <xdr:col>25</xdr:col>
          <xdr:colOff>590550</xdr:colOff>
          <xdr:row>19</xdr:row>
          <xdr:rowOff>9525</xdr:rowOff>
        </xdr:to>
        <xdr:sp macro="" textlink="">
          <xdr:nvSpPr>
            <xdr:cNvPr id="16452" name="Button 68" hidden="1">
              <a:extLst>
                <a:ext uri="{63B3BB69-23CF-44E3-9099-C40C66FF867C}">
                  <a14:compatExt spid="_x0000_s16452"/>
                </a:ext>
                <a:ext uri="{FF2B5EF4-FFF2-40B4-BE49-F238E27FC236}">
                  <a16:creationId xmlns:a16="http://schemas.microsoft.com/office/drawing/2014/main" id="{00000000-0008-0000-0500-00004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466725</xdr:colOff>
          <xdr:row>17</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5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Wavelength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476250</xdr:colOff>
          <xdr:row>19</xdr:row>
          <xdr:rowOff>9525</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5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20</xdr:row>
          <xdr:rowOff>0</xdr:rowOff>
        </xdr:from>
        <xdr:to>
          <xdr:col>20</xdr:col>
          <xdr:colOff>476250</xdr:colOff>
          <xdr:row>21</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5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xdr:row>
          <xdr:rowOff>0</xdr:rowOff>
        </xdr:from>
        <xdr:to>
          <xdr:col>29</xdr:col>
          <xdr:colOff>266700</xdr:colOff>
          <xdr:row>18</xdr:row>
          <xdr:rowOff>9525</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5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18</xdr:row>
          <xdr:rowOff>0</xdr:rowOff>
        </xdr:from>
        <xdr:to>
          <xdr:col>29</xdr:col>
          <xdr:colOff>266700</xdr:colOff>
          <xdr:row>19</xdr:row>
          <xdr:rowOff>9525</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5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AutoClear</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EEBA3E86-F20D-4BFC-A491-25099EDC7B0E}"/>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12
254: 14</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1390650</xdr:colOff>
          <xdr:row>4</xdr:row>
          <xdr:rowOff>180975</xdr:rowOff>
        </xdr:from>
        <xdr:to>
          <xdr:col>0</xdr:col>
          <xdr:colOff>2371725</xdr:colOff>
          <xdr:row>7</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8</xdr:row>
          <xdr:rowOff>0</xdr:rowOff>
        </xdr:from>
        <xdr:to>
          <xdr:col>0</xdr:col>
          <xdr:colOff>2371725</xdr:colOff>
          <xdr:row>10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0</xdr:rowOff>
        </xdr:from>
        <xdr:to>
          <xdr:col>0</xdr:col>
          <xdr:colOff>2371725</xdr:colOff>
          <xdr:row>13</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14</xdr:row>
          <xdr:rowOff>9525</xdr:rowOff>
        </xdr:from>
        <xdr:to>
          <xdr:col>0</xdr:col>
          <xdr:colOff>2371725</xdr:colOff>
          <xdr:row>16</xdr:row>
          <xdr:rowOff>19050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xdr:row>
          <xdr:rowOff>171450</xdr:rowOff>
        </xdr:from>
        <xdr:to>
          <xdr:col>0</xdr:col>
          <xdr:colOff>2371725</xdr:colOff>
          <xdr:row>3</xdr:row>
          <xdr:rowOff>180975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 Peaks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34</xdr:row>
          <xdr:rowOff>28575</xdr:rowOff>
        </xdr:from>
        <xdr:to>
          <xdr:col>1</xdr:col>
          <xdr:colOff>600075</xdr:colOff>
          <xdr:row>35</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13</xdr:col>
          <xdr:colOff>581025</xdr:colOff>
          <xdr:row>21</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Automatically hide bogus spectra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9525</xdr:rowOff>
        </xdr:from>
        <xdr:to>
          <xdr:col>13</xdr:col>
          <xdr:colOff>600075</xdr:colOff>
          <xdr:row>24</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24</xdr:row>
          <xdr:rowOff>9525</xdr:rowOff>
        </xdr:from>
        <xdr:to>
          <xdr:col>13</xdr:col>
          <xdr:colOff>600075</xdr:colOff>
          <xdr:row>25</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min/max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xdr:row>
          <xdr:rowOff>180975</xdr:rowOff>
        </xdr:from>
        <xdr:to>
          <xdr:col>17</xdr:col>
          <xdr:colOff>600075</xdr:colOff>
          <xdr:row>3</xdr:row>
          <xdr:rowOff>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Only copy visible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14</xdr:row>
          <xdr:rowOff>0</xdr:rowOff>
        </xdr:from>
        <xdr:to>
          <xdr:col>8</xdr:col>
          <xdr:colOff>466725</xdr:colOff>
          <xdr:row>15</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0</xdr:rowOff>
        </xdr:from>
        <xdr:to>
          <xdr:col>8</xdr:col>
          <xdr:colOff>466725</xdr:colOff>
          <xdr:row>16</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190500</xdr:rowOff>
        </xdr:from>
        <xdr:to>
          <xdr:col>8</xdr:col>
          <xdr:colOff>466725</xdr:colOff>
          <xdr:row>16</xdr:row>
          <xdr:rowOff>190500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16</xdr:row>
          <xdr:rowOff>180975</xdr:rowOff>
        </xdr:from>
        <xdr:to>
          <xdr:col>8</xdr:col>
          <xdr:colOff>466725</xdr:colOff>
          <xdr:row>17</xdr:row>
          <xdr:rowOff>180975</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17</xdr:row>
          <xdr:rowOff>190500</xdr:rowOff>
        </xdr:from>
        <xdr:to>
          <xdr:col>8</xdr:col>
          <xdr:colOff>466725</xdr:colOff>
          <xdr:row>18</xdr:row>
          <xdr:rowOff>190500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9525</xdr:rowOff>
        </xdr:from>
        <xdr:to>
          <xdr:col>14</xdr:col>
          <xdr:colOff>276225</xdr:colOff>
          <xdr:row>26</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UV-Vis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190500</xdr:rowOff>
        </xdr:from>
        <xdr:to>
          <xdr:col>14</xdr:col>
          <xdr:colOff>38100</xdr:colOff>
          <xdr:row>28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190500</xdr:rowOff>
        </xdr:from>
        <xdr:to>
          <xdr:col>14</xdr:col>
          <xdr:colOff>38100</xdr:colOff>
          <xdr:row>29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UV-vis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104775</xdr:rowOff>
        </xdr:from>
        <xdr:to>
          <xdr:col>14</xdr:col>
          <xdr:colOff>285750</xdr:colOff>
          <xdr:row>17</xdr:row>
          <xdr:rowOff>114300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Dbase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85725</xdr:rowOff>
        </xdr:from>
        <xdr:to>
          <xdr:col>14</xdr:col>
          <xdr:colOff>285750</xdr:colOff>
          <xdr:row>16</xdr:row>
          <xdr:rowOff>95250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AutoClass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24</xdr:row>
          <xdr:rowOff>180975</xdr:rowOff>
        </xdr:from>
        <xdr:to>
          <xdr:col>17</xdr:col>
          <xdr:colOff>581025</xdr:colOff>
          <xdr:row>25</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Restrict peaks to the following...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35</xdr:row>
          <xdr:rowOff>19050</xdr:rowOff>
        </xdr:from>
        <xdr:to>
          <xdr:col>20</xdr:col>
          <xdr:colOff>581025</xdr:colOff>
          <xdr:row>35</xdr:row>
          <xdr:rowOff>180975</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Filename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36</xdr:row>
          <xdr:rowOff>19050</xdr:rowOff>
        </xdr:from>
        <xdr:to>
          <xdr:col>20</xdr:col>
          <xdr:colOff>600075</xdr:colOff>
          <xdr:row>36</xdr:row>
          <xdr:rowOff>171450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Sequence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9525</xdr:rowOff>
        </xdr:from>
        <xdr:to>
          <xdr:col>16</xdr:col>
          <xdr:colOff>371475</xdr:colOff>
          <xdr:row>35</xdr:row>
          <xdr:rowOff>180975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Number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36</xdr:row>
          <xdr:rowOff>9525</xdr:rowOff>
        </xdr:from>
        <xdr:to>
          <xdr:col>16</xdr:col>
          <xdr:colOff>371475</xdr:colOff>
          <xdr:row>36</xdr:row>
          <xdr:rowOff>180975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Rank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35</xdr:row>
          <xdr:rowOff>9525</xdr:rowOff>
        </xdr:from>
        <xdr:to>
          <xdr:col>17</xdr:col>
          <xdr:colOff>590550</xdr:colOff>
          <xdr:row>35</xdr:row>
          <xdr:rowOff>180975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 Area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36</xdr:row>
          <xdr:rowOff>9525</xdr:rowOff>
        </xdr:from>
        <xdr:to>
          <xdr:col>17</xdr:col>
          <xdr:colOff>590550</xdr:colOff>
          <xdr:row>36</xdr:row>
          <xdr:rowOff>171450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Pos/Neg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35</xdr:row>
          <xdr:rowOff>0</xdr:rowOff>
        </xdr:from>
        <xdr:to>
          <xdr:col>20</xdr:col>
          <xdr:colOff>600075</xdr:colOff>
          <xdr:row>36</xdr:row>
          <xdr:rowOff>190500</xdr:rowOff>
        </xdr:to>
        <xdr:sp macro="" textlink="">
          <xdr:nvSpPr>
            <xdr:cNvPr id="2074" name="Group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9" Type="http://schemas.openxmlformats.org/officeDocument/2006/relationships/ctrlProp" Target="../ctrlProps/ctrlProp71.xml"/><Relationship Id="rId3" Type="http://schemas.openxmlformats.org/officeDocument/2006/relationships/vmlDrawing" Target="../drawings/vmlDrawing3.vml"/><Relationship Id="rId21" Type="http://schemas.openxmlformats.org/officeDocument/2006/relationships/ctrlProp" Target="../ctrlProps/ctrlProp53.xml"/><Relationship Id="rId34" Type="http://schemas.openxmlformats.org/officeDocument/2006/relationships/ctrlProp" Target="../ctrlProps/ctrlProp66.xml"/><Relationship Id="rId42" Type="http://schemas.openxmlformats.org/officeDocument/2006/relationships/ctrlProp" Target="../ctrlProps/ctrlProp74.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38" Type="http://schemas.openxmlformats.org/officeDocument/2006/relationships/ctrlProp" Target="../ctrlProps/ctrlProp70.xml"/><Relationship Id="rId46" Type="http://schemas.openxmlformats.org/officeDocument/2006/relationships/ctrlProp" Target="../ctrlProps/ctrlProp78.xml"/><Relationship Id="rId2" Type="http://schemas.openxmlformats.org/officeDocument/2006/relationships/drawing" Target="../drawings/drawing3.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41" Type="http://schemas.openxmlformats.org/officeDocument/2006/relationships/ctrlProp" Target="../ctrlProps/ctrlProp73.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37" Type="http://schemas.openxmlformats.org/officeDocument/2006/relationships/ctrlProp" Target="../ctrlProps/ctrlProp69.xml"/><Relationship Id="rId40" Type="http://schemas.openxmlformats.org/officeDocument/2006/relationships/ctrlProp" Target="../ctrlProps/ctrlProp72.xml"/><Relationship Id="rId45" Type="http://schemas.openxmlformats.org/officeDocument/2006/relationships/ctrlProp" Target="../ctrlProps/ctrlProp77.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trlProp" Target="../ctrlProps/ctrlProp68.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4" Type="http://schemas.openxmlformats.org/officeDocument/2006/relationships/ctrlProp" Target="../ctrlProps/ctrlProp76.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43" Type="http://schemas.openxmlformats.org/officeDocument/2006/relationships/ctrlProp" Target="../ctrlProps/ctrlProp7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18" Type="http://schemas.openxmlformats.org/officeDocument/2006/relationships/ctrlProp" Target="../ctrlProps/ctrlProp93.xml"/><Relationship Id="rId26" Type="http://schemas.openxmlformats.org/officeDocument/2006/relationships/ctrlProp" Target="../ctrlProps/ctrlProp101.xml"/><Relationship Id="rId39" Type="http://schemas.openxmlformats.org/officeDocument/2006/relationships/ctrlProp" Target="../ctrlProps/ctrlProp114.xml"/><Relationship Id="rId3" Type="http://schemas.openxmlformats.org/officeDocument/2006/relationships/vmlDrawing" Target="../drawings/vmlDrawing4.vml"/><Relationship Id="rId21" Type="http://schemas.openxmlformats.org/officeDocument/2006/relationships/ctrlProp" Target="../ctrlProps/ctrlProp96.xml"/><Relationship Id="rId34" Type="http://schemas.openxmlformats.org/officeDocument/2006/relationships/ctrlProp" Target="../ctrlProps/ctrlProp109.xml"/><Relationship Id="rId42" Type="http://schemas.openxmlformats.org/officeDocument/2006/relationships/ctrlProp" Target="../ctrlProps/ctrlProp117.xml"/><Relationship Id="rId7" Type="http://schemas.openxmlformats.org/officeDocument/2006/relationships/ctrlProp" Target="../ctrlProps/ctrlProp82.xml"/><Relationship Id="rId12" Type="http://schemas.openxmlformats.org/officeDocument/2006/relationships/ctrlProp" Target="../ctrlProps/ctrlProp87.xml"/><Relationship Id="rId17" Type="http://schemas.openxmlformats.org/officeDocument/2006/relationships/ctrlProp" Target="../ctrlProps/ctrlProp92.xml"/><Relationship Id="rId25" Type="http://schemas.openxmlformats.org/officeDocument/2006/relationships/ctrlProp" Target="../ctrlProps/ctrlProp100.xml"/><Relationship Id="rId33" Type="http://schemas.openxmlformats.org/officeDocument/2006/relationships/ctrlProp" Target="../ctrlProps/ctrlProp108.xml"/><Relationship Id="rId38" Type="http://schemas.openxmlformats.org/officeDocument/2006/relationships/ctrlProp" Target="../ctrlProps/ctrlProp113.xml"/><Relationship Id="rId2" Type="http://schemas.openxmlformats.org/officeDocument/2006/relationships/drawing" Target="../drawings/drawing6.xml"/><Relationship Id="rId16" Type="http://schemas.openxmlformats.org/officeDocument/2006/relationships/ctrlProp" Target="../ctrlProps/ctrlProp91.xml"/><Relationship Id="rId20" Type="http://schemas.openxmlformats.org/officeDocument/2006/relationships/ctrlProp" Target="../ctrlProps/ctrlProp95.xml"/><Relationship Id="rId29" Type="http://schemas.openxmlformats.org/officeDocument/2006/relationships/ctrlProp" Target="../ctrlProps/ctrlProp104.xml"/><Relationship Id="rId41" Type="http://schemas.openxmlformats.org/officeDocument/2006/relationships/ctrlProp" Target="../ctrlProps/ctrlProp116.xml"/><Relationship Id="rId1" Type="http://schemas.openxmlformats.org/officeDocument/2006/relationships/printerSettings" Target="../printerSettings/printerSettings4.bin"/><Relationship Id="rId6" Type="http://schemas.openxmlformats.org/officeDocument/2006/relationships/ctrlProp" Target="../ctrlProps/ctrlProp81.xml"/><Relationship Id="rId11" Type="http://schemas.openxmlformats.org/officeDocument/2006/relationships/ctrlProp" Target="../ctrlProps/ctrlProp86.xml"/><Relationship Id="rId24" Type="http://schemas.openxmlformats.org/officeDocument/2006/relationships/ctrlProp" Target="../ctrlProps/ctrlProp99.xml"/><Relationship Id="rId32" Type="http://schemas.openxmlformats.org/officeDocument/2006/relationships/ctrlProp" Target="../ctrlProps/ctrlProp107.xml"/><Relationship Id="rId37" Type="http://schemas.openxmlformats.org/officeDocument/2006/relationships/ctrlProp" Target="../ctrlProps/ctrlProp112.xml"/><Relationship Id="rId40" Type="http://schemas.openxmlformats.org/officeDocument/2006/relationships/ctrlProp" Target="../ctrlProps/ctrlProp115.xml"/><Relationship Id="rId5" Type="http://schemas.openxmlformats.org/officeDocument/2006/relationships/ctrlProp" Target="../ctrlProps/ctrlProp80.xml"/><Relationship Id="rId15" Type="http://schemas.openxmlformats.org/officeDocument/2006/relationships/ctrlProp" Target="../ctrlProps/ctrlProp90.xml"/><Relationship Id="rId23" Type="http://schemas.openxmlformats.org/officeDocument/2006/relationships/ctrlProp" Target="../ctrlProps/ctrlProp98.xml"/><Relationship Id="rId28" Type="http://schemas.openxmlformats.org/officeDocument/2006/relationships/ctrlProp" Target="../ctrlProps/ctrlProp103.xml"/><Relationship Id="rId36" Type="http://schemas.openxmlformats.org/officeDocument/2006/relationships/ctrlProp" Target="../ctrlProps/ctrlProp111.xml"/><Relationship Id="rId10" Type="http://schemas.openxmlformats.org/officeDocument/2006/relationships/ctrlProp" Target="../ctrlProps/ctrlProp85.xml"/><Relationship Id="rId19" Type="http://schemas.openxmlformats.org/officeDocument/2006/relationships/ctrlProp" Target="../ctrlProps/ctrlProp94.xml"/><Relationship Id="rId31" Type="http://schemas.openxmlformats.org/officeDocument/2006/relationships/ctrlProp" Target="../ctrlProps/ctrlProp106.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 Id="rId22" Type="http://schemas.openxmlformats.org/officeDocument/2006/relationships/ctrlProp" Target="../ctrlProps/ctrlProp97.xml"/><Relationship Id="rId27" Type="http://schemas.openxmlformats.org/officeDocument/2006/relationships/ctrlProp" Target="../ctrlProps/ctrlProp102.xml"/><Relationship Id="rId30" Type="http://schemas.openxmlformats.org/officeDocument/2006/relationships/ctrlProp" Target="../ctrlProps/ctrlProp105.xml"/><Relationship Id="rId35" Type="http://schemas.openxmlformats.org/officeDocument/2006/relationships/ctrlProp" Target="../ctrlProps/ctrlProp110.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9" Type="http://schemas.openxmlformats.org/officeDocument/2006/relationships/ctrlProp" Target="../ctrlProps/ctrlProp154.xml"/><Relationship Id="rId3" Type="http://schemas.openxmlformats.org/officeDocument/2006/relationships/ctrlProp" Target="../ctrlProps/ctrlProp118.xml"/><Relationship Id="rId21" Type="http://schemas.openxmlformats.org/officeDocument/2006/relationships/ctrlProp" Target="../ctrlProps/ctrlProp136.xml"/><Relationship Id="rId34" Type="http://schemas.openxmlformats.org/officeDocument/2006/relationships/ctrlProp" Target="../ctrlProps/ctrlProp149.xml"/><Relationship Id="rId42" Type="http://schemas.openxmlformats.org/officeDocument/2006/relationships/ctrlProp" Target="../ctrlProps/ctrlProp157.xml"/><Relationship Id="rId47" Type="http://schemas.openxmlformats.org/officeDocument/2006/relationships/ctrlProp" Target="../ctrlProps/ctrlProp162.xml"/><Relationship Id="rId50" Type="http://schemas.openxmlformats.org/officeDocument/2006/relationships/ctrlProp" Target="../ctrlProps/ctrlProp165.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33" Type="http://schemas.openxmlformats.org/officeDocument/2006/relationships/ctrlProp" Target="../ctrlProps/ctrlProp148.xml"/><Relationship Id="rId38" Type="http://schemas.openxmlformats.org/officeDocument/2006/relationships/ctrlProp" Target="../ctrlProps/ctrlProp153.xml"/><Relationship Id="rId46" Type="http://schemas.openxmlformats.org/officeDocument/2006/relationships/ctrlProp" Target="../ctrlProps/ctrlProp161.xml"/><Relationship Id="rId2" Type="http://schemas.openxmlformats.org/officeDocument/2006/relationships/vmlDrawing" Target="../drawings/vmlDrawing5.vml"/><Relationship Id="rId16" Type="http://schemas.openxmlformats.org/officeDocument/2006/relationships/ctrlProp" Target="../ctrlProps/ctrlProp131.xml"/><Relationship Id="rId20" Type="http://schemas.openxmlformats.org/officeDocument/2006/relationships/ctrlProp" Target="../ctrlProps/ctrlProp135.xml"/><Relationship Id="rId29" Type="http://schemas.openxmlformats.org/officeDocument/2006/relationships/ctrlProp" Target="../ctrlProps/ctrlProp144.xml"/><Relationship Id="rId41" Type="http://schemas.openxmlformats.org/officeDocument/2006/relationships/ctrlProp" Target="../ctrlProps/ctrlProp156.xml"/><Relationship Id="rId1" Type="http://schemas.openxmlformats.org/officeDocument/2006/relationships/drawing" Target="../drawings/drawing8.xml"/><Relationship Id="rId6" Type="http://schemas.openxmlformats.org/officeDocument/2006/relationships/ctrlProp" Target="../ctrlProps/ctrlProp121.xml"/><Relationship Id="rId11" Type="http://schemas.openxmlformats.org/officeDocument/2006/relationships/ctrlProp" Target="../ctrlProps/ctrlProp126.xml"/><Relationship Id="rId24" Type="http://schemas.openxmlformats.org/officeDocument/2006/relationships/ctrlProp" Target="../ctrlProps/ctrlProp139.xml"/><Relationship Id="rId32" Type="http://schemas.openxmlformats.org/officeDocument/2006/relationships/ctrlProp" Target="../ctrlProps/ctrlProp147.xml"/><Relationship Id="rId37" Type="http://schemas.openxmlformats.org/officeDocument/2006/relationships/ctrlProp" Target="../ctrlProps/ctrlProp152.xml"/><Relationship Id="rId40" Type="http://schemas.openxmlformats.org/officeDocument/2006/relationships/ctrlProp" Target="../ctrlProps/ctrlProp155.xml"/><Relationship Id="rId45" Type="http://schemas.openxmlformats.org/officeDocument/2006/relationships/ctrlProp" Target="../ctrlProps/ctrlProp160.xml"/><Relationship Id="rId53" Type="http://schemas.openxmlformats.org/officeDocument/2006/relationships/ctrlProp" Target="../ctrlProps/ctrlProp168.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36" Type="http://schemas.openxmlformats.org/officeDocument/2006/relationships/ctrlProp" Target="../ctrlProps/ctrlProp151.xml"/><Relationship Id="rId49" Type="http://schemas.openxmlformats.org/officeDocument/2006/relationships/ctrlProp" Target="../ctrlProps/ctrlProp164.xml"/><Relationship Id="rId10" Type="http://schemas.openxmlformats.org/officeDocument/2006/relationships/ctrlProp" Target="../ctrlProps/ctrlProp125.xml"/><Relationship Id="rId19" Type="http://schemas.openxmlformats.org/officeDocument/2006/relationships/ctrlProp" Target="../ctrlProps/ctrlProp134.xml"/><Relationship Id="rId31" Type="http://schemas.openxmlformats.org/officeDocument/2006/relationships/ctrlProp" Target="../ctrlProps/ctrlProp146.xml"/><Relationship Id="rId44" Type="http://schemas.openxmlformats.org/officeDocument/2006/relationships/ctrlProp" Target="../ctrlProps/ctrlProp159.xml"/><Relationship Id="rId52" Type="http://schemas.openxmlformats.org/officeDocument/2006/relationships/ctrlProp" Target="../ctrlProps/ctrlProp167.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trlProp" Target="../ctrlProps/ctrlProp145.xml"/><Relationship Id="rId35" Type="http://schemas.openxmlformats.org/officeDocument/2006/relationships/ctrlProp" Target="../ctrlProps/ctrlProp150.xml"/><Relationship Id="rId43" Type="http://schemas.openxmlformats.org/officeDocument/2006/relationships/ctrlProp" Target="../ctrlProps/ctrlProp158.xml"/><Relationship Id="rId48" Type="http://schemas.openxmlformats.org/officeDocument/2006/relationships/ctrlProp" Target="../ctrlProps/ctrlProp163.xml"/><Relationship Id="rId8" Type="http://schemas.openxmlformats.org/officeDocument/2006/relationships/ctrlProp" Target="../ctrlProps/ctrlProp123.xml"/><Relationship Id="rId51" Type="http://schemas.openxmlformats.org/officeDocument/2006/relationships/ctrlProp" Target="../ctrlProps/ctrlProp16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2.xml"/><Relationship Id="rId13" Type="http://schemas.openxmlformats.org/officeDocument/2006/relationships/ctrlProp" Target="../ctrlProps/ctrlProp177.xml"/><Relationship Id="rId18" Type="http://schemas.openxmlformats.org/officeDocument/2006/relationships/ctrlProp" Target="../ctrlProps/ctrlProp182.xml"/><Relationship Id="rId26" Type="http://schemas.openxmlformats.org/officeDocument/2006/relationships/ctrlProp" Target="../ctrlProps/ctrlProp190.xml"/><Relationship Id="rId39" Type="http://schemas.openxmlformats.org/officeDocument/2006/relationships/ctrlProp" Target="../ctrlProps/ctrlProp203.xml"/><Relationship Id="rId3" Type="http://schemas.openxmlformats.org/officeDocument/2006/relationships/control" Target="../activeX/activeX1.xml"/><Relationship Id="rId21" Type="http://schemas.openxmlformats.org/officeDocument/2006/relationships/ctrlProp" Target="../ctrlProps/ctrlProp185.xml"/><Relationship Id="rId34" Type="http://schemas.openxmlformats.org/officeDocument/2006/relationships/ctrlProp" Target="../ctrlProps/ctrlProp198.xml"/><Relationship Id="rId42" Type="http://schemas.openxmlformats.org/officeDocument/2006/relationships/ctrlProp" Target="../ctrlProps/ctrlProp206.xml"/><Relationship Id="rId7" Type="http://schemas.openxmlformats.org/officeDocument/2006/relationships/ctrlProp" Target="../ctrlProps/ctrlProp171.xml"/><Relationship Id="rId12" Type="http://schemas.openxmlformats.org/officeDocument/2006/relationships/ctrlProp" Target="../ctrlProps/ctrlProp176.xml"/><Relationship Id="rId17" Type="http://schemas.openxmlformats.org/officeDocument/2006/relationships/ctrlProp" Target="../ctrlProps/ctrlProp181.xml"/><Relationship Id="rId25" Type="http://schemas.openxmlformats.org/officeDocument/2006/relationships/ctrlProp" Target="../ctrlProps/ctrlProp189.xml"/><Relationship Id="rId33" Type="http://schemas.openxmlformats.org/officeDocument/2006/relationships/ctrlProp" Target="../ctrlProps/ctrlProp197.xml"/><Relationship Id="rId38" Type="http://schemas.openxmlformats.org/officeDocument/2006/relationships/ctrlProp" Target="../ctrlProps/ctrlProp202.xml"/><Relationship Id="rId2" Type="http://schemas.openxmlformats.org/officeDocument/2006/relationships/vmlDrawing" Target="../drawings/vmlDrawing6.vml"/><Relationship Id="rId16" Type="http://schemas.openxmlformats.org/officeDocument/2006/relationships/ctrlProp" Target="../ctrlProps/ctrlProp180.xml"/><Relationship Id="rId20" Type="http://schemas.openxmlformats.org/officeDocument/2006/relationships/ctrlProp" Target="../ctrlProps/ctrlProp184.xml"/><Relationship Id="rId29" Type="http://schemas.openxmlformats.org/officeDocument/2006/relationships/ctrlProp" Target="../ctrlProps/ctrlProp193.xml"/><Relationship Id="rId41" Type="http://schemas.openxmlformats.org/officeDocument/2006/relationships/ctrlProp" Target="../ctrlProps/ctrlProp205.xml"/><Relationship Id="rId1" Type="http://schemas.openxmlformats.org/officeDocument/2006/relationships/drawing" Target="../drawings/drawing10.xml"/><Relationship Id="rId6" Type="http://schemas.openxmlformats.org/officeDocument/2006/relationships/ctrlProp" Target="../ctrlProps/ctrlProp170.xml"/><Relationship Id="rId11" Type="http://schemas.openxmlformats.org/officeDocument/2006/relationships/ctrlProp" Target="../ctrlProps/ctrlProp175.xml"/><Relationship Id="rId24" Type="http://schemas.openxmlformats.org/officeDocument/2006/relationships/ctrlProp" Target="../ctrlProps/ctrlProp188.xml"/><Relationship Id="rId32" Type="http://schemas.openxmlformats.org/officeDocument/2006/relationships/ctrlProp" Target="../ctrlProps/ctrlProp196.xml"/><Relationship Id="rId37" Type="http://schemas.openxmlformats.org/officeDocument/2006/relationships/ctrlProp" Target="../ctrlProps/ctrlProp201.xml"/><Relationship Id="rId40" Type="http://schemas.openxmlformats.org/officeDocument/2006/relationships/ctrlProp" Target="../ctrlProps/ctrlProp204.xml"/><Relationship Id="rId5" Type="http://schemas.openxmlformats.org/officeDocument/2006/relationships/ctrlProp" Target="../ctrlProps/ctrlProp169.xml"/><Relationship Id="rId15" Type="http://schemas.openxmlformats.org/officeDocument/2006/relationships/ctrlProp" Target="../ctrlProps/ctrlProp179.xml"/><Relationship Id="rId23" Type="http://schemas.openxmlformats.org/officeDocument/2006/relationships/ctrlProp" Target="../ctrlProps/ctrlProp187.xml"/><Relationship Id="rId28" Type="http://schemas.openxmlformats.org/officeDocument/2006/relationships/ctrlProp" Target="../ctrlProps/ctrlProp192.xml"/><Relationship Id="rId36" Type="http://schemas.openxmlformats.org/officeDocument/2006/relationships/ctrlProp" Target="../ctrlProps/ctrlProp200.xml"/><Relationship Id="rId10" Type="http://schemas.openxmlformats.org/officeDocument/2006/relationships/ctrlProp" Target="../ctrlProps/ctrlProp174.xml"/><Relationship Id="rId19" Type="http://schemas.openxmlformats.org/officeDocument/2006/relationships/ctrlProp" Target="../ctrlProps/ctrlProp183.xml"/><Relationship Id="rId31" Type="http://schemas.openxmlformats.org/officeDocument/2006/relationships/ctrlProp" Target="../ctrlProps/ctrlProp195.xml"/><Relationship Id="rId44" Type="http://schemas.openxmlformats.org/officeDocument/2006/relationships/ctrlProp" Target="../ctrlProps/ctrlProp208.xml"/><Relationship Id="rId4" Type="http://schemas.openxmlformats.org/officeDocument/2006/relationships/image" Target="../media/image1.emf"/><Relationship Id="rId9" Type="http://schemas.openxmlformats.org/officeDocument/2006/relationships/ctrlProp" Target="../ctrlProps/ctrlProp173.xml"/><Relationship Id="rId14" Type="http://schemas.openxmlformats.org/officeDocument/2006/relationships/ctrlProp" Target="../ctrlProps/ctrlProp178.xml"/><Relationship Id="rId22" Type="http://schemas.openxmlformats.org/officeDocument/2006/relationships/ctrlProp" Target="../ctrlProps/ctrlProp186.xml"/><Relationship Id="rId27" Type="http://schemas.openxmlformats.org/officeDocument/2006/relationships/ctrlProp" Target="../ctrlProps/ctrlProp191.xml"/><Relationship Id="rId30" Type="http://schemas.openxmlformats.org/officeDocument/2006/relationships/ctrlProp" Target="../ctrlProps/ctrlProp194.xml"/><Relationship Id="rId35" Type="http://schemas.openxmlformats.org/officeDocument/2006/relationships/ctrlProp" Target="../ctrlProps/ctrlProp199.xml"/><Relationship Id="rId43" Type="http://schemas.openxmlformats.org/officeDocument/2006/relationships/ctrlProp" Target="../ctrlProps/ctrlProp20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9.xml"/><Relationship Id="rId7" Type="http://schemas.openxmlformats.org/officeDocument/2006/relationships/ctrlProp" Target="../ctrlProps/ctrlProp213.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ctrlProp" Target="../ctrlProps/ctrlProp2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8.xml"/><Relationship Id="rId13" Type="http://schemas.openxmlformats.org/officeDocument/2006/relationships/ctrlProp" Target="../ctrlProps/ctrlProp223.xml"/><Relationship Id="rId18" Type="http://schemas.openxmlformats.org/officeDocument/2006/relationships/ctrlProp" Target="../ctrlProps/ctrlProp228.xml"/><Relationship Id="rId26" Type="http://schemas.openxmlformats.org/officeDocument/2006/relationships/ctrlProp" Target="../ctrlProps/ctrlProp236.xml"/><Relationship Id="rId3" Type="http://schemas.openxmlformats.org/officeDocument/2006/relationships/vmlDrawing" Target="../drawings/vmlDrawing8.vml"/><Relationship Id="rId21" Type="http://schemas.openxmlformats.org/officeDocument/2006/relationships/ctrlProp" Target="../ctrlProps/ctrlProp231.xml"/><Relationship Id="rId7" Type="http://schemas.openxmlformats.org/officeDocument/2006/relationships/ctrlProp" Target="../ctrlProps/ctrlProp217.xml"/><Relationship Id="rId12" Type="http://schemas.openxmlformats.org/officeDocument/2006/relationships/ctrlProp" Target="../ctrlProps/ctrlProp222.xml"/><Relationship Id="rId17" Type="http://schemas.openxmlformats.org/officeDocument/2006/relationships/ctrlProp" Target="../ctrlProps/ctrlProp227.xml"/><Relationship Id="rId25" Type="http://schemas.openxmlformats.org/officeDocument/2006/relationships/ctrlProp" Target="../ctrlProps/ctrlProp235.xml"/><Relationship Id="rId2" Type="http://schemas.openxmlformats.org/officeDocument/2006/relationships/drawing" Target="../drawings/drawing13.xml"/><Relationship Id="rId16" Type="http://schemas.openxmlformats.org/officeDocument/2006/relationships/ctrlProp" Target="../ctrlProps/ctrlProp226.xml"/><Relationship Id="rId20" Type="http://schemas.openxmlformats.org/officeDocument/2006/relationships/ctrlProp" Target="../ctrlProps/ctrlProp230.xml"/><Relationship Id="rId1" Type="http://schemas.openxmlformats.org/officeDocument/2006/relationships/printerSettings" Target="../printerSettings/printerSettings5.bin"/><Relationship Id="rId6" Type="http://schemas.openxmlformats.org/officeDocument/2006/relationships/ctrlProp" Target="../ctrlProps/ctrlProp216.xml"/><Relationship Id="rId11" Type="http://schemas.openxmlformats.org/officeDocument/2006/relationships/ctrlProp" Target="../ctrlProps/ctrlProp221.xml"/><Relationship Id="rId24" Type="http://schemas.openxmlformats.org/officeDocument/2006/relationships/ctrlProp" Target="../ctrlProps/ctrlProp234.xml"/><Relationship Id="rId5" Type="http://schemas.openxmlformats.org/officeDocument/2006/relationships/ctrlProp" Target="../ctrlProps/ctrlProp215.xml"/><Relationship Id="rId15" Type="http://schemas.openxmlformats.org/officeDocument/2006/relationships/ctrlProp" Target="../ctrlProps/ctrlProp225.xml"/><Relationship Id="rId23" Type="http://schemas.openxmlformats.org/officeDocument/2006/relationships/ctrlProp" Target="../ctrlProps/ctrlProp233.xml"/><Relationship Id="rId10" Type="http://schemas.openxmlformats.org/officeDocument/2006/relationships/ctrlProp" Target="../ctrlProps/ctrlProp220.xml"/><Relationship Id="rId19" Type="http://schemas.openxmlformats.org/officeDocument/2006/relationships/ctrlProp" Target="../ctrlProps/ctrlProp229.xml"/><Relationship Id="rId4" Type="http://schemas.openxmlformats.org/officeDocument/2006/relationships/ctrlProp" Target="../ctrlProps/ctrlProp214.xml"/><Relationship Id="rId9" Type="http://schemas.openxmlformats.org/officeDocument/2006/relationships/ctrlProp" Target="../ctrlProps/ctrlProp219.xml"/><Relationship Id="rId14" Type="http://schemas.openxmlformats.org/officeDocument/2006/relationships/ctrlProp" Target="../ctrlProps/ctrlProp224.xml"/><Relationship Id="rId22" Type="http://schemas.openxmlformats.org/officeDocument/2006/relationships/ctrlProp" Target="../ctrlProps/ctrlProp23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300"/>
  <sheetViews>
    <sheetView tabSelected="1" zoomScaleNormal="100" workbookViewId="0"/>
  </sheetViews>
  <sheetFormatPr defaultColWidth="9.140625" defaultRowHeight="123" customHeight="1" x14ac:dyDescent="0.25"/>
  <cols>
    <col min="1" max="1" width="8.7109375" style="21" customWidth="1"/>
    <col min="2" max="6" width="14.28515625" style="21" customWidth="1"/>
    <col min="7" max="8" width="16.85546875" style="21" hidden="1" customWidth="1"/>
    <col min="9" max="11" width="16.85546875" style="21" customWidth="1"/>
    <col min="12" max="12" width="29.140625" style="21" customWidth="1"/>
    <col min="13" max="13" width="4.5703125" style="21" customWidth="1"/>
    <col min="14" max="14" width="40.85546875" style="21" customWidth="1"/>
    <col min="15" max="16" width="40.85546875" style="21" hidden="1" customWidth="1"/>
    <col min="17" max="18" width="14.28515625" style="24" customWidth="1"/>
    <col min="19" max="19" width="41.5703125" style="24" customWidth="1"/>
    <col min="20" max="20" width="43.85546875" style="24" customWidth="1"/>
    <col min="21" max="16384" width="9.140625" style="24"/>
  </cols>
  <sheetData>
    <row r="1" spans="1:26" ht="18" customHeight="1" x14ac:dyDescent="0.25">
      <c r="A1" s="20" t="s">
        <v>7</v>
      </c>
      <c r="B1" s="20" t="s">
        <v>135</v>
      </c>
      <c r="Q1" s="22"/>
      <c r="R1" s="23"/>
      <c r="T1" s="51"/>
      <c r="U1" s="52"/>
      <c r="V1" s="52"/>
      <c r="W1" s="51"/>
      <c r="X1" s="51"/>
      <c r="Y1" s="51"/>
      <c r="Z1" s="52"/>
    </row>
    <row r="2" spans="1:26" ht="18" customHeight="1" x14ac:dyDescent="0.25">
      <c r="A2" s="20" t="s">
        <v>8</v>
      </c>
      <c r="B2" s="20" t="s">
        <v>136</v>
      </c>
      <c r="G2" s="26"/>
      <c r="H2" s="26"/>
      <c r="J2" s="27"/>
      <c r="K2" s="27"/>
      <c r="Q2" s="26"/>
      <c r="R2" s="26"/>
      <c r="T2" s="51"/>
      <c r="U2" s="52"/>
      <c r="V2" s="52"/>
      <c r="W2" s="51"/>
      <c r="X2" s="51"/>
      <c r="Y2" s="51"/>
      <c r="Z2" s="52"/>
    </row>
    <row r="3" spans="1:26" ht="18" customHeight="1" x14ac:dyDescent="0.25">
      <c r="A3" s="28" t="s">
        <v>47</v>
      </c>
      <c r="B3" s="29"/>
      <c r="C3" s="29"/>
      <c r="D3" s="83">
        <v>1</v>
      </c>
      <c r="E3" s="30"/>
      <c r="I3" s="83">
        <v>100</v>
      </c>
      <c r="J3" s="31" t="s">
        <v>133</v>
      </c>
      <c r="K3" s="31" t="s">
        <v>134</v>
      </c>
      <c r="T3" s="51"/>
      <c r="U3" s="52"/>
      <c r="V3" s="52"/>
      <c r="W3" s="51"/>
      <c r="X3" s="51"/>
      <c r="Y3" s="51"/>
      <c r="Z3" s="51"/>
    </row>
    <row r="4" spans="1:26" ht="18" customHeight="1" x14ac:dyDescent="0.3">
      <c r="A4" s="32" t="s">
        <v>32</v>
      </c>
      <c r="B4" s="33" t="s">
        <v>0</v>
      </c>
      <c r="C4" s="33" t="s">
        <v>1</v>
      </c>
      <c r="D4" s="33" t="s">
        <v>2</v>
      </c>
      <c r="E4" s="32" t="s">
        <v>3</v>
      </c>
      <c r="F4" s="33" t="s">
        <v>14</v>
      </c>
      <c r="G4" s="33"/>
      <c r="H4" s="33"/>
      <c r="I4" s="33" t="s">
        <v>9</v>
      </c>
      <c r="J4" s="33" t="s">
        <v>13</v>
      </c>
      <c r="K4" s="33" t="s">
        <v>12</v>
      </c>
      <c r="L4" s="33" t="s">
        <v>6</v>
      </c>
      <c r="M4" s="32" t="s">
        <v>15</v>
      </c>
      <c r="N4" s="33" t="s">
        <v>4</v>
      </c>
      <c r="O4" s="33" t="s">
        <v>10</v>
      </c>
      <c r="P4" s="33" t="s">
        <v>11</v>
      </c>
      <c r="Q4" s="33" t="s">
        <v>31</v>
      </c>
      <c r="R4" s="33" t="s">
        <v>41</v>
      </c>
      <c r="S4" s="33" t="s">
        <v>48</v>
      </c>
      <c r="T4" s="51"/>
      <c r="U4" s="52"/>
      <c r="V4" s="52"/>
      <c r="W4" s="51"/>
      <c r="X4" s="51"/>
      <c r="Y4" s="51"/>
      <c r="Z4" s="52"/>
    </row>
    <row r="5" spans="1:26" ht="123" customHeight="1" x14ac:dyDescent="0.25">
      <c r="A5" s="34">
        <v>1</v>
      </c>
      <c r="B5" s="35">
        <v>1.0410649999999999</v>
      </c>
      <c r="C5" s="36">
        <v>27.739633999999999</v>
      </c>
      <c r="D5" s="130">
        <f>C5/_xlfn.AGGREGATE(9,$D$3+4,$C$5:$C$104)*100</f>
        <v>7.1360530334174443</v>
      </c>
      <c r="E5" s="35">
        <v>7.1360530853271484</v>
      </c>
      <c r="F5" s="37">
        <f>RANK(C5,$C$5:$C$104)</f>
        <v>4</v>
      </c>
      <c r="G5" s="38"/>
      <c r="H5" s="38"/>
      <c r="I5" s="38" t="str">
        <f>molweight(MSData!A2:A7,MSData!C2:C7)</f>
        <v>?</v>
      </c>
      <c r="J5" s="39"/>
      <c r="K5" s="38" t="str">
        <f>UVPeakList(PeakLabels!B3:B300,A5)</f>
        <v>206 (59)
242 (100)
284 (29)
356 (33)</v>
      </c>
      <c r="L5" s="38"/>
      <c r="M5" s="38"/>
      <c r="Q5" s="36">
        <v>2.4419209999999998</v>
      </c>
      <c r="R5" s="36">
        <v>38.727756953822386</v>
      </c>
      <c r="S5" s="48" t="s">
        <v>139</v>
      </c>
    </row>
    <row r="6" spans="1:26" ht="123" customHeight="1" x14ac:dyDescent="0.25">
      <c r="A6" s="34">
        <v>2</v>
      </c>
      <c r="B6" s="35">
        <v>2.631443</v>
      </c>
      <c r="C6" s="36">
        <v>124.60676599999999</v>
      </c>
      <c r="D6" s="130">
        <f>C6/_xlfn.AGGREGATE(9,$D$3+4,$C$5:$C$104)*100</f>
        <v>32.055235137516149</v>
      </c>
      <c r="E6" s="35">
        <v>39.191287994384766</v>
      </c>
      <c r="F6" s="37">
        <f>RANK(C6,$C$5:$C$104)</f>
        <v>2</v>
      </c>
      <c r="G6" s="38"/>
      <c r="H6" s="38"/>
      <c r="I6" s="38" t="str">
        <f>molweight(MSData!E2:E7,MSData!G2:G7)</f>
        <v>?</v>
      </c>
      <c r="J6" s="39"/>
      <c r="K6" s="38" t="str">
        <f>UVPeakList(PeakLabels!C3:C300,A6)</f>
        <v>218 (62)
270 (36)
330 (16)
350s (12)
380 (6)
396 (5)
418 (5)
446 (5)
458 (5)
472 (5)
488 (6)
526 (5)
550 (5)
572 (5)
586 (6)
608 (6)
626 (6)</v>
      </c>
      <c r="L6" s="38"/>
      <c r="M6" s="38"/>
      <c r="Q6" s="36">
        <v>4.7907659999999996</v>
      </c>
      <c r="R6" s="36">
        <v>74.055602646701445</v>
      </c>
      <c r="S6" s="48" t="s">
        <v>140</v>
      </c>
    </row>
    <row r="7" spans="1:26" ht="123" customHeight="1" x14ac:dyDescent="0.25">
      <c r="A7" s="34">
        <v>3</v>
      </c>
      <c r="B7" s="35">
        <v>3.6893760000000002</v>
      </c>
      <c r="C7" s="36">
        <v>10.816071000000001</v>
      </c>
      <c r="D7" s="132">
        <f>C7/_xlfn.AGGREGATE(9,$D$3+4,$C$5:$C$104)*100</f>
        <v>2.7824468148789734</v>
      </c>
      <c r="E7" s="35">
        <v>41.973735809326172</v>
      </c>
      <c r="F7" s="37">
        <f>RANK(C7,$C$5:$C$104)</f>
        <v>6</v>
      </c>
      <c r="G7" s="38"/>
      <c r="H7" s="38"/>
      <c r="I7" s="38" t="str">
        <f>molweight(MSData!I2:I7,MSData!K2:K7)</f>
        <v>?</v>
      </c>
      <c r="J7" s="39"/>
      <c r="K7" s="38" t="str">
        <f>UVPeakList(PeakLabels!D3:D300,A7)</f>
        <v>192 (100)
256 (51)
278 (41)</v>
      </c>
      <c r="L7" s="38"/>
      <c r="M7" s="38"/>
      <c r="Q7" s="36">
        <v>1.253063</v>
      </c>
      <c r="R7" s="36">
        <v>20.84671670861897</v>
      </c>
      <c r="S7" s="48" t="s">
        <v>141</v>
      </c>
    </row>
    <row r="8" spans="1:26" ht="123" customHeight="1" x14ac:dyDescent="0.25">
      <c r="A8" s="34">
        <v>4</v>
      </c>
      <c r="B8" s="35">
        <v>4.4176849999999996</v>
      </c>
      <c r="C8" s="36">
        <v>21.101862000000001</v>
      </c>
      <c r="D8" s="131">
        <f>C8/_xlfn.AGGREGATE(9,$D$3+4,$C$5:$C$104)*100</f>
        <v>5.4284784844622074</v>
      </c>
      <c r="E8" s="35">
        <v>47.402214050292969</v>
      </c>
      <c r="F8" s="37">
        <f>RANK(C8,$C$5:$C$104)</f>
        <v>5</v>
      </c>
      <c r="G8" s="38"/>
      <c r="H8" s="38"/>
      <c r="I8" s="38" t="str">
        <f>molweight(MSData!M2:M7,MSData!O2:O7)</f>
        <v>?</v>
      </c>
      <c r="J8" s="39"/>
      <c r="K8" s="38" t="str">
        <f>UVPeakList(PeakLabels!E3:E300,A8)</f>
        <v>192 (54)
276 (100)</v>
      </c>
      <c r="L8" s="38"/>
      <c r="M8" s="38"/>
      <c r="Q8" s="36">
        <v>4.5507010000000001</v>
      </c>
      <c r="R8" s="36">
        <v>70.444900673492924</v>
      </c>
      <c r="S8" s="48" t="s">
        <v>142</v>
      </c>
    </row>
    <row r="9" spans="1:26" ht="123" customHeight="1" x14ac:dyDescent="0.25">
      <c r="A9" s="34">
        <v>5</v>
      </c>
      <c r="B9" s="35">
        <v>5.4606690000000002</v>
      </c>
      <c r="C9" s="36">
        <v>32.552154999999999</v>
      </c>
      <c r="D9" s="130">
        <f>C9/_xlfn.AGGREGATE(9,$D$3+4,$C$5:$C$104)*100</f>
        <v>8.3740796447431443</v>
      </c>
      <c r="E9" s="35">
        <v>55.776294708251953</v>
      </c>
      <c r="F9" s="37">
        <f>RANK(C9,$C$5:$C$104)</f>
        <v>3</v>
      </c>
      <c r="G9" s="38"/>
      <c r="H9" s="38"/>
      <c r="I9" s="38" t="str">
        <f>molweight(MSData!Q2:Q7,MSData!S2:S7)</f>
        <v>?</v>
      </c>
      <c r="J9" s="39"/>
      <c r="K9" s="38" t="str">
        <f>UVPeakList(PeakLabels!F3:F300,A9)</f>
        <v>274 (100)</v>
      </c>
      <c r="L9" s="38"/>
      <c r="M9" s="38"/>
      <c r="Q9" s="36">
        <v>6.515733</v>
      </c>
      <c r="R9" s="36">
        <v>100</v>
      </c>
      <c r="S9" s="48" t="s">
        <v>143</v>
      </c>
    </row>
    <row r="10" spans="1:26" ht="123" customHeight="1" x14ac:dyDescent="0.25">
      <c r="A10" s="34">
        <v>6</v>
      </c>
      <c r="B10" s="35">
        <v>6.2618320000000001</v>
      </c>
      <c r="C10" s="36">
        <v>9.6685499999999998</v>
      </c>
      <c r="D10" s="35">
        <f>C10/_xlfn.AGGREGATE(9,$D$3+4,$C$5:$C$104)*100</f>
        <v>2.4872457061347037</v>
      </c>
      <c r="E10" s="35">
        <v>58.263542175292969</v>
      </c>
      <c r="F10" s="37">
        <f>RANK(C10,$C$5:$C$104)</f>
        <v>7</v>
      </c>
      <c r="G10" s="38"/>
      <c r="H10" s="38"/>
      <c r="I10" s="38" t="str">
        <f>molweight(MSData!U2:U7,MSData!W2:W7)</f>
        <v>?</v>
      </c>
      <c r="J10" s="39"/>
      <c r="K10" s="38" t="str">
        <f>UVPeakList(PeakLabels!G3:G300,A10)</f>
        <v>192 (100)
218 (98)</v>
      </c>
      <c r="L10" s="38"/>
      <c r="M10" s="38"/>
      <c r="Q10" s="36">
        <v>1.628082</v>
      </c>
      <c r="R10" s="36">
        <v>26.48719675898322</v>
      </c>
      <c r="S10" s="48" t="s">
        <v>144</v>
      </c>
    </row>
    <row r="11" spans="1:26" ht="123" customHeight="1" x14ac:dyDescent="0.25">
      <c r="A11" s="34">
        <v>7</v>
      </c>
      <c r="B11" s="35">
        <v>8.5605089999999997</v>
      </c>
      <c r="C11" s="36">
        <v>162.240128</v>
      </c>
      <c r="D11" s="130">
        <f>C11/_xlfn.AGGREGATE(9,$D$3+4,$C$5:$C$104)*100</f>
        <v>41.736461178847371</v>
      </c>
      <c r="E11" s="35">
        <v>100</v>
      </c>
      <c r="F11" s="37">
        <f>RANK(C11,$C$5:$C$104)</f>
        <v>1</v>
      </c>
      <c r="G11" s="38"/>
      <c r="H11" s="38"/>
      <c r="I11" s="38" t="str">
        <f>molweight(MSData!Y2:Y7,MSData!AA2:AA7)</f>
        <v>?</v>
      </c>
      <c r="J11" s="39"/>
      <c r="K11" s="38" t="str">
        <f>UVPeakList(PeakLabels!H3:H300,A11)</f>
        <v>&lt; 190</v>
      </c>
      <c r="L11" s="38"/>
      <c r="M11" s="38"/>
      <c r="Q11" s="36">
        <v>4.7182089999999999</v>
      </c>
      <c r="R11" s="36">
        <v>72.964307776270132</v>
      </c>
      <c r="S11" s="48" t="s">
        <v>145</v>
      </c>
    </row>
    <row r="12" spans="1:26" ht="123" customHeight="1" x14ac:dyDescent="0.25">
      <c r="A12" s="34"/>
      <c r="B12" s="35"/>
      <c r="C12" s="36"/>
      <c r="D12" s="35"/>
      <c r="E12" s="35"/>
      <c r="F12" s="37"/>
      <c r="G12" s="38"/>
      <c r="H12" s="38"/>
      <c r="I12" s="38"/>
      <c r="J12" s="39"/>
      <c r="K12" s="38"/>
      <c r="L12" s="38"/>
      <c r="M12" s="38"/>
      <c r="Q12" s="36"/>
      <c r="R12" s="36"/>
      <c r="S12" s="48"/>
    </row>
    <row r="13" spans="1:26" ht="123" customHeight="1" x14ac:dyDescent="0.25">
      <c r="A13" s="34"/>
      <c r="B13" s="35"/>
      <c r="C13" s="36"/>
      <c r="D13" s="35"/>
      <c r="E13" s="35"/>
      <c r="F13" s="37"/>
      <c r="G13" s="38"/>
      <c r="H13" s="38"/>
      <c r="I13" s="38"/>
      <c r="J13" s="39"/>
      <c r="K13" s="38"/>
      <c r="L13" s="38"/>
      <c r="M13" s="38"/>
      <c r="Q13" s="36"/>
      <c r="R13" s="36"/>
      <c r="S13" s="48"/>
    </row>
    <row r="14" spans="1:26" ht="123" customHeight="1" x14ac:dyDescent="0.25">
      <c r="A14" s="34"/>
      <c r="B14" s="35"/>
      <c r="C14" s="36"/>
      <c r="D14" s="35"/>
      <c r="E14" s="35"/>
      <c r="F14" s="37"/>
      <c r="G14" s="38"/>
      <c r="H14" s="38"/>
      <c r="I14" s="38"/>
      <c r="J14" s="39"/>
      <c r="K14" s="38"/>
      <c r="L14" s="38"/>
      <c r="M14" s="38"/>
      <c r="Q14" s="36"/>
      <c r="R14" s="36"/>
      <c r="S14" s="48"/>
    </row>
    <row r="15" spans="1:26" ht="123" customHeight="1" x14ac:dyDescent="0.25">
      <c r="A15" s="34"/>
      <c r="B15" s="35"/>
      <c r="C15" s="36"/>
      <c r="D15" s="35"/>
      <c r="E15" s="35"/>
      <c r="F15" s="37"/>
      <c r="G15" s="38"/>
      <c r="H15" s="38"/>
      <c r="I15" s="38"/>
      <c r="J15" s="39"/>
      <c r="K15" s="38"/>
      <c r="L15" s="38"/>
      <c r="M15" s="38"/>
      <c r="Q15" s="36"/>
      <c r="R15" s="36"/>
      <c r="S15" s="48"/>
    </row>
    <row r="16" spans="1:26" ht="123" customHeight="1" x14ac:dyDescent="0.25">
      <c r="A16" s="34"/>
      <c r="B16" s="35"/>
      <c r="C16" s="36"/>
      <c r="D16" s="35"/>
      <c r="E16" s="35"/>
      <c r="F16" s="37"/>
      <c r="G16" s="38"/>
      <c r="H16" s="38"/>
      <c r="I16" s="38"/>
      <c r="J16" s="39"/>
      <c r="K16" s="38"/>
      <c r="L16" s="38"/>
      <c r="M16" s="38"/>
      <c r="Q16" s="36"/>
      <c r="R16" s="36"/>
      <c r="S16" s="48"/>
    </row>
    <row r="17" spans="1:19" ht="123" customHeight="1" x14ac:dyDescent="0.25">
      <c r="A17" s="34"/>
      <c r="B17" s="35"/>
      <c r="C17" s="36"/>
      <c r="D17" s="35"/>
      <c r="E17" s="35"/>
      <c r="F17" s="37"/>
      <c r="G17" s="38"/>
      <c r="H17" s="38"/>
      <c r="I17" s="38"/>
      <c r="J17" s="39"/>
      <c r="K17" s="38"/>
      <c r="L17" s="38"/>
      <c r="M17" s="38"/>
      <c r="Q17" s="36"/>
      <c r="R17" s="36"/>
      <c r="S17" s="48"/>
    </row>
    <row r="18" spans="1:19" ht="123" customHeight="1" x14ac:dyDescent="0.25">
      <c r="A18" s="34"/>
      <c r="B18" s="35"/>
      <c r="C18" s="36"/>
      <c r="D18" s="35"/>
      <c r="E18" s="35"/>
      <c r="F18" s="37"/>
      <c r="G18" s="38"/>
      <c r="H18" s="38"/>
      <c r="I18" s="38"/>
      <c r="J18" s="39"/>
      <c r="K18" s="38"/>
      <c r="L18" s="38"/>
      <c r="M18" s="38"/>
      <c r="Q18" s="36"/>
      <c r="R18" s="36"/>
      <c r="S18" s="48"/>
    </row>
    <row r="19" spans="1:19" ht="123" customHeight="1" x14ac:dyDescent="0.25">
      <c r="A19" s="34"/>
      <c r="B19" s="35"/>
      <c r="C19" s="36"/>
      <c r="D19" s="35"/>
      <c r="E19" s="35"/>
      <c r="F19" s="37"/>
      <c r="G19" s="38"/>
      <c r="H19" s="38"/>
      <c r="I19" s="38"/>
      <c r="J19" s="39"/>
      <c r="K19" s="38"/>
      <c r="L19" s="38"/>
      <c r="M19" s="38"/>
      <c r="Q19" s="36"/>
      <c r="R19" s="36"/>
      <c r="S19" s="48"/>
    </row>
    <row r="20" spans="1:19" ht="123" customHeight="1" x14ac:dyDescent="0.25">
      <c r="A20" s="34"/>
      <c r="B20" s="35"/>
      <c r="C20" s="36"/>
      <c r="D20" s="35"/>
      <c r="E20" s="35"/>
      <c r="F20" s="37"/>
      <c r="G20" s="38"/>
      <c r="H20" s="38"/>
      <c r="I20" s="38"/>
      <c r="J20" s="39"/>
      <c r="K20" s="38"/>
      <c r="L20" s="38"/>
      <c r="M20" s="38"/>
      <c r="Q20" s="36"/>
      <c r="R20" s="36"/>
      <c r="S20" s="48"/>
    </row>
    <row r="21" spans="1:19" ht="123" customHeight="1" x14ac:dyDescent="0.25">
      <c r="A21" s="34"/>
      <c r="B21" s="35"/>
      <c r="C21" s="36"/>
      <c r="D21" s="35"/>
      <c r="E21" s="35"/>
      <c r="F21" s="37"/>
      <c r="G21" s="38"/>
      <c r="H21" s="38"/>
      <c r="I21" s="38"/>
      <c r="J21" s="39"/>
      <c r="K21" s="38"/>
      <c r="L21" s="38"/>
      <c r="M21" s="38"/>
      <c r="Q21" s="36"/>
      <c r="R21" s="36"/>
      <c r="S21" s="48"/>
    </row>
    <row r="22" spans="1:19" ht="123" customHeight="1" x14ac:dyDescent="0.25">
      <c r="A22" s="34"/>
      <c r="B22" s="35"/>
      <c r="C22" s="36"/>
      <c r="D22" s="35"/>
      <c r="E22" s="35"/>
      <c r="F22" s="37"/>
      <c r="G22" s="38"/>
      <c r="H22" s="38"/>
      <c r="I22" s="38"/>
      <c r="J22" s="39"/>
      <c r="K22" s="38"/>
      <c r="L22" s="38"/>
      <c r="M22" s="38"/>
      <c r="Q22" s="36"/>
      <c r="R22" s="36"/>
      <c r="S22" s="48"/>
    </row>
    <row r="23" spans="1:19" ht="123" customHeight="1" x14ac:dyDescent="0.25">
      <c r="A23" s="34"/>
      <c r="B23" s="35"/>
      <c r="C23" s="36"/>
      <c r="D23" s="35"/>
      <c r="E23" s="35"/>
      <c r="F23" s="37"/>
      <c r="G23" s="38"/>
      <c r="H23" s="38"/>
      <c r="I23" s="38"/>
      <c r="J23" s="39"/>
      <c r="K23" s="38"/>
      <c r="L23" s="38"/>
      <c r="M23" s="38"/>
      <c r="Q23" s="36"/>
      <c r="R23" s="36"/>
      <c r="S23" s="48"/>
    </row>
    <row r="24" spans="1:19" ht="123" customHeight="1" x14ac:dyDescent="0.25">
      <c r="A24" s="34"/>
      <c r="B24" s="35"/>
      <c r="C24" s="36"/>
      <c r="D24" s="35"/>
      <c r="E24" s="35"/>
      <c r="F24" s="37"/>
      <c r="G24" s="38"/>
      <c r="H24" s="38"/>
      <c r="I24" s="38"/>
      <c r="J24" s="39"/>
      <c r="K24" s="38"/>
      <c r="L24" s="38"/>
      <c r="M24" s="38"/>
      <c r="Q24" s="36"/>
      <c r="R24" s="36"/>
      <c r="S24" s="48"/>
    </row>
    <row r="25" spans="1:19" ht="123" customHeight="1" x14ac:dyDescent="0.25">
      <c r="A25" s="34"/>
      <c r="B25" s="35"/>
      <c r="C25" s="36"/>
      <c r="D25" s="35"/>
      <c r="E25" s="35"/>
      <c r="F25" s="37"/>
      <c r="G25" s="38"/>
      <c r="H25" s="38"/>
      <c r="I25" s="38"/>
      <c r="J25" s="39"/>
      <c r="K25" s="38"/>
      <c r="L25" s="38"/>
      <c r="M25" s="38"/>
      <c r="Q25" s="36"/>
      <c r="R25" s="36"/>
      <c r="S25" s="48"/>
    </row>
    <row r="26" spans="1:19" ht="123" customHeight="1" x14ac:dyDescent="0.25">
      <c r="A26" s="34"/>
      <c r="B26" s="35"/>
      <c r="C26" s="36"/>
      <c r="D26" s="35"/>
      <c r="E26" s="35"/>
      <c r="F26" s="37"/>
      <c r="G26" s="38"/>
      <c r="H26" s="38"/>
      <c r="I26" s="38"/>
      <c r="J26" s="39"/>
      <c r="K26" s="38"/>
      <c r="L26" s="38"/>
      <c r="M26" s="38"/>
      <c r="Q26" s="36"/>
      <c r="R26" s="36"/>
      <c r="S26" s="48"/>
    </row>
    <row r="27" spans="1:19" ht="123" customHeight="1" x14ac:dyDescent="0.25">
      <c r="A27" s="34"/>
      <c r="B27" s="35"/>
      <c r="C27" s="36"/>
      <c r="D27" s="35"/>
      <c r="E27" s="35"/>
      <c r="F27" s="37"/>
      <c r="G27" s="38"/>
      <c r="H27" s="38"/>
      <c r="I27" s="38"/>
      <c r="J27" s="39"/>
      <c r="K27" s="38"/>
      <c r="L27" s="38"/>
      <c r="M27" s="38"/>
      <c r="Q27" s="36"/>
      <c r="R27" s="36"/>
      <c r="S27" s="48"/>
    </row>
    <row r="28" spans="1:19" ht="123" customHeight="1" x14ac:dyDescent="0.25">
      <c r="A28" s="34"/>
      <c r="B28" s="35"/>
      <c r="C28" s="36"/>
      <c r="D28" s="35"/>
      <c r="E28" s="35"/>
      <c r="F28" s="37"/>
      <c r="G28" s="38"/>
      <c r="H28" s="38"/>
      <c r="I28" s="38"/>
      <c r="J28" s="39"/>
      <c r="K28" s="38"/>
      <c r="L28" s="38"/>
      <c r="M28" s="38"/>
      <c r="Q28" s="36"/>
      <c r="R28" s="36"/>
      <c r="S28" s="48"/>
    </row>
    <row r="29" spans="1:19" ht="123" customHeight="1" x14ac:dyDescent="0.25">
      <c r="A29" s="34"/>
      <c r="B29" s="35"/>
      <c r="C29" s="36"/>
      <c r="D29" s="35"/>
      <c r="E29" s="35"/>
      <c r="F29" s="37"/>
      <c r="G29" s="38"/>
      <c r="H29" s="38"/>
      <c r="I29" s="38"/>
      <c r="J29" s="39"/>
      <c r="K29" s="38"/>
      <c r="L29" s="38"/>
      <c r="M29" s="38"/>
      <c r="Q29" s="36"/>
      <c r="R29" s="36"/>
      <c r="S29" s="48"/>
    </row>
    <row r="30" spans="1:19" ht="123" customHeight="1" x14ac:dyDescent="0.25">
      <c r="A30" s="34"/>
      <c r="B30" s="35"/>
      <c r="C30" s="36"/>
      <c r="D30" s="35"/>
      <c r="E30" s="35"/>
      <c r="F30" s="37"/>
      <c r="G30" s="38"/>
      <c r="H30" s="38"/>
      <c r="I30" s="38"/>
      <c r="J30" s="39"/>
      <c r="K30" s="38"/>
      <c r="L30" s="38"/>
      <c r="M30" s="38"/>
      <c r="Q30" s="36"/>
      <c r="R30" s="36"/>
      <c r="S30" s="48"/>
    </row>
    <row r="31" spans="1:19" ht="123" customHeight="1" x14ac:dyDescent="0.25">
      <c r="A31" s="34"/>
      <c r="B31" s="35"/>
      <c r="C31" s="36"/>
      <c r="D31" s="35"/>
      <c r="E31" s="35"/>
      <c r="F31" s="37"/>
      <c r="G31" s="38"/>
      <c r="H31" s="38"/>
      <c r="I31" s="38"/>
      <c r="J31" s="39"/>
      <c r="K31" s="38"/>
      <c r="L31" s="38"/>
      <c r="M31" s="38"/>
      <c r="Q31" s="36"/>
      <c r="R31" s="36"/>
      <c r="S31" s="48"/>
    </row>
    <row r="32" spans="1:19" ht="123" customHeight="1" x14ac:dyDescent="0.25">
      <c r="A32" s="34"/>
      <c r="B32" s="35"/>
      <c r="C32" s="36"/>
      <c r="D32" s="35"/>
      <c r="E32" s="35"/>
      <c r="F32" s="37"/>
      <c r="G32" s="38"/>
      <c r="H32" s="38"/>
      <c r="I32" s="38"/>
      <c r="J32" s="39"/>
      <c r="K32" s="38"/>
      <c r="L32" s="38"/>
      <c r="M32" s="38"/>
      <c r="Q32" s="36"/>
      <c r="R32" s="36"/>
      <c r="S32" s="48"/>
    </row>
    <row r="33" spans="1:19" ht="123" customHeight="1" x14ac:dyDescent="0.25">
      <c r="A33" s="34"/>
      <c r="B33" s="35"/>
      <c r="C33" s="36"/>
      <c r="D33" s="35"/>
      <c r="E33" s="35"/>
      <c r="F33" s="37"/>
      <c r="G33" s="38"/>
      <c r="H33" s="38"/>
      <c r="I33" s="38"/>
      <c r="J33" s="39"/>
      <c r="K33" s="38"/>
      <c r="L33" s="38"/>
      <c r="M33" s="38"/>
      <c r="Q33" s="36"/>
      <c r="R33" s="36"/>
      <c r="S33" s="48"/>
    </row>
    <row r="34" spans="1:19" ht="123" customHeight="1" x14ac:dyDescent="0.25">
      <c r="A34" s="34"/>
      <c r="B34" s="35"/>
      <c r="C34" s="36"/>
      <c r="D34" s="35"/>
      <c r="E34" s="35"/>
      <c r="F34" s="37"/>
      <c r="G34" s="38"/>
      <c r="H34" s="38"/>
      <c r="I34" s="38"/>
      <c r="J34" s="39"/>
      <c r="K34" s="38"/>
      <c r="L34" s="38"/>
      <c r="M34" s="38"/>
      <c r="Q34" s="36"/>
      <c r="R34" s="36"/>
      <c r="S34" s="48"/>
    </row>
    <row r="35" spans="1:19" ht="123" customHeight="1" x14ac:dyDescent="0.25">
      <c r="A35" s="34"/>
      <c r="B35" s="35"/>
      <c r="C35" s="36"/>
      <c r="D35" s="35"/>
      <c r="E35" s="35"/>
      <c r="F35" s="37"/>
      <c r="G35" s="38"/>
      <c r="H35" s="38"/>
      <c r="I35" s="38"/>
      <c r="J35" s="39"/>
      <c r="K35" s="38"/>
      <c r="L35" s="38"/>
      <c r="M35" s="38"/>
      <c r="Q35" s="36"/>
      <c r="R35" s="36"/>
      <c r="S35" s="48"/>
    </row>
    <row r="36" spans="1:19" ht="123" customHeight="1" x14ac:dyDescent="0.25">
      <c r="A36" s="34"/>
      <c r="B36" s="35"/>
      <c r="C36" s="36"/>
      <c r="D36" s="35"/>
      <c r="E36" s="35"/>
      <c r="F36" s="37"/>
      <c r="G36" s="38"/>
      <c r="H36" s="38"/>
      <c r="I36" s="38"/>
      <c r="J36" s="39"/>
      <c r="K36" s="38"/>
      <c r="L36" s="38"/>
      <c r="M36" s="38"/>
      <c r="Q36" s="36"/>
      <c r="R36" s="36"/>
      <c r="S36" s="48"/>
    </row>
    <row r="37" spans="1:19" ht="123" customHeight="1" x14ac:dyDescent="0.25">
      <c r="A37" s="34"/>
      <c r="B37" s="35"/>
      <c r="C37" s="36"/>
      <c r="D37" s="35"/>
      <c r="E37" s="35"/>
      <c r="F37" s="37"/>
      <c r="G37" s="38"/>
      <c r="H37" s="38"/>
      <c r="I37" s="38"/>
      <c r="J37" s="39"/>
      <c r="K37" s="38"/>
      <c r="L37" s="38"/>
      <c r="M37" s="38"/>
      <c r="Q37" s="36"/>
      <c r="R37" s="36"/>
      <c r="S37" s="48"/>
    </row>
    <row r="38" spans="1:19" ht="123" customHeight="1" x14ac:dyDescent="0.25">
      <c r="A38" s="34"/>
      <c r="B38" s="35"/>
      <c r="C38" s="36"/>
      <c r="D38" s="35"/>
      <c r="E38" s="35"/>
      <c r="F38" s="37"/>
      <c r="G38" s="38"/>
      <c r="H38" s="38"/>
      <c r="I38" s="38"/>
      <c r="J38" s="39"/>
      <c r="K38" s="38"/>
      <c r="L38" s="38"/>
      <c r="M38" s="38"/>
      <c r="Q38" s="36"/>
      <c r="R38" s="36"/>
      <c r="S38" s="48"/>
    </row>
    <row r="39" spans="1:19" ht="123" customHeight="1" x14ac:dyDescent="0.25">
      <c r="A39" s="34"/>
      <c r="B39" s="35"/>
      <c r="C39" s="36"/>
      <c r="D39" s="35"/>
      <c r="E39" s="35"/>
      <c r="F39" s="37"/>
      <c r="G39" s="38"/>
      <c r="H39" s="38"/>
      <c r="I39" s="38"/>
      <c r="J39" s="39"/>
      <c r="K39" s="38"/>
      <c r="L39" s="38"/>
      <c r="M39" s="38"/>
      <c r="Q39" s="36"/>
      <c r="R39" s="36"/>
      <c r="S39" s="48"/>
    </row>
    <row r="40" spans="1:19" ht="123" customHeight="1" x14ac:dyDescent="0.25">
      <c r="A40" s="34"/>
      <c r="B40" s="35"/>
      <c r="C40" s="36"/>
      <c r="D40" s="35"/>
      <c r="E40" s="35"/>
      <c r="F40" s="37"/>
      <c r="G40" s="38"/>
      <c r="H40" s="38"/>
      <c r="I40" s="38"/>
      <c r="J40" s="39"/>
      <c r="K40" s="38"/>
      <c r="L40" s="38"/>
      <c r="M40" s="38"/>
      <c r="Q40" s="36"/>
      <c r="R40" s="36"/>
      <c r="S40" s="48"/>
    </row>
    <row r="41" spans="1:19" ht="123" customHeight="1" x14ac:dyDescent="0.25">
      <c r="A41" s="34"/>
      <c r="B41" s="35"/>
      <c r="C41" s="36"/>
      <c r="D41" s="35"/>
      <c r="E41" s="35"/>
      <c r="F41" s="37"/>
      <c r="G41" s="38"/>
      <c r="H41" s="38"/>
      <c r="I41" s="38"/>
      <c r="J41" s="39"/>
      <c r="K41" s="38"/>
      <c r="L41" s="38"/>
      <c r="M41" s="38"/>
      <c r="Q41" s="36"/>
      <c r="R41" s="36"/>
      <c r="S41" s="48"/>
    </row>
    <row r="42" spans="1:19" ht="123" customHeight="1" x14ac:dyDescent="0.25">
      <c r="A42" s="34"/>
      <c r="B42" s="35"/>
      <c r="C42" s="36"/>
      <c r="D42" s="35"/>
      <c r="E42" s="35"/>
      <c r="F42" s="37"/>
      <c r="G42" s="38"/>
      <c r="H42" s="38"/>
      <c r="I42" s="38"/>
      <c r="J42" s="39"/>
      <c r="K42" s="38"/>
      <c r="L42" s="38"/>
      <c r="M42" s="38"/>
      <c r="Q42" s="36"/>
      <c r="R42" s="36"/>
      <c r="S42" s="48"/>
    </row>
    <row r="43" spans="1:19" ht="123" customHeight="1" x14ac:dyDescent="0.25">
      <c r="A43" s="34"/>
      <c r="B43" s="35"/>
      <c r="C43" s="36"/>
      <c r="D43" s="35"/>
      <c r="E43" s="35"/>
      <c r="F43" s="37"/>
      <c r="G43" s="38"/>
      <c r="H43" s="38"/>
      <c r="I43" s="38"/>
      <c r="J43" s="39"/>
      <c r="K43" s="38"/>
      <c r="L43" s="38"/>
      <c r="M43" s="38"/>
      <c r="Q43" s="36"/>
      <c r="R43" s="36"/>
      <c r="S43" s="48"/>
    </row>
    <row r="44" spans="1:19" ht="123" customHeight="1" x14ac:dyDescent="0.25">
      <c r="A44" s="34"/>
      <c r="B44" s="35"/>
      <c r="C44" s="36"/>
      <c r="D44" s="35"/>
      <c r="E44" s="35"/>
      <c r="F44" s="37"/>
      <c r="G44" s="38"/>
      <c r="H44" s="38"/>
      <c r="I44" s="38"/>
      <c r="J44" s="39"/>
      <c r="K44" s="38"/>
      <c r="L44" s="38"/>
      <c r="M44" s="38"/>
      <c r="Q44" s="36"/>
      <c r="R44" s="36"/>
      <c r="S44" s="48"/>
    </row>
    <row r="45" spans="1:19" ht="123" customHeight="1" x14ac:dyDescent="0.25">
      <c r="A45" s="34"/>
      <c r="B45" s="35"/>
      <c r="C45" s="36"/>
      <c r="D45" s="35"/>
      <c r="E45" s="35"/>
      <c r="F45" s="37"/>
      <c r="G45" s="38"/>
      <c r="H45" s="38"/>
      <c r="I45" s="38"/>
      <c r="J45" s="39"/>
      <c r="K45" s="38"/>
      <c r="L45" s="38"/>
      <c r="M45" s="38"/>
      <c r="Q45" s="36"/>
      <c r="R45" s="36"/>
      <c r="S45" s="48"/>
    </row>
    <row r="46" spans="1:19" ht="123" customHeight="1" x14ac:dyDescent="0.25">
      <c r="A46" s="34"/>
      <c r="B46" s="35"/>
      <c r="C46" s="36"/>
      <c r="D46" s="35"/>
      <c r="E46" s="35"/>
      <c r="F46" s="37"/>
      <c r="G46" s="38"/>
      <c r="H46" s="38"/>
      <c r="I46" s="38"/>
      <c r="J46" s="39"/>
      <c r="K46" s="38"/>
      <c r="L46" s="38"/>
      <c r="M46" s="38"/>
      <c r="Q46" s="36"/>
      <c r="R46" s="36"/>
      <c r="S46" s="48"/>
    </row>
    <row r="47" spans="1:19" ht="123" customHeight="1" x14ac:dyDescent="0.25">
      <c r="A47" s="34"/>
      <c r="B47" s="35"/>
      <c r="C47" s="36"/>
      <c r="D47" s="35"/>
      <c r="E47" s="35"/>
      <c r="F47" s="37"/>
      <c r="G47" s="38"/>
      <c r="H47" s="38"/>
      <c r="I47" s="38"/>
      <c r="J47" s="39"/>
      <c r="K47" s="38"/>
      <c r="L47" s="38"/>
      <c r="M47" s="38"/>
      <c r="Q47" s="36"/>
      <c r="R47" s="36"/>
      <c r="S47" s="48"/>
    </row>
    <row r="48" spans="1:19" ht="123" customHeight="1" x14ac:dyDescent="0.25">
      <c r="A48" s="34"/>
      <c r="B48" s="35"/>
      <c r="C48" s="36"/>
      <c r="D48" s="35"/>
      <c r="E48" s="35"/>
      <c r="F48" s="37"/>
      <c r="G48" s="38"/>
      <c r="H48" s="38"/>
      <c r="I48" s="38"/>
      <c r="J48" s="39"/>
      <c r="K48" s="38"/>
      <c r="L48" s="38"/>
      <c r="M48" s="38"/>
      <c r="Q48" s="36"/>
      <c r="R48" s="36"/>
      <c r="S48" s="48"/>
    </row>
    <row r="49" spans="1:19" ht="123" customHeight="1" x14ac:dyDescent="0.25">
      <c r="A49" s="34"/>
      <c r="B49" s="35"/>
      <c r="C49" s="36"/>
      <c r="D49" s="35"/>
      <c r="E49" s="35"/>
      <c r="F49" s="37"/>
      <c r="G49" s="38"/>
      <c r="H49" s="38"/>
      <c r="I49" s="38"/>
      <c r="J49" s="39"/>
      <c r="K49" s="38"/>
      <c r="L49" s="38"/>
      <c r="M49" s="38"/>
      <c r="Q49" s="36"/>
      <c r="R49" s="36"/>
      <c r="S49" s="48"/>
    </row>
    <row r="50" spans="1:19" ht="123" customHeight="1" x14ac:dyDescent="0.25">
      <c r="A50" s="34"/>
      <c r="B50" s="35"/>
      <c r="C50" s="36"/>
      <c r="D50" s="35"/>
      <c r="E50" s="35"/>
      <c r="F50" s="37"/>
      <c r="G50" s="38"/>
      <c r="H50" s="38"/>
      <c r="I50" s="38"/>
      <c r="J50" s="39"/>
      <c r="K50" s="38"/>
      <c r="L50" s="38"/>
      <c r="M50" s="38"/>
      <c r="Q50" s="36"/>
      <c r="R50" s="36"/>
      <c r="S50" s="48"/>
    </row>
    <row r="51" spans="1:19" ht="123" customHeight="1" x14ac:dyDescent="0.25">
      <c r="A51" s="34"/>
      <c r="B51" s="35"/>
      <c r="C51" s="36"/>
      <c r="D51" s="35"/>
      <c r="E51" s="35"/>
      <c r="F51" s="37"/>
      <c r="G51" s="38"/>
      <c r="H51" s="38"/>
      <c r="I51" s="38"/>
      <c r="J51" s="39"/>
      <c r="K51" s="38"/>
      <c r="L51" s="38"/>
      <c r="M51" s="38"/>
      <c r="Q51" s="36"/>
      <c r="R51" s="36"/>
      <c r="S51" s="48"/>
    </row>
    <row r="52" spans="1:19" ht="123" customHeight="1" x14ac:dyDescent="0.25">
      <c r="A52" s="34"/>
      <c r="B52" s="35"/>
      <c r="C52" s="36"/>
      <c r="D52" s="35"/>
      <c r="E52" s="35"/>
      <c r="F52" s="37"/>
      <c r="G52" s="38"/>
      <c r="H52" s="38"/>
      <c r="I52" s="38"/>
      <c r="J52" s="39"/>
      <c r="K52" s="38"/>
      <c r="L52" s="38"/>
      <c r="M52" s="38"/>
      <c r="Q52" s="36"/>
      <c r="R52" s="36"/>
      <c r="S52" s="48"/>
    </row>
    <row r="53" spans="1:19" ht="123" customHeight="1" x14ac:dyDescent="0.25">
      <c r="A53" s="34"/>
      <c r="B53" s="35"/>
      <c r="C53" s="36"/>
      <c r="D53" s="35"/>
      <c r="E53" s="35"/>
      <c r="F53" s="37"/>
      <c r="G53" s="38"/>
      <c r="H53" s="38"/>
      <c r="I53" s="38"/>
      <c r="J53" s="39"/>
      <c r="K53" s="38"/>
      <c r="L53" s="38"/>
      <c r="M53" s="38"/>
      <c r="Q53" s="36"/>
      <c r="R53" s="36"/>
      <c r="S53" s="48"/>
    </row>
    <row r="54" spans="1:19" ht="123" customHeight="1" x14ac:dyDescent="0.25">
      <c r="A54" s="34"/>
      <c r="B54" s="35"/>
      <c r="C54" s="36"/>
      <c r="D54" s="35"/>
      <c r="E54" s="35"/>
      <c r="F54" s="37"/>
      <c r="G54" s="38"/>
      <c r="H54" s="38"/>
      <c r="I54" s="38"/>
      <c r="J54" s="39"/>
      <c r="K54" s="38"/>
      <c r="L54" s="38"/>
      <c r="M54" s="38"/>
      <c r="Q54" s="36"/>
      <c r="R54" s="36"/>
      <c r="S54" s="48"/>
    </row>
    <row r="55" spans="1:19" ht="123" customHeight="1" x14ac:dyDescent="0.25">
      <c r="A55" s="34"/>
      <c r="B55" s="35"/>
      <c r="C55" s="36"/>
      <c r="D55" s="35"/>
      <c r="E55" s="35"/>
      <c r="F55" s="37"/>
      <c r="G55" s="38"/>
      <c r="H55" s="38"/>
      <c r="I55" s="38"/>
      <c r="J55" s="39"/>
      <c r="K55" s="38"/>
      <c r="L55" s="38"/>
      <c r="M55" s="38"/>
      <c r="Q55" s="36"/>
      <c r="R55" s="36"/>
      <c r="S55" s="48"/>
    </row>
    <row r="56" spans="1:19" ht="123" customHeight="1" x14ac:dyDescent="0.25">
      <c r="A56" s="34"/>
      <c r="B56" s="35"/>
      <c r="C56" s="36"/>
      <c r="D56" s="35"/>
      <c r="E56" s="35"/>
      <c r="F56" s="37"/>
      <c r="G56" s="38"/>
      <c r="H56" s="38"/>
      <c r="I56" s="38"/>
      <c r="J56" s="39"/>
      <c r="K56" s="38"/>
      <c r="L56" s="38"/>
      <c r="M56" s="38"/>
      <c r="Q56" s="36"/>
      <c r="R56" s="36"/>
      <c r="S56" s="48"/>
    </row>
    <row r="57" spans="1:19" ht="123" customHeight="1" x14ac:dyDescent="0.25">
      <c r="A57" s="34"/>
      <c r="B57" s="35"/>
      <c r="C57" s="36"/>
      <c r="D57" s="35"/>
      <c r="E57" s="35"/>
      <c r="F57" s="37"/>
      <c r="G57" s="38"/>
      <c r="H57" s="38"/>
      <c r="I57" s="38"/>
      <c r="J57" s="39"/>
      <c r="K57" s="38"/>
      <c r="L57" s="38"/>
      <c r="M57" s="38"/>
      <c r="Q57" s="36"/>
      <c r="R57" s="36"/>
      <c r="S57" s="48"/>
    </row>
    <row r="58" spans="1:19" ht="123" customHeight="1" x14ac:dyDescent="0.25">
      <c r="A58" s="34"/>
      <c r="B58" s="35"/>
      <c r="C58" s="36"/>
      <c r="D58" s="35"/>
      <c r="E58" s="35"/>
      <c r="F58" s="37"/>
      <c r="G58" s="38"/>
      <c r="H58" s="38"/>
      <c r="I58" s="38"/>
      <c r="J58" s="39"/>
      <c r="K58" s="38"/>
      <c r="L58" s="38"/>
      <c r="M58" s="38"/>
      <c r="Q58" s="36"/>
      <c r="R58" s="36"/>
      <c r="S58" s="48"/>
    </row>
    <row r="59" spans="1:19" ht="123" customHeight="1" x14ac:dyDescent="0.25">
      <c r="A59" s="34"/>
      <c r="B59" s="35"/>
      <c r="C59" s="36"/>
      <c r="D59" s="35"/>
      <c r="E59" s="35"/>
      <c r="F59" s="37"/>
      <c r="G59" s="38"/>
      <c r="H59" s="38"/>
      <c r="I59" s="38"/>
      <c r="J59" s="39"/>
      <c r="K59" s="38"/>
      <c r="L59" s="38"/>
      <c r="M59" s="38"/>
      <c r="Q59" s="36"/>
      <c r="R59" s="36"/>
      <c r="S59" s="48"/>
    </row>
    <row r="60" spans="1:19" ht="123" customHeight="1" x14ac:dyDescent="0.25">
      <c r="A60" s="34"/>
      <c r="B60" s="35"/>
      <c r="C60" s="36"/>
      <c r="D60" s="35"/>
      <c r="E60" s="35"/>
      <c r="F60" s="37"/>
      <c r="G60" s="38"/>
      <c r="H60" s="38"/>
      <c r="I60" s="38"/>
      <c r="J60" s="39"/>
      <c r="K60" s="38"/>
      <c r="L60" s="38"/>
      <c r="M60" s="38"/>
      <c r="Q60" s="36"/>
      <c r="R60" s="36"/>
      <c r="S60" s="48"/>
    </row>
    <row r="61" spans="1:19" ht="123" customHeight="1" x14ac:dyDescent="0.25">
      <c r="A61" s="34"/>
      <c r="B61" s="35"/>
      <c r="C61" s="36"/>
      <c r="D61" s="35"/>
      <c r="E61" s="35"/>
      <c r="F61" s="37"/>
      <c r="G61" s="38"/>
      <c r="H61" s="38"/>
      <c r="I61" s="38"/>
      <c r="J61" s="39"/>
      <c r="K61" s="38"/>
      <c r="L61" s="38"/>
      <c r="M61" s="38"/>
      <c r="Q61" s="36"/>
      <c r="R61" s="36"/>
      <c r="S61" s="48"/>
    </row>
    <row r="62" spans="1:19" ht="123" customHeight="1" x14ac:dyDescent="0.25">
      <c r="A62" s="34"/>
      <c r="B62" s="35"/>
      <c r="C62" s="36"/>
      <c r="D62" s="35"/>
      <c r="E62" s="35"/>
      <c r="F62" s="37"/>
      <c r="G62" s="38"/>
      <c r="H62" s="38"/>
      <c r="I62" s="38"/>
      <c r="J62" s="39"/>
      <c r="K62" s="38"/>
      <c r="L62" s="38"/>
      <c r="M62" s="38"/>
      <c r="Q62" s="36"/>
      <c r="R62" s="36"/>
      <c r="S62" s="48"/>
    </row>
    <row r="63" spans="1:19" ht="123" customHeight="1" x14ac:dyDescent="0.25">
      <c r="A63" s="34"/>
      <c r="B63" s="35"/>
      <c r="C63" s="36"/>
      <c r="D63" s="35"/>
      <c r="E63" s="35"/>
      <c r="F63" s="37"/>
      <c r="G63" s="38"/>
      <c r="H63" s="38"/>
      <c r="I63" s="38"/>
      <c r="J63" s="39"/>
      <c r="K63" s="38"/>
      <c r="L63" s="38"/>
      <c r="M63" s="38"/>
      <c r="Q63" s="36"/>
      <c r="R63" s="36"/>
      <c r="S63" s="48"/>
    </row>
    <row r="64" spans="1:19" ht="123" customHeight="1" x14ac:dyDescent="0.25">
      <c r="A64" s="34"/>
      <c r="B64" s="35"/>
      <c r="C64" s="36"/>
      <c r="D64" s="35"/>
      <c r="E64" s="35"/>
      <c r="F64" s="37"/>
      <c r="G64" s="38"/>
      <c r="H64" s="38"/>
      <c r="I64" s="38"/>
      <c r="J64" s="39"/>
      <c r="K64" s="38"/>
      <c r="L64" s="38"/>
      <c r="M64" s="38"/>
      <c r="Q64" s="36"/>
      <c r="R64" s="36"/>
      <c r="S64" s="48"/>
    </row>
    <row r="65" spans="1:19" ht="123" customHeight="1" x14ac:dyDescent="0.25">
      <c r="A65" s="34"/>
      <c r="B65" s="35"/>
      <c r="C65" s="36"/>
      <c r="D65" s="35"/>
      <c r="E65" s="35"/>
      <c r="F65" s="37"/>
      <c r="G65" s="38"/>
      <c r="H65" s="38"/>
      <c r="I65" s="38"/>
      <c r="J65" s="39"/>
      <c r="K65" s="38"/>
      <c r="L65" s="38"/>
      <c r="M65" s="38"/>
      <c r="Q65" s="36"/>
      <c r="R65" s="36"/>
      <c r="S65" s="48"/>
    </row>
    <row r="66" spans="1:19" ht="123" customHeight="1" x14ac:dyDescent="0.25">
      <c r="A66" s="34"/>
      <c r="B66" s="35"/>
      <c r="C66" s="36"/>
      <c r="D66" s="35"/>
      <c r="E66" s="35"/>
      <c r="F66" s="37"/>
      <c r="G66" s="38"/>
      <c r="H66" s="38"/>
      <c r="I66" s="38"/>
      <c r="J66" s="39"/>
      <c r="K66" s="38"/>
      <c r="L66" s="38"/>
      <c r="M66" s="38"/>
      <c r="Q66" s="36"/>
      <c r="R66" s="36"/>
      <c r="S66" s="48"/>
    </row>
    <row r="67" spans="1:19" ht="123" customHeight="1" x14ac:dyDescent="0.25">
      <c r="A67" s="34"/>
      <c r="B67" s="35"/>
      <c r="C67" s="36"/>
      <c r="D67" s="35"/>
      <c r="E67" s="35"/>
      <c r="F67" s="37"/>
      <c r="G67" s="38"/>
      <c r="H67" s="38"/>
      <c r="I67" s="38"/>
      <c r="J67" s="39"/>
      <c r="K67" s="38"/>
      <c r="L67" s="38"/>
      <c r="M67" s="38"/>
      <c r="Q67" s="36"/>
      <c r="R67" s="36"/>
      <c r="S67" s="48"/>
    </row>
    <row r="68" spans="1:19" ht="123" customHeight="1" x14ac:dyDescent="0.25">
      <c r="A68" s="34"/>
      <c r="B68" s="35"/>
      <c r="C68" s="36"/>
      <c r="D68" s="35"/>
      <c r="E68" s="35"/>
      <c r="F68" s="37"/>
      <c r="G68" s="38"/>
      <c r="H68" s="38"/>
      <c r="I68" s="38"/>
      <c r="J68" s="39"/>
      <c r="K68" s="38"/>
      <c r="L68" s="38"/>
      <c r="M68" s="38"/>
      <c r="Q68" s="36"/>
      <c r="R68" s="36"/>
      <c r="S68" s="48"/>
    </row>
    <row r="69" spans="1:19" ht="123" customHeight="1" x14ac:dyDescent="0.25">
      <c r="A69" s="34"/>
      <c r="B69" s="35"/>
      <c r="C69" s="36"/>
      <c r="D69" s="35"/>
      <c r="E69" s="35"/>
      <c r="F69" s="37"/>
      <c r="G69" s="38"/>
      <c r="H69" s="38"/>
      <c r="I69" s="38"/>
      <c r="J69" s="39"/>
      <c r="K69" s="38"/>
      <c r="L69" s="38"/>
      <c r="M69" s="38"/>
      <c r="Q69" s="36"/>
      <c r="R69" s="36"/>
      <c r="S69" s="48"/>
    </row>
    <row r="70" spans="1:19" ht="123" customHeight="1" x14ac:dyDescent="0.25">
      <c r="A70" s="34"/>
      <c r="B70" s="35"/>
      <c r="C70" s="36"/>
      <c r="D70" s="35"/>
      <c r="E70" s="35"/>
      <c r="F70" s="37"/>
      <c r="G70" s="38"/>
      <c r="H70" s="38"/>
      <c r="I70" s="38"/>
      <c r="J70" s="39"/>
      <c r="K70" s="38"/>
      <c r="L70" s="38"/>
      <c r="M70" s="38"/>
      <c r="Q70" s="36"/>
      <c r="R70" s="36"/>
      <c r="S70" s="48"/>
    </row>
    <row r="71" spans="1:19" ht="123" customHeight="1" x14ac:dyDescent="0.25">
      <c r="A71" s="34"/>
      <c r="B71" s="35"/>
      <c r="C71" s="36"/>
      <c r="D71" s="35"/>
      <c r="E71" s="35"/>
      <c r="F71" s="37"/>
      <c r="G71" s="38"/>
      <c r="H71" s="38"/>
      <c r="I71" s="38"/>
      <c r="J71" s="39"/>
      <c r="K71" s="38"/>
      <c r="L71" s="38"/>
      <c r="M71" s="38"/>
      <c r="Q71" s="36"/>
      <c r="R71" s="36"/>
      <c r="S71" s="48"/>
    </row>
    <row r="72" spans="1:19" ht="123" customHeight="1" x14ac:dyDescent="0.25">
      <c r="A72" s="34"/>
      <c r="B72" s="35"/>
      <c r="C72" s="36"/>
      <c r="D72" s="35"/>
      <c r="E72" s="35"/>
      <c r="F72" s="37"/>
      <c r="G72" s="38"/>
      <c r="H72" s="38"/>
      <c r="I72" s="38"/>
      <c r="J72" s="39"/>
      <c r="K72" s="38"/>
      <c r="L72" s="38"/>
      <c r="M72" s="38"/>
      <c r="Q72" s="36"/>
      <c r="R72" s="36"/>
      <c r="S72" s="48"/>
    </row>
    <row r="73" spans="1:19" ht="123" customHeight="1" x14ac:dyDescent="0.25">
      <c r="A73" s="34"/>
      <c r="B73" s="35"/>
      <c r="C73" s="36"/>
      <c r="D73" s="35"/>
      <c r="E73" s="35"/>
      <c r="F73" s="37"/>
      <c r="G73" s="38"/>
      <c r="H73" s="38"/>
      <c r="I73" s="38"/>
      <c r="J73" s="39"/>
      <c r="K73" s="38"/>
      <c r="L73" s="38"/>
      <c r="M73" s="38"/>
      <c r="Q73" s="36"/>
      <c r="R73" s="36"/>
      <c r="S73" s="48"/>
    </row>
    <row r="74" spans="1:19" ht="123" customHeight="1" x14ac:dyDescent="0.25">
      <c r="A74" s="34"/>
      <c r="B74" s="35"/>
      <c r="C74" s="36"/>
      <c r="D74" s="35"/>
      <c r="E74" s="35"/>
      <c r="F74" s="37"/>
      <c r="G74" s="38"/>
      <c r="H74" s="38"/>
      <c r="I74" s="38"/>
      <c r="J74" s="39"/>
      <c r="K74" s="38"/>
      <c r="L74" s="38"/>
      <c r="M74" s="38"/>
      <c r="Q74" s="36"/>
      <c r="R74" s="36"/>
      <c r="S74" s="48"/>
    </row>
    <row r="75" spans="1:19" ht="123" customHeight="1" x14ac:dyDescent="0.25">
      <c r="A75" s="34"/>
      <c r="B75" s="35"/>
      <c r="C75" s="36"/>
      <c r="D75" s="35"/>
      <c r="E75" s="35"/>
      <c r="F75" s="37"/>
      <c r="G75" s="38"/>
      <c r="H75" s="38"/>
      <c r="I75" s="38"/>
      <c r="J75" s="39"/>
      <c r="K75" s="38"/>
      <c r="L75" s="38"/>
      <c r="M75" s="38"/>
      <c r="Q75" s="36"/>
      <c r="R75" s="36"/>
      <c r="S75" s="48"/>
    </row>
    <row r="76" spans="1:19" ht="123" customHeight="1" x14ac:dyDescent="0.25">
      <c r="A76" s="34"/>
      <c r="B76" s="35"/>
      <c r="C76" s="36"/>
      <c r="D76" s="35"/>
      <c r="E76" s="35"/>
      <c r="F76" s="37"/>
      <c r="G76" s="38"/>
      <c r="H76" s="38"/>
      <c r="I76" s="38"/>
      <c r="J76" s="39"/>
      <c r="K76" s="38"/>
      <c r="L76" s="38"/>
      <c r="M76" s="38"/>
      <c r="Q76" s="36"/>
      <c r="R76" s="36"/>
      <c r="S76" s="48"/>
    </row>
    <row r="77" spans="1:19" ht="123" customHeight="1" x14ac:dyDescent="0.25">
      <c r="A77" s="34"/>
      <c r="B77" s="35"/>
      <c r="C77" s="36"/>
      <c r="D77" s="35"/>
      <c r="E77" s="35"/>
      <c r="F77" s="37"/>
      <c r="G77" s="38"/>
      <c r="H77" s="38"/>
      <c r="I77" s="38"/>
      <c r="J77" s="39"/>
      <c r="K77" s="38"/>
      <c r="L77" s="38"/>
      <c r="M77" s="38"/>
      <c r="Q77" s="36"/>
      <c r="R77" s="36"/>
      <c r="S77" s="48"/>
    </row>
    <row r="78" spans="1:19" ht="123" customHeight="1" x14ac:dyDescent="0.25">
      <c r="A78" s="34"/>
      <c r="B78" s="35"/>
      <c r="C78" s="36"/>
      <c r="D78" s="35"/>
      <c r="E78" s="35"/>
      <c r="F78" s="37"/>
      <c r="G78" s="38"/>
      <c r="H78" s="38"/>
      <c r="I78" s="38"/>
      <c r="J78" s="39"/>
      <c r="K78" s="38"/>
      <c r="L78" s="38"/>
      <c r="M78" s="38"/>
      <c r="Q78" s="36"/>
      <c r="R78" s="36"/>
      <c r="S78" s="48"/>
    </row>
    <row r="79" spans="1:19" ht="123" customHeight="1" x14ac:dyDescent="0.25">
      <c r="A79" s="34"/>
      <c r="B79" s="35"/>
      <c r="C79" s="36"/>
      <c r="D79" s="35"/>
      <c r="E79" s="35"/>
      <c r="F79" s="37"/>
      <c r="G79" s="38"/>
      <c r="H79" s="38"/>
      <c r="I79" s="38"/>
      <c r="J79" s="39"/>
      <c r="K79" s="38"/>
      <c r="L79" s="38"/>
      <c r="M79" s="38"/>
      <c r="Q79" s="36"/>
      <c r="R79" s="36"/>
      <c r="S79" s="48"/>
    </row>
    <row r="80" spans="1:19" ht="123" customHeight="1" x14ac:dyDescent="0.25">
      <c r="A80" s="34"/>
      <c r="B80" s="35"/>
      <c r="C80" s="36"/>
      <c r="D80" s="35"/>
      <c r="E80" s="35"/>
      <c r="F80" s="37"/>
      <c r="G80" s="38"/>
      <c r="H80" s="38"/>
      <c r="I80" s="38"/>
      <c r="J80" s="39"/>
      <c r="K80" s="38"/>
      <c r="L80" s="38"/>
      <c r="M80" s="38"/>
      <c r="Q80" s="36"/>
      <c r="R80" s="36"/>
      <c r="S80" s="48"/>
    </row>
    <row r="81" spans="1:19" ht="123" customHeight="1" x14ac:dyDescent="0.25">
      <c r="A81" s="34"/>
      <c r="B81" s="35"/>
      <c r="C81" s="36"/>
      <c r="D81" s="35"/>
      <c r="E81" s="35"/>
      <c r="F81" s="37"/>
      <c r="G81" s="38"/>
      <c r="H81" s="38"/>
      <c r="I81" s="38"/>
      <c r="J81" s="39"/>
      <c r="K81" s="38"/>
      <c r="L81" s="38"/>
      <c r="M81" s="38"/>
      <c r="Q81" s="36"/>
      <c r="R81" s="36"/>
      <c r="S81" s="48"/>
    </row>
    <row r="82" spans="1:19" ht="123" customHeight="1" x14ac:dyDescent="0.25">
      <c r="A82" s="34"/>
      <c r="B82" s="35"/>
      <c r="C82" s="36"/>
      <c r="D82" s="35"/>
      <c r="E82" s="35"/>
      <c r="F82" s="37"/>
      <c r="G82" s="38"/>
      <c r="H82" s="38"/>
      <c r="I82" s="38"/>
      <c r="J82" s="39"/>
      <c r="K82" s="38"/>
      <c r="L82" s="38"/>
      <c r="M82" s="38"/>
      <c r="Q82" s="36"/>
      <c r="R82" s="36"/>
      <c r="S82" s="48"/>
    </row>
    <row r="83" spans="1:19" ht="123" customHeight="1" x14ac:dyDescent="0.25">
      <c r="A83" s="34"/>
      <c r="B83" s="35"/>
      <c r="C83" s="36"/>
      <c r="D83" s="35"/>
      <c r="E83" s="35"/>
      <c r="F83" s="37"/>
      <c r="G83" s="38"/>
      <c r="H83" s="38"/>
      <c r="I83" s="38"/>
      <c r="J83" s="39"/>
      <c r="K83" s="38"/>
      <c r="L83" s="38"/>
      <c r="M83" s="38"/>
      <c r="Q83" s="36"/>
      <c r="R83" s="36"/>
      <c r="S83" s="48"/>
    </row>
    <row r="84" spans="1:19" ht="123" customHeight="1" x14ac:dyDescent="0.25">
      <c r="A84" s="34"/>
      <c r="B84" s="35"/>
      <c r="C84" s="36"/>
      <c r="D84" s="35"/>
      <c r="E84" s="35"/>
      <c r="F84" s="37"/>
      <c r="G84" s="38"/>
      <c r="H84" s="38"/>
      <c r="I84" s="38"/>
      <c r="J84" s="39"/>
      <c r="K84" s="38"/>
      <c r="L84" s="38"/>
      <c r="M84" s="38"/>
      <c r="Q84" s="36"/>
      <c r="R84" s="36"/>
      <c r="S84" s="48"/>
    </row>
    <row r="85" spans="1:19" ht="123" customHeight="1" x14ac:dyDescent="0.25">
      <c r="A85" s="34"/>
      <c r="B85" s="35"/>
      <c r="C85" s="36"/>
      <c r="D85" s="35"/>
      <c r="E85" s="35"/>
      <c r="F85" s="37"/>
      <c r="G85" s="38"/>
      <c r="H85" s="38"/>
      <c r="I85" s="38"/>
      <c r="J85" s="39"/>
      <c r="K85" s="38"/>
      <c r="L85" s="38"/>
      <c r="M85" s="38"/>
      <c r="Q85" s="36"/>
      <c r="R85" s="36"/>
      <c r="S85" s="48"/>
    </row>
    <row r="86" spans="1:19" ht="123" customHeight="1" x14ac:dyDescent="0.25">
      <c r="A86" s="34"/>
      <c r="B86" s="35"/>
      <c r="C86" s="36"/>
      <c r="D86" s="35"/>
      <c r="E86" s="35"/>
      <c r="F86" s="37"/>
      <c r="G86" s="38"/>
      <c r="H86" s="38"/>
      <c r="I86" s="38"/>
      <c r="J86" s="39"/>
      <c r="K86" s="38"/>
      <c r="L86" s="38"/>
      <c r="M86" s="38"/>
      <c r="Q86" s="36"/>
      <c r="R86" s="36"/>
      <c r="S86" s="48"/>
    </row>
    <row r="87" spans="1:19" ht="123" customHeight="1" x14ac:dyDescent="0.25">
      <c r="A87" s="34"/>
      <c r="B87" s="35"/>
      <c r="C87" s="36"/>
      <c r="D87" s="35"/>
      <c r="E87" s="35"/>
      <c r="F87" s="37"/>
      <c r="G87" s="38"/>
      <c r="H87" s="38"/>
      <c r="I87" s="38"/>
      <c r="J87" s="39"/>
      <c r="K87" s="38"/>
      <c r="L87" s="38"/>
      <c r="M87" s="38"/>
      <c r="Q87" s="36"/>
      <c r="R87" s="36"/>
      <c r="S87" s="48"/>
    </row>
    <row r="88" spans="1:19" ht="123" customHeight="1" x14ac:dyDescent="0.25">
      <c r="A88" s="34"/>
      <c r="B88" s="35"/>
      <c r="C88" s="36"/>
      <c r="D88" s="35"/>
      <c r="E88" s="35"/>
      <c r="F88" s="37"/>
      <c r="G88" s="38"/>
      <c r="H88" s="38"/>
      <c r="I88" s="38"/>
      <c r="J88" s="39"/>
      <c r="K88" s="38"/>
      <c r="L88" s="38"/>
      <c r="M88" s="38"/>
      <c r="Q88" s="36"/>
      <c r="R88" s="36"/>
      <c r="S88" s="48"/>
    </row>
    <row r="89" spans="1:19" ht="123" customHeight="1" x14ac:dyDescent="0.25">
      <c r="A89" s="34"/>
      <c r="B89" s="35"/>
      <c r="C89" s="36"/>
      <c r="D89" s="35"/>
      <c r="E89" s="35"/>
      <c r="F89" s="37"/>
      <c r="G89" s="38"/>
      <c r="H89" s="38"/>
      <c r="I89" s="38"/>
      <c r="J89" s="39"/>
      <c r="K89" s="38"/>
      <c r="L89" s="38"/>
      <c r="M89" s="38"/>
      <c r="Q89" s="36"/>
      <c r="R89" s="36"/>
      <c r="S89" s="48"/>
    </row>
    <row r="90" spans="1:19" ht="123" customHeight="1" x14ac:dyDescent="0.25">
      <c r="A90" s="34"/>
      <c r="B90" s="35"/>
      <c r="C90" s="36"/>
      <c r="D90" s="35"/>
      <c r="E90" s="35"/>
      <c r="F90" s="37"/>
      <c r="G90" s="38"/>
      <c r="H90" s="38"/>
      <c r="I90" s="38"/>
      <c r="J90" s="39"/>
      <c r="K90" s="38"/>
      <c r="L90" s="38"/>
      <c r="M90" s="38"/>
      <c r="Q90" s="36"/>
      <c r="R90" s="36"/>
      <c r="S90" s="48"/>
    </row>
    <row r="91" spans="1:19" ht="123" customHeight="1" x14ac:dyDescent="0.25">
      <c r="A91" s="34"/>
      <c r="B91" s="35"/>
      <c r="C91" s="36"/>
      <c r="D91" s="35"/>
      <c r="E91" s="35"/>
      <c r="F91" s="37"/>
      <c r="G91" s="38"/>
      <c r="H91" s="38"/>
      <c r="I91" s="38"/>
      <c r="J91" s="39"/>
      <c r="K91" s="38"/>
      <c r="L91" s="38"/>
      <c r="M91" s="38"/>
      <c r="Q91" s="36"/>
      <c r="R91" s="36"/>
      <c r="S91" s="48"/>
    </row>
    <row r="92" spans="1:19" ht="123" customHeight="1" x14ac:dyDescent="0.25">
      <c r="A92" s="34"/>
      <c r="B92" s="35"/>
      <c r="C92" s="36"/>
      <c r="D92" s="35"/>
      <c r="E92" s="35"/>
      <c r="F92" s="37"/>
      <c r="G92" s="38"/>
      <c r="H92" s="38"/>
      <c r="I92" s="38"/>
      <c r="J92" s="39"/>
      <c r="K92" s="38"/>
      <c r="L92" s="38"/>
      <c r="M92" s="38"/>
      <c r="Q92" s="36"/>
      <c r="R92" s="36"/>
      <c r="S92" s="48"/>
    </row>
    <row r="93" spans="1:19" ht="123" customHeight="1" x14ac:dyDescent="0.25">
      <c r="A93" s="34"/>
      <c r="B93" s="35"/>
      <c r="C93" s="36"/>
      <c r="D93" s="35"/>
      <c r="E93" s="35"/>
      <c r="F93" s="37"/>
      <c r="G93" s="38"/>
      <c r="H93" s="38"/>
      <c r="I93" s="38"/>
      <c r="J93" s="39"/>
      <c r="K93" s="38"/>
      <c r="L93" s="38"/>
      <c r="M93" s="38"/>
      <c r="Q93" s="36"/>
      <c r="R93" s="36"/>
      <c r="S93" s="48"/>
    </row>
    <row r="94" spans="1:19" ht="123" customHeight="1" x14ac:dyDescent="0.25">
      <c r="A94" s="34"/>
      <c r="B94" s="35"/>
      <c r="C94" s="36"/>
      <c r="D94" s="35"/>
      <c r="E94" s="35"/>
      <c r="F94" s="37"/>
      <c r="G94" s="38"/>
      <c r="H94" s="38"/>
      <c r="I94" s="38"/>
      <c r="J94" s="39"/>
      <c r="K94" s="38"/>
      <c r="L94" s="38"/>
      <c r="M94" s="38"/>
      <c r="Q94" s="36"/>
      <c r="R94" s="36"/>
      <c r="S94" s="48"/>
    </row>
    <row r="95" spans="1:19" ht="123" customHeight="1" x14ac:dyDescent="0.25">
      <c r="A95" s="34"/>
      <c r="B95" s="35"/>
      <c r="C95" s="36"/>
      <c r="D95" s="35"/>
      <c r="E95" s="35"/>
      <c r="F95" s="37"/>
      <c r="G95" s="38"/>
      <c r="H95" s="38"/>
      <c r="I95" s="38"/>
      <c r="J95" s="39"/>
      <c r="K95" s="38"/>
      <c r="L95" s="38"/>
      <c r="M95" s="38"/>
      <c r="Q95" s="36"/>
      <c r="R95" s="36"/>
      <c r="S95" s="48"/>
    </row>
    <row r="96" spans="1:19" ht="123" customHeight="1" x14ac:dyDescent="0.25">
      <c r="A96" s="34"/>
      <c r="B96" s="35"/>
      <c r="C96" s="36"/>
      <c r="D96" s="35"/>
      <c r="E96" s="35"/>
      <c r="F96" s="37"/>
      <c r="G96" s="38"/>
      <c r="H96" s="38"/>
      <c r="I96" s="38"/>
      <c r="J96" s="39"/>
      <c r="K96" s="38"/>
      <c r="L96" s="38"/>
      <c r="M96" s="38"/>
      <c r="Q96" s="36"/>
      <c r="R96" s="36"/>
      <c r="S96" s="48"/>
    </row>
    <row r="97" spans="1:19" ht="123" customHeight="1" x14ac:dyDescent="0.25">
      <c r="A97" s="34"/>
      <c r="B97" s="35"/>
      <c r="C97" s="36"/>
      <c r="D97" s="35"/>
      <c r="E97" s="35"/>
      <c r="F97" s="37"/>
      <c r="G97" s="38"/>
      <c r="H97" s="38"/>
      <c r="I97" s="38"/>
      <c r="J97" s="39"/>
      <c r="K97" s="38"/>
      <c r="L97" s="38"/>
      <c r="M97" s="38"/>
      <c r="Q97" s="36"/>
      <c r="R97" s="36"/>
      <c r="S97" s="48"/>
    </row>
    <row r="98" spans="1:19" ht="123" customHeight="1" x14ac:dyDescent="0.25">
      <c r="A98" s="34"/>
      <c r="B98" s="35"/>
      <c r="C98" s="36"/>
      <c r="D98" s="35"/>
      <c r="E98" s="35"/>
      <c r="F98" s="37"/>
      <c r="G98" s="38"/>
      <c r="H98" s="38"/>
      <c r="I98" s="38"/>
      <c r="J98" s="39"/>
      <c r="K98" s="38"/>
      <c r="L98" s="38"/>
      <c r="M98" s="38"/>
      <c r="Q98" s="36"/>
      <c r="R98" s="36"/>
      <c r="S98" s="48"/>
    </row>
    <row r="99" spans="1:19" ht="123" customHeight="1" x14ac:dyDescent="0.25">
      <c r="A99" s="34"/>
      <c r="B99" s="35"/>
      <c r="C99" s="36"/>
      <c r="D99" s="35"/>
      <c r="E99" s="35"/>
      <c r="F99" s="37"/>
      <c r="G99" s="38"/>
      <c r="H99" s="38"/>
      <c r="I99" s="38"/>
      <c r="J99" s="39"/>
      <c r="K99" s="38"/>
      <c r="L99" s="38"/>
      <c r="M99" s="38"/>
      <c r="Q99" s="36"/>
      <c r="R99" s="36"/>
      <c r="S99" s="48"/>
    </row>
    <row r="100" spans="1:19" ht="123" customHeight="1" x14ac:dyDescent="0.25">
      <c r="A100" s="34"/>
      <c r="B100" s="35"/>
      <c r="C100" s="36"/>
      <c r="D100" s="35"/>
      <c r="E100" s="35"/>
      <c r="F100" s="37"/>
      <c r="G100" s="38"/>
      <c r="H100" s="38"/>
      <c r="I100" s="38"/>
      <c r="J100" s="39"/>
      <c r="K100" s="38"/>
      <c r="L100" s="38"/>
      <c r="M100" s="38"/>
      <c r="Q100" s="36"/>
      <c r="R100" s="36"/>
      <c r="S100" s="48"/>
    </row>
    <row r="101" spans="1:19" ht="123" customHeight="1" x14ac:dyDescent="0.25">
      <c r="A101" s="34"/>
      <c r="B101" s="35"/>
      <c r="C101" s="36"/>
      <c r="D101" s="35"/>
      <c r="E101" s="35"/>
      <c r="F101" s="37"/>
      <c r="G101" s="38"/>
      <c r="H101" s="38"/>
      <c r="I101" s="38"/>
      <c r="J101" s="39"/>
      <c r="K101" s="38"/>
      <c r="L101" s="38"/>
      <c r="M101" s="38"/>
      <c r="Q101" s="36"/>
      <c r="R101" s="36"/>
      <c r="S101" s="48"/>
    </row>
    <row r="102" spans="1:19" ht="123" customHeight="1" x14ac:dyDescent="0.25">
      <c r="A102" s="34"/>
      <c r="B102" s="35"/>
      <c r="C102" s="36"/>
      <c r="D102" s="35"/>
      <c r="E102" s="35"/>
      <c r="F102" s="37"/>
      <c r="G102" s="38"/>
      <c r="H102" s="38"/>
      <c r="I102" s="38"/>
      <c r="J102" s="39"/>
      <c r="K102" s="38"/>
      <c r="L102" s="38"/>
      <c r="M102" s="38"/>
      <c r="Q102" s="36"/>
      <c r="R102" s="36"/>
      <c r="S102" s="48"/>
    </row>
    <row r="103" spans="1:19" ht="123" customHeight="1" x14ac:dyDescent="0.25">
      <c r="A103" s="34"/>
      <c r="B103" s="35"/>
      <c r="C103" s="36"/>
      <c r="D103" s="35"/>
      <c r="E103" s="35"/>
      <c r="F103" s="37"/>
      <c r="G103" s="38"/>
      <c r="H103" s="38"/>
      <c r="I103" s="38"/>
      <c r="J103" s="39"/>
      <c r="K103" s="38"/>
      <c r="L103" s="38"/>
      <c r="M103" s="38"/>
      <c r="Q103" s="36"/>
      <c r="R103" s="36"/>
      <c r="S103" s="48"/>
    </row>
    <row r="104" spans="1:19" ht="123" customHeight="1" x14ac:dyDescent="0.25">
      <c r="A104" s="34"/>
      <c r="B104" s="35"/>
      <c r="C104" s="36"/>
      <c r="D104" s="35"/>
      <c r="E104" s="35"/>
      <c r="F104" s="37"/>
      <c r="G104" s="38"/>
      <c r="H104" s="38"/>
      <c r="I104" s="38"/>
      <c r="J104" s="39"/>
      <c r="K104" s="38"/>
      <c r="L104" s="38"/>
      <c r="M104" s="38"/>
      <c r="Q104" s="36"/>
      <c r="R104" s="36"/>
      <c r="S104" s="48"/>
    </row>
    <row r="105" spans="1:19" ht="123" customHeight="1" x14ac:dyDescent="0.25">
      <c r="A105" s="34"/>
      <c r="B105" s="35"/>
      <c r="C105" s="36"/>
      <c r="Q105" s="36"/>
    </row>
    <row r="106" spans="1:19" ht="123" customHeight="1" x14ac:dyDescent="0.25">
      <c r="A106" s="34"/>
      <c r="B106" s="35"/>
      <c r="C106" s="36"/>
      <c r="Q106" s="36"/>
    </row>
    <row r="107" spans="1:19" ht="123" customHeight="1" x14ac:dyDescent="0.25">
      <c r="A107" s="34"/>
      <c r="B107" s="35"/>
      <c r="C107" s="36"/>
      <c r="Q107" s="36"/>
    </row>
    <row r="108" spans="1:19" ht="123" customHeight="1" x14ac:dyDescent="0.25">
      <c r="A108" s="34"/>
      <c r="B108" s="35"/>
      <c r="C108" s="36"/>
      <c r="Q108" s="36"/>
    </row>
    <row r="109" spans="1:19" ht="123" customHeight="1" x14ac:dyDescent="0.25">
      <c r="A109" s="34"/>
      <c r="B109" s="35"/>
      <c r="C109" s="36"/>
      <c r="Q109" s="36"/>
    </row>
    <row r="110" spans="1:19" ht="123" customHeight="1" x14ac:dyDescent="0.25">
      <c r="A110" s="34"/>
      <c r="B110" s="35"/>
      <c r="C110" s="36"/>
      <c r="Q110" s="36"/>
    </row>
    <row r="111" spans="1:19" ht="123" customHeight="1" x14ac:dyDescent="0.25">
      <c r="A111" s="34"/>
      <c r="B111" s="35"/>
      <c r="C111" s="36"/>
      <c r="Q111" s="36"/>
    </row>
    <row r="112" spans="1:19" ht="123" customHeight="1" x14ac:dyDescent="0.25">
      <c r="A112" s="34"/>
      <c r="B112" s="35"/>
      <c r="C112" s="36"/>
      <c r="Q112" s="36"/>
    </row>
    <row r="113" spans="1:17" ht="123" customHeight="1" x14ac:dyDescent="0.25">
      <c r="A113" s="34"/>
      <c r="B113" s="35"/>
      <c r="C113" s="36"/>
      <c r="Q113" s="36"/>
    </row>
    <row r="114" spans="1:17" ht="123" customHeight="1" x14ac:dyDescent="0.25">
      <c r="A114" s="34"/>
      <c r="B114" s="35"/>
      <c r="C114" s="36"/>
      <c r="Q114" s="36"/>
    </row>
    <row r="115" spans="1:17" ht="123" customHeight="1" x14ac:dyDescent="0.25">
      <c r="A115" s="34"/>
      <c r="B115" s="35"/>
      <c r="C115" s="36"/>
      <c r="Q115" s="36"/>
    </row>
    <row r="116" spans="1:17" ht="123" customHeight="1" x14ac:dyDescent="0.25">
      <c r="A116" s="34"/>
      <c r="B116" s="35"/>
      <c r="C116" s="36"/>
      <c r="Q116" s="36"/>
    </row>
    <row r="117" spans="1:17" ht="123" customHeight="1" x14ac:dyDescent="0.25">
      <c r="A117" s="34"/>
      <c r="B117" s="35"/>
      <c r="C117" s="36"/>
      <c r="Q117" s="36"/>
    </row>
    <row r="118" spans="1:17" ht="123" customHeight="1" x14ac:dyDescent="0.25">
      <c r="A118" s="34"/>
      <c r="B118" s="35"/>
      <c r="C118" s="36"/>
      <c r="Q118" s="36"/>
    </row>
    <row r="119" spans="1:17" ht="123" customHeight="1" x14ac:dyDescent="0.25">
      <c r="A119" s="34"/>
      <c r="B119" s="35"/>
      <c r="C119" s="36"/>
      <c r="Q119" s="36"/>
    </row>
    <row r="120" spans="1:17" ht="123" customHeight="1" x14ac:dyDescent="0.25">
      <c r="A120" s="34"/>
      <c r="B120" s="35"/>
      <c r="C120" s="36"/>
      <c r="Q120" s="36"/>
    </row>
    <row r="121" spans="1:17" ht="123" customHeight="1" x14ac:dyDescent="0.25">
      <c r="A121" s="34"/>
      <c r="B121" s="35"/>
      <c r="C121" s="36"/>
      <c r="Q121" s="36"/>
    </row>
    <row r="122" spans="1:17" ht="123" customHeight="1" x14ac:dyDescent="0.25">
      <c r="A122" s="34"/>
      <c r="B122" s="35"/>
      <c r="C122" s="36"/>
      <c r="Q122" s="36"/>
    </row>
    <row r="123" spans="1:17" ht="123" customHeight="1" x14ac:dyDescent="0.25">
      <c r="A123" s="34"/>
      <c r="B123" s="35"/>
      <c r="C123" s="36"/>
      <c r="Q123" s="36"/>
    </row>
    <row r="124" spans="1:17" ht="123" customHeight="1" x14ac:dyDescent="0.25">
      <c r="A124" s="34"/>
      <c r="B124" s="35"/>
      <c r="C124" s="36"/>
      <c r="Q124" s="36"/>
    </row>
    <row r="125" spans="1:17" ht="123" customHeight="1" x14ac:dyDescent="0.25">
      <c r="A125" s="34"/>
      <c r="B125" s="35"/>
      <c r="C125" s="36"/>
      <c r="Q125" s="36"/>
    </row>
    <row r="126" spans="1:17" ht="123" customHeight="1" x14ac:dyDescent="0.25">
      <c r="A126" s="34"/>
      <c r="B126" s="35"/>
      <c r="C126" s="36"/>
      <c r="Q126" s="36"/>
    </row>
    <row r="127" spans="1:17" ht="123" customHeight="1" x14ac:dyDescent="0.25">
      <c r="A127" s="34"/>
      <c r="B127" s="35"/>
      <c r="C127" s="36"/>
      <c r="Q127" s="36"/>
    </row>
    <row r="128" spans="1:17" ht="123" customHeight="1" x14ac:dyDescent="0.25">
      <c r="A128" s="34"/>
      <c r="B128" s="35"/>
      <c r="C128" s="36"/>
      <c r="Q128" s="36"/>
    </row>
    <row r="129" spans="1:17" ht="123" customHeight="1" x14ac:dyDescent="0.25">
      <c r="A129" s="34"/>
      <c r="B129" s="35"/>
      <c r="C129" s="36"/>
      <c r="Q129" s="36"/>
    </row>
    <row r="130" spans="1:17" ht="123" customHeight="1" x14ac:dyDescent="0.25">
      <c r="A130" s="34"/>
      <c r="B130" s="35"/>
      <c r="C130" s="36"/>
      <c r="Q130" s="36"/>
    </row>
    <row r="131" spans="1:17" ht="123" customHeight="1" x14ac:dyDescent="0.25">
      <c r="A131" s="34"/>
      <c r="B131" s="35"/>
      <c r="C131" s="36"/>
      <c r="Q131" s="36"/>
    </row>
    <row r="132" spans="1:17" ht="123" customHeight="1" x14ac:dyDescent="0.25">
      <c r="A132" s="34"/>
      <c r="B132" s="35"/>
      <c r="C132" s="36"/>
      <c r="Q132" s="36"/>
    </row>
    <row r="133" spans="1:17" ht="123" customHeight="1" x14ac:dyDescent="0.25">
      <c r="A133" s="34"/>
      <c r="B133" s="35"/>
      <c r="C133" s="36"/>
      <c r="Q133" s="36"/>
    </row>
    <row r="134" spans="1:17" ht="123" customHeight="1" x14ac:dyDescent="0.25">
      <c r="A134" s="34"/>
      <c r="B134" s="35"/>
      <c r="C134" s="36"/>
      <c r="Q134" s="36"/>
    </row>
    <row r="135" spans="1:17" ht="123" customHeight="1" x14ac:dyDescent="0.25">
      <c r="A135" s="34"/>
      <c r="B135" s="35"/>
      <c r="C135" s="36"/>
      <c r="Q135" s="36"/>
    </row>
    <row r="136" spans="1:17" ht="123" customHeight="1" x14ac:dyDescent="0.25">
      <c r="A136" s="34"/>
      <c r="B136" s="35"/>
      <c r="C136" s="36"/>
      <c r="Q136" s="36"/>
    </row>
    <row r="137" spans="1:17" ht="123" customHeight="1" x14ac:dyDescent="0.25">
      <c r="A137" s="34"/>
      <c r="B137" s="35"/>
      <c r="C137" s="36"/>
      <c r="Q137" s="36"/>
    </row>
    <row r="138" spans="1:17" ht="123" customHeight="1" x14ac:dyDescent="0.25">
      <c r="A138" s="34"/>
      <c r="B138" s="35"/>
      <c r="C138" s="36"/>
      <c r="Q138" s="36"/>
    </row>
    <row r="139" spans="1:17" ht="123" customHeight="1" x14ac:dyDescent="0.25">
      <c r="A139" s="34"/>
      <c r="B139" s="35"/>
      <c r="C139" s="36"/>
      <c r="Q139" s="36"/>
    </row>
    <row r="140" spans="1:17" ht="123" customHeight="1" x14ac:dyDescent="0.25">
      <c r="A140" s="34"/>
      <c r="B140" s="35"/>
      <c r="C140" s="36"/>
      <c r="Q140" s="36"/>
    </row>
    <row r="141" spans="1:17" ht="123" customHeight="1" x14ac:dyDescent="0.25">
      <c r="A141" s="34"/>
      <c r="B141" s="35"/>
      <c r="C141" s="36"/>
      <c r="Q141" s="36"/>
    </row>
    <row r="142" spans="1:17" ht="123" customHeight="1" x14ac:dyDescent="0.25">
      <c r="A142" s="34"/>
      <c r="B142" s="35"/>
      <c r="C142" s="36"/>
      <c r="Q142" s="36"/>
    </row>
    <row r="143" spans="1:17" ht="123" customHeight="1" x14ac:dyDescent="0.25">
      <c r="A143" s="34"/>
      <c r="B143" s="35"/>
      <c r="C143" s="36"/>
      <c r="Q143" s="36"/>
    </row>
    <row r="144" spans="1:17" ht="123" customHeight="1" x14ac:dyDescent="0.25">
      <c r="A144" s="34"/>
      <c r="B144" s="35"/>
      <c r="C144" s="36"/>
      <c r="Q144" s="36"/>
    </row>
    <row r="145" spans="1:17" ht="123" customHeight="1" x14ac:dyDescent="0.25">
      <c r="A145" s="34"/>
      <c r="B145" s="35"/>
      <c r="C145" s="36"/>
      <c r="Q145" s="36"/>
    </row>
    <row r="146" spans="1:17" ht="123" customHeight="1" x14ac:dyDescent="0.25">
      <c r="A146" s="34"/>
      <c r="B146" s="35"/>
      <c r="C146" s="36"/>
      <c r="Q146" s="36"/>
    </row>
    <row r="147" spans="1:17" ht="123" customHeight="1" x14ac:dyDescent="0.25">
      <c r="A147" s="34"/>
      <c r="B147" s="35"/>
      <c r="C147" s="36"/>
      <c r="Q147" s="36"/>
    </row>
    <row r="148" spans="1:17" ht="123" customHeight="1" x14ac:dyDescent="0.25">
      <c r="A148" s="34"/>
      <c r="B148" s="35"/>
      <c r="C148" s="36"/>
      <c r="Q148" s="36"/>
    </row>
    <row r="149" spans="1:17" ht="123" customHeight="1" x14ac:dyDescent="0.25">
      <c r="A149" s="34"/>
      <c r="B149" s="35"/>
      <c r="C149" s="36"/>
      <c r="Q149" s="36"/>
    </row>
    <row r="150" spans="1:17" ht="123" customHeight="1" x14ac:dyDescent="0.25">
      <c r="A150" s="34"/>
      <c r="B150" s="35"/>
      <c r="C150" s="36"/>
      <c r="Q150" s="36"/>
    </row>
    <row r="151" spans="1:17" ht="123" customHeight="1" x14ac:dyDescent="0.25">
      <c r="A151" s="34"/>
      <c r="B151" s="35"/>
      <c r="C151" s="36"/>
      <c r="Q151" s="36"/>
    </row>
    <row r="152" spans="1:17" ht="123" customHeight="1" x14ac:dyDescent="0.25">
      <c r="A152" s="34"/>
      <c r="B152" s="35"/>
      <c r="C152" s="36"/>
      <c r="Q152" s="36"/>
    </row>
    <row r="153" spans="1:17" ht="123" customHeight="1" x14ac:dyDescent="0.25">
      <c r="A153" s="34"/>
      <c r="B153" s="35"/>
      <c r="C153" s="36"/>
      <c r="Q153" s="36"/>
    </row>
    <row r="154" spans="1:17" ht="123" customHeight="1" x14ac:dyDescent="0.25">
      <c r="A154" s="34"/>
      <c r="B154" s="35"/>
      <c r="C154" s="36"/>
      <c r="Q154" s="36"/>
    </row>
    <row r="155" spans="1:17" ht="123" customHeight="1" x14ac:dyDescent="0.25">
      <c r="A155" s="34"/>
      <c r="B155" s="35"/>
      <c r="C155" s="36"/>
      <c r="Q155" s="36"/>
    </row>
    <row r="156" spans="1:17" ht="123" customHeight="1" x14ac:dyDescent="0.25">
      <c r="A156" s="34"/>
      <c r="B156" s="35"/>
      <c r="C156" s="36"/>
      <c r="Q156" s="36"/>
    </row>
    <row r="157" spans="1:17" ht="123" customHeight="1" x14ac:dyDescent="0.25">
      <c r="A157" s="34"/>
      <c r="B157" s="35"/>
      <c r="C157" s="36"/>
      <c r="Q157" s="36"/>
    </row>
    <row r="158" spans="1:17" ht="123" customHeight="1" x14ac:dyDescent="0.25">
      <c r="A158" s="34"/>
      <c r="B158" s="35"/>
      <c r="C158" s="36"/>
      <c r="Q158" s="36"/>
    </row>
    <row r="159" spans="1:17" ht="123" customHeight="1" x14ac:dyDescent="0.25">
      <c r="A159" s="34"/>
      <c r="B159" s="35"/>
      <c r="C159" s="36"/>
      <c r="Q159" s="36"/>
    </row>
    <row r="160" spans="1:17" ht="123" customHeight="1" x14ac:dyDescent="0.25">
      <c r="A160" s="34"/>
      <c r="B160" s="35"/>
      <c r="C160" s="36"/>
      <c r="Q160" s="36"/>
    </row>
    <row r="161" spans="1:17" ht="123" customHeight="1" x14ac:dyDescent="0.25">
      <c r="A161" s="34"/>
      <c r="B161" s="35"/>
      <c r="C161" s="36"/>
      <c r="Q161" s="36"/>
    </row>
    <row r="162" spans="1:17" ht="123" customHeight="1" x14ac:dyDescent="0.25">
      <c r="A162" s="34"/>
      <c r="B162" s="35"/>
      <c r="C162" s="36"/>
      <c r="Q162" s="36"/>
    </row>
    <row r="163" spans="1:17" ht="123" customHeight="1" x14ac:dyDescent="0.25">
      <c r="A163" s="34"/>
      <c r="B163" s="35"/>
      <c r="C163" s="36"/>
      <c r="Q163" s="36"/>
    </row>
    <row r="164" spans="1:17" ht="123" customHeight="1" x14ac:dyDescent="0.25">
      <c r="A164" s="34"/>
      <c r="B164" s="35"/>
      <c r="C164" s="36"/>
      <c r="Q164" s="36"/>
    </row>
    <row r="165" spans="1:17" ht="123" customHeight="1" x14ac:dyDescent="0.25">
      <c r="A165" s="34"/>
      <c r="B165" s="35"/>
      <c r="C165" s="36"/>
      <c r="Q165" s="36"/>
    </row>
    <row r="166" spans="1:17" ht="123" customHeight="1" x14ac:dyDescent="0.25">
      <c r="A166" s="34"/>
      <c r="B166" s="35"/>
      <c r="C166" s="36"/>
      <c r="Q166" s="36"/>
    </row>
    <row r="167" spans="1:17" ht="123" customHeight="1" x14ac:dyDescent="0.25">
      <c r="A167" s="34"/>
      <c r="B167" s="35"/>
      <c r="C167" s="36"/>
      <c r="Q167" s="36"/>
    </row>
    <row r="168" spans="1:17" ht="123" customHeight="1" x14ac:dyDescent="0.25">
      <c r="A168" s="34"/>
      <c r="B168" s="35"/>
      <c r="C168" s="36"/>
      <c r="Q168" s="36"/>
    </row>
    <row r="169" spans="1:17" ht="123" customHeight="1" x14ac:dyDescent="0.25">
      <c r="A169" s="34"/>
      <c r="B169" s="35"/>
      <c r="C169" s="36"/>
      <c r="Q169" s="36"/>
    </row>
    <row r="170" spans="1:17" ht="123" customHeight="1" x14ac:dyDescent="0.25">
      <c r="A170" s="34"/>
      <c r="B170" s="35"/>
      <c r="C170" s="36"/>
      <c r="Q170" s="36"/>
    </row>
    <row r="171" spans="1:17" ht="123" customHeight="1" x14ac:dyDescent="0.25">
      <c r="A171" s="34"/>
      <c r="B171" s="35"/>
      <c r="C171" s="36"/>
      <c r="Q171" s="36"/>
    </row>
    <row r="172" spans="1:17" ht="123" customHeight="1" x14ac:dyDescent="0.25">
      <c r="A172" s="34"/>
      <c r="B172" s="35"/>
      <c r="C172" s="36"/>
      <c r="Q172" s="36"/>
    </row>
    <row r="173" spans="1:17" ht="123" customHeight="1" x14ac:dyDescent="0.25">
      <c r="A173" s="34"/>
      <c r="B173" s="35"/>
      <c r="C173" s="36"/>
      <c r="Q173" s="36"/>
    </row>
    <row r="174" spans="1:17" ht="123" customHeight="1" x14ac:dyDescent="0.25">
      <c r="A174" s="34"/>
      <c r="B174" s="35"/>
      <c r="C174" s="36"/>
      <c r="Q174" s="36"/>
    </row>
    <row r="175" spans="1:17" ht="123" customHeight="1" x14ac:dyDescent="0.25">
      <c r="A175" s="34"/>
      <c r="B175" s="35"/>
      <c r="C175" s="36"/>
      <c r="Q175" s="36"/>
    </row>
    <row r="176" spans="1:17" ht="123" customHeight="1" x14ac:dyDescent="0.25">
      <c r="A176" s="34"/>
      <c r="B176" s="35"/>
      <c r="C176" s="36"/>
      <c r="Q176" s="36"/>
    </row>
    <row r="177" spans="1:17" ht="123" customHeight="1" x14ac:dyDescent="0.25">
      <c r="A177" s="34"/>
      <c r="B177" s="35"/>
      <c r="C177" s="36"/>
      <c r="Q177" s="36"/>
    </row>
    <row r="178" spans="1:17" ht="123" customHeight="1" x14ac:dyDescent="0.25">
      <c r="A178" s="34"/>
      <c r="B178" s="35"/>
      <c r="C178" s="36"/>
      <c r="Q178" s="36"/>
    </row>
    <row r="179" spans="1:17" ht="123" customHeight="1" x14ac:dyDescent="0.25">
      <c r="A179" s="34"/>
      <c r="B179" s="35"/>
      <c r="C179" s="36"/>
      <c r="Q179" s="36"/>
    </row>
    <row r="180" spans="1:17" ht="123" customHeight="1" x14ac:dyDescent="0.25">
      <c r="A180" s="34"/>
      <c r="B180" s="35"/>
      <c r="C180" s="36"/>
      <c r="Q180" s="36"/>
    </row>
    <row r="181" spans="1:17" ht="123" customHeight="1" x14ac:dyDescent="0.25">
      <c r="A181" s="34"/>
      <c r="B181" s="35"/>
      <c r="C181" s="36"/>
      <c r="Q181" s="36"/>
    </row>
    <row r="182" spans="1:17" ht="123" customHeight="1" x14ac:dyDescent="0.25">
      <c r="A182" s="34"/>
      <c r="B182" s="35"/>
      <c r="C182" s="36"/>
      <c r="Q182" s="36"/>
    </row>
    <row r="183" spans="1:17" ht="123" customHeight="1" x14ac:dyDescent="0.25">
      <c r="A183" s="34"/>
      <c r="B183" s="35"/>
      <c r="C183" s="36"/>
      <c r="Q183" s="36"/>
    </row>
    <row r="184" spans="1:17" ht="123" customHeight="1" x14ac:dyDescent="0.25">
      <c r="A184" s="34"/>
      <c r="B184" s="35"/>
      <c r="C184" s="36"/>
      <c r="Q184" s="36"/>
    </row>
    <row r="185" spans="1:17" ht="123" customHeight="1" x14ac:dyDescent="0.25">
      <c r="A185" s="34"/>
      <c r="B185" s="35"/>
      <c r="C185" s="36"/>
      <c r="Q185" s="36"/>
    </row>
    <row r="186" spans="1:17" ht="123" customHeight="1" x14ac:dyDescent="0.25">
      <c r="A186" s="34"/>
      <c r="B186" s="35"/>
      <c r="C186" s="36"/>
      <c r="Q186" s="36"/>
    </row>
    <row r="187" spans="1:17" ht="123" customHeight="1" x14ac:dyDescent="0.25">
      <c r="A187" s="34"/>
      <c r="B187" s="35"/>
      <c r="C187" s="36"/>
      <c r="Q187" s="36"/>
    </row>
    <row r="188" spans="1:17" ht="123" customHeight="1" x14ac:dyDescent="0.25">
      <c r="A188" s="34"/>
      <c r="B188" s="35"/>
      <c r="C188" s="36"/>
      <c r="Q188" s="36"/>
    </row>
    <row r="189" spans="1:17" ht="123" customHeight="1" x14ac:dyDescent="0.25">
      <c r="A189" s="34"/>
      <c r="B189" s="35"/>
      <c r="C189" s="36"/>
      <c r="Q189" s="36"/>
    </row>
    <row r="190" spans="1:17" ht="123" customHeight="1" x14ac:dyDescent="0.25">
      <c r="A190" s="34"/>
      <c r="B190" s="35"/>
      <c r="C190" s="36"/>
      <c r="Q190" s="36"/>
    </row>
    <row r="191" spans="1:17" ht="123" customHeight="1" x14ac:dyDescent="0.25">
      <c r="A191" s="34"/>
      <c r="B191" s="35"/>
      <c r="C191" s="36"/>
      <c r="Q191" s="36"/>
    </row>
    <row r="192" spans="1:17" ht="123" customHeight="1" x14ac:dyDescent="0.25">
      <c r="A192" s="34"/>
      <c r="B192" s="35"/>
      <c r="C192" s="36"/>
      <c r="Q192" s="36"/>
    </row>
    <row r="193" spans="1:17" ht="123" customHeight="1" x14ac:dyDescent="0.25">
      <c r="A193" s="34"/>
      <c r="B193" s="35"/>
      <c r="C193" s="36"/>
      <c r="Q193" s="36"/>
    </row>
    <row r="194" spans="1:17" ht="123" customHeight="1" x14ac:dyDescent="0.25">
      <c r="A194" s="34"/>
      <c r="B194" s="35"/>
      <c r="C194" s="36"/>
      <c r="Q194" s="36"/>
    </row>
    <row r="195" spans="1:17" ht="123" customHeight="1" x14ac:dyDescent="0.25">
      <c r="A195" s="34"/>
      <c r="B195" s="35"/>
      <c r="C195" s="36"/>
      <c r="Q195" s="36"/>
    </row>
    <row r="196" spans="1:17" ht="123" customHeight="1" x14ac:dyDescent="0.25">
      <c r="A196" s="34"/>
      <c r="B196" s="35"/>
      <c r="C196" s="36"/>
      <c r="Q196" s="36"/>
    </row>
    <row r="197" spans="1:17" ht="123" customHeight="1" x14ac:dyDescent="0.25">
      <c r="A197" s="34"/>
      <c r="B197" s="35"/>
      <c r="C197" s="36"/>
      <c r="Q197" s="36"/>
    </row>
    <row r="198" spans="1:17" ht="123" customHeight="1" x14ac:dyDescent="0.25">
      <c r="A198" s="34"/>
      <c r="B198" s="35"/>
      <c r="C198" s="36"/>
      <c r="Q198" s="36"/>
    </row>
    <row r="199" spans="1:17" ht="123" customHeight="1" x14ac:dyDescent="0.25">
      <c r="A199" s="34"/>
      <c r="B199" s="35"/>
      <c r="C199" s="36"/>
      <c r="Q199" s="36"/>
    </row>
    <row r="200" spans="1:17" ht="123" customHeight="1" x14ac:dyDescent="0.25">
      <c r="A200" s="34"/>
      <c r="B200" s="35"/>
      <c r="C200" s="36"/>
      <c r="Q200" s="36"/>
    </row>
    <row r="201" spans="1:17" ht="123" customHeight="1" x14ac:dyDescent="0.25">
      <c r="A201" s="34"/>
      <c r="B201" s="35"/>
      <c r="C201" s="36"/>
      <c r="Q201" s="36"/>
    </row>
    <row r="202" spans="1:17" ht="123" customHeight="1" x14ac:dyDescent="0.25">
      <c r="A202" s="34"/>
      <c r="B202" s="35"/>
      <c r="C202" s="36"/>
      <c r="Q202" s="36"/>
    </row>
    <row r="203" spans="1:17" ht="123" customHeight="1" x14ac:dyDescent="0.25">
      <c r="A203" s="34"/>
      <c r="B203" s="35"/>
      <c r="C203" s="36"/>
      <c r="Q203" s="36"/>
    </row>
    <row r="204" spans="1:17" ht="123" customHeight="1" x14ac:dyDescent="0.25">
      <c r="A204" s="34"/>
      <c r="B204" s="35"/>
      <c r="C204" s="36"/>
      <c r="Q204" s="36"/>
    </row>
    <row r="205" spans="1:17" ht="123" customHeight="1" x14ac:dyDescent="0.25">
      <c r="A205" s="34"/>
      <c r="B205" s="35"/>
      <c r="C205" s="36"/>
      <c r="Q205" s="36"/>
    </row>
    <row r="206" spans="1:17" ht="123" customHeight="1" x14ac:dyDescent="0.25">
      <c r="A206" s="34"/>
      <c r="B206" s="35"/>
      <c r="C206" s="36"/>
      <c r="Q206" s="36"/>
    </row>
    <row r="207" spans="1:17" ht="123" customHeight="1" x14ac:dyDescent="0.25">
      <c r="A207" s="34"/>
      <c r="B207" s="35"/>
      <c r="C207" s="36"/>
      <c r="Q207" s="36"/>
    </row>
    <row r="208" spans="1:17" ht="123" customHeight="1" x14ac:dyDescent="0.25">
      <c r="A208" s="34"/>
      <c r="B208" s="35"/>
      <c r="C208" s="36"/>
      <c r="Q208" s="36"/>
    </row>
    <row r="209" spans="1:17" ht="123" customHeight="1" x14ac:dyDescent="0.25">
      <c r="A209" s="34"/>
      <c r="B209" s="35"/>
      <c r="C209" s="36"/>
      <c r="Q209" s="36"/>
    </row>
    <row r="210" spans="1:17" ht="123" customHeight="1" x14ac:dyDescent="0.25">
      <c r="A210" s="34"/>
      <c r="B210" s="35"/>
      <c r="C210" s="36"/>
      <c r="Q210" s="36"/>
    </row>
    <row r="211" spans="1:17" ht="123" customHeight="1" x14ac:dyDescent="0.25">
      <c r="A211" s="34"/>
      <c r="B211" s="35"/>
      <c r="C211" s="36"/>
      <c r="Q211" s="36"/>
    </row>
    <row r="212" spans="1:17" ht="123" customHeight="1" x14ac:dyDescent="0.25">
      <c r="A212" s="34"/>
      <c r="B212" s="35"/>
      <c r="C212" s="36"/>
      <c r="Q212" s="36"/>
    </row>
    <row r="213" spans="1:17" ht="123" customHeight="1" x14ac:dyDescent="0.25">
      <c r="A213" s="34"/>
      <c r="B213" s="35"/>
      <c r="C213" s="36"/>
      <c r="Q213" s="36"/>
    </row>
    <row r="214" spans="1:17" ht="123" customHeight="1" x14ac:dyDescent="0.25">
      <c r="A214" s="34"/>
      <c r="B214" s="35"/>
      <c r="C214" s="36"/>
      <c r="Q214" s="36"/>
    </row>
    <row r="215" spans="1:17" ht="123" customHeight="1" x14ac:dyDescent="0.25">
      <c r="A215" s="34"/>
      <c r="B215" s="35"/>
      <c r="C215" s="36"/>
      <c r="Q215" s="36"/>
    </row>
    <row r="216" spans="1:17" ht="123" customHeight="1" x14ac:dyDescent="0.25">
      <c r="A216" s="34"/>
      <c r="B216" s="35"/>
      <c r="C216" s="36"/>
      <c r="Q216" s="36"/>
    </row>
    <row r="217" spans="1:17" ht="123" customHeight="1" x14ac:dyDescent="0.25">
      <c r="A217" s="34"/>
      <c r="B217" s="35"/>
      <c r="C217" s="36"/>
      <c r="Q217" s="36"/>
    </row>
    <row r="218" spans="1:17" ht="123" customHeight="1" x14ac:dyDescent="0.25">
      <c r="A218" s="34"/>
      <c r="B218" s="35"/>
      <c r="C218" s="36"/>
      <c r="Q218" s="36"/>
    </row>
    <row r="219" spans="1:17" ht="123" customHeight="1" x14ac:dyDescent="0.25">
      <c r="A219" s="34"/>
      <c r="B219" s="35"/>
      <c r="C219" s="36"/>
      <c r="Q219" s="36"/>
    </row>
    <row r="220" spans="1:17" ht="123" customHeight="1" x14ac:dyDescent="0.25">
      <c r="A220" s="34"/>
      <c r="B220" s="35"/>
      <c r="C220" s="36"/>
      <c r="Q220" s="36"/>
    </row>
    <row r="221" spans="1:17" ht="123" customHeight="1" x14ac:dyDescent="0.25">
      <c r="A221" s="34"/>
      <c r="B221" s="35"/>
      <c r="C221" s="36"/>
      <c r="Q221" s="36"/>
    </row>
    <row r="222" spans="1:17" ht="123" customHeight="1" x14ac:dyDescent="0.25">
      <c r="A222" s="34"/>
      <c r="B222" s="35"/>
      <c r="C222" s="36"/>
      <c r="Q222" s="36"/>
    </row>
    <row r="223" spans="1:17" ht="123" customHeight="1" x14ac:dyDescent="0.25">
      <c r="A223" s="34"/>
      <c r="B223" s="35"/>
      <c r="C223" s="36"/>
      <c r="Q223" s="36"/>
    </row>
    <row r="224" spans="1:17" ht="123" customHeight="1" x14ac:dyDescent="0.25">
      <c r="A224" s="34"/>
      <c r="B224" s="35"/>
      <c r="C224" s="36"/>
      <c r="Q224" s="36"/>
    </row>
    <row r="225" spans="1:17" ht="123" customHeight="1" x14ac:dyDescent="0.25">
      <c r="A225" s="34"/>
      <c r="B225" s="35"/>
      <c r="C225" s="36"/>
      <c r="Q225" s="36"/>
    </row>
    <row r="226" spans="1:17" ht="123" customHeight="1" x14ac:dyDescent="0.25">
      <c r="A226" s="34"/>
      <c r="B226" s="35"/>
      <c r="C226" s="36"/>
      <c r="Q226" s="36"/>
    </row>
    <row r="227" spans="1:17" ht="123" customHeight="1" x14ac:dyDescent="0.25">
      <c r="A227" s="34"/>
      <c r="B227" s="35"/>
      <c r="C227" s="36"/>
      <c r="Q227" s="36"/>
    </row>
    <row r="228" spans="1:17" ht="123" customHeight="1" x14ac:dyDescent="0.25">
      <c r="A228" s="34"/>
      <c r="B228" s="35"/>
      <c r="C228" s="36"/>
      <c r="Q228" s="36"/>
    </row>
    <row r="229" spans="1:17" ht="123" customHeight="1" x14ac:dyDescent="0.25">
      <c r="A229" s="34"/>
      <c r="B229" s="35"/>
      <c r="C229" s="36"/>
      <c r="Q229" s="36"/>
    </row>
    <row r="230" spans="1:17" ht="123" customHeight="1" x14ac:dyDescent="0.25">
      <c r="A230" s="34"/>
      <c r="B230" s="35"/>
      <c r="C230" s="36"/>
      <c r="Q230" s="36"/>
    </row>
    <row r="231" spans="1:17" ht="123" customHeight="1" x14ac:dyDescent="0.25">
      <c r="A231" s="34"/>
      <c r="B231" s="35"/>
      <c r="C231" s="36"/>
      <c r="Q231" s="36"/>
    </row>
    <row r="232" spans="1:17" ht="123" customHeight="1" x14ac:dyDescent="0.25">
      <c r="A232" s="34"/>
      <c r="B232" s="35"/>
      <c r="C232" s="36"/>
      <c r="Q232" s="36"/>
    </row>
    <row r="233" spans="1:17" ht="123" customHeight="1" x14ac:dyDescent="0.25">
      <c r="A233" s="34"/>
      <c r="B233" s="35"/>
      <c r="C233" s="36"/>
      <c r="Q233" s="36"/>
    </row>
    <row r="234" spans="1:17" ht="123" customHeight="1" x14ac:dyDescent="0.25">
      <c r="A234" s="34"/>
      <c r="B234" s="35"/>
      <c r="C234" s="36"/>
      <c r="Q234" s="36"/>
    </row>
    <row r="235" spans="1:17" ht="123" customHeight="1" x14ac:dyDescent="0.25">
      <c r="A235" s="34"/>
      <c r="B235" s="35"/>
      <c r="C235" s="36"/>
      <c r="Q235" s="36"/>
    </row>
    <row r="236" spans="1:17" ht="123" customHeight="1" x14ac:dyDescent="0.25">
      <c r="A236" s="34"/>
      <c r="B236" s="35"/>
      <c r="C236" s="36"/>
      <c r="Q236" s="36"/>
    </row>
    <row r="237" spans="1:17" ht="123" customHeight="1" x14ac:dyDescent="0.25">
      <c r="A237" s="34"/>
      <c r="B237" s="35"/>
      <c r="C237" s="36"/>
      <c r="Q237" s="36"/>
    </row>
    <row r="238" spans="1:17" ht="123" customHeight="1" x14ac:dyDescent="0.25">
      <c r="A238" s="34"/>
      <c r="B238" s="35"/>
      <c r="C238" s="36"/>
      <c r="Q238" s="36"/>
    </row>
    <row r="239" spans="1:17" ht="123" customHeight="1" x14ac:dyDescent="0.25">
      <c r="A239" s="34"/>
      <c r="B239" s="35"/>
      <c r="C239" s="36"/>
      <c r="Q239" s="36"/>
    </row>
    <row r="240" spans="1:17" ht="123" customHeight="1" x14ac:dyDescent="0.25">
      <c r="A240" s="34"/>
      <c r="B240" s="35"/>
      <c r="C240" s="36"/>
      <c r="Q240" s="36"/>
    </row>
    <row r="241" spans="1:17" ht="123" customHeight="1" x14ac:dyDescent="0.25">
      <c r="A241" s="34"/>
      <c r="B241" s="35"/>
      <c r="C241" s="36"/>
      <c r="Q241" s="36"/>
    </row>
    <row r="242" spans="1:17" ht="123" customHeight="1" x14ac:dyDescent="0.25">
      <c r="A242" s="34"/>
      <c r="B242" s="35"/>
      <c r="C242" s="36"/>
      <c r="Q242" s="36"/>
    </row>
    <row r="243" spans="1:17" ht="123" customHeight="1" x14ac:dyDescent="0.25">
      <c r="A243" s="34"/>
      <c r="B243" s="35"/>
      <c r="C243" s="36"/>
      <c r="Q243" s="36"/>
    </row>
    <row r="244" spans="1:17" ht="123" customHeight="1" x14ac:dyDescent="0.25">
      <c r="A244" s="34"/>
      <c r="B244" s="35"/>
      <c r="C244" s="36"/>
      <c r="Q244" s="36"/>
    </row>
    <row r="245" spans="1:17" ht="123" customHeight="1" x14ac:dyDescent="0.25">
      <c r="A245" s="34"/>
      <c r="B245" s="35"/>
      <c r="C245" s="36"/>
      <c r="Q245" s="36"/>
    </row>
    <row r="246" spans="1:17" ht="123" customHeight="1" x14ac:dyDescent="0.25">
      <c r="A246" s="34"/>
      <c r="B246" s="35"/>
      <c r="C246" s="36"/>
      <c r="Q246" s="36"/>
    </row>
    <row r="247" spans="1:17" ht="123" customHeight="1" x14ac:dyDescent="0.25">
      <c r="A247" s="34"/>
      <c r="B247" s="35"/>
      <c r="C247" s="36"/>
      <c r="Q247" s="36"/>
    </row>
    <row r="248" spans="1:17" ht="123" customHeight="1" x14ac:dyDescent="0.25">
      <c r="A248" s="34"/>
      <c r="B248" s="35"/>
      <c r="C248" s="36"/>
      <c r="Q248" s="36"/>
    </row>
    <row r="249" spans="1:17" ht="123" customHeight="1" x14ac:dyDescent="0.25">
      <c r="A249" s="34"/>
      <c r="B249" s="35"/>
      <c r="C249" s="36"/>
      <c r="Q249" s="36"/>
    </row>
    <row r="250" spans="1:17" ht="123" customHeight="1" x14ac:dyDescent="0.25">
      <c r="A250" s="34"/>
      <c r="B250" s="35"/>
      <c r="C250" s="36"/>
      <c r="Q250" s="36"/>
    </row>
    <row r="251" spans="1:17" ht="123" customHeight="1" x14ac:dyDescent="0.25">
      <c r="A251" s="34"/>
      <c r="B251" s="35"/>
      <c r="C251" s="36"/>
      <c r="Q251" s="36"/>
    </row>
    <row r="252" spans="1:17" ht="123" customHeight="1" x14ac:dyDescent="0.25">
      <c r="A252" s="34"/>
      <c r="B252" s="35"/>
      <c r="C252" s="36"/>
      <c r="Q252" s="36"/>
    </row>
    <row r="253" spans="1:17" ht="123" customHeight="1" x14ac:dyDescent="0.25">
      <c r="A253" s="34"/>
      <c r="B253" s="35"/>
      <c r="C253" s="36"/>
      <c r="Q253" s="36"/>
    </row>
    <row r="254" spans="1:17" ht="123" customHeight="1" x14ac:dyDescent="0.25">
      <c r="A254" s="34"/>
      <c r="B254" s="35"/>
      <c r="C254" s="36"/>
      <c r="Q254" s="36"/>
    </row>
    <row r="255" spans="1:17" ht="123" customHeight="1" x14ac:dyDescent="0.25">
      <c r="A255" s="34"/>
      <c r="B255" s="35"/>
      <c r="C255" s="36"/>
      <c r="Q255" s="36"/>
    </row>
    <row r="256" spans="1:17" ht="123" customHeight="1" x14ac:dyDescent="0.25">
      <c r="A256" s="34"/>
      <c r="B256" s="35"/>
      <c r="C256" s="36"/>
      <c r="Q256" s="36"/>
    </row>
    <row r="257" spans="1:17" ht="123" customHeight="1" x14ac:dyDescent="0.25">
      <c r="A257" s="34"/>
      <c r="B257" s="35"/>
      <c r="C257" s="36"/>
      <c r="Q257" s="36"/>
    </row>
    <row r="258" spans="1:17" ht="123" customHeight="1" x14ac:dyDescent="0.25">
      <c r="A258" s="34"/>
      <c r="B258" s="35"/>
      <c r="C258" s="36"/>
      <c r="Q258" s="36"/>
    </row>
    <row r="259" spans="1:17" ht="123" customHeight="1" x14ac:dyDescent="0.25">
      <c r="A259" s="34"/>
      <c r="B259" s="35"/>
      <c r="C259" s="36"/>
      <c r="Q259" s="36"/>
    </row>
    <row r="260" spans="1:17" ht="123" customHeight="1" x14ac:dyDescent="0.25">
      <c r="A260" s="34"/>
      <c r="B260" s="35"/>
      <c r="C260" s="36"/>
      <c r="Q260" s="36"/>
    </row>
    <row r="261" spans="1:17" ht="123" customHeight="1" x14ac:dyDescent="0.25">
      <c r="A261" s="34"/>
      <c r="B261" s="35"/>
      <c r="C261" s="36"/>
      <c r="Q261" s="36"/>
    </row>
    <row r="262" spans="1:17" ht="123" customHeight="1" x14ac:dyDescent="0.25">
      <c r="A262" s="34"/>
      <c r="B262" s="35"/>
      <c r="C262" s="36"/>
      <c r="Q262" s="36"/>
    </row>
    <row r="263" spans="1:17" ht="123" customHeight="1" x14ac:dyDescent="0.25">
      <c r="A263" s="34"/>
      <c r="B263" s="35"/>
      <c r="C263" s="36"/>
      <c r="Q263" s="36"/>
    </row>
    <row r="264" spans="1:17" ht="123" customHeight="1" x14ac:dyDescent="0.25">
      <c r="A264" s="34"/>
      <c r="B264" s="35"/>
      <c r="C264" s="36"/>
      <c r="Q264" s="36"/>
    </row>
    <row r="265" spans="1:17" ht="123" customHeight="1" x14ac:dyDescent="0.25">
      <c r="A265" s="34"/>
      <c r="B265" s="35"/>
      <c r="C265" s="36"/>
      <c r="Q265" s="36"/>
    </row>
    <row r="266" spans="1:17" ht="123" customHeight="1" x14ac:dyDescent="0.25">
      <c r="A266" s="34"/>
      <c r="B266" s="35"/>
      <c r="C266" s="36"/>
      <c r="Q266" s="36"/>
    </row>
    <row r="267" spans="1:17" ht="123" customHeight="1" x14ac:dyDescent="0.25">
      <c r="A267" s="34"/>
      <c r="B267" s="35"/>
      <c r="C267" s="36"/>
      <c r="Q267" s="36"/>
    </row>
    <row r="268" spans="1:17" ht="123" customHeight="1" x14ac:dyDescent="0.25">
      <c r="A268" s="34"/>
      <c r="B268" s="35"/>
      <c r="C268" s="36"/>
      <c r="Q268" s="36"/>
    </row>
    <row r="269" spans="1:17" ht="123" customHeight="1" x14ac:dyDescent="0.25">
      <c r="A269" s="34"/>
      <c r="B269" s="35"/>
      <c r="C269" s="36"/>
      <c r="Q269" s="36"/>
    </row>
    <row r="270" spans="1:17" ht="123" customHeight="1" x14ac:dyDescent="0.25">
      <c r="A270" s="34"/>
      <c r="B270" s="35"/>
      <c r="C270" s="36"/>
      <c r="Q270" s="36"/>
    </row>
    <row r="271" spans="1:17" ht="123" customHeight="1" x14ac:dyDescent="0.25">
      <c r="A271" s="34"/>
      <c r="B271" s="35"/>
      <c r="C271" s="36"/>
      <c r="Q271" s="36"/>
    </row>
    <row r="272" spans="1:17" ht="123" customHeight="1" x14ac:dyDescent="0.25">
      <c r="A272" s="34"/>
      <c r="B272" s="35"/>
      <c r="C272" s="36"/>
      <c r="Q272" s="36"/>
    </row>
    <row r="273" spans="1:17" ht="123" customHeight="1" x14ac:dyDescent="0.25">
      <c r="A273" s="34"/>
      <c r="B273" s="35"/>
      <c r="C273" s="36"/>
      <c r="Q273" s="36"/>
    </row>
    <row r="274" spans="1:17" ht="123" customHeight="1" x14ac:dyDescent="0.25">
      <c r="A274" s="34"/>
      <c r="B274" s="35"/>
      <c r="C274" s="36"/>
      <c r="Q274" s="36"/>
    </row>
    <row r="275" spans="1:17" ht="123" customHeight="1" x14ac:dyDescent="0.25">
      <c r="A275" s="34"/>
      <c r="B275" s="35"/>
      <c r="C275" s="36"/>
      <c r="Q275" s="36"/>
    </row>
    <row r="276" spans="1:17" ht="123" customHeight="1" x14ac:dyDescent="0.25">
      <c r="A276" s="34"/>
      <c r="B276" s="35"/>
      <c r="C276" s="36"/>
      <c r="Q276" s="36"/>
    </row>
    <row r="277" spans="1:17" ht="123" customHeight="1" x14ac:dyDescent="0.25">
      <c r="A277" s="34"/>
      <c r="B277" s="35"/>
      <c r="C277" s="36"/>
      <c r="Q277" s="36"/>
    </row>
    <row r="278" spans="1:17" ht="123" customHeight="1" x14ac:dyDescent="0.25">
      <c r="A278" s="34"/>
      <c r="B278" s="35"/>
      <c r="C278" s="36"/>
      <c r="Q278" s="36"/>
    </row>
    <row r="279" spans="1:17" ht="123" customHeight="1" x14ac:dyDescent="0.25">
      <c r="A279" s="34"/>
      <c r="B279" s="35"/>
      <c r="C279" s="36"/>
      <c r="Q279" s="36"/>
    </row>
    <row r="280" spans="1:17" ht="123" customHeight="1" x14ac:dyDescent="0.25">
      <c r="A280" s="34"/>
      <c r="B280" s="35"/>
      <c r="C280" s="36"/>
      <c r="Q280" s="36"/>
    </row>
    <row r="281" spans="1:17" ht="123" customHeight="1" x14ac:dyDescent="0.25">
      <c r="A281" s="34"/>
      <c r="B281" s="35"/>
      <c r="C281" s="36"/>
      <c r="Q281" s="36"/>
    </row>
    <row r="282" spans="1:17" ht="123" customHeight="1" x14ac:dyDescent="0.25">
      <c r="A282" s="34"/>
      <c r="B282" s="35"/>
      <c r="C282" s="36"/>
      <c r="Q282" s="36"/>
    </row>
    <row r="283" spans="1:17" ht="123" customHeight="1" x14ac:dyDescent="0.25">
      <c r="A283" s="34"/>
      <c r="B283" s="35"/>
      <c r="C283" s="36"/>
      <c r="Q283" s="36"/>
    </row>
    <row r="284" spans="1:17" ht="123" customHeight="1" x14ac:dyDescent="0.25">
      <c r="A284" s="34"/>
      <c r="B284" s="35"/>
      <c r="C284" s="36"/>
      <c r="Q284" s="36"/>
    </row>
    <row r="285" spans="1:17" ht="123" customHeight="1" x14ac:dyDescent="0.25">
      <c r="A285" s="34"/>
      <c r="B285" s="35"/>
      <c r="C285" s="36"/>
      <c r="Q285" s="36"/>
    </row>
    <row r="286" spans="1:17" ht="123" customHeight="1" x14ac:dyDescent="0.25">
      <c r="A286" s="34"/>
      <c r="B286" s="35"/>
      <c r="C286" s="36"/>
      <c r="Q286" s="36"/>
    </row>
    <row r="287" spans="1:17" ht="123" customHeight="1" x14ac:dyDescent="0.25">
      <c r="A287" s="34"/>
      <c r="B287" s="35"/>
      <c r="C287" s="36"/>
      <c r="Q287" s="36"/>
    </row>
    <row r="288" spans="1:17" ht="123" customHeight="1" x14ac:dyDescent="0.25">
      <c r="A288" s="34"/>
      <c r="B288" s="35"/>
      <c r="C288" s="36"/>
      <c r="Q288" s="36"/>
    </row>
    <row r="289" spans="1:17" ht="123" customHeight="1" x14ac:dyDescent="0.25">
      <c r="A289" s="34"/>
      <c r="B289" s="35"/>
      <c r="C289" s="36"/>
      <c r="Q289" s="36"/>
    </row>
    <row r="290" spans="1:17" ht="123" customHeight="1" x14ac:dyDescent="0.25">
      <c r="A290" s="34"/>
      <c r="B290" s="35"/>
      <c r="C290" s="36"/>
      <c r="Q290" s="36"/>
    </row>
    <row r="291" spans="1:17" ht="123" customHeight="1" x14ac:dyDescent="0.25">
      <c r="A291" s="34"/>
      <c r="B291" s="35"/>
      <c r="C291" s="36"/>
      <c r="Q291" s="36"/>
    </row>
    <row r="292" spans="1:17" ht="123" customHeight="1" x14ac:dyDescent="0.25">
      <c r="A292" s="34"/>
      <c r="B292" s="35"/>
      <c r="C292" s="36"/>
      <c r="Q292" s="36"/>
    </row>
    <row r="293" spans="1:17" ht="123" customHeight="1" x14ac:dyDescent="0.25">
      <c r="A293" s="34"/>
      <c r="B293" s="35"/>
      <c r="C293" s="36"/>
      <c r="Q293" s="36"/>
    </row>
    <row r="294" spans="1:17" ht="123" customHeight="1" x14ac:dyDescent="0.25">
      <c r="A294" s="34"/>
      <c r="B294" s="35"/>
      <c r="C294" s="36"/>
      <c r="Q294" s="36"/>
    </row>
    <row r="295" spans="1:17" ht="123" customHeight="1" x14ac:dyDescent="0.25">
      <c r="A295" s="34"/>
      <c r="B295" s="35"/>
      <c r="C295" s="36"/>
      <c r="Q295" s="36"/>
    </row>
    <row r="296" spans="1:17" ht="123" customHeight="1" x14ac:dyDescent="0.25">
      <c r="A296" s="34"/>
      <c r="B296" s="35"/>
      <c r="C296" s="36"/>
      <c r="Q296" s="36"/>
    </row>
    <row r="297" spans="1:17" ht="123" customHeight="1" x14ac:dyDescent="0.25">
      <c r="A297" s="34"/>
      <c r="B297" s="35"/>
      <c r="C297" s="36"/>
      <c r="Q297" s="36"/>
    </row>
    <row r="298" spans="1:17" ht="123" customHeight="1" x14ac:dyDescent="0.25">
      <c r="A298" s="34"/>
      <c r="B298" s="35"/>
      <c r="C298" s="36"/>
      <c r="Q298" s="36"/>
    </row>
    <row r="299" spans="1:17" ht="123" customHeight="1" x14ac:dyDescent="0.25">
      <c r="A299" s="34"/>
      <c r="B299" s="35"/>
      <c r="C299" s="36"/>
      <c r="Q299" s="36"/>
    </row>
    <row r="300" spans="1:17" ht="123" customHeight="1" x14ac:dyDescent="0.25">
      <c r="A300" s="34"/>
      <c r="B300" s="35"/>
      <c r="C300" s="36"/>
      <c r="Q300" s="36"/>
    </row>
  </sheetData>
  <sheetProtection formatCells="0" formatColumns="0" formatRows="0" insertColumns="0" insertRows="0" insertHyperlinks="0" deleteColumns="0" deleteRows="0" sort="0" autoFilter="0" pivotTables="0"/>
  <autoFilter ref="A4:S4" xr:uid="{00000000-0009-0000-0000-000000000000}">
    <sortState xmlns:xlrd2="http://schemas.microsoft.com/office/spreadsheetml/2017/richdata2" ref="A5:S11">
      <sortCondition ref="A4"/>
    </sortState>
  </autoFilter>
  <conditionalFormatting sqref="C5:C300">
    <cfRule type="dataBar" priority="3">
      <dataBar>
        <cfvo type="min"/>
        <cfvo type="num" val="500"/>
        <color theme="9" tint="0.39997558519241921"/>
      </dataBar>
      <extLst>
        <ext xmlns:x14="http://schemas.microsoft.com/office/spreadsheetml/2009/9/main" uri="{B025F937-C7B1-47D3-B67F-A62EFF666E3E}">
          <x14:id>{CCAB9563-10AB-4C49-9501-26FBFEDC0318}</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1">
              <controlPr defaultSize="0" print="0" disabled="1" autoFill="0" autoPict="0" macro="[0]!NovaCSingleFile">
                <anchor moveWithCells="1" sizeWithCells="1">
                  <from>
                    <xdr:col>9</xdr:col>
                    <xdr:colOff>9525</xdr:colOff>
                    <xdr:row>1</xdr:row>
                    <xdr:rowOff>0</xdr:rowOff>
                  </from>
                  <to>
                    <xdr:col>10</xdr:col>
                    <xdr:colOff>0</xdr:colOff>
                    <xdr:row>2</xdr:row>
                    <xdr:rowOff>9525</xdr:rowOff>
                  </to>
                </anchor>
              </controlPr>
            </control>
          </mc:Choice>
        </mc:AlternateContent>
        <mc:AlternateContent xmlns:mc="http://schemas.openxmlformats.org/markup-compatibility/2006">
          <mc:Choice Requires="x14">
            <control shapeId="1033" r:id="rId5" name="CheckBox1">
              <controlPr defaultSize="0" autoFill="0" autoLine="0" autoPict="0">
                <anchor moveWithCells="1">
                  <from>
                    <xdr:col>12</xdr:col>
                    <xdr:colOff>38100</xdr:colOff>
                    <xdr:row>4</xdr:row>
                    <xdr:rowOff>666750</xdr:rowOff>
                  </from>
                  <to>
                    <xdr:col>12</xdr:col>
                    <xdr:colOff>247650</xdr:colOff>
                    <xdr:row>4</xdr:row>
                    <xdr:rowOff>885825</xdr:rowOff>
                  </to>
                </anchor>
              </controlPr>
            </control>
          </mc:Choice>
        </mc:AlternateContent>
        <mc:AlternateContent xmlns:mc="http://schemas.openxmlformats.org/markup-compatibility/2006">
          <mc:Choice Requires="x14">
            <control shapeId="1034" r:id="rId6" name="CheckBox2">
              <controlPr defaultSize="0" autoFill="0" autoLine="0" autoPict="0">
                <anchor moveWithCells="1">
                  <from>
                    <xdr:col>12</xdr:col>
                    <xdr:colOff>38100</xdr:colOff>
                    <xdr:row>5</xdr:row>
                    <xdr:rowOff>666750</xdr:rowOff>
                  </from>
                  <to>
                    <xdr:col>12</xdr:col>
                    <xdr:colOff>247650</xdr:colOff>
                    <xdr:row>5</xdr:row>
                    <xdr:rowOff>885825</xdr:rowOff>
                  </to>
                </anchor>
              </controlPr>
            </control>
          </mc:Choice>
        </mc:AlternateContent>
        <mc:AlternateContent xmlns:mc="http://schemas.openxmlformats.org/markup-compatibility/2006">
          <mc:Choice Requires="x14">
            <control shapeId="1035" r:id="rId7" name="CheckBox3">
              <controlPr defaultSize="0" autoFill="0" autoLine="0" autoPict="0">
                <anchor moveWithCells="1">
                  <from>
                    <xdr:col>12</xdr:col>
                    <xdr:colOff>38100</xdr:colOff>
                    <xdr:row>6</xdr:row>
                    <xdr:rowOff>666750</xdr:rowOff>
                  </from>
                  <to>
                    <xdr:col>12</xdr:col>
                    <xdr:colOff>247650</xdr:colOff>
                    <xdr:row>6</xdr:row>
                    <xdr:rowOff>885825</xdr:rowOff>
                  </to>
                </anchor>
              </controlPr>
            </control>
          </mc:Choice>
        </mc:AlternateContent>
        <mc:AlternateContent xmlns:mc="http://schemas.openxmlformats.org/markup-compatibility/2006">
          <mc:Choice Requires="x14">
            <control shapeId="1036" r:id="rId8" name="CheckBox4">
              <controlPr defaultSize="0" autoFill="0" autoLine="0" autoPict="0">
                <anchor moveWithCells="1">
                  <from>
                    <xdr:col>12</xdr:col>
                    <xdr:colOff>38100</xdr:colOff>
                    <xdr:row>7</xdr:row>
                    <xdr:rowOff>666750</xdr:rowOff>
                  </from>
                  <to>
                    <xdr:col>12</xdr:col>
                    <xdr:colOff>247650</xdr:colOff>
                    <xdr:row>7</xdr:row>
                    <xdr:rowOff>885825</xdr:rowOff>
                  </to>
                </anchor>
              </controlPr>
            </control>
          </mc:Choice>
        </mc:AlternateContent>
        <mc:AlternateContent xmlns:mc="http://schemas.openxmlformats.org/markup-compatibility/2006">
          <mc:Choice Requires="x14">
            <control shapeId="1037" r:id="rId9" name="CheckBox5">
              <controlPr defaultSize="0" autoFill="0" autoLine="0" autoPict="0">
                <anchor moveWithCells="1">
                  <from>
                    <xdr:col>12</xdr:col>
                    <xdr:colOff>38100</xdr:colOff>
                    <xdr:row>8</xdr:row>
                    <xdr:rowOff>666750</xdr:rowOff>
                  </from>
                  <to>
                    <xdr:col>12</xdr:col>
                    <xdr:colOff>247650</xdr:colOff>
                    <xdr:row>8</xdr:row>
                    <xdr:rowOff>885825</xdr:rowOff>
                  </to>
                </anchor>
              </controlPr>
            </control>
          </mc:Choice>
        </mc:AlternateContent>
        <mc:AlternateContent xmlns:mc="http://schemas.openxmlformats.org/markup-compatibility/2006">
          <mc:Choice Requires="x14">
            <control shapeId="1038" r:id="rId10" name="CheckBox6">
              <controlPr defaultSize="0" autoFill="0" autoLine="0" autoPict="0">
                <anchor moveWithCells="1">
                  <from>
                    <xdr:col>12</xdr:col>
                    <xdr:colOff>38100</xdr:colOff>
                    <xdr:row>9</xdr:row>
                    <xdr:rowOff>666750</xdr:rowOff>
                  </from>
                  <to>
                    <xdr:col>12</xdr:col>
                    <xdr:colOff>247650</xdr:colOff>
                    <xdr:row>9</xdr:row>
                    <xdr:rowOff>885825</xdr:rowOff>
                  </to>
                </anchor>
              </controlPr>
            </control>
          </mc:Choice>
        </mc:AlternateContent>
        <mc:AlternateContent xmlns:mc="http://schemas.openxmlformats.org/markup-compatibility/2006">
          <mc:Choice Requires="x14">
            <control shapeId="1039" r:id="rId11" name="CheckBox7">
              <controlPr defaultSize="0" autoFill="0" autoLine="0" autoPict="0">
                <anchor moveWithCells="1">
                  <from>
                    <xdr:col>12</xdr:col>
                    <xdr:colOff>38100</xdr:colOff>
                    <xdr:row>10</xdr:row>
                    <xdr:rowOff>666750</xdr:rowOff>
                  </from>
                  <to>
                    <xdr:col>12</xdr:col>
                    <xdr:colOff>247650</xdr:colOff>
                    <xdr:row>10</xdr:row>
                    <xdr:rowOff>885825</xdr:rowOff>
                  </to>
                </anchor>
              </controlPr>
            </control>
          </mc:Choice>
        </mc:AlternateContent>
        <mc:AlternateContent xmlns:mc="http://schemas.openxmlformats.org/markup-compatibility/2006">
          <mc:Choice Requires="x14">
            <control shapeId="1134" r:id="rId12" name="Button 110">
              <controlPr defaultSize="0" print="0" autoFill="0" autoPict="0" macro="[0]!Uncheckall">
                <anchor moveWithCells="1" sizeWithCells="1">
                  <from>
                    <xdr:col>12</xdr:col>
                    <xdr:colOff>19050</xdr:colOff>
                    <xdr:row>2</xdr:row>
                    <xdr:rowOff>9525</xdr:rowOff>
                  </from>
                  <to>
                    <xdr:col>13</xdr:col>
                    <xdr:colOff>647700</xdr:colOff>
                    <xdr:row>3</xdr:row>
                    <xdr:rowOff>0</xdr:rowOff>
                  </to>
                </anchor>
              </controlPr>
            </control>
          </mc:Choice>
        </mc:AlternateContent>
        <mc:AlternateContent xmlns:mc="http://schemas.openxmlformats.org/markup-compatibility/2006">
          <mc:Choice Requires="x14">
            <control shapeId="1135" r:id="rId13" name="Button 111">
              <controlPr defaultSize="0" print="0" autoFill="0" autoPict="0" macro="[0]!Checkall">
                <anchor moveWithCells="1" sizeWithCells="1">
                  <from>
                    <xdr:col>12</xdr:col>
                    <xdr:colOff>19050</xdr:colOff>
                    <xdr:row>1</xdr:row>
                    <xdr:rowOff>9525</xdr:rowOff>
                  </from>
                  <to>
                    <xdr:col>13</xdr:col>
                    <xdr:colOff>647700</xdr:colOff>
                    <xdr:row>2</xdr:row>
                    <xdr:rowOff>0</xdr:rowOff>
                  </to>
                </anchor>
              </controlPr>
            </control>
          </mc:Choice>
        </mc:AlternateContent>
        <mc:AlternateContent xmlns:mc="http://schemas.openxmlformats.org/markup-compatibility/2006">
          <mc:Choice Requires="x14">
            <control shapeId="1136" r:id="rId14" name="Button 112">
              <controlPr defaultSize="0" print="0" autoFill="0" autoPict="0" macro="[0]!HideChecked">
                <anchor moveWithCells="1" sizeWithCells="1">
                  <from>
                    <xdr:col>13</xdr:col>
                    <xdr:colOff>666750</xdr:colOff>
                    <xdr:row>1</xdr:row>
                    <xdr:rowOff>0</xdr:rowOff>
                  </from>
                  <to>
                    <xdr:col>13</xdr:col>
                    <xdr:colOff>1714500</xdr:colOff>
                    <xdr:row>2</xdr:row>
                    <xdr:rowOff>0</xdr:rowOff>
                  </to>
                </anchor>
              </controlPr>
            </control>
          </mc:Choice>
        </mc:AlternateContent>
        <mc:AlternateContent xmlns:mc="http://schemas.openxmlformats.org/markup-compatibility/2006">
          <mc:Choice Requires="x14">
            <control shapeId="1137" r:id="rId15" name="Button 113">
              <controlPr defaultSize="0" print="0" autoFill="0" autoPict="0" macro="[0]!UnhideAll">
                <anchor moveWithCells="1" sizeWithCells="1">
                  <from>
                    <xdr:col>13</xdr:col>
                    <xdr:colOff>1724025</xdr:colOff>
                    <xdr:row>1</xdr:row>
                    <xdr:rowOff>9525</xdr:rowOff>
                  </from>
                  <to>
                    <xdr:col>14</xdr:col>
                    <xdr:colOff>57150</xdr:colOff>
                    <xdr:row>3</xdr:row>
                    <xdr:rowOff>0</xdr:rowOff>
                  </to>
                </anchor>
              </controlPr>
            </control>
          </mc:Choice>
        </mc:AlternateContent>
        <mc:AlternateContent xmlns:mc="http://schemas.openxmlformats.org/markup-compatibility/2006">
          <mc:Choice Requires="x14">
            <control shapeId="1138" r:id="rId16" name="Button 114">
              <controlPr defaultSize="0" print="0" autoFill="0" autoPict="0" macro="[0]!Recalculate_Peaks">
                <anchor moveWithCells="1" sizeWithCells="1">
                  <from>
                    <xdr:col>5</xdr:col>
                    <xdr:colOff>19050</xdr:colOff>
                    <xdr:row>2</xdr:row>
                    <xdr:rowOff>0</xdr:rowOff>
                  </from>
                  <to>
                    <xdr:col>5</xdr:col>
                    <xdr:colOff>952500</xdr:colOff>
                    <xdr:row>2</xdr:row>
                    <xdr:rowOff>219075</xdr:rowOff>
                  </to>
                </anchor>
              </controlPr>
            </control>
          </mc:Choice>
        </mc:AlternateContent>
        <mc:AlternateContent xmlns:mc="http://schemas.openxmlformats.org/markup-compatibility/2006">
          <mc:Choice Requires="x14">
            <control shapeId="1139" r:id="rId17" name="Button 115">
              <controlPr defaultSize="0" print="0" autoFill="0" autoPict="0" macro="[0]!Cumulative_Area">
                <anchor moveWithCells="1" sizeWithCells="1">
                  <from>
                    <xdr:col>4</xdr:col>
                    <xdr:colOff>9525</xdr:colOff>
                    <xdr:row>2</xdr:row>
                    <xdr:rowOff>9525</xdr:rowOff>
                  </from>
                  <to>
                    <xdr:col>4</xdr:col>
                    <xdr:colOff>942975</xdr:colOff>
                    <xdr:row>2</xdr:row>
                    <xdr:rowOff>219075</xdr:rowOff>
                  </to>
                </anchor>
              </controlPr>
            </control>
          </mc:Choice>
        </mc:AlternateContent>
        <mc:AlternateContent xmlns:mc="http://schemas.openxmlformats.org/markup-compatibility/2006">
          <mc:Choice Requires="x14">
            <control shapeId="1142" r:id="rId18" name="Button 118">
              <controlPr defaultSize="0" print="0" autoFill="0" autoPict="0" macro="[0]!HideUV">
                <anchor moveWithCells="1" sizeWithCells="1">
                  <from>
                    <xdr:col>14</xdr:col>
                    <xdr:colOff>66675</xdr:colOff>
                    <xdr:row>1</xdr:row>
                    <xdr:rowOff>9525</xdr:rowOff>
                  </from>
                  <to>
                    <xdr:col>14</xdr:col>
                    <xdr:colOff>962025</xdr:colOff>
                    <xdr:row>2</xdr:row>
                    <xdr:rowOff>9525</xdr:rowOff>
                  </to>
                </anchor>
              </controlPr>
            </control>
          </mc:Choice>
        </mc:AlternateContent>
        <mc:AlternateContent xmlns:mc="http://schemas.openxmlformats.org/markup-compatibility/2006">
          <mc:Choice Requires="x14">
            <control shapeId="1143" r:id="rId19" name="Button 119">
              <controlPr defaultSize="0" print="0" autoFill="0" autoPict="0" macro="[0]!UnhideUV">
                <anchor moveWithCells="1" sizeWithCells="1">
                  <from>
                    <xdr:col>14</xdr:col>
                    <xdr:colOff>66675</xdr:colOff>
                    <xdr:row>2</xdr:row>
                    <xdr:rowOff>9525</xdr:rowOff>
                  </from>
                  <to>
                    <xdr:col>14</xdr:col>
                    <xdr:colOff>962025</xdr:colOff>
                    <xdr:row>3</xdr:row>
                    <xdr:rowOff>0</xdr:rowOff>
                  </to>
                </anchor>
              </controlPr>
            </control>
          </mc:Choice>
        </mc:AlternateContent>
        <mc:AlternateContent xmlns:mc="http://schemas.openxmlformats.org/markup-compatibility/2006">
          <mc:Choice Requires="x14">
            <control shapeId="1146" r:id="rId20" name="Button 122">
              <controlPr defaultSize="0" print="0" autoFill="0" autoPict="0" macro="[0]!Lock_Click">
                <anchor moveWithCells="1" sizeWithCells="1">
                  <from>
                    <xdr:col>9</xdr:col>
                    <xdr:colOff>9525</xdr:colOff>
                    <xdr:row>1</xdr:row>
                    <xdr:rowOff>0</xdr:rowOff>
                  </from>
                  <to>
                    <xdr:col>9</xdr:col>
                    <xdr:colOff>1114425</xdr:colOff>
                    <xdr:row>2</xdr:row>
                    <xdr:rowOff>9525</xdr:rowOff>
                  </to>
                </anchor>
              </controlPr>
            </control>
          </mc:Choice>
        </mc:AlternateContent>
        <mc:AlternateContent xmlns:mc="http://schemas.openxmlformats.org/markup-compatibility/2006">
          <mc:Choice Requires="x14">
            <control shapeId="1148" r:id="rId21" name="Button 124">
              <controlPr defaultSize="0" print="0" autoFill="0" autoPict="0" macro="[0]!UVSearchAll">
                <anchor moveWithCells="1" sizeWithCells="1">
                  <from>
                    <xdr:col>11</xdr:col>
                    <xdr:colOff>981075</xdr:colOff>
                    <xdr:row>2</xdr:row>
                    <xdr:rowOff>9525</xdr:rowOff>
                  </from>
                  <to>
                    <xdr:col>12</xdr:col>
                    <xdr:colOff>0</xdr:colOff>
                    <xdr:row>3</xdr:row>
                    <xdr:rowOff>0</xdr:rowOff>
                  </to>
                </anchor>
              </controlPr>
            </control>
          </mc:Choice>
        </mc:AlternateContent>
        <mc:AlternateContent xmlns:mc="http://schemas.openxmlformats.org/markup-compatibility/2006">
          <mc:Choice Requires="x14">
            <control shapeId="1149" r:id="rId22" name="Option Button 125">
              <controlPr defaultSize="0" autoFill="0" autoLine="0" autoPict="0">
                <anchor moveWithCells="1">
                  <from>
                    <xdr:col>8</xdr:col>
                    <xdr:colOff>95250</xdr:colOff>
                    <xdr:row>1</xdr:row>
                    <xdr:rowOff>9525</xdr:rowOff>
                  </from>
                  <to>
                    <xdr:col>8</xdr:col>
                    <xdr:colOff>533400</xdr:colOff>
                    <xdr:row>2</xdr:row>
                    <xdr:rowOff>0</xdr:rowOff>
                  </to>
                </anchor>
              </controlPr>
            </control>
          </mc:Choice>
        </mc:AlternateContent>
        <mc:AlternateContent xmlns:mc="http://schemas.openxmlformats.org/markup-compatibility/2006">
          <mc:Choice Requires="x14">
            <control shapeId="1150" r:id="rId23" name="Option Button 126">
              <controlPr defaultSize="0" autoFill="0" autoLine="0" autoPict="0">
                <anchor moveWithCells="1">
                  <from>
                    <xdr:col>8</xdr:col>
                    <xdr:colOff>619125</xdr:colOff>
                    <xdr:row>1</xdr:row>
                    <xdr:rowOff>9525</xdr:rowOff>
                  </from>
                  <to>
                    <xdr:col>8</xdr:col>
                    <xdr:colOff>1057275</xdr:colOff>
                    <xdr:row>1</xdr:row>
                    <xdr:rowOff>228600</xdr:rowOff>
                  </to>
                </anchor>
              </controlPr>
            </control>
          </mc:Choice>
        </mc:AlternateContent>
        <mc:AlternateContent xmlns:mc="http://schemas.openxmlformats.org/markup-compatibility/2006">
          <mc:Choice Requires="x14">
            <control shapeId="1151" r:id="rId24" name="Button 127">
              <controlPr defaultSize="0" print="0" disabled="1" autoFill="0" autoPict="0" macro="[0]!NovaCBatch">
                <anchor moveWithCells="1" sizeWithCells="1">
                  <from>
                    <xdr:col>10</xdr:col>
                    <xdr:colOff>0</xdr:colOff>
                    <xdr:row>1</xdr:row>
                    <xdr:rowOff>0</xdr:rowOff>
                  </from>
                  <to>
                    <xdr:col>11</xdr:col>
                    <xdr:colOff>0</xdr:colOff>
                    <xdr:row>2</xdr:row>
                    <xdr:rowOff>9525</xdr:rowOff>
                  </to>
                </anchor>
              </controlPr>
            </control>
          </mc:Choice>
        </mc:AlternateContent>
        <mc:AlternateContent xmlns:mc="http://schemas.openxmlformats.org/markup-compatibility/2006">
          <mc:Choice Requires="x14">
            <control shapeId="1152" r:id="rId25" name="Button 128">
              <controlPr defaultSize="0" print="0" autoFill="0" autoPict="0" macro="[0]!HideUnchecked">
                <anchor moveWithCells="1" sizeWithCells="1">
                  <from>
                    <xdr:col>13</xdr:col>
                    <xdr:colOff>657225</xdr:colOff>
                    <xdr:row>2</xdr:row>
                    <xdr:rowOff>9525</xdr:rowOff>
                  </from>
                  <to>
                    <xdr:col>13</xdr:col>
                    <xdr:colOff>1714500</xdr:colOff>
                    <xdr:row>3</xdr:row>
                    <xdr:rowOff>0</xdr:rowOff>
                  </to>
                </anchor>
              </controlPr>
            </control>
          </mc:Choice>
        </mc:AlternateContent>
        <mc:AlternateContent xmlns:mc="http://schemas.openxmlformats.org/markup-compatibility/2006">
          <mc:Choice Requires="x14">
            <control shapeId="1153" r:id="rId26" name="Button 129">
              <controlPr defaultSize="0" print="0" autoFill="0" autoPict="0" macro="[0]!MassSearch">
                <anchor moveWithCells="1" sizeWithCells="1">
                  <from>
                    <xdr:col>11</xdr:col>
                    <xdr:colOff>981075</xdr:colOff>
                    <xdr:row>1</xdr:row>
                    <xdr:rowOff>9525</xdr:rowOff>
                  </from>
                  <to>
                    <xdr:col>12</xdr:col>
                    <xdr:colOff>0</xdr:colOff>
                    <xdr:row>2</xdr:row>
                    <xdr:rowOff>0</xdr:rowOff>
                  </to>
                </anchor>
              </controlPr>
            </control>
          </mc:Choice>
        </mc:AlternateContent>
        <mc:AlternateContent xmlns:mc="http://schemas.openxmlformats.org/markup-compatibility/2006">
          <mc:Choice Requires="x14">
            <control shapeId="1154" r:id="rId27" name="Button 130">
              <controlPr defaultSize="0" print="0" autoFill="0" autoPict="0" macro="[0]!CopyTable_Click">
                <anchor moveWithCells="1" sizeWithCells="1">
                  <from>
                    <xdr:col>10</xdr:col>
                    <xdr:colOff>9525</xdr:colOff>
                    <xdr:row>1</xdr:row>
                    <xdr:rowOff>0</xdr:rowOff>
                  </from>
                  <to>
                    <xdr:col>10</xdr:col>
                    <xdr:colOff>1114425</xdr:colOff>
                    <xdr:row>2</xdr:row>
                    <xdr:rowOff>9525</xdr:rowOff>
                  </to>
                </anchor>
              </controlPr>
            </control>
          </mc:Choice>
        </mc:AlternateContent>
        <mc:AlternateContent xmlns:mc="http://schemas.openxmlformats.org/markup-compatibility/2006">
          <mc:Choice Requires="x14">
            <control shapeId="1155" r:id="rId28" name="Button 131">
              <controlPr defaultSize="0" print="0" autoFill="0" autoPict="0" macro="[0]!ClearPeakIds">
                <anchor moveWithCells="1" sizeWithCells="1">
                  <from>
                    <xdr:col>11</xdr:col>
                    <xdr:colOff>9525</xdr:colOff>
                    <xdr:row>2</xdr:row>
                    <xdr:rowOff>9525</xdr:rowOff>
                  </from>
                  <to>
                    <xdr:col>11</xdr:col>
                    <xdr:colOff>971550</xdr:colOff>
                    <xdr:row>3</xdr:row>
                    <xdr:rowOff>0</xdr:rowOff>
                  </to>
                </anchor>
              </controlPr>
            </control>
          </mc:Choice>
        </mc:AlternateContent>
        <mc:AlternateContent xmlns:mc="http://schemas.openxmlformats.org/markup-compatibility/2006">
          <mc:Choice Requires="x14">
            <control shapeId="1156" r:id="rId29" name="Button 132">
              <controlPr defaultSize="0" print="0" autoFill="0" autoPict="0" macro="[0]!AutoUVClass">
                <anchor moveWithCells="1" sizeWithCells="1">
                  <from>
                    <xdr:col>11</xdr:col>
                    <xdr:colOff>9525</xdr:colOff>
                    <xdr:row>1</xdr:row>
                    <xdr:rowOff>9525</xdr:rowOff>
                  </from>
                  <to>
                    <xdr:col>11</xdr:col>
                    <xdr:colOff>971550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AB9563-10AB-4C49-9501-26FBFEDC0318}">
            <x14:dataBar minLength="0" maxLength="100" gradient="0">
              <x14:cfvo type="autoMin"/>
              <x14:cfvo type="num">
                <xm:f>500</xm:f>
              </x14:cfvo>
              <x14:negativeFillColor rgb="FFFF0000"/>
              <x14:axisColor rgb="FF000000"/>
            </x14:dataBar>
          </x14:cfRule>
          <xm:sqref>C5:C300</xm:sqref>
        </x14:conditionalFormatting>
        <x14:conditionalFormatting xmlns:xm="http://schemas.microsoft.com/office/excel/2006/main">
          <x14:cfRule type="cellIs" priority="1" operator="greaterThan" id="{337D6A85-7DC0-4A07-A82D-044471C809F8}">
            <xm:f>Summary!$A$14</xm:f>
            <x14:dxf>
              <fill>
                <patternFill>
                  <bgColor theme="4" tint="0.39994506668294322"/>
                </patternFill>
              </fill>
            </x14:dxf>
          </x14:cfRule>
          <x14:cfRule type="cellIs" priority="2" operator="between" id="{C4C5A8EB-6E3E-4F3D-BAD0-68F493139E29}">
            <xm:f>0.00001</xm:f>
            <xm:f>Summary!$A$10</xm:f>
            <x14:dxf>
              <fill>
                <patternFill>
                  <bgColor rgb="FFFF8989"/>
                </patternFill>
              </fill>
            </x14:dxf>
          </x14:cfRule>
          <xm:sqref>J5:J104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35"/>
  <sheetViews>
    <sheetView workbookViewId="0"/>
  </sheetViews>
  <sheetFormatPr defaultColWidth="9.140625" defaultRowHeight="15" x14ac:dyDescent="0.25"/>
  <cols>
    <col min="1" max="2" width="9.140625" style="63"/>
    <col min="3" max="3" width="32.85546875" style="63" customWidth="1"/>
    <col min="4" max="5" width="11" style="63" customWidth="1"/>
    <col min="6" max="6" width="9.140625" style="63"/>
    <col min="7" max="7" width="28.140625" style="63" customWidth="1"/>
    <col min="8" max="8" width="22.5703125" style="63" customWidth="1"/>
    <col min="9" max="9" width="13.5703125" style="63" customWidth="1"/>
    <col min="10" max="10" width="9.28515625" style="63" customWidth="1"/>
    <col min="11" max="11" width="19.5703125" style="63" customWidth="1"/>
    <col min="12" max="12" width="9.42578125" style="63" customWidth="1"/>
    <col min="13" max="13" width="21.7109375" style="63" customWidth="1"/>
    <col min="14" max="14" width="45.85546875" style="63" customWidth="1"/>
    <col min="15" max="16" width="9.28515625" style="63" customWidth="1"/>
    <col min="17" max="16384" width="9.140625" style="63"/>
  </cols>
  <sheetData>
    <row r="1" spans="1:14" ht="15.75" x14ac:dyDescent="0.25">
      <c r="D1" s="64" t="s">
        <v>18</v>
      </c>
      <c r="E1" s="64" t="s">
        <v>19</v>
      </c>
      <c r="H1" s="64" t="s">
        <v>18</v>
      </c>
      <c r="I1" s="64" t="s">
        <v>19</v>
      </c>
      <c r="L1" s="64" t="s">
        <v>18</v>
      </c>
      <c r="M1" s="64" t="s">
        <v>19</v>
      </c>
      <c r="N1" s="65" t="s">
        <v>64</v>
      </c>
    </row>
    <row r="2" spans="1:14" x14ac:dyDescent="0.25">
      <c r="A2" s="66" t="s">
        <v>20</v>
      </c>
      <c r="C2" s="67" t="s">
        <v>16</v>
      </c>
      <c r="D2" s="68">
        <v>7</v>
      </c>
      <c r="E2" s="69"/>
      <c r="G2" s="67" t="s">
        <v>17</v>
      </c>
      <c r="H2" s="70">
        <v>388.72515869140625</v>
      </c>
      <c r="I2" s="69"/>
      <c r="K2" s="71" t="s">
        <v>91</v>
      </c>
      <c r="L2" s="72">
        <f>COUNTIF(Peaks!$L$5:$L$104,"*" &amp; K2 &amp; "*")</f>
        <v>0</v>
      </c>
      <c r="M2" s="73">
        <f>L2/$D$2</f>
        <v>0</v>
      </c>
      <c r="N2" s="68"/>
    </row>
    <row r="3" spans="1:14" x14ac:dyDescent="0.25">
      <c r="K3" s="71" t="s">
        <v>43</v>
      </c>
      <c r="L3" s="72">
        <f>COUNTIF(Peaks!$L$5:$L$104,"*" &amp; K3 &amp; "*")</f>
        <v>0</v>
      </c>
      <c r="M3" s="73">
        <f t="shared" ref="M3:M9" si="0">L3/$D$2</f>
        <v>0</v>
      </c>
      <c r="N3" s="68"/>
    </row>
    <row r="4" spans="1:14" x14ac:dyDescent="0.25">
      <c r="A4" s="82">
        <v>90</v>
      </c>
      <c r="C4" s="67" t="str">
        <f>CONCATENATE("Peaks - ",A4,"% cumulative")</f>
        <v>Peaks - 90% cumulative</v>
      </c>
      <c r="D4" s="68">
        <v>4</v>
      </c>
      <c r="E4" s="74">
        <f>D4/$D$2</f>
        <v>0.5714285714285714</v>
      </c>
      <c r="G4" s="67" t="str">
        <f>CONCATENATE("Area - ",A4,"% cumulative")</f>
        <v>Area - 90% cumulative</v>
      </c>
      <c r="H4" s="70">
        <v>347.138671875</v>
      </c>
      <c r="I4" s="69"/>
      <c r="K4" s="71" t="s">
        <v>28</v>
      </c>
      <c r="L4" s="72">
        <f>COUNTIF(Peaks!$L$5:$L$104,"*" &amp; K4 &amp; "*")</f>
        <v>0</v>
      </c>
      <c r="M4" s="73">
        <f t="shared" si="0"/>
        <v>0</v>
      </c>
      <c r="N4" s="68"/>
    </row>
    <row r="5" spans="1:14" x14ac:dyDescent="0.25">
      <c r="A5" s="75"/>
      <c r="I5" s="76"/>
      <c r="K5" s="71" t="s">
        <v>49</v>
      </c>
      <c r="L5" s="72">
        <f>COUNTIF(Peaks!$L$5:$L$104,"*" &amp; K5 &amp; "*")</f>
        <v>0</v>
      </c>
      <c r="M5" s="73">
        <f t="shared" si="0"/>
        <v>0</v>
      </c>
      <c r="N5" s="68"/>
    </row>
    <row r="6" spans="1:14" x14ac:dyDescent="0.25">
      <c r="A6" s="82">
        <v>95</v>
      </c>
      <c r="C6" s="67" t="str">
        <f>CONCATENATE("Peaks - ",A6,"% cumulative")</f>
        <v>Peaks - 95% cumulative</v>
      </c>
      <c r="D6" s="68">
        <v>5</v>
      </c>
      <c r="E6" s="74">
        <f>D6/$D$2</f>
        <v>0.7142857142857143</v>
      </c>
      <c r="G6" s="67" t="str">
        <f>CONCATENATE("Area - ",A6,"% cumulative")</f>
        <v>Area - 95% cumulative</v>
      </c>
      <c r="H6" s="70">
        <v>368.24053955078125</v>
      </c>
      <c r="I6" s="69"/>
      <c r="K6" s="71" t="s">
        <v>50</v>
      </c>
      <c r="L6" s="72">
        <f>COUNTIF(Peaks!$L$5:$L$104,"*" &amp; K6 &amp; "*")</f>
        <v>0</v>
      </c>
      <c r="M6" s="73">
        <f t="shared" si="0"/>
        <v>0</v>
      </c>
      <c r="N6" s="68"/>
    </row>
    <row r="7" spans="1:14" x14ac:dyDescent="0.25">
      <c r="A7" s="75"/>
      <c r="I7" s="76"/>
      <c r="K7" s="71" t="s">
        <v>51</v>
      </c>
      <c r="L7" s="72">
        <f>COUNTIF(Peaks!$L$5:$L$104,"*" &amp; K7 &amp; "*")</f>
        <v>0</v>
      </c>
      <c r="M7" s="73">
        <f t="shared" si="0"/>
        <v>0</v>
      </c>
      <c r="N7" s="68"/>
    </row>
    <row r="8" spans="1:14" x14ac:dyDescent="0.25">
      <c r="A8" s="82">
        <v>99</v>
      </c>
      <c r="C8" s="67" t="str">
        <f>CONCATENATE("Peaks - ",A8,"% cumulative")</f>
        <v>Peaks - 99% cumulative</v>
      </c>
      <c r="D8" s="68">
        <v>6</v>
      </c>
      <c r="E8" s="74">
        <f>D8/$D$2</f>
        <v>0.8571428571428571</v>
      </c>
      <c r="G8" s="67" t="str">
        <f>CONCATENATE("Area - ",A8,"% cumulative")</f>
        <v>Area - 99% cumulative</v>
      </c>
      <c r="H8" s="70">
        <v>379.05661010742188</v>
      </c>
      <c r="I8" s="69"/>
      <c r="K8" s="71" t="s">
        <v>52</v>
      </c>
      <c r="L8" s="72">
        <f>COUNTIF(Peaks!$L$5:$L$104,"*" &amp; K8 &amp; "*")</f>
        <v>0</v>
      </c>
      <c r="M8" s="73">
        <f t="shared" si="0"/>
        <v>0</v>
      </c>
      <c r="N8" s="68"/>
    </row>
    <row r="9" spans="1:14" x14ac:dyDescent="0.25">
      <c r="A9" s="75"/>
      <c r="K9" s="71" t="s">
        <v>53</v>
      </c>
      <c r="L9" s="72">
        <f>COUNTIF(Peaks!$L$5:$L$104,"*" &amp; K9 &amp; "*")</f>
        <v>0</v>
      </c>
      <c r="M9" s="73">
        <f t="shared" si="0"/>
        <v>0</v>
      </c>
      <c r="N9" s="68"/>
    </row>
    <row r="10" spans="1:14" x14ac:dyDescent="0.25">
      <c r="A10" s="82">
        <v>2</v>
      </c>
      <c r="C10" s="67" t="str">
        <f>CONCATENATE("Peaks - acidic (Ratio &lt; ",A10,")")</f>
        <v>Peaks - acidic (Ratio &lt; 2)</v>
      </c>
      <c r="D10" s="68">
        <v>7</v>
      </c>
      <c r="E10" s="74">
        <f>D10/$D$2</f>
        <v>1</v>
      </c>
      <c r="G10" s="67" t="str">
        <f>CONCATENATE("Area - acidic (Ratio &lt; ",A10,")")</f>
        <v>Area - acidic (Ratio &lt; 2)</v>
      </c>
      <c r="H10" s="70">
        <v>388.72515869140625</v>
      </c>
      <c r="I10" s="74">
        <f>H10/$H$2</f>
        <v>1</v>
      </c>
      <c r="K10" s="71" t="s">
        <v>54</v>
      </c>
      <c r="L10" s="72">
        <f>COUNTIF(Peaks!$L$5:$L$104,"*" &amp; K10 &amp; "*")</f>
        <v>0</v>
      </c>
      <c r="M10" s="73">
        <f>L10/$D$2</f>
        <v>0</v>
      </c>
      <c r="N10" s="68"/>
    </row>
    <row r="11" spans="1:14" x14ac:dyDescent="0.25">
      <c r="A11" s="75"/>
      <c r="K11" s="71" t="s">
        <v>55</v>
      </c>
      <c r="L11" s="72">
        <f>COUNTIF(Peaks!$L$5:$L$104,"*" &amp; K11 &amp; "*")</f>
        <v>0</v>
      </c>
      <c r="M11" s="73">
        <f t="shared" ref="M11:M17" si="1">L11/$D$2</f>
        <v>0</v>
      </c>
      <c r="N11" s="68"/>
    </row>
    <row r="12" spans="1:14" x14ac:dyDescent="0.25">
      <c r="A12" s="77"/>
      <c r="C12" s="67" t="str">
        <f>CONCATENATE("Peaks - neutral (Ratio ",A10," - ",A14,")")</f>
        <v>Peaks - neutral (Ratio 2 - 50)</v>
      </c>
      <c r="D12" s="68">
        <v>0</v>
      </c>
      <c r="E12" s="74">
        <f>D12/$D$2</f>
        <v>0</v>
      </c>
      <c r="G12" s="67" t="str">
        <f>CONCATENATE("Area - neutral (Ratio ",A10," - ",A14,")")</f>
        <v>Area - neutral (Ratio 2 - 50)</v>
      </c>
      <c r="H12" s="70">
        <v>0</v>
      </c>
      <c r="I12" s="74">
        <f>H12/$H$2</f>
        <v>0</v>
      </c>
      <c r="K12" s="71" t="s">
        <v>56</v>
      </c>
      <c r="L12" s="72">
        <f>COUNTIF(Peaks!$L$5:$L$104,"*" &amp; K12 &amp; "*")</f>
        <v>0</v>
      </c>
      <c r="M12" s="73">
        <f t="shared" si="1"/>
        <v>0</v>
      </c>
      <c r="N12" s="68"/>
    </row>
    <row r="13" spans="1:14" x14ac:dyDescent="0.25">
      <c r="A13" s="75"/>
      <c r="K13" s="71" t="s">
        <v>57</v>
      </c>
      <c r="L13" s="72">
        <f>COUNTIF(Peaks!$L$5:$L$104,"*" &amp; K13 &amp; "*")</f>
        <v>0</v>
      </c>
      <c r="M13" s="73">
        <f t="shared" si="1"/>
        <v>0</v>
      </c>
      <c r="N13" s="68"/>
    </row>
    <row r="14" spans="1:14" x14ac:dyDescent="0.25">
      <c r="A14" s="82">
        <v>50</v>
      </c>
      <c r="C14" s="67" t="str">
        <f>CONCATENATE("Peaks - basic (Ratio &gt; ",A14,")")</f>
        <v>Peaks - basic (Ratio &gt; 50)</v>
      </c>
      <c r="D14" s="68">
        <v>0</v>
      </c>
      <c r="E14" s="74">
        <f>D14/$D$2</f>
        <v>0</v>
      </c>
      <c r="G14" s="67" t="str">
        <f>CONCATENATE("Area - basic (Ratio &gt; ",A14,")")</f>
        <v>Area - basic (Ratio &gt; 50)</v>
      </c>
      <c r="H14" s="70">
        <v>0</v>
      </c>
      <c r="I14" s="74">
        <f>H14/$H$2</f>
        <v>0</v>
      </c>
      <c r="K14" s="71" t="s">
        <v>58</v>
      </c>
      <c r="L14" s="72">
        <f>COUNTIF(Peaks!$L$5:$L$104,"*" &amp; K14 &amp; "*")</f>
        <v>0</v>
      </c>
      <c r="M14" s="73">
        <f t="shared" si="1"/>
        <v>0</v>
      </c>
      <c r="N14" s="68"/>
    </row>
    <row r="15" spans="1:14" x14ac:dyDescent="0.25">
      <c r="A15" s="75"/>
      <c r="K15" s="71" t="s">
        <v>59</v>
      </c>
      <c r="L15" s="72">
        <f>COUNTIF(Peaks!$L$5:$L$104,"*" &amp; K15 &amp; "*")</f>
        <v>0</v>
      </c>
      <c r="M15" s="73">
        <f t="shared" si="1"/>
        <v>0</v>
      </c>
      <c r="N15" s="68"/>
    </row>
    <row r="16" spans="1:14" x14ac:dyDescent="0.25">
      <c r="A16" s="82">
        <v>3</v>
      </c>
      <c r="C16" s="67" t="str">
        <f>CONCATENATE("Peaks - polar (&lt; ",A16," min)")</f>
        <v>Peaks - polar (&lt; 3 min)</v>
      </c>
      <c r="D16" s="68">
        <v>2</v>
      </c>
      <c r="E16" s="74">
        <f>D16/$D$2</f>
        <v>0.2857142857142857</v>
      </c>
      <c r="G16" s="67" t="str">
        <f>CONCATENATE("Area- polar (&lt; ",A16," min)")</f>
        <v>Area- polar (&lt; 3 min)</v>
      </c>
      <c r="H16" s="70">
        <v>152.34640502929688</v>
      </c>
      <c r="I16" s="74">
        <f>H16/$H$2</f>
        <v>0.39191290201578838</v>
      </c>
      <c r="K16" s="71" t="s">
        <v>60</v>
      </c>
      <c r="L16" s="72">
        <f>COUNTIF(Peaks!$L$5:$L$104,"*" &amp; K16 &amp; "*")</f>
        <v>0</v>
      </c>
      <c r="M16" s="73">
        <f t="shared" si="1"/>
        <v>0</v>
      </c>
      <c r="N16" s="68"/>
    </row>
    <row r="17" spans="1:14" x14ac:dyDescent="0.25">
      <c r="A17" s="75"/>
      <c r="K17" s="71" t="s">
        <v>61</v>
      </c>
      <c r="L17" s="72">
        <f>COUNTIF(Peaks!$L$5:$L$104,"*" &amp; K17 &amp; "*")</f>
        <v>0</v>
      </c>
      <c r="M17" s="73">
        <f t="shared" si="1"/>
        <v>0</v>
      </c>
      <c r="N17" s="68"/>
    </row>
    <row r="18" spans="1:14" x14ac:dyDescent="0.25">
      <c r="A18" s="77"/>
      <c r="C18" s="67" t="str">
        <f>CONCATENATE("Peaks - intermediate (",A16," - ",A20," min)")</f>
        <v>Peaks - intermediate (3 - 6 min)</v>
      </c>
      <c r="D18" s="68">
        <v>3</v>
      </c>
      <c r="E18" s="74">
        <f>D18/$D$2</f>
        <v>0.42857142857142855</v>
      </c>
      <c r="G18" s="67" t="str">
        <f>CONCATENATE("Area - intermediate (",A16," - ",A20," min)")</f>
        <v>Area - intermediate (3 - 6 min)</v>
      </c>
      <c r="H18" s="70">
        <v>64.4700927734375</v>
      </c>
      <c r="I18" s="74">
        <f>H18/$H$2</f>
        <v>0.16585006483878703</v>
      </c>
      <c r="K18" s="71" t="s">
        <v>62</v>
      </c>
      <c r="L18" s="72">
        <f>COUNTIF(Peaks!$L$5:$L$104,"*" &amp; K18 &amp; "*")</f>
        <v>0</v>
      </c>
      <c r="M18" s="73">
        <f>L18/$D$2</f>
        <v>0</v>
      </c>
      <c r="N18" s="68"/>
    </row>
    <row r="19" spans="1:14" x14ac:dyDescent="0.25">
      <c r="A19" s="75"/>
      <c r="K19" s="71" t="s">
        <v>63</v>
      </c>
      <c r="L19" s="72">
        <f>COUNTIF(Peaks!$L$5:$L$104,"*" &amp; K19 &amp; "*")</f>
        <v>0</v>
      </c>
      <c r="M19" s="73">
        <f t="shared" ref="M19:M25" si="2">L19/$D$2</f>
        <v>0</v>
      </c>
      <c r="N19" s="68"/>
    </row>
    <row r="20" spans="1:14" x14ac:dyDescent="0.25">
      <c r="A20" s="82">
        <v>6</v>
      </c>
      <c r="C20" s="67" t="str">
        <f>CONCATENATE("Peaks - non-polar (&gt; ",A20," min)")</f>
        <v>Peaks - non-polar (&gt; 6 min)</v>
      </c>
      <c r="D20" s="68">
        <v>2</v>
      </c>
      <c r="E20" s="74">
        <f>D20/$D$2</f>
        <v>0.2857142857142857</v>
      </c>
      <c r="G20" s="67" t="str">
        <f>CONCATENATE("Area - non-polar (&gt; ",A20," min)")</f>
        <v>Area - non-polar (&gt; 6 min)</v>
      </c>
      <c r="H20" s="70">
        <v>171.90867614746094</v>
      </c>
      <c r="I20" s="74">
        <f>H20/$H$2</f>
        <v>0.44223707239883731</v>
      </c>
      <c r="K20" s="71" t="s">
        <v>65</v>
      </c>
      <c r="L20" s="72">
        <f>COUNTIF(Peaks!$L$5:$L$104,"*" &amp; K20 &amp; "*")</f>
        <v>0</v>
      </c>
      <c r="M20" s="73">
        <f t="shared" si="2"/>
        <v>0</v>
      </c>
      <c r="N20" s="68"/>
    </row>
    <row r="21" spans="1:14" x14ac:dyDescent="0.25">
      <c r="K21" s="71" t="s">
        <v>66</v>
      </c>
      <c r="L21" s="72">
        <f>COUNTIF(Peaks!$L$5:$L$104,"*" &amp; K21 &amp; "*")</f>
        <v>0</v>
      </c>
      <c r="M21" s="73">
        <f t="shared" si="2"/>
        <v>0</v>
      </c>
      <c r="N21" s="68"/>
    </row>
    <row r="22" spans="1:14" x14ac:dyDescent="0.25">
      <c r="C22" s="71" t="s">
        <v>21</v>
      </c>
      <c r="D22" s="68">
        <v>6</v>
      </c>
      <c r="E22" s="74">
        <f>D22/$D$2</f>
        <v>0.8571428571428571</v>
      </c>
      <c r="G22" s="71" t="s">
        <v>22</v>
      </c>
      <c r="H22" s="70">
        <v>226.48504638671875</v>
      </c>
      <c r="I22" s="74">
        <f>H22/$H$2</f>
        <v>0.58263542074084373</v>
      </c>
      <c r="K22" s="71" t="s">
        <v>67</v>
      </c>
      <c r="L22" s="72">
        <f>COUNTIF(Peaks!$L$5:$L$104,"*" &amp; K22 &amp; "*")</f>
        <v>0</v>
      </c>
      <c r="M22" s="73">
        <f t="shared" si="2"/>
        <v>0</v>
      </c>
      <c r="N22" s="68"/>
    </row>
    <row r="23" spans="1:14" x14ac:dyDescent="0.25">
      <c r="K23" s="71" t="s">
        <v>68</v>
      </c>
      <c r="L23" s="72">
        <f>COUNTIF(Peaks!$L$5:$L$104,"*" &amp; K23 &amp; "*")</f>
        <v>0</v>
      </c>
      <c r="M23" s="73">
        <f t="shared" si="2"/>
        <v>0</v>
      </c>
      <c r="N23" s="68"/>
    </row>
    <row r="24" spans="1:14" x14ac:dyDescent="0.25">
      <c r="C24" s="71" t="s">
        <v>23</v>
      </c>
      <c r="D24" s="68">
        <v>1</v>
      </c>
      <c r="E24" s="74">
        <f>D24/$D$2</f>
        <v>0.14285714285714285</v>
      </c>
      <c r="G24" s="71" t="s">
        <v>24</v>
      </c>
      <c r="H24" s="70">
        <v>162.24012756347656</v>
      </c>
      <c r="I24" s="74">
        <f>H24/$H$2</f>
        <v>0.41736461851256884</v>
      </c>
      <c r="K24" s="71" t="s">
        <v>69</v>
      </c>
      <c r="L24" s="72">
        <f>COUNTIF(Peaks!$L$5:$L$104,"*" &amp; K24 &amp; "*")</f>
        <v>0</v>
      </c>
      <c r="M24" s="73">
        <f t="shared" si="2"/>
        <v>0</v>
      </c>
      <c r="N24" s="68"/>
    </row>
    <row r="25" spans="1:14" x14ac:dyDescent="0.25">
      <c r="K25" s="71" t="s">
        <v>70</v>
      </c>
      <c r="L25" s="72">
        <f>COUNTIF(Peaks!$L$5:$L$104,"*" &amp; K25 &amp; "*")</f>
        <v>0</v>
      </c>
      <c r="M25" s="73">
        <f t="shared" si="2"/>
        <v>0</v>
      </c>
      <c r="N25" s="68"/>
    </row>
    <row r="26" spans="1:14" x14ac:dyDescent="0.25">
      <c r="C26" s="71" t="s">
        <v>46</v>
      </c>
      <c r="D26" s="68">
        <v>0</v>
      </c>
      <c r="K26" s="71" t="s">
        <v>71</v>
      </c>
      <c r="L26" s="72">
        <f>COUNTIF(Peaks!$L$5:$L$104,"*" &amp; K26 &amp; "*")</f>
        <v>0</v>
      </c>
      <c r="M26" s="73">
        <f>L26/$D$2</f>
        <v>0</v>
      </c>
      <c r="N26" s="68"/>
    </row>
    <row r="27" spans="1:14" x14ac:dyDescent="0.25">
      <c r="G27" s="78"/>
      <c r="H27" s="78" t="s">
        <v>86</v>
      </c>
      <c r="K27" s="71" t="s">
        <v>72</v>
      </c>
      <c r="L27" s="72">
        <f>COUNTIF(Peaks!$L$5:$L$104,"*" &amp; K27 &amp; "*")</f>
        <v>0</v>
      </c>
      <c r="M27" s="73">
        <f t="shared" ref="M27:M29" si="3">L27/$D$2</f>
        <v>0</v>
      </c>
      <c r="N27" s="68"/>
    </row>
    <row r="28" spans="1:14" x14ac:dyDescent="0.25">
      <c r="H28" s="63" t="s">
        <v>44</v>
      </c>
      <c r="K28" s="71" t="s">
        <v>73</v>
      </c>
      <c r="L28" s="72">
        <f>COUNTIF(Peaks!$L$5:$L$104,"*" &amp; K28 &amp; "*")</f>
        <v>0</v>
      </c>
      <c r="M28" s="73">
        <f t="shared" si="3"/>
        <v>0</v>
      </c>
      <c r="N28" s="68"/>
    </row>
    <row r="29" spans="1:14" x14ac:dyDescent="0.25">
      <c r="H29" s="63" t="s">
        <v>45</v>
      </c>
      <c r="K29" s="71" t="s">
        <v>74</v>
      </c>
      <c r="L29" s="72">
        <f>COUNTIF(Peaks!$L$5:$L$104,"*" &amp; K29 &amp; "*")</f>
        <v>0</v>
      </c>
      <c r="M29" s="73">
        <f t="shared" si="3"/>
        <v>0</v>
      </c>
      <c r="N29" s="68"/>
    </row>
    <row r="30" spans="1:14" x14ac:dyDescent="0.25">
      <c r="K30" s="79"/>
      <c r="L30" s="80"/>
      <c r="M30" s="81"/>
      <c r="N30" s="76"/>
    </row>
    <row r="31" spans="1:14" x14ac:dyDescent="0.25">
      <c r="C31" s="78"/>
      <c r="K31" s="79"/>
      <c r="L31" s="80"/>
      <c r="M31" s="81"/>
      <c r="N31" s="76"/>
    </row>
    <row r="32" spans="1:14" x14ac:dyDescent="0.25">
      <c r="K32" s="79"/>
      <c r="L32" s="80"/>
      <c r="M32" s="81"/>
      <c r="N32" s="76"/>
    </row>
    <row r="33" spans="6:14" ht="15.75" thickBot="1" x14ac:dyDescent="0.3">
      <c r="K33" s="79"/>
      <c r="L33" s="80"/>
      <c r="M33" s="81"/>
      <c r="N33" s="76"/>
    </row>
    <row r="34" spans="6:14" ht="15.75" thickBot="1" x14ac:dyDescent="0.3">
      <c r="F34" s="25">
        <v>20</v>
      </c>
      <c r="K34" s="79"/>
      <c r="L34" s="80"/>
      <c r="M34" s="81"/>
      <c r="N34" s="76"/>
    </row>
    <row r="35" spans="6:14" x14ac:dyDescent="0.25">
      <c r="K35" s="79"/>
      <c r="L35" s="80"/>
      <c r="M35" s="81"/>
      <c r="N35" s="7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Summary">
                <anchor moveWithCells="1" sizeWithCells="1">
                  <from>
                    <xdr:col>2</xdr:col>
                    <xdr:colOff>66675</xdr:colOff>
                    <xdr:row>32</xdr:row>
                    <xdr:rowOff>9525</xdr:rowOff>
                  </from>
                  <to>
                    <xdr:col>2</xdr:col>
                    <xdr:colOff>2133600</xdr:colOff>
                    <xdr:row>34</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HideSpecificID">
                <anchor moveWithCells="1">
                  <from>
                    <xdr:col>7</xdr:col>
                    <xdr:colOff>295275</xdr:colOff>
                    <xdr:row>29</xdr:row>
                    <xdr:rowOff>76200</xdr:rowOff>
                  </from>
                  <to>
                    <xdr:col>8</xdr:col>
                    <xdr:colOff>266700</xdr:colOff>
                    <xdr:row>30</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UnhideSpecificID">
                <anchor moveWithCells="1">
                  <from>
                    <xdr:col>7</xdr:col>
                    <xdr:colOff>295275</xdr:colOff>
                    <xdr:row>31</xdr:row>
                    <xdr:rowOff>28575</xdr:rowOff>
                  </from>
                  <to>
                    <xdr:col>8</xdr:col>
                    <xdr:colOff>266700</xdr:colOff>
                    <xdr:row>32</xdr:row>
                    <xdr:rowOff>76200</xdr:rowOff>
                  </to>
                </anchor>
              </controlPr>
            </control>
          </mc:Choice>
        </mc:AlternateContent>
        <mc:AlternateContent xmlns:mc="http://schemas.openxmlformats.org/markup-compatibility/2006">
          <mc:Choice Requires="x14">
            <control shapeId="6148" r:id="rId7" name="Button 4">
              <controlPr defaultSize="0" print="0" autoFill="0" autoPict="0" macro="[0]!UnhideAll">
                <anchor moveWithCells="1" sizeWithCells="1">
                  <from>
                    <xdr:col>7</xdr:col>
                    <xdr:colOff>295275</xdr:colOff>
                    <xdr:row>36</xdr:row>
                    <xdr:rowOff>76200</xdr:rowOff>
                  </from>
                  <to>
                    <xdr:col>8</xdr:col>
                    <xdr:colOff>266700</xdr:colOff>
                    <xdr:row>37</xdr:row>
                    <xdr:rowOff>123825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2</xdr:col>
                    <xdr:colOff>28575</xdr:colOff>
                    <xdr:row>34</xdr:row>
                    <xdr:rowOff>190500</xdr:rowOff>
                  </from>
                  <to>
                    <xdr:col>2</xdr:col>
                    <xdr:colOff>2181225</xdr:colOff>
                    <xdr:row>36</xdr:row>
                    <xdr:rowOff>9525</xdr:rowOff>
                  </to>
                </anchor>
              </controlPr>
            </control>
          </mc:Choice>
        </mc:AlternateContent>
        <mc:AlternateContent xmlns:mc="http://schemas.openxmlformats.org/markup-compatibility/2006">
          <mc:Choice Requires="x14">
            <control shapeId="6150" r:id="rId9" name="Button 6">
              <controlPr defaultSize="0" print="0" autoFill="0" autoPict="0" macro="[0]!ShowOnlyID">
                <anchor moveWithCells="1">
                  <from>
                    <xdr:col>7</xdr:col>
                    <xdr:colOff>295275</xdr:colOff>
                    <xdr:row>32</xdr:row>
                    <xdr:rowOff>171450</xdr:rowOff>
                  </from>
                  <to>
                    <xdr:col>8</xdr:col>
                    <xdr:colOff>266700</xdr:colOff>
                    <xdr:row>34</xdr:row>
                    <xdr:rowOff>9525</xdr:rowOff>
                  </to>
                </anchor>
              </controlPr>
            </control>
          </mc:Choice>
        </mc:AlternateContent>
        <mc:AlternateContent xmlns:mc="http://schemas.openxmlformats.org/markup-compatibility/2006">
          <mc:Choice Requires="x14">
            <control shapeId="6151" r:id="rId10" name="Button 7">
              <controlPr defaultSize="0" print="0" autoFill="0" autoPict="0" macro="[0]!ShowOnlyCumulative">
                <anchor moveWithCells="1">
                  <from>
                    <xdr:col>1</xdr:col>
                    <xdr:colOff>66675</xdr:colOff>
                    <xdr:row>0</xdr:row>
                    <xdr:rowOff>19050</xdr:rowOff>
                  </from>
                  <to>
                    <xdr:col>1</xdr:col>
                    <xdr:colOff>504825</xdr:colOff>
                    <xdr:row>2</xdr:row>
                    <xdr:rowOff>85725</xdr:rowOff>
                  </to>
                </anchor>
              </controlPr>
            </control>
          </mc:Choice>
        </mc:AlternateContent>
        <mc:AlternateContent xmlns:mc="http://schemas.openxmlformats.org/markup-compatibility/2006">
          <mc:Choice Requires="x14">
            <control shapeId="6153" r:id="rId11" name="Button 9">
              <controlPr defaultSize="0" print="0" autoFill="0" autoPict="0" macro="[0]!ShowOnlyTop">
                <anchor moveWithCells="1">
                  <from>
                    <xdr:col>6</xdr:col>
                    <xdr:colOff>28575</xdr:colOff>
                    <xdr:row>32</xdr:row>
                    <xdr:rowOff>161925</xdr:rowOff>
                  </from>
                  <to>
                    <xdr:col>7</xdr:col>
                    <xdr:colOff>0</xdr:colOff>
                    <xdr:row>34</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HideUnlabelled">
                <anchor moveWithCells="1">
                  <from>
                    <xdr:col>7</xdr:col>
                    <xdr:colOff>295275</xdr:colOff>
                    <xdr:row>34</xdr:row>
                    <xdr:rowOff>123825</xdr:rowOff>
                  </from>
                  <to>
                    <xdr:col>8</xdr:col>
                    <xdr:colOff>266700</xdr:colOff>
                    <xdr:row>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Z1:AB21"/>
  <sheetViews>
    <sheetView zoomScaleNormal="100" workbookViewId="0">
      <selection activeCell="AA21" sqref="AA21"/>
    </sheetView>
  </sheetViews>
  <sheetFormatPr defaultRowHeight="15" x14ac:dyDescent="0.25"/>
  <sheetData>
    <row r="1" spans="26:28" ht="15.75" thickBot="1" x14ac:dyDescent="0.3">
      <c r="Z1" s="10" t="s">
        <v>30</v>
      </c>
      <c r="AB1" s="10" t="s">
        <v>19</v>
      </c>
    </row>
    <row r="2" spans="26:28" ht="15.75" thickBot="1" x14ac:dyDescent="0.3">
      <c r="Z2" s="2">
        <v>2</v>
      </c>
      <c r="AB2" s="2">
        <v>20</v>
      </c>
    </row>
    <row r="3" spans="26:28" ht="15.75" thickBot="1" x14ac:dyDescent="0.3"/>
    <row r="4" spans="26:28" ht="15.75" thickBot="1" x14ac:dyDescent="0.3">
      <c r="AA4" s="11"/>
    </row>
    <row r="5" spans="26:28" ht="15.75" thickBot="1" x14ac:dyDescent="0.3"/>
    <row r="6" spans="26:28" ht="15.75" thickBot="1" x14ac:dyDescent="0.3">
      <c r="AA6" s="12"/>
    </row>
    <row r="8" spans="26:28" x14ac:dyDescent="0.25">
      <c r="AA8" s="1"/>
    </row>
    <row r="9" spans="26:28" x14ac:dyDescent="0.25">
      <c r="AA9" s="1"/>
    </row>
    <row r="10" spans="26:28" x14ac:dyDescent="0.25">
      <c r="AA10" s="1"/>
    </row>
    <row r="11" spans="26:28" ht="15.75" thickBot="1" x14ac:dyDescent="0.3"/>
    <row r="12" spans="26:28" ht="15.75" thickBot="1" x14ac:dyDescent="0.3">
      <c r="Z12" s="2">
        <v>100</v>
      </c>
    </row>
    <row r="14" spans="26:28" ht="15.75" thickBot="1" x14ac:dyDescent="0.3">
      <c r="Z14" s="40"/>
    </row>
    <row r="15" spans="26:28" ht="15.75" thickBot="1" x14ac:dyDescent="0.3">
      <c r="Z15" s="2">
        <v>0.5</v>
      </c>
      <c r="AA15" s="2">
        <v>10</v>
      </c>
    </row>
    <row r="17" spans="26:28" ht="15.75" thickBot="1" x14ac:dyDescent="0.3"/>
    <row r="18" spans="26:28" ht="15.75" thickBot="1" x14ac:dyDescent="0.3">
      <c r="Z18" s="105" t="s">
        <v>42</v>
      </c>
      <c r="AA18" s="106"/>
      <c r="AB18" s="41"/>
    </row>
    <row r="20" spans="26:28" ht="15.75" thickBot="1" x14ac:dyDescent="0.3"/>
    <row r="21" spans="26:28" ht="15.75" thickBot="1" x14ac:dyDescent="0.3">
      <c r="AA21" s="2">
        <v>0</v>
      </c>
    </row>
  </sheetData>
  <mergeCells count="1">
    <mergeCell ref="Z18:AA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9221" r:id="rId8" name="Button 5">
              <controlPr defaultSize="0" print="0" autoFill="0" autoPict="0" macro="[0]!Chromatograms_Click">
                <anchor moveWithCells="1" sizeWithCells="1">
                  <from>
                    <xdr:col>25</xdr:col>
                    <xdr:colOff>0</xdr:colOff>
                    <xdr:row>15</xdr:row>
                    <xdr:rowOff>47625</xdr:rowOff>
                  </from>
                  <to>
                    <xdr:col>27</xdr:col>
                    <xdr:colOff>0</xdr:colOff>
                    <xdr:row>16</xdr:row>
                    <xdr:rowOff>104775</xdr:rowOff>
                  </to>
                </anchor>
              </controlPr>
            </control>
          </mc:Choice>
        </mc:AlternateContent>
        <mc:AlternateContent xmlns:mc="http://schemas.openxmlformats.org/markup-compatibility/2006">
          <mc:Choice Requires="x14">
            <control shapeId="9222" r:id="rId9"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9223" r:id="rId10"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9224" r:id="rId11"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9225" r:id="rId12"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9230" r:id="rId13"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9231" r:id="rId14"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9232" r:id="rId15"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9233" r:id="rId16"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9238" r:id="rId17"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9239" r:id="rId18"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9240" r:id="rId19"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9241" r:id="rId20" name="Button 25">
              <controlPr defaultSize="0" print="0" autoFill="0" autoPict="0" macro="[0]!NextTraceOne">
                <anchor moveWithCells="1" sizeWithCells="1">
                  <from>
                    <xdr:col>27</xdr:col>
                    <xdr:colOff>19050</xdr:colOff>
                    <xdr:row>19</xdr:row>
                    <xdr:rowOff>104775</xdr:rowOff>
                  </from>
                  <to>
                    <xdr:col>27</xdr:col>
                    <xdr:colOff>381000</xdr:colOff>
                    <xdr:row>21</xdr:row>
                    <xdr:rowOff>95250</xdr:rowOff>
                  </to>
                </anchor>
              </controlPr>
            </control>
          </mc:Choice>
        </mc:AlternateContent>
        <mc:AlternateContent xmlns:mc="http://schemas.openxmlformats.org/markup-compatibility/2006">
          <mc:Choice Requires="x14">
            <control shapeId="9242" r:id="rId21" name="Button 26">
              <controlPr defaultSize="0" print="0" autoFill="0" autoPict="0" macro="[0]!PreviousTraceOne">
                <anchor moveWithCells="1" sizeWithCells="1">
                  <from>
                    <xdr:col>25</xdr:col>
                    <xdr:colOff>238125</xdr:colOff>
                    <xdr:row>19</xdr:row>
                    <xdr:rowOff>104775</xdr:rowOff>
                  </from>
                  <to>
                    <xdr:col>25</xdr:col>
                    <xdr:colOff>600075</xdr:colOff>
                    <xdr:row>21</xdr:row>
                    <xdr:rowOff>85725</xdr:rowOff>
                  </to>
                </anchor>
              </controlPr>
            </control>
          </mc:Choice>
        </mc:AlternateContent>
        <mc:AlternateContent xmlns:mc="http://schemas.openxmlformats.org/markup-compatibility/2006">
          <mc:Choice Requires="x14">
            <control shapeId="9243" r:id="rId22" name="Button 27">
              <controlPr defaultSize="0" print="0" autoFill="0" autoPict="0" macro="[0]!Clear_Inset">
                <anchor moveWithCells="1" sizeWithCells="1">
                  <from>
                    <xdr:col>28</xdr:col>
                    <xdr:colOff>9525</xdr:colOff>
                    <xdr:row>13</xdr:row>
                    <xdr:rowOff>142875</xdr:rowOff>
                  </from>
                  <to>
                    <xdr:col>29</xdr:col>
                    <xdr:colOff>9525</xdr:colOff>
                    <xdr:row>15</xdr:row>
                    <xdr:rowOff>38100</xdr:rowOff>
                  </to>
                </anchor>
              </controlPr>
            </control>
          </mc:Choice>
        </mc:AlternateContent>
        <mc:AlternateContent xmlns:mc="http://schemas.openxmlformats.org/markup-compatibility/2006">
          <mc:Choice Requires="x14">
            <control shapeId="9244" r:id="rId23" name="Button 28">
              <controlPr defaultSize="0" print="0" autoFill="0" autoPict="0" macro="[0]!Reset_Allchromatograms">
                <anchor moveWithCells="1" sizeWithCells="1">
                  <from>
                    <xdr:col>28</xdr:col>
                    <xdr:colOff>38100</xdr:colOff>
                    <xdr:row>0</xdr:row>
                    <xdr:rowOff>57150</xdr:rowOff>
                  </from>
                  <to>
                    <xdr:col>28</xdr:col>
                    <xdr:colOff>457200</xdr:colOff>
                    <xdr:row>2</xdr:row>
                    <xdr:rowOff>66675</xdr:rowOff>
                  </to>
                </anchor>
              </controlPr>
            </control>
          </mc:Choice>
        </mc:AlternateContent>
        <mc:AlternateContent xmlns:mc="http://schemas.openxmlformats.org/markup-compatibility/2006">
          <mc:Choice Requires="x14">
            <control shapeId="9245" r:id="rId24" name="Button 29">
              <controlPr defaultSize="0" print="0" autoFill="0" autoPict="0" macro="[0]!Reset_210">
                <anchor moveWithCells="1" sizeWithCells="1">
                  <from>
                    <xdr:col>28</xdr:col>
                    <xdr:colOff>38100</xdr:colOff>
                    <xdr:row>3</xdr:row>
                    <xdr:rowOff>0</xdr:rowOff>
                  </from>
                  <to>
                    <xdr:col>28</xdr:col>
                    <xdr:colOff>457200</xdr:colOff>
                    <xdr:row>4</xdr:row>
                    <xdr:rowOff>0</xdr:rowOff>
                  </to>
                </anchor>
              </controlPr>
            </control>
          </mc:Choice>
        </mc:AlternateContent>
        <mc:AlternateContent xmlns:mc="http://schemas.openxmlformats.org/markup-compatibility/2006">
          <mc:Choice Requires="x14">
            <control shapeId="9246" r:id="rId25" name="Button 30">
              <controlPr defaultSize="0" print="0" autoFill="0" autoPict="0" macro="[0]!Reset_254">
                <anchor moveWithCells="1" sizeWithCells="1">
                  <from>
                    <xdr:col>28</xdr:col>
                    <xdr:colOff>38100</xdr:colOff>
                    <xdr:row>5</xdr:row>
                    <xdr:rowOff>0</xdr:rowOff>
                  </from>
                  <to>
                    <xdr:col>28</xdr:col>
                    <xdr:colOff>457200</xdr:colOff>
                    <xdr:row>6</xdr:row>
                    <xdr:rowOff>0</xdr:rowOff>
                  </to>
                </anchor>
              </controlPr>
            </control>
          </mc:Choice>
        </mc:AlternateContent>
        <mc:AlternateContent xmlns:mc="http://schemas.openxmlformats.org/markup-compatibility/2006">
          <mc:Choice Requires="x14">
            <control shapeId="9249" r:id="rId26" name="Button 33">
              <controlPr defaultSize="0" print="0" autoFill="0" autoPict="0" macro="[0]!Reset_Labels">
                <anchor moveWithCells="1" sizeWithCells="1">
                  <from>
                    <xdr:col>28</xdr:col>
                    <xdr:colOff>38100</xdr:colOff>
                    <xdr:row>11</xdr:row>
                    <xdr:rowOff>0</xdr:rowOff>
                  </from>
                  <to>
                    <xdr:col>28</xdr:col>
                    <xdr:colOff>457200</xdr:colOff>
                    <xdr:row>12</xdr:row>
                    <xdr:rowOff>0</xdr:rowOff>
                  </to>
                </anchor>
              </controlPr>
            </control>
          </mc:Choice>
        </mc:AlternateContent>
        <mc:AlternateContent xmlns:mc="http://schemas.openxmlformats.org/markup-compatibility/2006">
          <mc:Choice Requires="x14">
            <control shapeId="9250" r:id="rId27"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9252" r:id="rId28" name="Button 36">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9253" r:id="rId29" name="Button 37">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9254" r:id="rId30" name="Button 38">
              <controlPr defaultSize="0" print="0" autoFill="0" autoPict="0" macro="[0]!UnhideID_From_Chromatogram">
                <anchor moveWithCells="1" sizeWithCells="1">
                  <from>
                    <xdr:col>25</xdr:col>
                    <xdr:colOff>9525</xdr:colOff>
                    <xdr:row>21</xdr:row>
                    <xdr:rowOff>114300</xdr:rowOff>
                  </from>
                  <to>
                    <xdr:col>25</xdr:col>
                    <xdr:colOff>600075</xdr:colOff>
                    <xdr:row>22</xdr:row>
                    <xdr:rowOff>114300</xdr:rowOff>
                  </to>
                </anchor>
              </controlPr>
            </control>
          </mc:Choice>
        </mc:AlternateContent>
        <mc:AlternateContent xmlns:mc="http://schemas.openxmlformats.org/markup-compatibility/2006">
          <mc:Choice Requires="x14">
            <control shapeId="9255" r:id="rId31"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9256" r:id="rId32" name="Button 40">
              <controlPr defaultSize="0" print="0" autoFill="0" autoPict="0" macro="[0]!UnhideAll_From_Chromatogram">
                <anchor moveWithCells="1" sizeWithCells="1">
                  <from>
                    <xdr:col>27</xdr:col>
                    <xdr:colOff>19050</xdr:colOff>
                    <xdr:row>21</xdr:row>
                    <xdr:rowOff>104775</xdr:rowOff>
                  </from>
                  <to>
                    <xdr:col>28</xdr:col>
                    <xdr:colOff>600075</xdr:colOff>
                    <xdr:row>22</xdr:row>
                    <xdr:rowOff>114300</xdr:rowOff>
                  </to>
                </anchor>
              </controlPr>
            </control>
          </mc:Choice>
        </mc:AlternateContent>
        <mc:AlternateContent xmlns:mc="http://schemas.openxmlformats.org/markup-compatibility/2006">
          <mc:Choice Requires="x14">
            <control shapeId="9257" r:id="rId33"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9258" r:id="rId34"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9259" r:id="rId35"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9260" r:id="rId36" name="Button 44">
              <controlPr defaultSize="0" print="0" autoFill="0" autoPict="0" macro="[0]!CopyChromatogram">
                <anchor moveWithCells="1" sizeWithCells="1">
                  <from>
                    <xdr:col>27</xdr:col>
                    <xdr:colOff>9525</xdr:colOff>
                    <xdr:row>13</xdr:row>
                    <xdr:rowOff>142875</xdr:rowOff>
                  </from>
                  <to>
                    <xdr:col>28</xdr:col>
                    <xdr:colOff>0</xdr:colOff>
                    <xdr:row>15</xdr:row>
                    <xdr:rowOff>38100</xdr:rowOff>
                  </to>
                </anchor>
              </controlPr>
            </control>
          </mc:Choice>
        </mc:AlternateContent>
        <mc:AlternateContent xmlns:mc="http://schemas.openxmlformats.org/markup-compatibility/2006">
          <mc:Choice Requires="x14">
            <control shapeId="9261" r:id="rId37" name="Button 45">
              <controlPr defaultSize="0" print="0" autoFill="0" autoPict="0" macro="[0]!ChromatogramsUnlabel">
                <anchor moveWithCells="1" sizeWithCells="1">
                  <from>
                    <xdr:col>26</xdr:col>
                    <xdr:colOff>0</xdr:colOff>
                    <xdr:row>21</xdr:row>
                    <xdr:rowOff>104775</xdr:rowOff>
                  </from>
                  <to>
                    <xdr:col>27</xdr:col>
                    <xdr:colOff>0</xdr:colOff>
                    <xdr:row>22</xdr:row>
                    <xdr:rowOff>114300</xdr:rowOff>
                  </to>
                </anchor>
              </controlPr>
            </control>
          </mc:Choice>
        </mc:AlternateContent>
        <mc:AlternateContent xmlns:mc="http://schemas.openxmlformats.org/markup-compatibility/2006">
          <mc:Choice Requires="x14">
            <control shapeId="9263" r:id="rId38" name="Button 47">
              <controlPr defaultSize="0" print="0" autoFill="0" autoPict="0" macro="[0]!ChromatogramsKillLabels">
                <anchor moveWithCells="1" sizeWithCells="1">
                  <from>
                    <xdr:col>27</xdr:col>
                    <xdr:colOff>314325</xdr:colOff>
                    <xdr:row>17</xdr:row>
                    <xdr:rowOff>0</xdr:rowOff>
                  </from>
                  <to>
                    <xdr:col>28</xdr:col>
                    <xdr:colOff>609600</xdr:colOff>
                    <xdr:row>17</xdr:row>
                    <xdr:rowOff>200025</xdr:rowOff>
                  </to>
                </anchor>
              </controlPr>
            </control>
          </mc:Choice>
        </mc:AlternateContent>
        <mc:AlternateContent xmlns:mc="http://schemas.openxmlformats.org/markup-compatibility/2006">
          <mc:Choice Requires="x14">
            <control shapeId="9264" r:id="rId39" name="Button 48">
              <controlPr defaultSize="0" print="0" autoFill="0" autoPict="0" macro="[0]!ChromatogramsKillAllLabels">
                <anchor moveWithCells="1" sizeWithCells="1">
                  <from>
                    <xdr:col>27</xdr:col>
                    <xdr:colOff>9525</xdr:colOff>
                    <xdr:row>15</xdr:row>
                    <xdr:rowOff>57150</xdr:rowOff>
                  </from>
                  <to>
                    <xdr:col>29</xdr:col>
                    <xdr:colOff>0</xdr:colOff>
                    <xdr:row>16</xdr:row>
                    <xdr:rowOff>104775</xdr:rowOff>
                  </to>
                </anchor>
              </controlPr>
            </control>
          </mc:Choice>
        </mc:AlternateContent>
        <mc:AlternateContent xmlns:mc="http://schemas.openxmlformats.org/markup-compatibility/2006">
          <mc:Choice Requires="x14">
            <control shapeId="9265" r:id="rId40" name="Button 49">
              <controlPr defaultSize="0" print="0" autoFill="0" autoPict="0" macro="[0]!CoA">
                <anchor moveWithCells="1" sizeWithCells="1">
                  <from>
                    <xdr:col>28</xdr:col>
                    <xdr:colOff>9525</xdr:colOff>
                    <xdr:row>12</xdr:row>
                    <xdr:rowOff>76200</xdr:rowOff>
                  </from>
                  <to>
                    <xdr:col>29</xdr:col>
                    <xdr:colOff>9525</xdr:colOff>
                    <xdr:row>13</xdr:row>
                    <xdr:rowOff>95250</xdr:rowOff>
                  </to>
                </anchor>
              </controlPr>
            </control>
          </mc:Choice>
        </mc:AlternateContent>
        <mc:AlternateContent xmlns:mc="http://schemas.openxmlformats.org/markup-compatibility/2006">
          <mc:Choice Requires="x14">
            <control shapeId="9266" r:id="rId41" name="Button 50">
              <controlPr defaultSize="0" print="0" autoFill="0" autoPict="0" macro="[0]!Base_Allchromatograms">
                <anchor moveWithCells="1" sizeWithCells="1">
                  <from>
                    <xdr:col>28</xdr:col>
                    <xdr:colOff>476250</xdr:colOff>
                    <xdr:row>0</xdr:row>
                    <xdr:rowOff>57150</xdr:rowOff>
                  </from>
                  <to>
                    <xdr:col>29</xdr:col>
                    <xdr:colOff>295275</xdr:colOff>
                    <xdr:row>2</xdr:row>
                    <xdr:rowOff>66675</xdr:rowOff>
                  </to>
                </anchor>
              </controlPr>
            </control>
          </mc:Choice>
        </mc:AlternateContent>
        <mc:AlternateContent xmlns:mc="http://schemas.openxmlformats.org/markup-compatibility/2006">
          <mc:Choice Requires="x14">
            <control shapeId="9267" r:id="rId42" name="Button 51">
              <controlPr defaultSize="0" print="0" autoFill="0" autoPict="0" macro="[0]!Base_210">
                <anchor moveWithCells="1" sizeWithCells="1">
                  <from>
                    <xdr:col>28</xdr:col>
                    <xdr:colOff>476250</xdr:colOff>
                    <xdr:row>3</xdr:row>
                    <xdr:rowOff>0</xdr:rowOff>
                  </from>
                  <to>
                    <xdr:col>29</xdr:col>
                    <xdr:colOff>285750</xdr:colOff>
                    <xdr:row>4</xdr:row>
                    <xdr:rowOff>0</xdr:rowOff>
                  </to>
                </anchor>
              </controlPr>
            </control>
          </mc:Choice>
        </mc:AlternateContent>
        <mc:AlternateContent xmlns:mc="http://schemas.openxmlformats.org/markup-compatibility/2006">
          <mc:Choice Requires="x14">
            <control shapeId="9268" r:id="rId43" name="Button 52">
              <controlPr defaultSize="0" print="0" autoFill="0" autoPict="0" macro="[0]!Base_254">
                <anchor moveWithCells="1" sizeWithCells="1">
                  <from>
                    <xdr:col>28</xdr:col>
                    <xdr:colOff>476250</xdr:colOff>
                    <xdr:row>5</xdr:row>
                    <xdr:rowOff>0</xdr:rowOff>
                  </from>
                  <to>
                    <xdr:col>29</xdr:col>
                    <xdr:colOff>285750</xdr:colOff>
                    <xdr:row>6</xdr:row>
                    <xdr:rowOff>0</xdr:rowOff>
                  </to>
                </anchor>
              </controlPr>
            </control>
          </mc:Choice>
        </mc:AlternateContent>
        <mc:AlternateContent xmlns:mc="http://schemas.openxmlformats.org/markup-compatibility/2006">
          <mc:Choice Requires="x14">
            <control shapeId="9271" r:id="rId44" name="Button 55">
              <controlPr defaultSize="0" print="0" autoFill="0" autoPict="0" macro="[0]!Base_Labels">
                <anchor moveWithCells="1" sizeWithCells="1">
                  <from>
                    <xdr:col>28</xdr:col>
                    <xdr:colOff>476250</xdr:colOff>
                    <xdr:row>11</xdr:row>
                    <xdr:rowOff>0</xdr:rowOff>
                  </from>
                  <to>
                    <xdr:col>29</xdr:col>
                    <xdr:colOff>285750</xdr:colOff>
                    <xdr:row>12</xdr:row>
                    <xdr:rowOff>0</xdr:rowOff>
                  </to>
                </anchor>
              </controlPr>
            </control>
          </mc:Choice>
        </mc:AlternateContent>
        <mc:AlternateContent xmlns:mc="http://schemas.openxmlformats.org/markup-compatibility/2006">
          <mc:Choice Requires="x14">
            <control shapeId="9272" r:id="rId45" name="Button 56">
              <controlPr defaultSize="0" print="0" autoFill="0" autoPict="0" macro="[0]!PreviousTraceTen">
                <anchor moveWithCells="1" sizeWithCells="1">
                  <from>
                    <xdr:col>25</xdr:col>
                    <xdr:colOff>9525</xdr:colOff>
                    <xdr:row>19</xdr:row>
                    <xdr:rowOff>104775</xdr:rowOff>
                  </from>
                  <to>
                    <xdr:col>25</xdr:col>
                    <xdr:colOff>228600</xdr:colOff>
                    <xdr:row>21</xdr:row>
                    <xdr:rowOff>85725</xdr:rowOff>
                  </to>
                </anchor>
              </controlPr>
            </control>
          </mc:Choice>
        </mc:AlternateContent>
        <mc:AlternateContent xmlns:mc="http://schemas.openxmlformats.org/markup-compatibility/2006">
          <mc:Choice Requires="x14">
            <control shapeId="9273" r:id="rId46" name="Button 57">
              <controlPr defaultSize="0" print="0" autoFill="0" autoPict="0" macro="[0]!NextTraceTen">
                <anchor moveWithCells="1" sizeWithCells="1">
                  <from>
                    <xdr:col>27</xdr:col>
                    <xdr:colOff>390525</xdr:colOff>
                    <xdr:row>19</xdr:row>
                    <xdr:rowOff>104775</xdr:rowOff>
                  </from>
                  <to>
                    <xdr:col>28</xdr:col>
                    <xdr:colOff>0</xdr:colOff>
                    <xdr:row>21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200-000000000000}">
          <x14:formula1>
            <xm:f>Summary!$K$2:$K$9</xm:f>
          </x14:formula1>
          <xm:sqref>AB18</xm:sqref>
        </x14:dataValidation>
        <x14:dataValidation type="list" allowBlank="1" showInputMessage="1" xr:uid="{00000000-0002-0000-0200-000001000000}">
          <x14:formula1>
            <xm:f>Summary!$K$2:$K$29</xm:f>
          </x14:formula1>
          <xm:sqref>Z18:AA18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V1:AB37"/>
  <sheetViews>
    <sheetView zoomScaleNormal="100" workbookViewId="0">
      <selection activeCell="Z11" sqref="Z11:Z12"/>
    </sheetView>
  </sheetViews>
  <sheetFormatPr defaultColWidth="9.140625" defaultRowHeight="15" x14ac:dyDescent="0.25"/>
  <cols>
    <col min="1" max="22" width="9.140625" style="9"/>
    <col min="23" max="23" width="9.140625" style="9" customWidth="1"/>
    <col min="24" max="24" width="9" style="9" customWidth="1"/>
    <col min="25" max="25" width="9.140625" hidden="1" customWidth="1"/>
    <col min="26" max="26" width="18" customWidth="1"/>
    <col min="27" max="28" width="8.85546875" customWidth="1"/>
    <col min="29" max="16384" width="9.140625" style="9"/>
  </cols>
  <sheetData>
    <row r="1" spans="22:28" ht="15.75" thickBot="1" x14ac:dyDescent="0.3">
      <c r="W1" s="17"/>
    </row>
    <row r="2" spans="22:28" ht="15.75" thickBot="1" x14ac:dyDescent="0.3">
      <c r="V2" s="16"/>
      <c r="W2" s="18"/>
      <c r="AB2" s="6">
        <v>1</v>
      </c>
    </row>
    <row r="3" spans="22:28" x14ac:dyDescent="0.25">
      <c r="V3" s="15"/>
      <c r="W3" s="19"/>
    </row>
    <row r="4" spans="22:28" ht="15.75" thickBot="1" x14ac:dyDescent="0.3">
      <c r="AB4" s="6">
        <v>1</v>
      </c>
    </row>
    <row r="5" spans="22:28" ht="16.5" thickBot="1" x14ac:dyDescent="0.3">
      <c r="Z5" s="14" t="s">
        <v>28</v>
      </c>
      <c r="AA5" s="13"/>
      <c r="AB5" s="6">
        <v>1</v>
      </c>
    </row>
    <row r="8" spans="22:28" ht="15" customHeight="1" x14ac:dyDescent="0.25">
      <c r="Z8" s="8"/>
      <c r="AB8" s="6">
        <v>1</v>
      </c>
    </row>
    <row r="9" spans="22:28" ht="15" customHeight="1" x14ac:dyDescent="0.25">
      <c r="Z9" s="8"/>
    </row>
    <row r="10" spans="22:28" ht="15" customHeight="1" thickBot="1" x14ac:dyDescent="0.3">
      <c r="AB10" s="6">
        <v>1</v>
      </c>
    </row>
    <row r="11" spans="22:28" x14ac:dyDescent="0.25">
      <c r="Z11" s="109">
        <v>0</v>
      </c>
      <c r="AB11" s="6">
        <v>1</v>
      </c>
    </row>
    <row r="12" spans="22:28" ht="15.75" thickBot="1" x14ac:dyDescent="0.3">
      <c r="Z12" s="110"/>
    </row>
    <row r="14" spans="22:28" x14ac:dyDescent="0.25">
      <c r="AB14" s="6">
        <v>1</v>
      </c>
    </row>
    <row r="16" spans="22:28" x14ac:dyDescent="0.25">
      <c r="AB16" s="6">
        <v>1</v>
      </c>
    </row>
    <row r="17" spans="28:28" x14ac:dyDescent="0.25">
      <c r="AB17" s="6">
        <v>1</v>
      </c>
    </row>
    <row r="20" spans="28:28" x14ac:dyDescent="0.25">
      <c r="AB20" s="6">
        <v>1</v>
      </c>
    </row>
    <row r="22" spans="28:28" x14ac:dyDescent="0.25">
      <c r="AB22" s="6">
        <v>1</v>
      </c>
    </row>
    <row r="23" spans="28:28" x14ac:dyDescent="0.25">
      <c r="AB23" s="6">
        <v>1</v>
      </c>
    </row>
    <row r="26" spans="28:28" x14ac:dyDescent="0.25">
      <c r="AB26" s="6">
        <v>3</v>
      </c>
    </row>
    <row r="27" spans="28:28" x14ac:dyDescent="0.25">
      <c r="AB27" s="107" t="s">
        <v>26</v>
      </c>
    </row>
    <row r="28" spans="28:28" x14ac:dyDescent="0.25">
      <c r="AB28" s="108"/>
    </row>
    <row r="29" spans="28:28" x14ac:dyDescent="0.25">
      <c r="AB29" s="6">
        <v>6</v>
      </c>
    </row>
    <row r="32" spans="28:28" x14ac:dyDescent="0.25">
      <c r="AB32" s="6">
        <v>1</v>
      </c>
    </row>
    <row r="33" spans="26:28" x14ac:dyDescent="0.25">
      <c r="AB33" s="107" t="s">
        <v>27</v>
      </c>
    </row>
    <row r="34" spans="26:28" x14ac:dyDescent="0.25">
      <c r="AB34" s="108"/>
    </row>
    <row r="35" spans="26:28" x14ac:dyDescent="0.25">
      <c r="AB35" s="6">
        <v>50</v>
      </c>
    </row>
    <row r="37" spans="26:28" x14ac:dyDescent="0.25">
      <c r="Z37" s="7" t="s">
        <v>25</v>
      </c>
    </row>
  </sheetData>
  <mergeCells count="3">
    <mergeCell ref="AB27:AB28"/>
    <mergeCell ref="AB33:AB34"/>
    <mergeCell ref="Z11:Z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verlay_Click">
                <anchor moveWithCells="1" sizeWithCells="1">
                  <from>
                    <xdr:col>23</xdr:col>
                    <xdr:colOff>457200</xdr:colOff>
                    <xdr:row>0</xdr:row>
                    <xdr:rowOff>38100</xdr:rowOff>
                  </from>
                  <to>
                    <xdr:col>26</xdr:col>
                    <xdr:colOff>161925</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heckallandoverlay">
                <anchor moveWithCells="1" sizeWithCells="1">
                  <from>
                    <xdr:col>23</xdr:col>
                    <xdr:colOff>457200</xdr:colOff>
                    <xdr:row>30</xdr:row>
                    <xdr:rowOff>171450</xdr:rowOff>
                  </from>
                  <to>
                    <xdr:col>26</xdr:col>
                    <xdr:colOff>171450</xdr:colOff>
                    <xdr:row>32</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Uncheckallandoverlay">
                <anchor moveWithCells="1" sizeWithCells="1">
                  <from>
                    <xdr:col>23</xdr:col>
                    <xdr:colOff>457200</xdr:colOff>
                    <xdr:row>34</xdr:row>
                    <xdr:rowOff>0</xdr:rowOff>
                  </from>
                  <to>
                    <xdr:col>26</xdr:col>
                    <xdr:colOff>171450</xdr:colOff>
                    <xdr:row>35</xdr:row>
                    <xdr:rowOff>180975</xdr:rowOff>
                  </to>
                </anchor>
              </controlPr>
            </control>
          </mc:Choice>
        </mc:AlternateContent>
        <mc:AlternateContent xmlns:mc="http://schemas.openxmlformats.org/markup-compatibility/2006">
          <mc:Choice Requires="x14">
            <control shapeId="4102" r:id="rId7" name="Button 6">
              <controlPr defaultSize="0" print="0" autoFill="0" autoPict="0" macro="[0]!NotSelected">
                <anchor moveWithCells="1" sizeWithCells="1">
                  <from>
                    <xdr:col>23</xdr:col>
                    <xdr:colOff>457200</xdr:colOff>
                    <xdr:row>28</xdr:row>
                    <xdr:rowOff>104775</xdr:rowOff>
                  </from>
                  <to>
                    <xdr:col>26</xdr:col>
                    <xdr:colOff>171450</xdr:colOff>
                    <xdr:row>29</xdr:row>
                    <xdr:rowOff>180975</xdr:rowOff>
                  </to>
                </anchor>
              </controlPr>
            </control>
          </mc:Choice>
        </mc:AlternateContent>
        <mc:AlternateContent xmlns:mc="http://schemas.openxmlformats.org/markup-compatibility/2006">
          <mc:Choice Requires="x14">
            <control shapeId="4103" r:id="rId8" name="Button 7">
              <controlPr defaultSize="0" print="0" autoFill="0" autoPict="0" macro="[0]!OnlySelected">
                <anchor moveWithCells="1" sizeWithCells="1">
                  <from>
                    <xdr:col>23</xdr:col>
                    <xdr:colOff>457200</xdr:colOff>
                    <xdr:row>26</xdr:row>
                    <xdr:rowOff>114300</xdr:rowOff>
                  </from>
                  <to>
                    <xdr:col>26</xdr:col>
                    <xdr:colOff>171450</xdr:colOff>
                    <xdr:row>28</xdr:row>
                    <xdr:rowOff>0</xdr:rowOff>
                  </to>
                </anchor>
              </controlPr>
            </control>
          </mc:Choice>
        </mc:AlternateContent>
        <mc:AlternateContent xmlns:mc="http://schemas.openxmlformats.org/markup-compatibility/2006">
          <mc:Choice Requires="x14">
            <control shapeId="4104" r:id="rId9" name="Button 8">
              <controlPr defaultSize="0" print="0" autoFill="0" autoPict="0" macro="[0]!Showonly">
                <anchor moveWithCells="1" sizeWithCells="1">
                  <from>
                    <xdr:col>28</xdr:col>
                    <xdr:colOff>28575</xdr:colOff>
                    <xdr:row>12</xdr:row>
                    <xdr:rowOff>152400</xdr:rowOff>
                  </from>
                  <to>
                    <xdr:col>28</xdr:col>
                    <xdr:colOff>600075</xdr:colOff>
                    <xdr:row>14</xdr:row>
                    <xdr:rowOff>19050</xdr:rowOff>
                  </to>
                </anchor>
              </controlPr>
            </control>
          </mc:Choice>
        </mc:AlternateContent>
        <mc:AlternateContent xmlns:mc="http://schemas.openxmlformats.org/markup-compatibility/2006">
          <mc:Choice Requires="x14">
            <control shapeId="4105" r:id="rId10" name="Button 9">
              <controlPr defaultSize="0" print="0" autoFill="0" autoPict="0" macro="[0]!Showonlyrange">
                <anchor moveWithCells="1" sizeWithCells="1">
                  <from>
                    <xdr:col>28</xdr:col>
                    <xdr:colOff>28575</xdr:colOff>
                    <xdr:row>14</xdr:row>
                    <xdr:rowOff>180975</xdr:rowOff>
                  </from>
                  <to>
                    <xdr:col>28</xdr:col>
                    <xdr:colOff>600075</xdr:colOff>
                    <xdr:row>17</xdr:row>
                    <xdr:rowOff>9525</xdr:rowOff>
                  </to>
                </anchor>
              </controlPr>
            </control>
          </mc:Choice>
        </mc:AlternateContent>
        <mc:AlternateContent xmlns:mc="http://schemas.openxmlformats.org/markup-compatibility/2006">
          <mc:Choice Requires="x14">
            <control shapeId="4106" r:id="rId11" name="Button 10">
              <controlPr defaultSize="0" print="0" autoFill="0" autoPict="0" macro="[0]!NotShow">
                <anchor moveWithCells="1" sizeWithCells="1">
                  <from>
                    <xdr:col>28</xdr:col>
                    <xdr:colOff>28575</xdr:colOff>
                    <xdr:row>18</xdr:row>
                    <xdr:rowOff>152400</xdr:rowOff>
                  </from>
                  <to>
                    <xdr:col>28</xdr:col>
                    <xdr:colOff>600075</xdr:colOff>
                    <xdr:row>20</xdr:row>
                    <xdr:rowOff>28575</xdr:rowOff>
                  </to>
                </anchor>
              </controlPr>
            </control>
          </mc:Choice>
        </mc:AlternateContent>
        <mc:AlternateContent xmlns:mc="http://schemas.openxmlformats.org/markup-compatibility/2006">
          <mc:Choice Requires="x14">
            <control shapeId="4107" r:id="rId12" name="Button 11">
              <controlPr defaultSize="0" print="0" autoFill="0" autoPict="0" macro="[0]!NotShowRange">
                <anchor moveWithCells="1" sizeWithCells="1">
                  <from>
                    <xdr:col>28</xdr:col>
                    <xdr:colOff>28575</xdr:colOff>
                    <xdr:row>20</xdr:row>
                    <xdr:rowOff>180975</xdr:rowOff>
                  </from>
                  <to>
                    <xdr:col>28</xdr:col>
                    <xdr:colOff>600075</xdr:colOff>
                    <xdr:row>23</xdr:row>
                    <xdr:rowOff>9525</xdr:rowOff>
                  </to>
                </anchor>
              </controlPr>
            </control>
          </mc:Choice>
        </mc:AlternateContent>
        <mc:AlternateContent xmlns:mc="http://schemas.openxmlformats.org/markup-compatibility/2006">
          <mc:Choice Requires="x14">
            <control shapeId="4110" r:id="rId13" name="Button 14">
              <controlPr defaultSize="0" print="0" autoFill="0" autoPict="0" macro="[0]!AddOverlay">
                <anchor moveWithCells="1" sizeWithCells="1">
                  <from>
                    <xdr:col>28</xdr:col>
                    <xdr:colOff>28575</xdr:colOff>
                    <xdr:row>0</xdr:row>
                    <xdr:rowOff>161925</xdr:rowOff>
                  </from>
                  <to>
                    <xdr:col>28</xdr:col>
                    <xdr:colOff>600075</xdr:colOff>
                    <xdr:row>2</xdr:row>
                    <xdr:rowOff>28575</xdr:rowOff>
                  </to>
                </anchor>
              </controlPr>
            </control>
          </mc:Choice>
        </mc:AlternateContent>
        <mc:AlternateContent xmlns:mc="http://schemas.openxmlformats.org/markup-compatibility/2006">
          <mc:Choice Requires="x14">
            <control shapeId="4111" r:id="rId14" name="Button 15">
              <controlPr defaultSize="0" print="0" autoFill="0" autoPict="0" macro="[0]!AddOverlayRange">
                <anchor moveWithCells="1" sizeWithCells="1">
                  <from>
                    <xdr:col>28</xdr:col>
                    <xdr:colOff>28575</xdr:colOff>
                    <xdr:row>3</xdr:row>
                    <xdr:rowOff>0</xdr:rowOff>
                  </from>
                  <to>
                    <xdr:col>28</xdr:col>
                    <xdr:colOff>600075</xdr:colOff>
                    <xdr:row>5</xdr:row>
                    <xdr:rowOff>0</xdr:rowOff>
                  </to>
                </anchor>
              </controlPr>
            </control>
          </mc:Choice>
        </mc:AlternateContent>
        <mc:AlternateContent xmlns:mc="http://schemas.openxmlformats.org/markup-compatibility/2006">
          <mc:Choice Requires="x14">
            <control shapeId="4112" r:id="rId15" name="Button 16">
              <controlPr defaultSize="0" print="0" autoFill="0" autoPict="0" macro="[0]!RemoveOverlay">
                <anchor moveWithCells="1" sizeWithCells="1">
                  <from>
                    <xdr:col>28</xdr:col>
                    <xdr:colOff>28575</xdr:colOff>
                    <xdr:row>6</xdr:row>
                    <xdr:rowOff>152400</xdr:rowOff>
                  </from>
                  <to>
                    <xdr:col>28</xdr:col>
                    <xdr:colOff>600075</xdr:colOff>
                    <xdr:row>8</xdr:row>
                    <xdr:rowOff>28575</xdr:rowOff>
                  </to>
                </anchor>
              </controlPr>
            </control>
          </mc:Choice>
        </mc:AlternateContent>
        <mc:AlternateContent xmlns:mc="http://schemas.openxmlformats.org/markup-compatibility/2006">
          <mc:Choice Requires="x14">
            <control shapeId="4113" r:id="rId16" name="Button 17">
              <controlPr defaultSize="0" print="0" autoFill="0" autoPict="0" macro="[0]!RemoveOverlayRange">
                <anchor moveWithCells="1" sizeWithCells="1">
                  <from>
                    <xdr:col>28</xdr:col>
                    <xdr:colOff>28575</xdr:colOff>
                    <xdr:row>8</xdr:row>
                    <xdr:rowOff>180975</xdr:rowOff>
                  </from>
                  <to>
                    <xdr:col>28</xdr:col>
                    <xdr:colOff>600075</xdr:colOff>
                    <xdr:row>11</xdr:row>
                    <xdr:rowOff>9525</xdr:rowOff>
                  </to>
                </anchor>
              </controlPr>
            </control>
          </mc:Choice>
        </mc:AlternateContent>
        <mc:AlternateContent xmlns:mc="http://schemas.openxmlformats.org/markup-compatibility/2006">
          <mc:Choice Requires="x14">
            <control shapeId="4114" r:id="rId17" name="Button 18">
              <controlPr defaultSize="0" print="0" autoFill="0" autoPict="0" macro="[0]!RemoveSelected">
                <anchor moveWithCells="1" sizeWithCells="1">
                  <from>
                    <xdr:col>23</xdr:col>
                    <xdr:colOff>457200</xdr:colOff>
                    <xdr:row>24</xdr:row>
                    <xdr:rowOff>114300</xdr:rowOff>
                  </from>
                  <to>
                    <xdr:col>26</xdr:col>
                    <xdr:colOff>171450</xdr:colOff>
                    <xdr:row>26</xdr:row>
                    <xdr:rowOff>0</xdr:rowOff>
                  </to>
                </anchor>
              </controlPr>
            </control>
          </mc:Choice>
        </mc:AlternateContent>
        <mc:AlternateContent xmlns:mc="http://schemas.openxmlformats.org/markup-compatibility/2006">
          <mc:Choice Requires="x14">
            <control shapeId="4115" r:id="rId18" name="Button 19">
              <controlPr defaultSize="0" print="0" autoFill="0" autoPict="0" macro="[0]!ShowPolar">
                <anchor moveWithCells="1" sizeWithCells="1">
                  <from>
                    <xdr:col>28</xdr:col>
                    <xdr:colOff>28575</xdr:colOff>
                    <xdr:row>25</xdr:row>
                    <xdr:rowOff>0</xdr:rowOff>
                  </from>
                  <to>
                    <xdr:col>28</xdr:col>
                    <xdr:colOff>600075</xdr:colOff>
                    <xdr:row>26</xdr:row>
                    <xdr:rowOff>9525</xdr:rowOff>
                  </to>
                </anchor>
              </controlPr>
            </control>
          </mc:Choice>
        </mc:AlternateContent>
        <mc:AlternateContent xmlns:mc="http://schemas.openxmlformats.org/markup-compatibility/2006">
          <mc:Choice Requires="x14">
            <control shapeId="4116" r:id="rId19" name="Button 20">
              <controlPr defaultSize="0" print="0" autoFill="0" autoPict="0" macro="[0]!ShowNonpolar">
                <anchor moveWithCells="1" sizeWithCells="1">
                  <from>
                    <xdr:col>28</xdr:col>
                    <xdr:colOff>38100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4117" r:id="rId20" name="Button 21">
              <controlPr defaultSize="0" print="0" autoFill="0" autoPict="0" macro="[0]!ShowIntermediate">
                <anchor moveWithCells="1" sizeWithCells="1">
                  <from>
                    <xdr:col>28</xdr:col>
                    <xdr:colOff>28575</xdr:colOff>
                    <xdr:row>26</xdr:row>
                    <xdr:rowOff>95250</xdr:rowOff>
                  </from>
                  <to>
                    <xdr:col>28</xdr:col>
                    <xdr:colOff>600075</xdr:colOff>
                    <xdr:row>27</xdr:row>
                    <xdr:rowOff>95250</xdr:rowOff>
                  </to>
                </anchor>
              </controlPr>
            </control>
          </mc:Choice>
        </mc:AlternateContent>
        <mc:AlternateContent xmlns:mc="http://schemas.openxmlformats.org/markup-compatibility/2006">
          <mc:Choice Requires="x14">
            <control shapeId="4118" r:id="rId21" name="Button 22">
              <controlPr defaultSize="0" print="0" autoFill="0" autoPict="0" macro="[0]!ShowAcidic">
                <anchor moveWithCells="1" sizeWithCells="1">
                  <from>
                    <xdr:col>28</xdr:col>
                    <xdr:colOff>28575</xdr:colOff>
                    <xdr:row>30</xdr:row>
                    <xdr:rowOff>180975</xdr:rowOff>
                  </from>
                  <to>
                    <xdr:col>28</xdr:col>
                    <xdr:colOff>600075</xdr:colOff>
                    <xdr:row>32</xdr:row>
                    <xdr:rowOff>0</xdr:rowOff>
                  </to>
                </anchor>
              </controlPr>
            </control>
          </mc:Choice>
        </mc:AlternateContent>
        <mc:AlternateContent xmlns:mc="http://schemas.openxmlformats.org/markup-compatibility/2006">
          <mc:Choice Requires="x14">
            <control shapeId="4119" r:id="rId22" name="Button 23">
              <controlPr defaultSize="0" print="0" autoFill="0" autoPict="0" macro="[0]!ShowBasic">
                <anchor moveWithCells="1" sizeWithCells="1">
                  <from>
                    <xdr:col>28</xdr:col>
                    <xdr:colOff>28575</xdr:colOff>
                    <xdr:row>34</xdr:row>
                    <xdr:rowOff>0</xdr:rowOff>
                  </from>
                  <to>
                    <xdr:col>28</xdr:col>
                    <xdr:colOff>600075</xdr:colOff>
                    <xdr:row>35</xdr:row>
                    <xdr:rowOff>0</xdr:rowOff>
                  </to>
                </anchor>
              </controlPr>
            </control>
          </mc:Choice>
        </mc:AlternateContent>
        <mc:AlternateContent xmlns:mc="http://schemas.openxmlformats.org/markup-compatibility/2006">
          <mc:Choice Requires="x14">
            <control shapeId="4120" r:id="rId23" name="Button 24">
              <controlPr defaultSize="0" print="0" autoFill="0" autoPict="0" macro="[0]!ShowNeutral">
                <anchor moveWithCells="1" sizeWithCells="1">
                  <from>
                    <xdr:col>28</xdr:col>
                    <xdr:colOff>28575</xdr:colOff>
                    <xdr:row>32</xdr:row>
                    <xdr:rowOff>85725</xdr:rowOff>
                  </from>
                  <to>
                    <xdr:col>28</xdr:col>
                    <xdr:colOff>600075</xdr:colOff>
                    <xdr:row>33</xdr:row>
                    <xdr:rowOff>104775</xdr:rowOff>
                  </to>
                </anchor>
              </controlPr>
            </control>
          </mc:Choice>
        </mc:AlternateContent>
        <mc:AlternateContent xmlns:mc="http://schemas.openxmlformats.org/markup-compatibility/2006">
          <mc:Choice Requires="x14">
            <control shapeId="4124" r:id="rId24" name="Button 28">
              <controlPr defaultSize="0" print="0" autoFill="0" autoPict="0" macro="[0]!ShowPreviousTrace">
                <anchor moveWithCells="1" sizeWithCells="1">
                  <from>
                    <xdr:col>25</xdr:col>
                    <xdr:colOff>0</xdr:colOff>
                    <xdr:row>7</xdr:row>
                    <xdr:rowOff>9525</xdr:rowOff>
                  </from>
                  <to>
                    <xdr:col>26</xdr:col>
                    <xdr:colOff>9525</xdr:colOff>
                    <xdr:row>9</xdr:row>
                    <xdr:rowOff>0</xdr:rowOff>
                  </to>
                </anchor>
              </controlPr>
            </control>
          </mc:Choice>
        </mc:AlternateContent>
        <mc:AlternateContent xmlns:mc="http://schemas.openxmlformats.org/markup-compatibility/2006">
          <mc:Choice Requires="x14">
            <control shapeId="4125" r:id="rId25" name="Button 29">
              <controlPr defaultSize="0" print="0" autoFill="0" autoPict="0" macro="[0]!ShowNextTrace">
                <anchor moveWithCells="1" sizeWithCells="1">
                  <from>
                    <xdr:col>24</xdr:col>
                    <xdr:colOff>0</xdr:colOff>
                    <xdr:row>13</xdr:row>
                    <xdr:rowOff>0</xdr:rowOff>
                  </from>
                  <to>
                    <xdr:col>26</xdr:col>
                    <xdr:colOff>0</xdr:colOff>
                    <xdr:row>15</xdr:row>
                    <xdr:rowOff>0</xdr:rowOff>
                  </to>
                </anchor>
              </controlPr>
            </control>
          </mc:Choice>
        </mc:AlternateContent>
        <mc:AlternateContent xmlns:mc="http://schemas.openxmlformats.org/markup-compatibility/2006">
          <mc:Choice Requires="x14">
            <control shapeId="4127" r:id="rId26" name="Button 31">
              <controlPr defaultSize="0" print="0" autoFill="0" autoPict="0" macro="[0]!KeepTrace">
                <anchor moveWithCells="1" sizeWithCells="1">
                  <from>
                    <xdr:col>24</xdr:col>
                    <xdr:colOff>0</xdr:colOff>
                    <xdr:row>15</xdr:row>
                    <xdr:rowOff>180975</xdr:rowOff>
                  </from>
                  <to>
                    <xdr:col>26</xdr:col>
                    <xdr:colOff>0</xdr:colOff>
                    <xdr:row>17</xdr:row>
                    <xdr:rowOff>190500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25</xdr:col>
                    <xdr:colOff>152400</xdr:colOff>
                    <xdr:row>5</xdr:row>
                    <xdr:rowOff>66675</xdr:rowOff>
                  </from>
                  <to>
                    <xdr:col>25</xdr:col>
                    <xdr:colOff>1104900</xdr:colOff>
                    <xdr:row>6</xdr:row>
                    <xdr:rowOff>114300</xdr:rowOff>
                  </to>
                </anchor>
              </controlPr>
            </control>
          </mc:Choice>
        </mc:AlternateContent>
        <mc:AlternateContent xmlns:mc="http://schemas.openxmlformats.org/markup-compatibility/2006">
          <mc:Choice Requires="x14">
            <control shapeId="4131" r:id="rId28" name="Button 35">
              <controlPr defaultSize="0" print="0" autoFill="0" autoPict="0" macro="[0]!LabelAndCopy">
                <anchor moveWithCells="1" sizeWithCells="1">
                  <from>
                    <xdr:col>23</xdr:col>
                    <xdr:colOff>590550</xdr:colOff>
                    <xdr:row>19</xdr:row>
                    <xdr:rowOff>95250</xdr:rowOff>
                  </from>
                  <to>
                    <xdr:col>26</xdr:col>
                    <xdr:colOff>0</xdr:colOff>
                    <xdr:row>22</xdr:row>
                    <xdr:rowOff>104775</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21</xdr:col>
                    <xdr:colOff>9525</xdr:colOff>
                    <xdr:row>1</xdr:row>
                    <xdr:rowOff>9525</xdr:rowOff>
                  </from>
                  <to>
                    <xdr:col>21</xdr:col>
                    <xdr:colOff>600075</xdr:colOff>
                    <xdr:row>1</xdr:row>
                    <xdr:rowOff>190500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22</xdr:col>
                    <xdr:colOff>9525</xdr:colOff>
                    <xdr:row>1</xdr:row>
                    <xdr:rowOff>0</xdr:rowOff>
                  </from>
                  <to>
                    <xdr:col>22</xdr:col>
                    <xdr:colOff>600075</xdr:colOff>
                    <xdr:row>2</xdr:row>
                    <xdr:rowOff>0</xdr:rowOff>
                  </to>
                </anchor>
              </controlPr>
            </control>
          </mc:Choice>
        </mc:AlternateContent>
        <mc:AlternateContent xmlns:mc="http://schemas.openxmlformats.org/markup-compatibility/2006">
          <mc:Choice Requires="x14">
            <control shapeId="4134" r:id="rId31" name="Button 38">
              <controlPr defaultSize="0" print="0" autoFill="0" autoPict="0" macro="[0]!Chromatogram_Inset_DAD_A_Small">
                <anchor moveWithCells="1" sizeWithCells="1">
                  <from>
                    <xdr:col>21</xdr:col>
                    <xdr:colOff>9525</xdr:colOff>
                    <xdr:row>3</xdr:row>
                    <xdr:rowOff>0</xdr:rowOff>
                  </from>
                  <to>
                    <xdr:col>21</xdr:col>
                    <xdr:colOff>295275</xdr:colOff>
                    <xdr:row>4</xdr:row>
                    <xdr:rowOff>0</xdr:rowOff>
                  </to>
                </anchor>
              </controlPr>
            </control>
          </mc:Choice>
        </mc:AlternateContent>
        <mc:AlternateContent xmlns:mc="http://schemas.openxmlformats.org/markup-compatibility/2006">
          <mc:Choice Requires="x14">
            <control shapeId="4135" r:id="rId32" name="Button 39">
              <controlPr defaultSize="0" print="0" autoFill="0" autoPict="0" macro="[0]!Chromatogram_Inset_DAD_A_Big">
                <anchor moveWithCells="1" sizeWithCells="1">
                  <from>
                    <xdr:col>21</xdr:col>
                    <xdr:colOff>314325</xdr:colOff>
                    <xdr:row>2</xdr:row>
                    <xdr:rowOff>180975</xdr:rowOff>
                  </from>
                  <to>
                    <xdr:col>21</xdr:col>
                    <xdr:colOff>600075</xdr:colOff>
                    <xdr:row>3</xdr:row>
                    <xdr:rowOff>190500</xdr:rowOff>
                  </to>
                </anchor>
              </controlPr>
            </control>
          </mc:Choice>
        </mc:AlternateContent>
        <mc:AlternateContent xmlns:mc="http://schemas.openxmlformats.org/markup-compatibility/2006">
          <mc:Choice Requires="x14">
            <control shapeId="4136" r:id="rId33" name="Button 40">
              <controlPr defaultSize="0" print="0" autoFill="0" autoPict="0" macro="[0]!Chromatogram_Inset_DAD_B_Small">
                <anchor moveWithCells="1" sizeWithCells="1">
                  <from>
                    <xdr:col>22</xdr:col>
                    <xdr:colOff>9525</xdr:colOff>
                    <xdr:row>3</xdr:row>
                    <xdr:rowOff>0</xdr:rowOff>
                  </from>
                  <to>
                    <xdr:col>22</xdr:col>
                    <xdr:colOff>295275</xdr:colOff>
                    <xdr:row>4</xdr:row>
                    <xdr:rowOff>0</xdr:rowOff>
                  </to>
                </anchor>
              </controlPr>
            </control>
          </mc:Choice>
        </mc:AlternateContent>
        <mc:AlternateContent xmlns:mc="http://schemas.openxmlformats.org/markup-compatibility/2006">
          <mc:Choice Requires="x14">
            <control shapeId="4137" r:id="rId34" name="Button 41">
              <controlPr defaultSize="0" print="0" autoFill="0" autoPict="0" macro="[0]!Chromatogram_Inset_DAD_B_Big">
                <anchor moveWithCells="1" sizeWithCells="1">
                  <from>
                    <xdr:col>22</xdr:col>
                    <xdr:colOff>314325</xdr:colOff>
                    <xdr:row>2</xdr:row>
                    <xdr:rowOff>180975</xdr:rowOff>
                  </from>
                  <to>
                    <xdr:col>22</xdr:col>
                    <xdr:colOff>600075</xdr:colOff>
                    <xdr:row>3</xdr:row>
                    <xdr:rowOff>190500</xdr:rowOff>
                  </to>
                </anchor>
              </controlPr>
            </control>
          </mc:Choice>
        </mc:AlternateContent>
        <mc:AlternateContent xmlns:mc="http://schemas.openxmlformats.org/markup-compatibility/2006">
          <mc:Choice Requires="x14">
            <control shapeId="4138" r:id="rId35" name="Button 42">
              <controlPr defaultSize="0" print="0" autoFill="0" autoPict="0" macro="[0]!Chromatogram_Inset_DAD_A_Down">
                <anchor moveWithCells="1" sizeWithCells="1">
                  <from>
                    <xdr:col>21</xdr:col>
                    <xdr:colOff>9525</xdr:colOff>
                    <xdr:row>4</xdr:row>
                    <xdr:rowOff>0</xdr:rowOff>
                  </from>
                  <to>
                    <xdr:col>21</xdr:col>
                    <xdr:colOff>295275</xdr:colOff>
                    <xdr:row>4</xdr:row>
                    <xdr:rowOff>209550</xdr:rowOff>
                  </to>
                </anchor>
              </controlPr>
            </control>
          </mc:Choice>
        </mc:AlternateContent>
        <mc:AlternateContent xmlns:mc="http://schemas.openxmlformats.org/markup-compatibility/2006">
          <mc:Choice Requires="x14">
            <control shapeId="4139" r:id="rId36" name="Button 43">
              <controlPr defaultSize="0" print="0" autoFill="0" autoPict="0" macro="[0]!Chromatogram_Inset_DAD_A_Up">
                <anchor moveWithCells="1" sizeWithCells="1">
                  <from>
                    <xdr:col>21</xdr:col>
                    <xdr:colOff>314325</xdr:colOff>
                    <xdr:row>4</xdr:row>
                    <xdr:rowOff>0</xdr:rowOff>
                  </from>
                  <to>
                    <xdr:col>21</xdr:col>
                    <xdr:colOff>600075</xdr:colOff>
                    <xdr:row>4</xdr:row>
                    <xdr:rowOff>209550</xdr:rowOff>
                  </to>
                </anchor>
              </controlPr>
            </control>
          </mc:Choice>
        </mc:AlternateContent>
        <mc:AlternateContent xmlns:mc="http://schemas.openxmlformats.org/markup-compatibility/2006">
          <mc:Choice Requires="x14">
            <control shapeId="4140" r:id="rId37" name="Button 44">
              <controlPr defaultSize="0" print="0" autoFill="0" autoPict="0" macro="[0]!Chromatogram_Inset_DAD_B_Down">
                <anchor moveWithCells="1" sizeWithCells="1">
                  <from>
                    <xdr:col>22</xdr:col>
                    <xdr:colOff>9525</xdr:colOff>
                    <xdr:row>4</xdr:row>
                    <xdr:rowOff>0</xdr:rowOff>
                  </from>
                  <to>
                    <xdr:col>22</xdr:col>
                    <xdr:colOff>295275</xdr:colOff>
                    <xdr:row>4</xdr:row>
                    <xdr:rowOff>200025</xdr:rowOff>
                  </to>
                </anchor>
              </controlPr>
            </control>
          </mc:Choice>
        </mc:AlternateContent>
        <mc:AlternateContent xmlns:mc="http://schemas.openxmlformats.org/markup-compatibility/2006">
          <mc:Choice Requires="x14">
            <control shapeId="4141" r:id="rId38" name="Button 45">
              <controlPr defaultSize="0" print="0" autoFill="0" autoPict="0" macro="[0]!Chromatogram_Inset_DAD_B_Up">
                <anchor moveWithCells="1" sizeWithCells="1">
                  <from>
                    <xdr:col>22</xdr:col>
                    <xdr:colOff>314325</xdr:colOff>
                    <xdr:row>4</xdr:row>
                    <xdr:rowOff>0</xdr:rowOff>
                  </from>
                  <to>
                    <xdr:col>22</xdr:col>
                    <xdr:colOff>600075</xdr:colOff>
                    <xdr:row>4</xdr:row>
                    <xdr:rowOff>200025</xdr:rowOff>
                  </to>
                </anchor>
              </controlPr>
            </control>
          </mc:Choice>
        </mc:AlternateContent>
        <mc:AlternateContent xmlns:mc="http://schemas.openxmlformats.org/markup-compatibility/2006">
          <mc:Choice Requires="x14">
            <control shapeId="4142" r:id="rId39" name="Button 46">
              <controlPr defaultSize="0" print="0" autoFill="0" autoPict="0" macro="[0]!Chromatogram_Inset_DAD_A_Reset">
                <anchor moveWithCells="1" sizeWithCells="1">
                  <from>
                    <xdr:col>21</xdr:col>
                    <xdr:colOff>9525</xdr:colOff>
                    <xdr:row>5</xdr:row>
                    <xdr:rowOff>0</xdr:rowOff>
                  </from>
                  <to>
                    <xdr:col>21</xdr:col>
                    <xdr:colOff>600075</xdr:colOff>
                    <xdr:row>6</xdr:row>
                    <xdr:rowOff>9525</xdr:rowOff>
                  </to>
                </anchor>
              </controlPr>
            </control>
          </mc:Choice>
        </mc:AlternateContent>
        <mc:AlternateContent xmlns:mc="http://schemas.openxmlformats.org/markup-compatibility/2006">
          <mc:Choice Requires="x14">
            <control shapeId="4143" r:id="rId40" name="Button 47">
              <controlPr defaultSize="0" print="0" autoFill="0" autoPict="0" macro="[0]!Chromatogram_Inset_DAD_B_Reset">
                <anchor moveWithCells="1" sizeWithCells="1">
                  <from>
                    <xdr:col>22</xdr:col>
                    <xdr:colOff>9525</xdr:colOff>
                    <xdr:row>5</xdr:row>
                    <xdr:rowOff>0</xdr:rowOff>
                  </from>
                  <to>
                    <xdr:col>22</xdr:col>
                    <xdr:colOff>609600</xdr:colOff>
                    <xdr:row>6</xdr:row>
                    <xdr:rowOff>9525</xdr:rowOff>
                  </to>
                </anchor>
              </controlPr>
            </control>
          </mc:Choice>
        </mc:AlternateContent>
        <mc:AlternateContent xmlns:mc="http://schemas.openxmlformats.org/markup-compatibility/2006">
          <mc:Choice Requires="x14">
            <control shapeId="4144" r:id="rId41" name="Button 48">
              <controlPr defaultSize="0" print="0" autoFill="0" autoPict="0" macro="[0]!Chromatogram_Inset_Click">
                <anchor moveWithCells="1" sizeWithCells="1">
                  <from>
                    <xdr:col>21</xdr:col>
                    <xdr:colOff>9525</xdr:colOff>
                    <xdr:row>2</xdr:row>
                    <xdr:rowOff>9525</xdr:rowOff>
                  </from>
                  <to>
                    <xdr:col>22</xdr:col>
                    <xdr:colOff>600075</xdr:colOff>
                    <xdr:row>3</xdr:row>
                    <xdr:rowOff>0</xdr:rowOff>
                  </to>
                </anchor>
              </controlPr>
            </control>
          </mc:Choice>
        </mc:AlternateContent>
        <mc:AlternateContent xmlns:mc="http://schemas.openxmlformats.org/markup-compatibility/2006">
          <mc:Choice Requires="x14">
            <control shapeId="4145" r:id="rId42" name="Button 49">
              <controlPr defaultSize="0" print="0" autoFill="0" autoPict="0" macro="[0]!ShowSelectedClass">
                <anchor moveWithCells="1" sizeWithCells="1">
                  <from>
                    <xdr:col>23</xdr:col>
                    <xdr:colOff>457200</xdr:colOff>
                    <xdr:row>1</xdr:row>
                    <xdr:rowOff>171450</xdr:rowOff>
                  </from>
                  <to>
                    <xdr:col>26</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300-000000000000}">
          <x14:formula1>
            <xm:f>Summary!$K$2:$K$29</xm:f>
          </x14:formula1>
          <xm:sqref>Z5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Z1:AB27"/>
  <sheetViews>
    <sheetView zoomScaleNormal="100" workbookViewId="0">
      <pane ySplit="10" topLeftCell="A11" activePane="bottomLeft" state="frozen"/>
      <selection pane="bottomLeft" activeCell="AA21" sqref="AA21"/>
    </sheetView>
  </sheetViews>
  <sheetFormatPr defaultColWidth="9.140625" defaultRowHeight="15" x14ac:dyDescent="0.25"/>
  <cols>
    <col min="1" max="16384" width="9.140625" style="24"/>
  </cols>
  <sheetData>
    <row r="1" spans="26:28" ht="15.75" thickBot="1" x14ac:dyDescent="0.3">
      <c r="Z1" s="42" t="s">
        <v>30</v>
      </c>
      <c r="AB1" s="42" t="s">
        <v>19</v>
      </c>
    </row>
    <row r="2" spans="26:28" ht="15.75" thickBot="1" x14ac:dyDescent="0.3">
      <c r="Z2" s="25">
        <v>1.5</v>
      </c>
      <c r="AB2" s="25">
        <v>5</v>
      </c>
    </row>
    <row r="3" spans="26:28" ht="15.75" thickBot="1" x14ac:dyDescent="0.3"/>
    <row r="4" spans="26:28" ht="15.75" thickBot="1" x14ac:dyDescent="0.3">
      <c r="AA4" s="43"/>
    </row>
    <row r="5" spans="26:28" ht="15.75" thickBot="1" x14ac:dyDescent="0.3"/>
    <row r="6" spans="26:28" ht="15.75" thickBot="1" x14ac:dyDescent="0.3">
      <c r="AA6" s="44"/>
    </row>
    <row r="8" spans="26:28" x14ac:dyDescent="0.25">
      <c r="AA8" s="23"/>
    </row>
    <row r="9" spans="26:28" x14ac:dyDescent="0.25">
      <c r="AA9" s="23"/>
    </row>
    <row r="10" spans="26:28" x14ac:dyDescent="0.25">
      <c r="AA10" s="23"/>
    </row>
    <row r="11" spans="26:28" ht="15.75" thickBot="1" x14ac:dyDescent="0.3"/>
    <row r="12" spans="26:28" ht="15.75" thickBot="1" x14ac:dyDescent="0.3">
      <c r="Z12" s="25">
        <v>100</v>
      </c>
    </row>
    <row r="14" spans="26:28" ht="15.75" thickBot="1" x14ac:dyDescent="0.3">
      <c r="Z14" s="45"/>
    </row>
    <row r="15" spans="26:28" ht="15.75" thickBot="1" x14ac:dyDescent="0.3">
      <c r="Z15" s="25">
        <v>0.5</v>
      </c>
      <c r="AA15" s="25">
        <v>10</v>
      </c>
    </row>
    <row r="17" spans="26:28" ht="15.75" thickBot="1" x14ac:dyDescent="0.3"/>
    <row r="18" spans="26:28" ht="15.75" thickBot="1" x14ac:dyDescent="0.3">
      <c r="Z18" s="111" t="s">
        <v>42</v>
      </c>
      <c r="AA18" s="112"/>
      <c r="AB18" s="46"/>
    </row>
    <row r="20" spans="26:28" ht="15.75" thickBot="1" x14ac:dyDescent="0.3"/>
    <row r="21" spans="26:28" ht="15.75" thickBot="1" x14ac:dyDescent="0.3">
      <c r="AA21" s="25">
        <v>0</v>
      </c>
    </row>
    <row r="25" spans="26:28" x14ac:dyDescent="0.25">
      <c r="Z25" s="46"/>
      <c r="AA25" s="41"/>
    </row>
    <row r="27" spans="26:28" x14ac:dyDescent="0.25">
      <c r="Z27" s="47" t="s">
        <v>75</v>
      </c>
      <c r="AB27" s="47" t="s">
        <v>95</v>
      </c>
    </row>
  </sheetData>
  <mergeCells count="1">
    <mergeCell ref="Z18:AA18"/>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2292" r:id="rId6"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2293" r:id="rId7" name="Button 5">
              <controlPr defaultSize="0" print="0" autoFill="0" autoPict="0" macro="[0]!Chromatograms_Click">
                <anchor moveWithCells="1" sizeWithCells="1">
                  <from>
                    <xdr:col>25</xdr:col>
                    <xdr:colOff>0</xdr:colOff>
                    <xdr:row>15</xdr:row>
                    <xdr:rowOff>19050</xdr:rowOff>
                  </from>
                  <to>
                    <xdr:col>27</xdr:col>
                    <xdr:colOff>0</xdr:colOff>
                    <xdr:row>16</xdr:row>
                    <xdr:rowOff>104775</xdr:rowOff>
                  </to>
                </anchor>
              </controlPr>
            </control>
          </mc:Choice>
        </mc:AlternateContent>
        <mc:AlternateContent xmlns:mc="http://schemas.openxmlformats.org/markup-compatibility/2006">
          <mc:Choice Requires="x14">
            <control shapeId="12294" r:id="rId8"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2302" r:id="rId12"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2303" r:id="rId13"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2304" r:id="rId14"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2305" r:id="rId15"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2310" r:id="rId16"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2311" r:id="rId17"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2312" r:id="rId18"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2315" r:id="rId19" name="Button 27">
              <controlPr defaultSize="0" print="0" autoFill="0" autoPict="0" macro="[0]!Clear_Inset">
                <anchor moveWithCells="1" sizeWithCells="1">
                  <from>
                    <xdr:col>25</xdr:col>
                    <xdr:colOff>600075</xdr:colOff>
                    <xdr:row>22</xdr:row>
                    <xdr:rowOff>180975</xdr:rowOff>
                  </from>
                  <to>
                    <xdr:col>26</xdr:col>
                    <xdr:colOff>600075</xdr:colOff>
                    <xdr:row>25</xdr:row>
                    <xdr:rowOff>0</xdr:rowOff>
                  </to>
                </anchor>
              </controlPr>
            </control>
          </mc:Choice>
        </mc:AlternateContent>
        <mc:AlternateContent xmlns:mc="http://schemas.openxmlformats.org/markup-compatibility/2006">
          <mc:Choice Requires="x14">
            <control shapeId="12316" r:id="rId20"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2317" r:id="rId21"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2318" r:id="rId22"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2321" r:id="rId23"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2322" r:id="rId24"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12323" r:id="rId25" name="Button 35">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12324" r:id="rId26" name="Button 36">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12325" r:id="rId27" name="Button 37">
              <controlPr defaultSize="0" print="0" autoFill="0" autoPict="0" macro="[0]!UnhideID_From_Chromatogram">
                <anchor moveWithCells="1" sizeWithCells="1">
                  <from>
                    <xdr:col>25</xdr:col>
                    <xdr:colOff>9525</xdr:colOff>
                    <xdr:row>21</xdr:row>
                    <xdr:rowOff>104775</xdr:rowOff>
                  </from>
                  <to>
                    <xdr:col>25</xdr:col>
                    <xdr:colOff>600075</xdr:colOff>
                    <xdr:row>22</xdr:row>
                    <xdr:rowOff>123825</xdr:rowOff>
                  </to>
                </anchor>
              </controlPr>
            </control>
          </mc:Choice>
        </mc:AlternateContent>
        <mc:AlternateContent xmlns:mc="http://schemas.openxmlformats.org/markup-compatibility/2006">
          <mc:Choice Requires="x14">
            <control shapeId="12326" r:id="rId28"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2327" r:id="rId29" name="Button 39">
              <controlPr defaultSize="0" print="0" autoFill="0" autoPict="0" macro="[0]!UnhideAll_From_Chromatogram">
                <anchor moveWithCells="1" sizeWithCells="1">
                  <from>
                    <xdr:col>27</xdr:col>
                    <xdr:colOff>19050</xdr:colOff>
                    <xdr:row>21</xdr:row>
                    <xdr:rowOff>104775</xdr:rowOff>
                  </from>
                  <to>
                    <xdr:col>29</xdr:col>
                    <xdr:colOff>0</xdr:colOff>
                    <xdr:row>22</xdr:row>
                    <xdr:rowOff>123825</xdr:rowOff>
                  </to>
                </anchor>
              </controlPr>
            </control>
          </mc:Choice>
        </mc:AlternateContent>
        <mc:AlternateContent xmlns:mc="http://schemas.openxmlformats.org/markup-compatibility/2006">
          <mc:Choice Requires="x14">
            <control shapeId="12332" r:id="rId30" name="Button 44">
              <controlPr defaultSize="0" print="0" autoFill="0" autoPict="0" macro="[0]!ChromatogramsUnlabel">
                <anchor moveWithCells="1" sizeWithCells="1">
                  <from>
                    <xdr:col>26</xdr:col>
                    <xdr:colOff>0</xdr:colOff>
                    <xdr:row>21</xdr:row>
                    <xdr:rowOff>104775</xdr:rowOff>
                  </from>
                  <to>
                    <xdr:col>27</xdr:col>
                    <xdr:colOff>19050</xdr:colOff>
                    <xdr:row>22</xdr:row>
                    <xdr:rowOff>123825</xdr:rowOff>
                  </to>
                </anchor>
              </controlPr>
            </control>
          </mc:Choice>
        </mc:AlternateContent>
        <mc:AlternateContent xmlns:mc="http://schemas.openxmlformats.org/markup-compatibility/2006">
          <mc:Choice Requires="x14">
            <control shapeId="12333" r:id="rId31" name="Button 45">
              <controlPr defaultSize="0" print="0" autoFill="0" autoPict="0" macro="[0]!ChromatogramsKillLabels">
                <anchor moveWithCells="1" sizeWithCells="1">
                  <from>
                    <xdr:col>27</xdr:col>
                    <xdr:colOff>9525</xdr:colOff>
                    <xdr:row>13</xdr:row>
                    <xdr:rowOff>152400</xdr:rowOff>
                  </from>
                  <to>
                    <xdr:col>29</xdr:col>
                    <xdr:colOff>9525</xdr:colOff>
                    <xdr:row>15</xdr:row>
                    <xdr:rowOff>28575</xdr:rowOff>
                  </to>
                </anchor>
              </controlPr>
            </control>
          </mc:Choice>
        </mc:AlternateContent>
        <mc:AlternateContent xmlns:mc="http://schemas.openxmlformats.org/markup-compatibility/2006">
          <mc:Choice Requires="x14">
            <control shapeId="12334" r:id="rId32" name="Button 46">
              <controlPr defaultSize="0" print="0" autoFill="0" autoPict="0" macro="[0]!ChromatogramsKillAllLabels">
                <anchor moveWithCells="1" sizeWithCells="1">
                  <from>
                    <xdr:col>27</xdr:col>
                    <xdr:colOff>9525</xdr:colOff>
                    <xdr:row>15</xdr:row>
                    <xdr:rowOff>38100</xdr:rowOff>
                  </from>
                  <to>
                    <xdr:col>29</xdr:col>
                    <xdr:colOff>0</xdr:colOff>
                    <xdr:row>16</xdr:row>
                    <xdr:rowOff>104775</xdr:rowOff>
                  </to>
                </anchor>
              </controlPr>
            </control>
          </mc:Choice>
        </mc:AlternateContent>
        <mc:AlternateContent xmlns:mc="http://schemas.openxmlformats.org/markup-compatibility/2006">
          <mc:Choice Requires="x14">
            <control shapeId="12335" r:id="rId33" name="Button 1">
              <controlPr defaultSize="0" print="0" autoFill="0" autoPict="0" macro="[0]!GenerateUVGrid">
                <anchor moveWithCells="1" sizeWithCells="1">
                  <from>
                    <xdr:col>25</xdr:col>
                    <xdr:colOff>9525</xdr:colOff>
                    <xdr:row>34</xdr:row>
                    <xdr:rowOff>142875</xdr:rowOff>
                  </from>
                  <to>
                    <xdr:col>29</xdr:col>
                    <xdr:colOff>0</xdr:colOff>
                    <xdr:row>36</xdr:row>
                    <xdr:rowOff>0</xdr:rowOff>
                  </to>
                </anchor>
              </controlPr>
            </control>
          </mc:Choice>
        </mc:AlternateContent>
        <mc:AlternateContent xmlns:mc="http://schemas.openxmlformats.org/markup-compatibility/2006">
          <mc:Choice Requires="x14">
            <control shapeId="12336" r:id="rId34"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12337" r:id="rId35"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12338" r:id="rId36"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12341" r:id="rId37" name="Option Button 53">
              <controlPr defaultSize="0" autoFill="0" autoLine="0" autoPict="0">
                <anchor moveWithCells="1">
                  <from>
                    <xdr:col>24</xdr:col>
                    <xdr:colOff>600075</xdr:colOff>
                    <xdr:row>27</xdr:row>
                    <xdr:rowOff>0</xdr:rowOff>
                  </from>
                  <to>
                    <xdr:col>26</xdr:col>
                    <xdr:colOff>600075</xdr:colOff>
                    <xdr:row>28</xdr:row>
                    <xdr:rowOff>9525</xdr:rowOff>
                  </to>
                </anchor>
              </controlPr>
            </control>
          </mc:Choice>
        </mc:AlternateContent>
        <mc:AlternateContent xmlns:mc="http://schemas.openxmlformats.org/markup-compatibility/2006">
          <mc:Choice Requires="x14">
            <control shapeId="12342" r:id="rId38" name="Option Button 54">
              <controlPr defaultSize="0" autoFill="0" autoLine="0" autoPict="0">
                <anchor moveWithCells="1">
                  <from>
                    <xdr:col>24</xdr:col>
                    <xdr:colOff>600075</xdr:colOff>
                    <xdr:row>28</xdr:row>
                    <xdr:rowOff>0</xdr:rowOff>
                  </from>
                  <to>
                    <xdr:col>26</xdr:col>
                    <xdr:colOff>600075</xdr:colOff>
                    <xdr:row>29</xdr:row>
                    <xdr:rowOff>9525</xdr:rowOff>
                  </to>
                </anchor>
              </controlPr>
            </control>
          </mc:Choice>
        </mc:AlternateContent>
        <mc:AlternateContent xmlns:mc="http://schemas.openxmlformats.org/markup-compatibility/2006">
          <mc:Choice Requires="x14">
            <control shapeId="12343" r:id="rId39" name="Option Button 55">
              <controlPr defaultSize="0" autoFill="0" autoLine="0" autoPict="0">
                <anchor moveWithCells="1">
                  <from>
                    <xdr:col>24</xdr:col>
                    <xdr:colOff>600075</xdr:colOff>
                    <xdr:row>29</xdr:row>
                    <xdr:rowOff>9525</xdr:rowOff>
                  </from>
                  <to>
                    <xdr:col>26</xdr:col>
                    <xdr:colOff>600075</xdr:colOff>
                    <xdr:row>30</xdr:row>
                    <xdr:rowOff>9525</xdr:rowOff>
                  </to>
                </anchor>
              </controlPr>
            </control>
          </mc:Choice>
        </mc:AlternateContent>
        <mc:AlternateContent xmlns:mc="http://schemas.openxmlformats.org/markup-compatibility/2006">
          <mc:Choice Requires="x14">
            <control shapeId="12344" r:id="rId40" name="Option Button 56">
              <controlPr defaultSize="0" autoFill="0" autoLine="0" autoPict="0">
                <anchor moveWithCells="1">
                  <from>
                    <xdr:col>24</xdr:col>
                    <xdr:colOff>600075</xdr:colOff>
                    <xdr:row>30</xdr:row>
                    <xdr:rowOff>19050</xdr:rowOff>
                  </from>
                  <to>
                    <xdr:col>26</xdr:col>
                    <xdr:colOff>600075</xdr:colOff>
                    <xdr:row>31</xdr:row>
                    <xdr:rowOff>19050</xdr:rowOff>
                  </to>
                </anchor>
              </controlPr>
            </control>
          </mc:Choice>
        </mc:AlternateContent>
        <mc:AlternateContent xmlns:mc="http://schemas.openxmlformats.org/markup-compatibility/2006">
          <mc:Choice Requires="x14">
            <control shapeId="12346" r:id="rId41" name="Button 58">
              <controlPr defaultSize="0" print="0" autoFill="0" autoPict="0" macro="[0]!NextClass">
                <anchor moveWithCells="1" sizeWithCells="1">
                  <from>
                    <xdr:col>27</xdr:col>
                    <xdr:colOff>304800</xdr:colOff>
                    <xdr:row>17</xdr:row>
                    <xdr:rowOff>9525</xdr:rowOff>
                  </from>
                  <to>
                    <xdr:col>28</xdr:col>
                    <xdr:colOff>600075</xdr:colOff>
                    <xdr:row>18</xdr:row>
                    <xdr:rowOff>0</xdr:rowOff>
                  </to>
                </anchor>
              </controlPr>
            </control>
          </mc:Choice>
        </mc:AlternateContent>
        <mc:AlternateContent xmlns:mc="http://schemas.openxmlformats.org/markup-compatibility/2006">
          <mc:Choice Requires="x14">
            <control shapeId="12347" r:id="rId42" name="Check Box 59">
              <controlPr defaultSize="0" autoFill="0" autoLine="0" autoPict="0">
                <anchor moveWithCells="1">
                  <from>
                    <xdr:col>27</xdr:col>
                    <xdr:colOff>9525</xdr:colOff>
                    <xdr:row>26</xdr:row>
                    <xdr:rowOff>171450</xdr:rowOff>
                  </from>
                  <to>
                    <xdr:col>29</xdr:col>
                    <xdr:colOff>9525</xdr:colOff>
                    <xdr:row>28</xdr:row>
                    <xdr:rowOff>19050</xdr:rowOff>
                  </to>
                </anchor>
              </controlPr>
            </control>
          </mc:Choice>
        </mc:AlternateContent>
        <mc:AlternateContent xmlns:mc="http://schemas.openxmlformats.org/markup-compatibility/2006">
          <mc:Choice Requires="x14">
            <control shapeId="12350" r:id="rId43" name="Button 62">
              <controlPr defaultSize="0" print="0" autoFill="0" autoPict="0" macro="[0]!UpdateUVGrid">
                <anchor moveWithCells="1" sizeWithCells="1">
                  <from>
                    <xdr:col>25</xdr:col>
                    <xdr:colOff>19050</xdr:colOff>
                    <xdr:row>31</xdr:row>
                    <xdr:rowOff>171450</xdr:rowOff>
                  </from>
                  <to>
                    <xdr:col>29</xdr:col>
                    <xdr:colOff>0</xdr:colOff>
                    <xdr:row>34</xdr:row>
                    <xdr:rowOff>57150</xdr:rowOff>
                  </to>
                </anchor>
              </controlPr>
            </control>
          </mc:Choice>
        </mc:AlternateContent>
        <mc:AlternateContent xmlns:mc="http://schemas.openxmlformats.org/markup-compatibility/2006">
          <mc:Choice Requires="x14">
            <control shapeId="12351" r:id="rId44" name="Button 63">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2352" r:id="rId45" name="Button 64">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2353" r:id="rId46" name="Button 65">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2356" r:id="rId47" name="Button 68">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2357" r:id="rId48" name="Check Box 69">
              <controlPr defaultSize="0" autoFill="0" autoLine="0" autoPict="0">
                <anchor moveWithCells="1">
                  <from>
                    <xdr:col>27</xdr:col>
                    <xdr:colOff>209550</xdr:colOff>
                    <xdr:row>27</xdr:row>
                    <xdr:rowOff>180975</xdr:rowOff>
                  </from>
                  <to>
                    <xdr:col>29</xdr:col>
                    <xdr:colOff>0</xdr:colOff>
                    <xdr:row>29</xdr:row>
                    <xdr:rowOff>9525</xdr:rowOff>
                  </to>
                </anchor>
              </controlPr>
            </control>
          </mc:Choice>
        </mc:AlternateContent>
        <mc:AlternateContent xmlns:mc="http://schemas.openxmlformats.org/markup-compatibility/2006">
          <mc:Choice Requires="x14">
            <control shapeId="12358" r:id="rId49" name="Check Box 70">
              <controlPr defaultSize="0" autoFill="0" autoLine="0" autoPict="0">
                <anchor moveWithCells="1">
                  <from>
                    <xdr:col>27</xdr:col>
                    <xdr:colOff>209550</xdr:colOff>
                    <xdr:row>29</xdr:row>
                    <xdr:rowOff>0</xdr:rowOff>
                  </from>
                  <to>
                    <xdr:col>29</xdr:col>
                    <xdr:colOff>0</xdr:colOff>
                    <xdr:row>30</xdr:row>
                    <xdr:rowOff>19050</xdr:rowOff>
                  </to>
                </anchor>
              </controlPr>
            </control>
          </mc:Choice>
        </mc:AlternateContent>
        <mc:AlternateContent xmlns:mc="http://schemas.openxmlformats.org/markup-compatibility/2006">
          <mc:Choice Requires="x14">
            <control shapeId="12359" r:id="rId50" name="Button 71">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2360" r:id="rId51" name="Button 72">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2361" r:id="rId52" name="Button 73">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2362" r:id="rId53" name="Button 74">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400-000000000000}">
          <x14:formula1>
            <xm:f>Summary!$K$2:$K$9</xm:f>
          </x14:formula1>
          <xm:sqref>AB18</xm:sqref>
        </x14:dataValidation>
        <x14:dataValidation type="list" allowBlank="1" showInputMessage="1" xr:uid="{00000000-0002-0000-0400-000001000000}">
          <x14:formula1>
            <xm:f>Summary!$K$2:$K$29</xm:f>
          </x14:formula1>
          <xm:sqref>Z18:AA18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T1:AC27"/>
  <sheetViews>
    <sheetView zoomScaleNormal="100" workbookViewId="0">
      <selection activeCell="AA21" sqref="AA21"/>
    </sheetView>
  </sheetViews>
  <sheetFormatPr defaultColWidth="9.140625" defaultRowHeight="15" x14ac:dyDescent="0.25"/>
  <cols>
    <col min="1" max="16384" width="9.140625" style="24"/>
  </cols>
  <sheetData>
    <row r="1" spans="22:28" ht="15.75" thickBot="1" x14ac:dyDescent="0.3">
      <c r="Z1" s="42" t="s">
        <v>30</v>
      </c>
      <c r="AB1" s="42" t="s">
        <v>19</v>
      </c>
    </row>
    <row r="2" spans="22:28" ht="15.75" thickBot="1" x14ac:dyDescent="0.3">
      <c r="Z2" s="25">
        <v>1.5</v>
      </c>
      <c r="AB2" s="25">
        <v>5</v>
      </c>
    </row>
    <row r="3" spans="22:28" ht="15.75" thickBot="1" x14ac:dyDescent="0.3"/>
    <row r="4" spans="22:28" ht="15.75" thickBot="1" x14ac:dyDescent="0.3">
      <c r="AA4" s="43"/>
    </row>
    <row r="5" spans="22:28" ht="15.75" thickBot="1" x14ac:dyDescent="0.3"/>
    <row r="6" spans="22:28" ht="15.75" thickBot="1" x14ac:dyDescent="0.3">
      <c r="AA6" s="44"/>
    </row>
    <row r="8" spans="22:28" x14ac:dyDescent="0.25">
      <c r="AA8" s="23"/>
    </row>
    <row r="9" spans="22:28" x14ac:dyDescent="0.25">
      <c r="AA9" s="23"/>
    </row>
    <row r="10" spans="22:28" x14ac:dyDescent="0.25">
      <c r="AA10" s="23"/>
    </row>
    <row r="11" spans="22:28" ht="15.75" thickBot="1" x14ac:dyDescent="0.3"/>
    <row r="12" spans="22:28" ht="15.75" thickBot="1" x14ac:dyDescent="0.3">
      <c r="Z12" s="25">
        <v>100</v>
      </c>
    </row>
    <row r="13" spans="22:28" ht="15.75" thickBot="1" x14ac:dyDescent="0.3">
      <c r="V13" s="89" t="s">
        <v>116</v>
      </c>
      <c r="W13" s="1"/>
      <c r="X13" s="1"/>
      <c r="Y13" s="1"/>
    </row>
    <row r="14" spans="22:28" ht="15.75" thickBot="1" x14ac:dyDescent="0.3">
      <c r="V14" s="88" t="s">
        <v>104</v>
      </c>
      <c r="W14" s="2">
        <v>200</v>
      </c>
      <c r="X14" s="2">
        <v>500</v>
      </c>
      <c r="Y14" s="50" t="s">
        <v>83</v>
      </c>
      <c r="Z14" s="45"/>
    </row>
    <row r="15" spans="22:28" ht="15.75" thickBot="1" x14ac:dyDescent="0.3">
      <c r="Y15" s="91" t="s">
        <v>111</v>
      </c>
      <c r="Z15" s="25">
        <v>0.5</v>
      </c>
      <c r="AA15" s="25">
        <v>10</v>
      </c>
      <c r="AB15" s="47" t="s">
        <v>108</v>
      </c>
    </row>
    <row r="16" spans="22:28" ht="15.75" thickBot="1" x14ac:dyDescent="0.3">
      <c r="V16" s="42" t="s">
        <v>114</v>
      </c>
      <c r="W16" s="42" t="s">
        <v>115</v>
      </c>
      <c r="X16" s="42" t="s">
        <v>109</v>
      </c>
      <c r="Y16" s="92" t="s">
        <v>113</v>
      </c>
      <c r="Z16" s="25">
        <v>200</v>
      </c>
      <c r="AA16" s="25">
        <v>600</v>
      </c>
      <c r="AB16" s="47" t="s">
        <v>83</v>
      </c>
    </row>
    <row r="17" spans="20:29" ht="15.75" thickBot="1" x14ac:dyDescent="0.3">
      <c r="V17" s="25">
        <v>-20</v>
      </c>
      <c r="W17" s="25">
        <v>20</v>
      </c>
      <c r="X17" s="25">
        <v>4</v>
      </c>
      <c r="Y17" s="47" t="s">
        <v>83</v>
      </c>
    </row>
    <row r="18" spans="20:29" ht="15.75" thickBot="1" x14ac:dyDescent="0.3">
      <c r="Z18" s="90"/>
      <c r="AA18" s="90"/>
      <c r="AB18" s="46"/>
    </row>
    <row r="19" spans="20:29" ht="15.75" thickBot="1" x14ac:dyDescent="0.3">
      <c r="V19" s="25">
        <v>-20</v>
      </c>
      <c r="W19" s="25">
        <v>20</v>
      </c>
      <c r="X19" s="25">
        <v>5</v>
      </c>
      <c r="Y19" s="47" t="s">
        <v>19</v>
      </c>
    </row>
    <row r="20" spans="20:29" ht="15.75" thickBot="1" x14ac:dyDescent="0.3"/>
    <row r="21" spans="20:29" ht="15.75" thickBot="1" x14ac:dyDescent="0.3">
      <c r="V21" s="93">
        <v>0.9</v>
      </c>
      <c r="W21" s="93">
        <v>1.1000000000000001</v>
      </c>
      <c r="X21" s="25">
        <v>0.05</v>
      </c>
      <c r="Y21" s="47" t="s">
        <v>30</v>
      </c>
      <c r="AA21" s="25">
        <v>0</v>
      </c>
    </row>
    <row r="23" spans="20:29" x14ac:dyDescent="0.25">
      <c r="T23" s="47" t="s">
        <v>112</v>
      </c>
      <c r="U23" s="47" t="s">
        <v>9</v>
      </c>
      <c r="V23" s="47" t="s">
        <v>111</v>
      </c>
      <c r="W23" s="47" t="s">
        <v>90</v>
      </c>
      <c r="Z23" s="47"/>
      <c r="AC23" s="47" t="s">
        <v>130</v>
      </c>
    </row>
    <row r="25" spans="20:29" x14ac:dyDescent="0.25">
      <c r="Z25" s="46"/>
      <c r="AA25" s="41"/>
    </row>
    <row r="27" spans="20:29" x14ac:dyDescent="0.25">
      <c r="Z27" s="47"/>
      <c r="AB27" s="47"/>
    </row>
  </sheetData>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6448" r:id="rId3" name="ListBox1">
          <controlPr defaultSize="0" autoLine="0" autoPict="0" r:id="rId4">
            <anchor moveWithCells="1">
              <from>
                <xdr:col>18</xdr:col>
                <xdr:colOff>552450</xdr:colOff>
                <xdr:row>23</xdr:row>
                <xdr:rowOff>9525</xdr:rowOff>
              </from>
              <to>
                <xdr:col>28</xdr:col>
                <xdr:colOff>542925</xdr:colOff>
                <xdr:row>35</xdr:row>
                <xdr:rowOff>180975</xdr:rowOff>
              </to>
            </anchor>
          </controlPr>
        </control>
      </mc:Choice>
      <mc:Fallback>
        <control shapeId="16448" r:id="rId3" name="ListBox1"/>
      </mc:Fallback>
    </mc:AlternateContent>
    <mc:AlternateContent xmlns:mc="http://schemas.openxmlformats.org/markup-compatibility/2006">
      <mc:Choice Requires="x14">
        <control shapeId="16385" r:id="rId5"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6388" r:id="rId8"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6389" r:id="rId9" name="Button 5">
          <controlPr defaultSize="0" print="0" autoFill="0" autoPict="0" macro="[0]!Chromatograms_Click">
            <anchor moveWithCells="1" sizeWithCells="1">
              <from>
                <xdr:col>28</xdr:col>
                <xdr:colOff>0</xdr:colOff>
                <xdr:row>14</xdr:row>
                <xdr:rowOff>9525</xdr:rowOff>
              </from>
              <to>
                <xdr:col>29</xdr:col>
                <xdr:colOff>133350</xdr:colOff>
                <xdr:row>16</xdr:row>
                <xdr:rowOff>0</xdr:rowOff>
              </to>
            </anchor>
          </controlPr>
        </control>
      </mc:Choice>
    </mc:AlternateContent>
    <mc:AlternateContent xmlns:mc="http://schemas.openxmlformats.org/markup-compatibility/2006">
      <mc:Choice Requires="x14">
        <control shapeId="16390" r:id="rId10"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6391" r:id="rId11"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6392" r:id="rId12"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6393" r:id="rId13"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6398" r:id="rId14"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6399" r:id="rId15"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6400" r:id="rId16"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6401" r:id="rId17"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6406" r:id="rId18"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6407" r:id="rId19"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6408" r:id="rId20"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6410" r:id="rId21"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6411" r:id="rId22"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6412" r:id="rId23"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6415" r:id="rId24"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6420" r:id="rId25"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6426" r:id="rId26" name="Check Box 41">
          <controlPr defaultSize="0" autoFill="0" autoLine="0" autoPict="0">
            <anchor moveWithCells="1">
              <from>
                <xdr:col>25</xdr:col>
                <xdr:colOff>9525</xdr:colOff>
                <xdr:row>12</xdr:row>
                <xdr:rowOff>85725</xdr:rowOff>
              </from>
              <to>
                <xdr:col>25</xdr:col>
                <xdr:colOff>600075</xdr:colOff>
                <xdr:row>13</xdr:row>
                <xdr:rowOff>76200</xdr:rowOff>
              </to>
            </anchor>
          </controlPr>
        </control>
      </mc:Choice>
    </mc:AlternateContent>
    <mc:AlternateContent xmlns:mc="http://schemas.openxmlformats.org/markup-compatibility/2006">
      <mc:Choice Requires="x14">
        <control shapeId="16427" r:id="rId27" name="Check Box 42">
          <controlPr defaultSize="0" autoFill="0" autoLine="0" autoPict="0">
            <anchor moveWithCells="1">
              <from>
                <xdr:col>25</xdr:col>
                <xdr:colOff>600075</xdr:colOff>
                <xdr:row>12</xdr:row>
                <xdr:rowOff>85725</xdr:rowOff>
              </from>
              <to>
                <xdr:col>26</xdr:col>
                <xdr:colOff>581025</xdr:colOff>
                <xdr:row>13</xdr:row>
                <xdr:rowOff>76200</xdr:rowOff>
              </to>
            </anchor>
          </controlPr>
        </control>
      </mc:Choice>
    </mc:AlternateContent>
    <mc:AlternateContent xmlns:mc="http://schemas.openxmlformats.org/markup-compatibility/2006">
      <mc:Choice Requires="x14">
        <control shapeId="16428" r:id="rId28" name="Check Box 43">
          <controlPr defaultSize="0" autoFill="0" autoLine="0" autoPict="0">
            <anchor moveWithCells="1">
              <from>
                <xdr:col>27</xdr:col>
                <xdr:colOff>0</xdr:colOff>
                <xdr:row>12</xdr:row>
                <xdr:rowOff>85725</xdr:rowOff>
              </from>
              <to>
                <xdr:col>27</xdr:col>
                <xdr:colOff>590550</xdr:colOff>
                <xdr:row>13</xdr:row>
                <xdr:rowOff>76200</xdr:rowOff>
              </to>
            </anchor>
          </controlPr>
        </control>
      </mc:Choice>
    </mc:AlternateContent>
    <mc:AlternateContent xmlns:mc="http://schemas.openxmlformats.org/markup-compatibility/2006">
      <mc:Choice Requires="x14">
        <control shapeId="16436" r:id="rId29" name="Button 50">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6437" r:id="rId30" name="Button 51">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6438" r:id="rId31" name="Button 52">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6441" r:id="rId32" name="Button 55">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6444" r:id="rId33" name="Button 60">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6445" r:id="rId34" name="Button 61">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6446" r:id="rId35" name="Button 62">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6447" r:id="rId36" name="Button 63">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mc:AlternateContent xmlns:mc="http://schemas.openxmlformats.org/markup-compatibility/2006">
      <mc:Choice Requires="x14">
        <control shapeId="16450" r:id="rId37" name="Button 66">
          <controlPr defaultSize="0" print="0" autoFill="0" autoPict="0" macro="[0]!UVSearchOne">
            <anchor moveWithCells="1" sizeWithCells="1">
              <from>
                <xdr:col>25</xdr:col>
                <xdr:colOff>609600</xdr:colOff>
                <xdr:row>17</xdr:row>
                <xdr:rowOff>0</xdr:rowOff>
              </from>
              <to>
                <xdr:col>26</xdr:col>
                <xdr:colOff>609600</xdr:colOff>
                <xdr:row>19</xdr:row>
                <xdr:rowOff>9525</xdr:rowOff>
              </to>
            </anchor>
          </controlPr>
        </control>
      </mc:Choice>
    </mc:AlternateContent>
    <mc:AlternateContent xmlns:mc="http://schemas.openxmlformats.org/markup-compatibility/2006">
      <mc:Choice Requires="x14">
        <control shapeId="16451" r:id="rId38" name="Button 67">
          <controlPr defaultSize="0" print="0" autoFill="0" autoPict="0" macro="[0]!Clear_Inset">
            <anchor moveWithCells="1" sizeWithCells="1">
              <from>
                <xdr:col>27</xdr:col>
                <xdr:colOff>19050</xdr:colOff>
                <xdr:row>17</xdr:row>
                <xdr:rowOff>0</xdr:rowOff>
              </from>
              <to>
                <xdr:col>28</xdr:col>
                <xdr:colOff>0</xdr:colOff>
                <xdr:row>19</xdr:row>
                <xdr:rowOff>9525</xdr:rowOff>
              </to>
            </anchor>
          </controlPr>
        </control>
      </mc:Choice>
    </mc:AlternateContent>
    <mc:AlternateContent xmlns:mc="http://schemas.openxmlformats.org/markup-compatibility/2006">
      <mc:Choice Requires="x14">
        <control shapeId="16452" r:id="rId39" name="Button 68">
          <controlPr defaultSize="0" print="0" autoFill="0" autoPict="0" macro="[0]!KeepDbaseTrace">
            <anchor moveWithCells="1" sizeWithCells="1">
              <from>
                <xdr:col>25</xdr:col>
                <xdr:colOff>9525</xdr:colOff>
                <xdr:row>17</xdr:row>
                <xdr:rowOff>0</xdr:rowOff>
              </from>
              <to>
                <xdr:col>25</xdr:col>
                <xdr:colOff>590550</xdr:colOff>
                <xdr:row>19</xdr:row>
                <xdr:rowOff>9525</xdr:rowOff>
              </to>
            </anchor>
          </controlPr>
        </control>
      </mc:Choice>
    </mc:AlternateContent>
    <mc:AlternateContent xmlns:mc="http://schemas.openxmlformats.org/markup-compatibility/2006">
      <mc:Choice Requires="x14">
        <control shapeId="16457" r:id="rId40" name="Check Box 73">
          <controlPr defaultSize="0" autoFill="0" autoLine="0" autoPict="0">
            <anchor moveWithCells="1">
              <from>
                <xdr:col>19</xdr:col>
                <xdr:colOff>0</xdr:colOff>
                <xdr:row>16</xdr:row>
                <xdr:rowOff>0</xdr:rowOff>
              </from>
              <to>
                <xdr:col>20</xdr:col>
                <xdr:colOff>466725</xdr:colOff>
                <xdr:row>17</xdr:row>
                <xdr:rowOff>0</xdr:rowOff>
              </to>
            </anchor>
          </controlPr>
        </control>
      </mc:Choice>
    </mc:AlternateContent>
    <mc:AlternateContent xmlns:mc="http://schemas.openxmlformats.org/markup-compatibility/2006">
      <mc:Choice Requires="x14">
        <control shapeId="16458" r:id="rId41" name="Check Box 74">
          <controlPr defaultSize="0" autoFill="0" autoLine="0" autoPict="0">
            <anchor moveWithCells="1">
              <from>
                <xdr:col>19</xdr:col>
                <xdr:colOff>0</xdr:colOff>
                <xdr:row>18</xdr:row>
                <xdr:rowOff>0</xdr:rowOff>
              </from>
              <to>
                <xdr:col>20</xdr:col>
                <xdr:colOff>476250</xdr:colOff>
                <xdr:row>19</xdr:row>
                <xdr:rowOff>9525</xdr:rowOff>
              </to>
            </anchor>
          </controlPr>
        </control>
      </mc:Choice>
    </mc:AlternateContent>
    <mc:AlternateContent xmlns:mc="http://schemas.openxmlformats.org/markup-compatibility/2006">
      <mc:Choice Requires="x14">
        <control shapeId="16459" r:id="rId42" name="Check Box 75">
          <controlPr defaultSize="0" autoFill="0" autoLine="0" autoPict="0">
            <anchor moveWithCells="1">
              <from>
                <xdr:col>19</xdr:col>
                <xdr:colOff>0</xdr:colOff>
                <xdr:row>20</xdr:row>
                <xdr:rowOff>0</xdr:rowOff>
              </from>
              <to>
                <xdr:col>20</xdr:col>
                <xdr:colOff>476250</xdr:colOff>
                <xdr:row>21</xdr:row>
                <xdr:rowOff>0</xdr:rowOff>
              </to>
            </anchor>
          </controlPr>
        </control>
      </mc:Choice>
    </mc:AlternateContent>
    <mc:AlternateContent xmlns:mc="http://schemas.openxmlformats.org/markup-compatibility/2006">
      <mc:Choice Requires="x14">
        <control shapeId="16460" r:id="rId43" name="Check Box 76">
          <controlPr defaultSize="0" autoFill="0" autoLine="0" autoPict="0">
            <anchor moveWithCells="1">
              <from>
                <xdr:col>28</xdr:col>
                <xdr:colOff>9525</xdr:colOff>
                <xdr:row>17</xdr:row>
                <xdr:rowOff>0</xdr:rowOff>
              </from>
              <to>
                <xdr:col>29</xdr:col>
                <xdr:colOff>266700</xdr:colOff>
                <xdr:row>18</xdr:row>
                <xdr:rowOff>9525</xdr:rowOff>
              </to>
            </anchor>
          </controlPr>
        </control>
      </mc:Choice>
    </mc:AlternateContent>
    <mc:AlternateContent xmlns:mc="http://schemas.openxmlformats.org/markup-compatibility/2006">
      <mc:Choice Requires="x14">
        <control shapeId="16461" r:id="rId44" name="Check Box 77">
          <controlPr defaultSize="0" autoFill="0" autoLine="0" autoPict="0">
            <anchor moveWithCells="1">
              <from>
                <xdr:col>28</xdr:col>
                <xdr:colOff>9525</xdr:colOff>
                <xdr:row>18</xdr:row>
                <xdr:rowOff>0</xdr:rowOff>
              </from>
              <to>
                <xdr:col>29</xdr:col>
                <xdr:colOff>266700</xdr:colOff>
                <xdr:row>19</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xr:uid="{00000000-0002-0000-0500-000000000000}">
          <x14:formula1>
            <xm:f>Summary!$K$2:$K$9</xm:f>
          </x14:formula1>
          <xm:sqref>AB18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X1"/>
  <sheetViews>
    <sheetView workbookViewId="0"/>
  </sheetViews>
  <sheetFormatPr defaultRowHeight="15" x14ac:dyDescent="0.25"/>
  <cols>
    <col min="1" max="1" width="56.5703125" customWidth="1"/>
    <col min="2" max="2" width="13.28515625" customWidth="1"/>
    <col min="3" max="4" width="43.140625" customWidth="1"/>
    <col min="5" max="5" width="17.42578125" customWidth="1"/>
    <col min="232" max="232" width="23.140625" customWidth="1"/>
  </cols>
  <sheetData>
    <row r="1" spans="1:232" x14ac:dyDescent="0.25">
      <c r="A1" s="104"/>
      <c r="B1" s="5" t="s">
        <v>93</v>
      </c>
      <c r="C1" s="5" t="s">
        <v>90</v>
      </c>
      <c r="D1" s="5" t="s">
        <v>130</v>
      </c>
      <c r="E1" s="5" t="s">
        <v>92</v>
      </c>
      <c r="F1" s="84">
        <v>190</v>
      </c>
      <c r="G1" s="84">
        <v>192</v>
      </c>
      <c r="H1" s="84">
        <v>194</v>
      </c>
      <c r="I1" s="84">
        <v>196</v>
      </c>
      <c r="J1" s="84">
        <v>198</v>
      </c>
      <c r="K1" s="84">
        <v>200</v>
      </c>
      <c r="L1" s="84">
        <v>202</v>
      </c>
      <c r="M1" s="84">
        <v>204</v>
      </c>
      <c r="N1" s="84">
        <v>206</v>
      </c>
      <c r="O1" s="84">
        <v>208</v>
      </c>
      <c r="P1" s="84">
        <v>210</v>
      </c>
      <c r="Q1" s="84">
        <v>212</v>
      </c>
      <c r="R1" s="84">
        <v>214</v>
      </c>
      <c r="S1" s="84">
        <v>216</v>
      </c>
      <c r="T1" s="84">
        <v>218</v>
      </c>
      <c r="U1" s="84">
        <v>220</v>
      </c>
      <c r="V1" s="84">
        <v>222</v>
      </c>
      <c r="W1" s="84">
        <v>224</v>
      </c>
      <c r="X1" s="84">
        <v>226</v>
      </c>
      <c r="Y1" s="84">
        <v>228</v>
      </c>
      <c r="Z1" s="84">
        <v>230</v>
      </c>
      <c r="AA1" s="84">
        <v>232</v>
      </c>
      <c r="AB1" s="84">
        <v>234</v>
      </c>
      <c r="AC1" s="84">
        <v>236</v>
      </c>
      <c r="AD1" s="84">
        <v>238</v>
      </c>
      <c r="AE1" s="84">
        <v>240</v>
      </c>
      <c r="AF1" s="84">
        <v>242</v>
      </c>
      <c r="AG1" s="84">
        <v>244</v>
      </c>
      <c r="AH1" s="84">
        <v>246</v>
      </c>
      <c r="AI1" s="84">
        <v>248</v>
      </c>
      <c r="AJ1" s="84">
        <v>250</v>
      </c>
      <c r="AK1" s="84">
        <v>252</v>
      </c>
      <c r="AL1" s="84">
        <v>254</v>
      </c>
      <c r="AM1" s="84">
        <v>256</v>
      </c>
      <c r="AN1" s="84">
        <v>258</v>
      </c>
      <c r="AO1" s="84">
        <v>260</v>
      </c>
      <c r="AP1" s="84">
        <v>262</v>
      </c>
      <c r="AQ1" s="84">
        <v>264</v>
      </c>
      <c r="AR1" s="84">
        <v>266</v>
      </c>
      <c r="AS1" s="84">
        <v>268</v>
      </c>
      <c r="AT1" s="84">
        <v>270</v>
      </c>
      <c r="AU1" s="84">
        <v>272</v>
      </c>
      <c r="AV1" s="84">
        <v>274</v>
      </c>
      <c r="AW1" s="84">
        <v>276</v>
      </c>
      <c r="AX1" s="84">
        <v>278</v>
      </c>
      <c r="AY1" s="84">
        <v>280</v>
      </c>
      <c r="AZ1" s="84">
        <v>282</v>
      </c>
      <c r="BA1" s="84">
        <v>284</v>
      </c>
      <c r="BB1" s="84">
        <v>286</v>
      </c>
      <c r="BC1" s="84">
        <v>288</v>
      </c>
      <c r="BD1" s="84">
        <v>290</v>
      </c>
      <c r="BE1" s="84">
        <v>292</v>
      </c>
      <c r="BF1" s="84">
        <v>294</v>
      </c>
      <c r="BG1" s="84">
        <v>296</v>
      </c>
      <c r="BH1" s="84">
        <v>298</v>
      </c>
      <c r="BI1" s="84">
        <v>300</v>
      </c>
      <c r="BJ1" s="84">
        <v>302</v>
      </c>
      <c r="BK1" s="84">
        <v>304</v>
      </c>
      <c r="BL1" s="84">
        <v>306</v>
      </c>
      <c r="BM1" s="84">
        <v>308</v>
      </c>
      <c r="BN1" s="84">
        <v>310</v>
      </c>
      <c r="BO1" s="84">
        <v>312</v>
      </c>
      <c r="BP1" s="84">
        <v>314</v>
      </c>
      <c r="BQ1" s="84">
        <v>316</v>
      </c>
      <c r="BR1" s="84">
        <v>318</v>
      </c>
      <c r="BS1" s="84">
        <v>320</v>
      </c>
      <c r="BT1" s="84">
        <v>322</v>
      </c>
      <c r="BU1" s="84">
        <v>324</v>
      </c>
      <c r="BV1" s="84">
        <v>326</v>
      </c>
      <c r="BW1" s="84">
        <v>328</v>
      </c>
      <c r="BX1" s="84">
        <v>330</v>
      </c>
      <c r="BY1" s="84">
        <v>332</v>
      </c>
      <c r="BZ1" s="84">
        <v>334</v>
      </c>
      <c r="CA1" s="84">
        <v>336</v>
      </c>
      <c r="CB1" s="84">
        <v>338</v>
      </c>
      <c r="CC1" s="84">
        <v>340</v>
      </c>
      <c r="CD1" s="84">
        <v>342</v>
      </c>
      <c r="CE1" s="84">
        <v>344</v>
      </c>
      <c r="CF1" s="84">
        <v>346</v>
      </c>
      <c r="CG1" s="84">
        <v>348</v>
      </c>
      <c r="CH1" s="84">
        <v>350</v>
      </c>
      <c r="CI1" s="84">
        <v>352</v>
      </c>
      <c r="CJ1" s="84">
        <v>354</v>
      </c>
      <c r="CK1" s="84">
        <v>356</v>
      </c>
      <c r="CL1" s="84">
        <v>358</v>
      </c>
      <c r="CM1" s="84">
        <v>360</v>
      </c>
      <c r="CN1" s="84">
        <v>362</v>
      </c>
      <c r="CO1" s="84">
        <v>364</v>
      </c>
      <c r="CP1" s="84">
        <v>366</v>
      </c>
      <c r="CQ1" s="84">
        <v>368</v>
      </c>
      <c r="CR1" s="84">
        <v>370</v>
      </c>
      <c r="CS1" s="84">
        <v>372</v>
      </c>
      <c r="CT1" s="84">
        <v>374</v>
      </c>
      <c r="CU1" s="84">
        <v>376</v>
      </c>
      <c r="CV1" s="84">
        <v>378</v>
      </c>
      <c r="CW1" s="84">
        <v>380</v>
      </c>
      <c r="CX1" s="84">
        <v>382</v>
      </c>
      <c r="CY1" s="84">
        <v>384</v>
      </c>
      <c r="CZ1" s="84">
        <v>386</v>
      </c>
      <c r="DA1" s="84">
        <v>388</v>
      </c>
      <c r="DB1" s="84">
        <v>390</v>
      </c>
      <c r="DC1" s="84">
        <v>392</v>
      </c>
      <c r="DD1" s="84">
        <v>394</v>
      </c>
      <c r="DE1" s="84">
        <v>396</v>
      </c>
      <c r="DF1" s="84">
        <v>398</v>
      </c>
      <c r="DG1" s="84">
        <v>400</v>
      </c>
      <c r="DH1" s="84">
        <v>402</v>
      </c>
      <c r="DI1" s="84">
        <v>404</v>
      </c>
      <c r="DJ1" s="84">
        <v>406</v>
      </c>
      <c r="DK1" s="84">
        <v>408</v>
      </c>
      <c r="DL1" s="84">
        <v>410</v>
      </c>
      <c r="DM1" s="84">
        <v>412</v>
      </c>
      <c r="DN1" s="84">
        <v>414</v>
      </c>
      <c r="DO1" s="84">
        <v>416</v>
      </c>
      <c r="DP1" s="84">
        <v>418</v>
      </c>
      <c r="DQ1" s="84">
        <v>420</v>
      </c>
      <c r="DR1" s="84">
        <v>422</v>
      </c>
      <c r="DS1" s="84">
        <v>424</v>
      </c>
      <c r="DT1" s="84">
        <v>426</v>
      </c>
      <c r="DU1" s="84">
        <v>428</v>
      </c>
      <c r="DV1" s="84">
        <v>430</v>
      </c>
      <c r="DW1" s="84">
        <v>432</v>
      </c>
      <c r="DX1" s="84">
        <v>434</v>
      </c>
      <c r="DY1" s="84">
        <v>436</v>
      </c>
      <c r="DZ1" s="84">
        <v>438</v>
      </c>
      <c r="EA1" s="84">
        <v>440</v>
      </c>
      <c r="EB1" s="84">
        <v>442</v>
      </c>
      <c r="EC1" s="84">
        <v>444</v>
      </c>
      <c r="ED1" s="84">
        <v>446</v>
      </c>
      <c r="EE1" s="84">
        <v>448</v>
      </c>
      <c r="EF1" s="84">
        <v>450</v>
      </c>
      <c r="EG1" s="84">
        <v>452</v>
      </c>
      <c r="EH1" s="84">
        <v>454</v>
      </c>
      <c r="EI1" s="84">
        <v>456</v>
      </c>
      <c r="EJ1" s="84">
        <v>458</v>
      </c>
      <c r="EK1" s="84">
        <v>460</v>
      </c>
      <c r="EL1" s="84">
        <v>462</v>
      </c>
      <c r="EM1" s="84">
        <v>464</v>
      </c>
      <c r="EN1" s="84">
        <v>466</v>
      </c>
      <c r="EO1" s="84">
        <v>468</v>
      </c>
      <c r="EP1" s="84">
        <v>470</v>
      </c>
      <c r="EQ1" s="84">
        <v>472</v>
      </c>
      <c r="ER1" s="84">
        <v>474</v>
      </c>
      <c r="ES1" s="84">
        <v>476</v>
      </c>
      <c r="ET1" s="84">
        <v>478</v>
      </c>
      <c r="EU1" s="84">
        <v>480</v>
      </c>
      <c r="EV1" s="84">
        <v>482</v>
      </c>
      <c r="EW1" s="84">
        <v>484</v>
      </c>
      <c r="EX1" s="84">
        <v>486</v>
      </c>
      <c r="EY1" s="84">
        <v>488</v>
      </c>
      <c r="EZ1" s="84">
        <v>490</v>
      </c>
      <c r="FA1" s="84">
        <v>492</v>
      </c>
      <c r="FB1" s="84">
        <v>494</v>
      </c>
      <c r="FC1" s="84">
        <v>496</v>
      </c>
      <c r="FD1" s="84">
        <v>498</v>
      </c>
      <c r="FE1" s="84">
        <v>500</v>
      </c>
      <c r="FF1" s="84">
        <v>502</v>
      </c>
      <c r="FG1" s="84">
        <v>504</v>
      </c>
      <c r="FH1" s="84">
        <v>506</v>
      </c>
      <c r="FI1" s="84">
        <v>508</v>
      </c>
      <c r="FJ1" s="84">
        <v>510</v>
      </c>
      <c r="FK1" s="84">
        <v>512</v>
      </c>
      <c r="FL1" s="84">
        <v>514</v>
      </c>
      <c r="FM1" s="84">
        <v>516</v>
      </c>
      <c r="FN1" s="84">
        <v>518</v>
      </c>
      <c r="FO1" s="84">
        <v>520</v>
      </c>
      <c r="FP1" s="84">
        <v>522</v>
      </c>
      <c r="FQ1" s="84">
        <v>524</v>
      </c>
      <c r="FR1" s="84">
        <v>526</v>
      </c>
      <c r="FS1" s="84">
        <v>528</v>
      </c>
      <c r="FT1" s="84">
        <v>530</v>
      </c>
      <c r="FU1" s="84">
        <v>532</v>
      </c>
      <c r="FV1" s="84">
        <v>534</v>
      </c>
      <c r="FW1" s="84">
        <v>536</v>
      </c>
      <c r="FX1" s="84">
        <v>538</v>
      </c>
      <c r="FY1" s="84">
        <v>540</v>
      </c>
      <c r="FZ1" s="84">
        <v>542</v>
      </c>
      <c r="GA1" s="84">
        <v>544</v>
      </c>
      <c r="GB1" s="84">
        <v>546</v>
      </c>
      <c r="GC1" s="84">
        <v>548</v>
      </c>
      <c r="GD1" s="84">
        <v>550</v>
      </c>
      <c r="GE1" s="84">
        <v>552</v>
      </c>
      <c r="GF1" s="84">
        <v>554</v>
      </c>
      <c r="GG1" s="84">
        <v>556</v>
      </c>
      <c r="GH1" s="84">
        <v>558</v>
      </c>
      <c r="GI1" s="84">
        <v>560</v>
      </c>
      <c r="GJ1" s="84">
        <v>562</v>
      </c>
      <c r="GK1" s="84">
        <v>564</v>
      </c>
      <c r="GL1" s="84">
        <v>566</v>
      </c>
      <c r="GM1" s="84">
        <v>568</v>
      </c>
      <c r="GN1" s="84">
        <v>570</v>
      </c>
      <c r="GO1" s="84">
        <v>572</v>
      </c>
      <c r="GP1" s="84">
        <v>574</v>
      </c>
      <c r="GQ1" s="84">
        <v>576</v>
      </c>
      <c r="GR1" s="84">
        <v>578</v>
      </c>
      <c r="GS1" s="84">
        <v>580</v>
      </c>
      <c r="GT1" s="84">
        <v>582</v>
      </c>
      <c r="GU1" s="84">
        <v>584</v>
      </c>
      <c r="GV1" s="84">
        <v>586</v>
      </c>
      <c r="GW1" s="84">
        <v>588</v>
      </c>
      <c r="GX1" s="84">
        <v>590</v>
      </c>
      <c r="GY1" s="84">
        <v>592</v>
      </c>
      <c r="GZ1" s="84">
        <v>594</v>
      </c>
      <c r="HA1" s="84">
        <v>596</v>
      </c>
      <c r="HB1" s="84">
        <v>598</v>
      </c>
      <c r="HC1" s="84">
        <v>600</v>
      </c>
      <c r="HD1" s="84">
        <v>602</v>
      </c>
      <c r="HE1" s="84">
        <v>604</v>
      </c>
      <c r="HF1" s="84">
        <v>606</v>
      </c>
      <c r="HG1" s="84">
        <v>608</v>
      </c>
      <c r="HH1" s="84">
        <v>610</v>
      </c>
      <c r="HI1" s="84">
        <v>612</v>
      </c>
      <c r="HJ1" s="84">
        <v>614</v>
      </c>
      <c r="HK1" s="84">
        <v>616</v>
      </c>
      <c r="HL1" s="84">
        <v>618</v>
      </c>
      <c r="HM1" s="84">
        <v>620</v>
      </c>
      <c r="HN1" s="84">
        <v>622</v>
      </c>
      <c r="HO1" s="84">
        <v>624</v>
      </c>
      <c r="HP1" s="84">
        <v>626</v>
      </c>
      <c r="HQ1" s="84">
        <v>628</v>
      </c>
      <c r="HR1" s="84">
        <v>630</v>
      </c>
      <c r="HS1" s="84">
        <v>632</v>
      </c>
      <c r="HT1" s="84">
        <v>634</v>
      </c>
      <c r="HU1" s="84">
        <v>636</v>
      </c>
      <c r="HV1" s="84">
        <v>638</v>
      </c>
      <c r="HW1" s="84">
        <v>640</v>
      </c>
      <c r="HX1" s="5" t="s">
        <v>97</v>
      </c>
    </row>
  </sheetData>
  <autoFilter ref="B1:HX1" xr:uid="{00000000-0009-0000-0000-00000600000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baseLoad">
                <anchor moveWithCells="1" sizeWithCells="1">
                  <from>
                    <xdr:col>0</xdr:col>
                    <xdr:colOff>1390650</xdr:colOff>
                    <xdr:row>4</xdr:row>
                    <xdr:rowOff>180975</xdr:rowOff>
                  </from>
                  <to>
                    <xdr:col>0</xdr:col>
                    <xdr:colOff>2371725</xdr:colOff>
                    <xdr:row>7</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DbaseAppend">
                <anchor moveWithCells="1" sizeWithCells="1">
                  <from>
                    <xdr:col>0</xdr:col>
                    <xdr:colOff>1390650</xdr:colOff>
                    <xdr:row>8</xdr:row>
                    <xdr:rowOff>0</xdr:rowOff>
                  </from>
                  <to>
                    <xdr:col>0</xdr:col>
                    <xdr:colOff>2371725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DbaseSave">
                <anchor moveWithCells="1" sizeWithCells="1">
                  <from>
                    <xdr:col>0</xdr:col>
                    <xdr:colOff>1390650</xdr:colOff>
                    <xdr:row>11</xdr:row>
                    <xdr:rowOff>0</xdr:rowOff>
                  </from>
                  <to>
                    <xdr:col>0</xdr:col>
                    <xdr:colOff>2371725</xdr:colOff>
                    <xdr:row>13</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DbaseClear">
                <anchor moveWithCells="1" sizeWithCells="1">
                  <from>
                    <xdr:col>0</xdr:col>
                    <xdr:colOff>1390650</xdr:colOff>
                    <xdr:row>14</xdr:row>
                    <xdr:rowOff>9525</xdr:rowOff>
                  </from>
                  <to>
                    <xdr:col>0</xdr:col>
                    <xdr:colOff>2371725</xdr:colOff>
                    <xdr:row>16</xdr:row>
                    <xdr:rowOff>19050</xdr:rowOff>
                  </to>
                </anchor>
              </controlPr>
            </control>
          </mc:Choice>
        </mc:AlternateContent>
        <mc:AlternateContent xmlns:mc="http://schemas.openxmlformats.org/markup-compatibility/2006">
          <mc:Choice Requires="x14">
            <control shapeId="14341" r:id="rId7" name="Button 5">
              <controlPr defaultSize="0" print="0" autoFill="0" autoPict="0" macro="[0]!DbaseAdd">
                <anchor moveWithCells="1" sizeWithCells="1">
                  <from>
                    <xdr:col>0</xdr:col>
                    <xdr:colOff>1390650</xdr:colOff>
                    <xdr:row>1</xdr:row>
                    <xdr:rowOff>171450</xdr:rowOff>
                  </from>
                  <to>
                    <xdr:col>0</xdr:col>
                    <xdr:colOff>2371725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U37"/>
  <sheetViews>
    <sheetView zoomScaleNormal="100" workbookViewId="0"/>
  </sheetViews>
  <sheetFormatPr defaultRowHeight="15" x14ac:dyDescent="0.25"/>
  <cols>
    <col min="1" max="10" width="11" customWidth="1"/>
  </cols>
  <sheetData>
    <row r="1" spans="1:18" x14ac:dyDescent="0.25">
      <c r="A1" s="118"/>
      <c r="B1" s="119"/>
      <c r="C1" s="119"/>
      <c r="D1" s="119"/>
      <c r="E1" s="119"/>
      <c r="F1" s="119"/>
      <c r="G1" s="119"/>
      <c r="H1" s="120"/>
      <c r="I1" s="120"/>
      <c r="J1" s="120"/>
      <c r="K1" s="121"/>
      <c r="L1" s="121"/>
      <c r="M1" s="121"/>
      <c r="N1" s="121"/>
      <c r="O1" s="121"/>
      <c r="P1" s="53" t="s">
        <v>94</v>
      </c>
    </row>
    <row r="2" spans="1:18" x14ac:dyDescent="0.25">
      <c r="A2" s="119"/>
      <c r="B2" s="118"/>
      <c r="C2" s="118"/>
      <c r="D2" s="118"/>
      <c r="E2" s="118"/>
      <c r="F2" s="118"/>
      <c r="G2" s="118"/>
      <c r="H2" s="118"/>
      <c r="I2" s="118"/>
      <c r="J2" s="118"/>
      <c r="K2" s="121"/>
      <c r="L2" s="121"/>
      <c r="M2" s="121"/>
      <c r="N2" s="121"/>
      <c r="O2" s="121"/>
    </row>
    <row r="3" spans="1:18" x14ac:dyDescent="0.25">
      <c r="A3" s="119"/>
      <c r="B3" s="118"/>
      <c r="C3" s="118"/>
      <c r="D3" s="118"/>
      <c r="E3" s="118"/>
      <c r="F3" s="118"/>
      <c r="G3" s="118"/>
      <c r="H3" s="118"/>
      <c r="I3" s="118"/>
      <c r="J3" s="118"/>
      <c r="K3" s="121"/>
      <c r="L3" s="121"/>
      <c r="M3" s="121"/>
      <c r="N3" s="121"/>
      <c r="O3" s="121"/>
    </row>
    <row r="4" spans="1:18" ht="15.75" thickBot="1" x14ac:dyDescent="0.3">
      <c r="A4" s="119"/>
      <c r="B4" s="118"/>
      <c r="C4" s="118"/>
      <c r="D4" s="118"/>
      <c r="E4" s="118"/>
      <c r="F4" s="118"/>
      <c r="G4" s="118"/>
      <c r="H4" s="118"/>
      <c r="I4" s="118"/>
      <c r="J4" s="118"/>
      <c r="K4" s="121"/>
      <c r="L4" s="121"/>
      <c r="M4" s="121"/>
      <c r="N4" s="121"/>
      <c r="O4" s="121"/>
    </row>
    <row r="5" spans="1:18" ht="15.75" thickBot="1" x14ac:dyDescent="0.3">
      <c r="A5" s="119"/>
      <c r="B5" s="118"/>
      <c r="C5" s="118"/>
      <c r="D5" s="118"/>
      <c r="E5" s="118"/>
      <c r="F5" s="118"/>
      <c r="G5" s="118"/>
      <c r="H5" s="118"/>
      <c r="I5" s="118"/>
      <c r="J5" s="118"/>
      <c r="K5" s="121"/>
      <c r="L5" s="121"/>
      <c r="M5" s="121"/>
      <c r="N5" s="121"/>
      <c r="O5" s="121"/>
      <c r="P5" s="62" t="s">
        <v>32</v>
      </c>
      <c r="Q5" s="49"/>
      <c r="R5" s="2">
        <v>1</v>
      </c>
    </row>
    <row r="6" spans="1:18" ht="15.75" thickBot="1" x14ac:dyDescent="0.3">
      <c r="A6" s="119"/>
      <c r="B6" s="118"/>
      <c r="C6" s="118"/>
      <c r="D6" s="118"/>
      <c r="E6" s="118"/>
      <c r="F6" s="118"/>
      <c r="G6" s="118"/>
      <c r="H6" s="118"/>
      <c r="I6" s="118"/>
      <c r="J6" s="118"/>
      <c r="K6" s="121"/>
      <c r="L6" s="121"/>
      <c r="M6" s="121"/>
      <c r="N6" s="121"/>
      <c r="O6" s="121"/>
      <c r="P6" s="62" t="s">
        <v>0</v>
      </c>
      <c r="Q6" s="49"/>
      <c r="R6" s="2">
        <v>1</v>
      </c>
    </row>
    <row r="7" spans="1:18" ht="15.75" thickBot="1" x14ac:dyDescent="0.3">
      <c r="A7" s="119"/>
      <c r="B7" s="118"/>
      <c r="C7" s="118"/>
      <c r="D7" s="118"/>
      <c r="E7" s="118"/>
      <c r="F7" s="118"/>
      <c r="G7" s="118"/>
      <c r="H7" s="118"/>
      <c r="I7" s="118"/>
      <c r="J7" s="118"/>
      <c r="K7" s="121"/>
      <c r="L7" s="121"/>
      <c r="M7" s="121"/>
      <c r="N7" s="121"/>
      <c r="O7" s="121"/>
      <c r="P7" s="62" t="s">
        <v>1</v>
      </c>
      <c r="Q7" s="49"/>
      <c r="R7" s="2">
        <v>1</v>
      </c>
    </row>
    <row r="8" spans="1:18" ht="15.75" thickBot="1" x14ac:dyDescent="0.3">
      <c r="A8" s="120"/>
      <c r="B8" s="118"/>
      <c r="C8" s="118"/>
      <c r="D8" s="118"/>
      <c r="E8" s="118"/>
      <c r="F8" s="118"/>
      <c r="G8" s="118"/>
      <c r="H8" s="118"/>
      <c r="I8" s="118"/>
      <c r="J8" s="118"/>
      <c r="K8" s="121"/>
      <c r="L8" s="121"/>
      <c r="M8" s="121"/>
      <c r="N8" s="121"/>
      <c r="O8" s="121"/>
      <c r="P8" s="62" t="s">
        <v>2</v>
      </c>
      <c r="Q8" s="49"/>
      <c r="R8" s="2"/>
    </row>
    <row r="9" spans="1:18" ht="15.75" thickBot="1" x14ac:dyDescent="0.3">
      <c r="A9" s="120"/>
      <c r="B9" s="118"/>
      <c r="C9" s="118"/>
      <c r="D9" s="118"/>
      <c r="E9" s="118"/>
      <c r="F9" s="118"/>
      <c r="G9" s="118"/>
      <c r="H9" s="118"/>
      <c r="I9" s="118"/>
      <c r="J9" s="118"/>
      <c r="K9" s="121"/>
      <c r="L9" s="121"/>
      <c r="M9" s="121"/>
      <c r="N9" s="121"/>
      <c r="O9" s="121"/>
      <c r="P9" s="62" t="s">
        <v>3</v>
      </c>
      <c r="Q9" s="49"/>
      <c r="R9" s="2"/>
    </row>
    <row r="10" spans="1:18" ht="15.75" thickBot="1" x14ac:dyDescent="0.3">
      <c r="A10" s="120"/>
      <c r="B10" s="118"/>
      <c r="C10" s="118"/>
      <c r="D10" s="118"/>
      <c r="E10" s="118"/>
      <c r="F10" s="118"/>
      <c r="G10" s="118"/>
      <c r="H10" s="118"/>
      <c r="I10" s="118"/>
      <c r="J10" s="118"/>
      <c r="K10" s="121"/>
      <c r="L10" s="121"/>
      <c r="M10" s="121"/>
      <c r="N10" s="121"/>
      <c r="O10" s="121"/>
      <c r="P10" s="62" t="s">
        <v>14</v>
      </c>
      <c r="Q10" s="49"/>
      <c r="R10" s="2"/>
    </row>
    <row r="11" spans="1:18" ht="15.75" thickBot="1" x14ac:dyDescent="0.3">
      <c r="A11" s="121"/>
      <c r="B11" s="121"/>
      <c r="C11" s="121"/>
      <c r="D11" s="121"/>
      <c r="E11" s="121"/>
      <c r="F11" s="121"/>
      <c r="G11" s="121"/>
      <c r="H11" s="121"/>
      <c r="I11" s="121"/>
      <c r="J11" s="121"/>
      <c r="K11" s="121"/>
      <c r="L11" s="121"/>
      <c r="M11" s="121"/>
      <c r="N11" s="121"/>
      <c r="O11" s="121"/>
      <c r="P11" s="62"/>
      <c r="Q11" s="49"/>
      <c r="R11" s="2"/>
    </row>
    <row r="12" spans="1:18" ht="15.75" thickBot="1" x14ac:dyDescent="0.3">
      <c r="A12" s="121"/>
      <c r="B12" s="121"/>
      <c r="C12" s="121"/>
      <c r="D12" s="121"/>
      <c r="E12" s="121"/>
      <c r="F12" s="121"/>
      <c r="G12" s="121"/>
      <c r="H12" s="121"/>
      <c r="I12" s="121"/>
      <c r="J12" s="121"/>
      <c r="K12" s="121"/>
      <c r="L12" s="121"/>
      <c r="M12" s="121"/>
      <c r="N12" s="121"/>
      <c r="O12" s="121"/>
      <c r="P12" s="62"/>
      <c r="Q12" s="49"/>
      <c r="R12" s="2"/>
    </row>
    <row r="13" spans="1:18" ht="15.75" thickBot="1" x14ac:dyDescent="0.3">
      <c r="A13" s="122"/>
      <c r="B13" s="121"/>
      <c r="C13" s="121"/>
      <c r="D13" s="119"/>
      <c r="E13" s="119"/>
      <c r="F13" s="123"/>
      <c r="G13" s="53" t="s">
        <v>96</v>
      </c>
      <c r="H13" s="54"/>
      <c r="I13" s="54"/>
      <c r="J13" s="54"/>
      <c r="K13" s="54"/>
      <c r="L13" s="54"/>
      <c r="M13" s="54"/>
      <c r="N13" s="54"/>
      <c r="O13" s="85"/>
      <c r="P13" s="62" t="s">
        <v>9</v>
      </c>
      <c r="Q13" s="49"/>
      <c r="R13" s="2"/>
    </row>
    <row r="14" spans="1:18" ht="15.75" thickBot="1" x14ac:dyDescent="0.3">
      <c r="A14" s="121"/>
      <c r="B14" s="121"/>
      <c r="C14" s="121"/>
      <c r="D14" s="120"/>
      <c r="E14" s="120"/>
      <c r="F14" s="121"/>
      <c r="G14" s="125" t="s">
        <v>105</v>
      </c>
      <c r="H14" s="1"/>
      <c r="I14" s="1"/>
      <c r="J14" s="87" t="s">
        <v>103</v>
      </c>
      <c r="K14" s="1"/>
      <c r="L14" s="89" t="s">
        <v>106</v>
      </c>
      <c r="M14" s="1"/>
      <c r="N14" s="1"/>
      <c r="O14" s="1"/>
      <c r="P14" s="62"/>
      <c r="Q14" s="49"/>
      <c r="R14" s="2"/>
    </row>
    <row r="15" spans="1:18" ht="15.75" thickBot="1" x14ac:dyDescent="0.3">
      <c r="A15" s="121"/>
      <c r="B15" s="121"/>
      <c r="C15" s="121"/>
      <c r="D15" s="121"/>
      <c r="E15" s="121"/>
      <c r="F15" s="121"/>
      <c r="G15" s="126" t="s">
        <v>102</v>
      </c>
      <c r="H15" s="4"/>
      <c r="I15" s="49"/>
      <c r="J15" s="2">
        <v>500</v>
      </c>
      <c r="K15" s="1"/>
      <c r="L15" s="88" t="s">
        <v>104</v>
      </c>
      <c r="M15" s="2">
        <v>200</v>
      </c>
      <c r="N15" s="2">
        <v>500</v>
      </c>
      <c r="O15" s="50" t="s">
        <v>83</v>
      </c>
      <c r="P15" s="62" t="s">
        <v>12</v>
      </c>
      <c r="Q15" s="49"/>
      <c r="R15" s="2">
        <v>1</v>
      </c>
    </row>
    <row r="16" spans="1:18" ht="15.75" thickBot="1" x14ac:dyDescent="0.3">
      <c r="A16" s="124"/>
      <c r="B16" s="121"/>
      <c r="C16" s="121"/>
      <c r="D16" s="121"/>
      <c r="E16" s="121"/>
      <c r="F16" s="121"/>
      <c r="G16" s="126" t="s">
        <v>98</v>
      </c>
      <c r="H16" s="4"/>
      <c r="I16" s="49"/>
      <c r="J16" s="2">
        <v>1.5</v>
      </c>
      <c r="K16" s="1"/>
      <c r="L16" s="1"/>
      <c r="M16" s="1"/>
      <c r="N16" s="1"/>
      <c r="O16" s="1"/>
      <c r="P16" s="62" t="s">
        <v>6</v>
      </c>
      <c r="Q16" s="49"/>
      <c r="R16" s="2">
        <v>1</v>
      </c>
    </row>
    <row r="17" spans="1:20" ht="15.75" thickBot="1" x14ac:dyDescent="0.3">
      <c r="A17" s="121"/>
      <c r="B17" s="121"/>
      <c r="C17" s="121"/>
      <c r="D17" s="121"/>
      <c r="E17" s="121"/>
      <c r="F17" s="121"/>
      <c r="G17" s="126" t="s">
        <v>99</v>
      </c>
      <c r="H17" s="4"/>
      <c r="I17" s="49"/>
      <c r="J17" s="2">
        <v>300</v>
      </c>
      <c r="K17" s="1"/>
      <c r="L17" s="1"/>
      <c r="M17" s="1"/>
      <c r="N17" s="1"/>
      <c r="O17" s="1"/>
      <c r="P17" s="62" t="s">
        <v>15</v>
      </c>
      <c r="Q17" s="49"/>
      <c r="R17" s="2"/>
    </row>
    <row r="18" spans="1:20" ht="15.75" thickBot="1" x14ac:dyDescent="0.3">
      <c r="A18" s="59"/>
      <c r="B18" s="60"/>
      <c r="C18" s="60"/>
      <c r="D18" s="60"/>
      <c r="E18" s="60"/>
      <c r="F18" s="60"/>
      <c r="G18" s="126" t="s">
        <v>100</v>
      </c>
      <c r="H18" s="4"/>
      <c r="I18" s="49"/>
      <c r="J18" s="2">
        <v>300</v>
      </c>
      <c r="K18" s="1"/>
      <c r="L18" s="1"/>
      <c r="M18" s="1"/>
      <c r="N18" s="1"/>
      <c r="O18" s="1"/>
      <c r="P18" s="62" t="s">
        <v>4</v>
      </c>
      <c r="Q18" s="49"/>
      <c r="R18" s="2">
        <v>1</v>
      </c>
    </row>
    <row r="19" spans="1:20" ht="15.75" thickBot="1" x14ac:dyDescent="0.3">
      <c r="A19" s="53" t="s">
        <v>87</v>
      </c>
      <c r="B19" s="54"/>
      <c r="C19" s="54"/>
      <c r="D19" s="54"/>
      <c r="E19" s="54"/>
      <c r="F19" s="54"/>
      <c r="G19" s="126" t="s">
        <v>101</v>
      </c>
      <c r="H19" s="4"/>
      <c r="I19" s="49"/>
      <c r="J19" s="2">
        <v>10</v>
      </c>
      <c r="K19" s="88" t="s">
        <v>110</v>
      </c>
      <c r="L19" s="2">
        <v>2</v>
      </c>
      <c r="M19" s="88" t="s">
        <v>109</v>
      </c>
      <c r="N19" s="2">
        <v>2</v>
      </c>
      <c r="O19" s="86"/>
      <c r="P19" s="62"/>
      <c r="Q19" s="49"/>
      <c r="R19" s="2"/>
    </row>
    <row r="20" spans="1:20" ht="15.75" thickBot="1" x14ac:dyDescent="0.3">
      <c r="A20" s="55"/>
      <c r="B20" s="1"/>
      <c r="C20" s="1"/>
      <c r="D20" s="1"/>
      <c r="E20" s="1"/>
      <c r="F20" s="1"/>
      <c r="G20" s="127"/>
      <c r="H20" s="1"/>
      <c r="I20" s="1"/>
      <c r="J20" s="1"/>
      <c r="K20" s="1"/>
      <c r="L20" s="1"/>
      <c r="M20" s="1"/>
      <c r="N20" s="1"/>
      <c r="O20" s="1"/>
      <c r="P20" s="62"/>
      <c r="Q20" s="49"/>
      <c r="R20" s="2"/>
    </row>
    <row r="21" spans="1:20" ht="15.75" thickBot="1" x14ac:dyDescent="0.3">
      <c r="A21" s="57" t="s">
        <v>76</v>
      </c>
      <c r="B21" s="4"/>
      <c r="C21" s="49"/>
      <c r="D21" s="2">
        <v>5</v>
      </c>
      <c r="E21" s="50" t="s">
        <v>19</v>
      </c>
      <c r="F21" s="1"/>
      <c r="G21" s="126" t="s">
        <v>88</v>
      </c>
      <c r="H21" s="4"/>
      <c r="I21" s="49"/>
      <c r="J21" s="2">
        <v>10</v>
      </c>
      <c r="K21" s="50" t="s">
        <v>19</v>
      </c>
      <c r="L21" s="1"/>
      <c r="M21" s="1"/>
      <c r="N21" s="1"/>
      <c r="O21" s="1"/>
      <c r="P21" s="62" t="s">
        <v>31</v>
      </c>
      <c r="Q21" s="49"/>
      <c r="R21" s="2"/>
    </row>
    <row r="22" spans="1:20" ht="15.75" thickBot="1" x14ac:dyDescent="0.3">
      <c r="A22" s="57" t="s">
        <v>77</v>
      </c>
      <c r="B22" s="4"/>
      <c r="C22" s="49"/>
      <c r="D22" s="2">
        <v>0.1</v>
      </c>
      <c r="E22" s="50" t="s">
        <v>82</v>
      </c>
      <c r="F22" s="1"/>
      <c r="G22" s="126" t="s">
        <v>89</v>
      </c>
      <c r="H22" s="4"/>
      <c r="I22" s="49"/>
      <c r="J22" s="105" t="s">
        <v>43</v>
      </c>
      <c r="K22" s="106"/>
      <c r="L22" s="1"/>
      <c r="M22" s="1"/>
      <c r="N22" s="1"/>
      <c r="O22" s="56"/>
      <c r="P22" s="62" t="s">
        <v>41</v>
      </c>
      <c r="Q22" s="49"/>
      <c r="R22" s="2"/>
    </row>
    <row r="23" spans="1:20" ht="15.75" thickBot="1" x14ac:dyDescent="0.3">
      <c r="A23" s="57" t="s">
        <v>78</v>
      </c>
      <c r="B23" s="4"/>
      <c r="C23" s="49"/>
      <c r="D23" s="2">
        <v>5</v>
      </c>
      <c r="E23" s="50" t="s">
        <v>83</v>
      </c>
      <c r="F23" s="1"/>
      <c r="G23" s="127"/>
      <c r="L23" s="41"/>
      <c r="M23" s="1"/>
      <c r="N23" s="1"/>
      <c r="O23" s="56"/>
      <c r="P23" s="62" t="s">
        <v>48</v>
      </c>
      <c r="Q23" s="49"/>
      <c r="R23" s="2"/>
    </row>
    <row r="24" spans="1:20" ht="15.75" thickBot="1" x14ac:dyDescent="0.3">
      <c r="A24" s="58"/>
      <c r="B24" s="1"/>
      <c r="C24" s="1"/>
      <c r="D24" s="1"/>
      <c r="E24" s="50"/>
      <c r="F24" s="1"/>
      <c r="G24" s="128"/>
      <c r="H24" s="121"/>
      <c r="I24" s="121"/>
      <c r="J24" s="120"/>
      <c r="K24" s="1"/>
      <c r="L24" s="1"/>
      <c r="M24" s="1"/>
      <c r="N24" s="1"/>
      <c r="O24" s="56"/>
    </row>
    <row r="25" spans="1:20" ht="15.75" thickBot="1" x14ac:dyDescent="0.3">
      <c r="A25" s="57" t="s">
        <v>79</v>
      </c>
      <c r="B25" s="4"/>
      <c r="C25" s="49"/>
      <c r="D25" s="2">
        <v>5</v>
      </c>
      <c r="E25" s="50" t="s">
        <v>19</v>
      </c>
      <c r="F25" s="1"/>
      <c r="G25" s="128"/>
      <c r="H25" s="121"/>
      <c r="I25" s="121"/>
      <c r="J25" s="120"/>
      <c r="K25" s="41"/>
      <c r="L25" s="50"/>
      <c r="M25" s="1"/>
      <c r="N25" s="1"/>
      <c r="O25" s="1"/>
      <c r="P25" s="94" t="s">
        <v>128</v>
      </c>
    </row>
    <row r="26" spans="1:20" ht="15.75" thickBot="1" x14ac:dyDescent="0.3">
      <c r="A26" s="57" t="s">
        <v>80</v>
      </c>
      <c r="B26" s="4"/>
      <c r="C26" s="49"/>
      <c r="D26" s="2">
        <v>0.1</v>
      </c>
      <c r="E26" s="50" t="s">
        <v>82</v>
      </c>
      <c r="F26" s="1"/>
      <c r="G26" s="128"/>
      <c r="H26" s="121"/>
      <c r="I26" s="121"/>
      <c r="J26" s="120"/>
      <c r="K26" s="1"/>
      <c r="L26" s="1"/>
      <c r="M26" s="1"/>
      <c r="N26" s="1"/>
      <c r="O26" s="56"/>
    </row>
    <row r="27" spans="1:20" ht="15.75" thickBot="1" x14ac:dyDescent="0.3">
      <c r="A27" s="57" t="s">
        <v>81</v>
      </c>
      <c r="B27" s="4"/>
      <c r="C27" s="49"/>
      <c r="D27" s="2">
        <v>5</v>
      </c>
      <c r="E27" s="50" t="s">
        <v>83</v>
      </c>
      <c r="F27" s="1"/>
      <c r="G27" s="129"/>
      <c r="H27" s="121"/>
      <c r="I27" s="121"/>
      <c r="J27" s="121"/>
      <c r="K27" s="1"/>
      <c r="L27" s="1"/>
      <c r="M27" s="1"/>
      <c r="N27" s="1"/>
      <c r="O27" s="1"/>
      <c r="P27" s="115" t="s">
        <v>117</v>
      </c>
      <c r="Q27" s="116"/>
      <c r="R27" s="2">
        <v>100</v>
      </c>
      <c r="T27" t="s">
        <v>118</v>
      </c>
    </row>
    <row r="28" spans="1:20" ht="15.75" thickBot="1" x14ac:dyDescent="0.3">
      <c r="A28" s="57" t="s">
        <v>84</v>
      </c>
      <c r="B28" s="4"/>
      <c r="C28" s="49"/>
      <c r="D28" s="2">
        <v>1</v>
      </c>
      <c r="E28" s="50"/>
      <c r="F28" s="1"/>
      <c r="G28" s="62" t="s">
        <v>107</v>
      </c>
      <c r="H28" s="4"/>
      <c r="I28" s="49"/>
      <c r="J28" s="2">
        <v>1</v>
      </c>
      <c r="K28" s="50" t="s">
        <v>108</v>
      </c>
      <c r="L28" s="1"/>
      <c r="M28" s="1"/>
      <c r="N28" s="1"/>
      <c r="O28" s="1"/>
      <c r="P28" s="115" t="s">
        <v>1</v>
      </c>
      <c r="Q28" s="116"/>
      <c r="R28" s="2">
        <v>0</v>
      </c>
      <c r="T28" t="s">
        <v>119</v>
      </c>
    </row>
    <row r="29" spans="1:20" ht="15.75" thickBot="1" x14ac:dyDescent="0.3">
      <c r="A29" s="57" t="s">
        <v>85</v>
      </c>
      <c r="B29" s="4"/>
      <c r="C29" s="49"/>
      <c r="D29" s="2">
        <v>1</v>
      </c>
      <c r="E29" s="50"/>
      <c r="F29" s="1"/>
      <c r="G29" s="55"/>
      <c r="K29" s="1"/>
      <c r="L29" s="1"/>
      <c r="M29" s="1"/>
      <c r="N29" s="1"/>
      <c r="O29" s="1"/>
      <c r="P29" s="115" t="s">
        <v>120</v>
      </c>
      <c r="Q29" s="116"/>
      <c r="R29" s="2">
        <v>0</v>
      </c>
      <c r="S29" t="s">
        <v>19</v>
      </c>
      <c r="T29" t="s">
        <v>121</v>
      </c>
    </row>
    <row r="30" spans="1:20" ht="15.75" thickBot="1" x14ac:dyDescent="0.3">
      <c r="A30" s="58"/>
      <c r="B30" s="1"/>
      <c r="C30" s="1"/>
      <c r="D30" s="1"/>
      <c r="E30" s="50"/>
      <c r="F30" s="1"/>
      <c r="G30" s="62" t="s">
        <v>129</v>
      </c>
      <c r="H30" s="4"/>
      <c r="I30" s="49"/>
      <c r="J30" s="2">
        <v>100</v>
      </c>
      <c r="K30" s="1"/>
      <c r="L30" s="1"/>
      <c r="M30" s="1"/>
      <c r="N30" s="1"/>
      <c r="O30" s="1"/>
      <c r="P30" s="115" t="s">
        <v>31</v>
      </c>
      <c r="Q30" s="116"/>
      <c r="R30" s="2">
        <v>0</v>
      </c>
      <c r="T30" t="s">
        <v>122</v>
      </c>
    </row>
    <row r="31" spans="1:20" ht="15.75" thickBot="1" x14ac:dyDescent="0.3">
      <c r="A31" s="50"/>
      <c r="B31" s="1"/>
      <c r="C31" s="1"/>
      <c r="D31" s="41"/>
      <c r="E31" s="50"/>
      <c r="F31" s="56"/>
      <c r="G31" s="55"/>
      <c r="H31" s="1"/>
      <c r="I31" s="1"/>
      <c r="J31" s="1"/>
      <c r="K31" s="1"/>
      <c r="L31" s="1"/>
      <c r="M31" s="1"/>
      <c r="N31" s="1"/>
      <c r="O31" s="1"/>
      <c r="P31" s="113" t="s">
        <v>41</v>
      </c>
      <c r="Q31" s="114"/>
      <c r="R31" s="2">
        <v>0</v>
      </c>
      <c r="S31" t="s">
        <v>19</v>
      </c>
      <c r="T31" t="s">
        <v>123</v>
      </c>
    </row>
    <row r="32" spans="1:20" ht="15.75" thickBot="1" x14ac:dyDescent="0.3">
      <c r="A32" s="50"/>
      <c r="B32" s="1"/>
      <c r="C32" s="1"/>
      <c r="D32" s="41"/>
      <c r="E32" s="50"/>
      <c r="F32" s="56"/>
      <c r="G32" s="55"/>
      <c r="H32" s="1"/>
      <c r="I32" s="1"/>
      <c r="J32" s="1"/>
      <c r="K32" s="1"/>
      <c r="L32" s="1"/>
      <c r="M32" s="1"/>
      <c r="N32" s="1"/>
      <c r="O32" s="1"/>
      <c r="P32" s="113" t="s">
        <v>124</v>
      </c>
      <c r="Q32" s="114"/>
      <c r="R32" s="95">
        <v>0.5</v>
      </c>
      <c r="S32" t="s">
        <v>108</v>
      </c>
      <c r="T32" t="s">
        <v>125</v>
      </c>
    </row>
    <row r="33" spans="1:21" ht="15.75" thickBot="1" x14ac:dyDescent="0.3">
      <c r="A33" s="50"/>
      <c r="B33" s="1"/>
      <c r="C33" s="1"/>
      <c r="D33" s="41"/>
      <c r="E33" s="50"/>
      <c r="F33" s="56"/>
      <c r="G33" s="55"/>
      <c r="H33" s="1"/>
      <c r="I33" s="1"/>
      <c r="J33" s="1"/>
      <c r="K33" s="1"/>
      <c r="L33" s="1"/>
      <c r="M33" s="1"/>
      <c r="N33" s="1"/>
      <c r="O33" s="1"/>
      <c r="P33" s="113" t="s">
        <v>126</v>
      </c>
      <c r="Q33" s="114"/>
      <c r="R33" s="96">
        <v>14</v>
      </c>
      <c r="S33" t="s">
        <v>108</v>
      </c>
      <c r="T33" t="s">
        <v>127</v>
      </c>
    </row>
    <row r="34" spans="1:21" ht="8.25" customHeight="1" x14ac:dyDescent="0.25">
      <c r="A34" s="55"/>
      <c r="B34" s="1"/>
      <c r="C34" s="1"/>
      <c r="D34" s="1"/>
      <c r="E34" s="1"/>
      <c r="F34" s="56"/>
      <c r="G34" s="55"/>
      <c r="H34" s="1"/>
      <c r="I34" s="1"/>
      <c r="J34" s="1"/>
      <c r="K34" s="1"/>
      <c r="L34" s="1"/>
      <c r="M34" s="1"/>
      <c r="N34" s="1"/>
      <c r="O34" s="56"/>
    </row>
    <row r="35" spans="1:21" ht="15.75" thickBot="1" x14ac:dyDescent="0.3">
      <c r="A35" s="55"/>
      <c r="B35" s="1"/>
      <c r="C35" s="1"/>
      <c r="D35" s="1"/>
      <c r="E35" s="1"/>
      <c r="F35" s="56"/>
      <c r="G35" s="55"/>
      <c r="H35" s="1"/>
      <c r="I35" s="1"/>
      <c r="J35" s="1"/>
      <c r="K35" s="1"/>
      <c r="L35" s="1"/>
      <c r="M35" s="1"/>
      <c r="N35" s="1"/>
      <c r="O35" s="56"/>
      <c r="P35" s="94" t="s">
        <v>131</v>
      </c>
      <c r="T35" s="103" t="s">
        <v>132</v>
      </c>
    </row>
    <row r="36" spans="1:21" x14ac:dyDescent="0.25">
      <c r="A36" s="55"/>
      <c r="B36" s="1"/>
      <c r="C36" s="1"/>
      <c r="D36" s="1"/>
      <c r="E36" s="1"/>
      <c r="F36" s="56"/>
      <c r="G36" s="55"/>
      <c r="H36" s="1"/>
      <c r="I36" s="1"/>
      <c r="J36" s="1"/>
      <c r="K36" s="1"/>
      <c r="L36" s="1"/>
      <c r="M36" s="1"/>
      <c r="N36" s="1"/>
      <c r="O36" s="1"/>
      <c r="P36" s="97"/>
      <c r="Q36" s="98"/>
      <c r="R36" s="99"/>
      <c r="T36" s="97"/>
      <c r="U36" s="99"/>
    </row>
    <row r="37" spans="1:21" ht="15.75" thickBot="1" x14ac:dyDescent="0.3">
      <c r="A37" s="59"/>
      <c r="B37" s="60"/>
      <c r="C37" s="60"/>
      <c r="D37" s="60"/>
      <c r="E37" s="60"/>
      <c r="F37" s="61"/>
      <c r="G37" s="59"/>
      <c r="H37" s="60"/>
      <c r="I37" s="60"/>
      <c r="J37" s="60"/>
      <c r="K37" s="60"/>
      <c r="L37" s="60"/>
      <c r="M37" s="60"/>
      <c r="N37" s="60"/>
      <c r="O37" s="60"/>
      <c r="P37" s="100"/>
      <c r="Q37" s="101"/>
      <c r="R37" s="102"/>
      <c r="T37" s="100"/>
      <c r="U37" s="102"/>
    </row>
  </sheetData>
  <mergeCells count="8">
    <mergeCell ref="P31:Q31"/>
    <mergeCell ref="P32:Q32"/>
    <mergeCell ref="P33:Q33"/>
    <mergeCell ref="J22:K22"/>
    <mergeCell ref="P27:Q27"/>
    <mergeCell ref="P28:Q28"/>
    <mergeCell ref="P29:Q29"/>
    <mergeCell ref="P30:Q30"/>
  </mergeCells>
  <dataValidations disablePrompts="1" count="1">
    <dataValidation allowBlank="1" showInputMessage="1" sqref="L23"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UpdatePeakLabels_Peaksheet">
                <anchor moveWithCells="1" sizeWithCells="1">
                  <from>
                    <xdr:col>0</xdr:col>
                    <xdr:colOff>114300</xdr:colOff>
                    <xdr:row>34</xdr:row>
                    <xdr:rowOff>28575</xdr:rowOff>
                  </from>
                  <to>
                    <xdr:col>1</xdr:col>
                    <xdr:colOff>600075</xdr:colOff>
                    <xdr:row>35</xdr:row>
                    <xdr:rowOff>161925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11</xdr:col>
                    <xdr:colOff>9525</xdr:colOff>
                    <xdr:row>20</xdr:row>
                    <xdr:rowOff>0</xdr:rowOff>
                  </from>
                  <to>
                    <xdr:col>13</xdr:col>
                    <xdr:colOff>581025</xdr:colOff>
                    <xdr:row>21</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xdr:col>
                    <xdr:colOff>0</xdr:colOff>
                    <xdr:row>23</xdr:row>
                    <xdr:rowOff>9525</xdr:rowOff>
                  </from>
                  <to>
                    <xdr:col>13</xdr:col>
                    <xdr:colOff>600075</xdr:colOff>
                    <xdr:row>24</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xdr:col>
                    <xdr:colOff>0</xdr:colOff>
                    <xdr:row>24</xdr:row>
                    <xdr:rowOff>9525</xdr:rowOff>
                  </from>
                  <to>
                    <xdr:col>13</xdr:col>
                    <xdr:colOff>600075</xdr:colOff>
                    <xdr:row>25</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15</xdr:col>
                    <xdr:colOff>28575</xdr:colOff>
                    <xdr:row>1</xdr:row>
                    <xdr:rowOff>180975</xdr:rowOff>
                  </from>
                  <to>
                    <xdr:col>17</xdr:col>
                    <xdr:colOff>600075</xdr:colOff>
                    <xdr:row>3</xdr:row>
                    <xdr:rowOff>0</xdr:rowOff>
                  </to>
                </anchor>
              </controlPr>
            </control>
          </mc:Choice>
        </mc:AlternateContent>
        <mc:AlternateContent xmlns:mc="http://schemas.openxmlformats.org/markup-compatibility/2006">
          <mc:Choice Requires="x14">
            <control shapeId="2056" r:id="rId9" name="Option Button 8">
              <controlPr defaultSize="0" autoFill="0" autoLine="0" autoPict="0">
                <anchor moveWithCells="1">
                  <from>
                    <xdr:col>8</xdr:col>
                    <xdr:colOff>247650</xdr:colOff>
                    <xdr:row>14</xdr:row>
                    <xdr:rowOff>0</xdr:rowOff>
                  </from>
                  <to>
                    <xdr:col>8</xdr:col>
                    <xdr:colOff>466725</xdr:colOff>
                    <xdr:row>15</xdr:row>
                    <xdr:rowOff>0</xdr:rowOff>
                  </to>
                </anchor>
              </controlPr>
            </control>
          </mc:Choice>
        </mc:AlternateContent>
        <mc:AlternateContent xmlns:mc="http://schemas.openxmlformats.org/markup-compatibility/2006">
          <mc:Choice Requires="x14">
            <control shapeId="2057" r:id="rId10" name="Option Button 9">
              <controlPr defaultSize="0" autoFill="0" autoLine="0" autoPict="0">
                <anchor moveWithCells="1">
                  <from>
                    <xdr:col>8</xdr:col>
                    <xdr:colOff>247650</xdr:colOff>
                    <xdr:row>15</xdr:row>
                    <xdr:rowOff>0</xdr:rowOff>
                  </from>
                  <to>
                    <xdr:col>8</xdr:col>
                    <xdr:colOff>466725</xdr:colOff>
                    <xdr:row>16</xdr:row>
                    <xdr:rowOff>0</xdr:rowOff>
                  </to>
                </anchor>
              </controlPr>
            </control>
          </mc:Choice>
        </mc:AlternateContent>
        <mc:AlternateContent xmlns:mc="http://schemas.openxmlformats.org/markup-compatibility/2006">
          <mc:Choice Requires="x14">
            <control shapeId="2058" r:id="rId11" name="Option Button 10">
              <controlPr defaultSize="0" autoFill="0" autoLine="0" autoPict="0">
                <anchor moveWithCells="1">
                  <from>
                    <xdr:col>8</xdr:col>
                    <xdr:colOff>247650</xdr:colOff>
                    <xdr:row>15</xdr:row>
                    <xdr:rowOff>190500</xdr:rowOff>
                  </from>
                  <to>
                    <xdr:col>8</xdr:col>
                    <xdr:colOff>466725</xdr:colOff>
                    <xdr:row>16</xdr:row>
                    <xdr:rowOff>190500</xdr:rowOff>
                  </to>
                </anchor>
              </controlPr>
            </control>
          </mc:Choice>
        </mc:AlternateContent>
        <mc:AlternateContent xmlns:mc="http://schemas.openxmlformats.org/markup-compatibility/2006">
          <mc:Choice Requires="x14">
            <control shapeId="2059" r:id="rId12" name="Option Button 11">
              <controlPr defaultSize="0" autoFill="0" autoLine="0" autoPict="0">
                <anchor moveWithCells="1">
                  <from>
                    <xdr:col>8</xdr:col>
                    <xdr:colOff>247650</xdr:colOff>
                    <xdr:row>16</xdr:row>
                    <xdr:rowOff>180975</xdr:rowOff>
                  </from>
                  <to>
                    <xdr:col>8</xdr:col>
                    <xdr:colOff>466725</xdr:colOff>
                    <xdr:row>17</xdr:row>
                    <xdr:rowOff>180975</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8</xdr:col>
                    <xdr:colOff>247650</xdr:colOff>
                    <xdr:row>17</xdr:row>
                    <xdr:rowOff>190500</xdr:rowOff>
                  </from>
                  <to>
                    <xdr:col>8</xdr:col>
                    <xdr:colOff>466725</xdr:colOff>
                    <xdr:row>18</xdr:row>
                    <xdr:rowOff>190500</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11</xdr:col>
                    <xdr:colOff>0</xdr:colOff>
                    <xdr:row>25</xdr:row>
                    <xdr:rowOff>9525</xdr:rowOff>
                  </from>
                  <to>
                    <xdr:col>14</xdr:col>
                    <xdr:colOff>276225</xdr:colOff>
                    <xdr:row>26</xdr:row>
                    <xdr:rowOff>19050</xdr:rowOff>
                  </to>
                </anchor>
              </controlPr>
            </control>
          </mc:Choice>
        </mc:AlternateContent>
        <mc:AlternateContent xmlns:mc="http://schemas.openxmlformats.org/markup-compatibility/2006">
          <mc:Choice Requires="x14">
            <control shapeId="2063" r:id="rId15" name="Check Box 15">
              <controlPr defaultSize="0" autoFill="0" autoLine="0" autoPict="0">
                <anchor moveWithCells="1">
                  <from>
                    <xdr:col>11</xdr:col>
                    <xdr:colOff>0</xdr:colOff>
                    <xdr:row>26</xdr:row>
                    <xdr:rowOff>190500</xdr:rowOff>
                  </from>
                  <to>
                    <xdr:col>14</xdr:col>
                    <xdr:colOff>38100</xdr:colOff>
                    <xdr:row>28</xdr:row>
                    <xdr:rowOff>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11</xdr:col>
                    <xdr:colOff>0</xdr:colOff>
                    <xdr:row>27</xdr:row>
                    <xdr:rowOff>190500</xdr:rowOff>
                  </from>
                  <to>
                    <xdr:col>14</xdr:col>
                    <xdr:colOff>38100</xdr:colOff>
                    <xdr:row>29</xdr:row>
                    <xdr:rowOff>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11</xdr:col>
                    <xdr:colOff>9525</xdr:colOff>
                    <xdr:row>16</xdr:row>
                    <xdr:rowOff>104775</xdr:rowOff>
                  </from>
                  <to>
                    <xdr:col>14</xdr:col>
                    <xdr:colOff>285750</xdr:colOff>
                    <xdr:row>17</xdr:row>
                    <xdr:rowOff>114300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11</xdr:col>
                    <xdr:colOff>9525</xdr:colOff>
                    <xdr:row>15</xdr:row>
                    <xdr:rowOff>85725</xdr:rowOff>
                  </from>
                  <to>
                    <xdr:col>14</xdr:col>
                    <xdr:colOff>285750</xdr:colOff>
                    <xdr:row>16</xdr:row>
                    <xdr:rowOff>95250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15</xdr:col>
                    <xdr:colOff>9525</xdr:colOff>
                    <xdr:row>24</xdr:row>
                    <xdr:rowOff>180975</xdr:rowOff>
                  </from>
                  <to>
                    <xdr:col>17</xdr:col>
                    <xdr:colOff>581025</xdr:colOff>
                    <xdr:row>25</xdr:row>
                    <xdr:rowOff>180975</xdr:rowOff>
                  </to>
                </anchor>
              </controlPr>
            </control>
          </mc:Choice>
        </mc:AlternateContent>
        <mc:AlternateContent xmlns:mc="http://schemas.openxmlformats.org/markup-compatibility/2006">
          <mc:Choice Requires="x14">
            <control shapeId="2068" r:id="rId20" name="Option Button 20">
              <controlPr defaultSize="0" autoFill="0" autoLine="0" autoPict="0">
                <anchor moveWithCells="1" sizeWithCells="1">
                  <from>
                    <xdr:col>19</xdr:col>
                    <xdr:colOff>9525</xdr:colOff>
                    <xdr:row>35</xdr:row>
                    <xdr:rowOff>19050</xdr:rowOff>
                  </from>
                  <to>
                    <xdr:col>20</xdr:col>
                    <xdr:colOff>581025</xdr:colOff>
                    <xdr:row>35</xdr:row>
                    <xdr:rowOff>180975</xdr:rowOff>
                  </to>
                </anchor>
              </controlPr>
            </control>
          </mc:Choice>
        </mc:AlternateContent>
        <mc:AlternateContent xmlns:mc="http://schemas.openxmlformats.org/markup-compatibility/2006">
          <mc:Choice Requires="x14">
            <control shapeId="2069" r:id="rId21" name="Option Button 21">
              <controlPr defaultSize="0" autoFill="0" autoLine="0" autoPict="0">
                <anchor moveWithCells="1" sizeWithCells="1">
                  <from>
                    <xdr:col>19</xdr:col>
                    <xdr:colOff>9525</xdr:colOff>
                    <xdr:row>36</xdr:row>
                    <xdr:rowOff>19050</xdr:rowOff>
                  </from>
                  <to>
                    <xdr:col>20</xdr:col>
                    <xdr:colOff>600075</xdr:colOff>
                    <xdr:row>36</xdr:row>
                    <xdr:rowOff>171450</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sizeWithCells="1">
                  <from>
                    <xdr:col>15</xdr:col>
                    <xdr:colOff>9525</xdr:colOff>
                    <xdr:row>35</xdr:row>
                    <xdr:rowOff>9525</xdr:rowOff>
                  </from>
                  <to>
                    <xdr:col>16</xdr:col>
                    <xdr:colOff>371475</xdr:colOff>
                    <xdr:row>35</xdr:row>
                    <xdr:rowOff>180975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sizeWithCells="1">
                  <from>
                    <xdr:col>15</xdr:col>
                    <xdr:colOff>9525</xdr:colOff>
                    <xdr:row>36</xdr:row>
                    <xdr:rowOff>9525</xdr:rowOff>
                  </from>
                  <to>
                    <xdr:col>16</xdr:col>
                    <xdr:colOff>371475</xdr:colOff>
                    <xdr:row>36</xdr:row>
                    <xdr:rowOff>180975</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sizeWithCells="1">
                  <from>
                    <xdr:col>16</xdr:col>
                    <xdr:colOff>381000</xdr:colOff>
                    <xdr:row>35</xdr:row>
                    <xdr:rowOff>9525</xdr:rowOff>
                  </from>
                  <to>
                    <xdr:col>17</xdr:col>
                    <xdr:colOff>590550</xdr:colOff>
                    <xdr:row>35</xdr:row>
                    <xdr:rowOff>180975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sizeWithCells="1">
                  <from>
                    <xdr:col>16</xdr:col>
                    <xdr:colOff>381000</xdr:colOff>
                    <xdr:row>36</xdr:row>
                    <xdr:rowOff>9525</xdr:rowOff>
                  </from>
                  <to>
                    <xdr:col>17</xdr:col>
                    <xdr:colOff>590550</xdr:colOff>
                    <xdr:row>36</xdr:row>
                    <xdr:rowOff>171450</xdr:rowOff>
                  </to>
                </anchor>
              </controlPr>
            </control>
          </mc:Choice>
        </mc:AlternateContent>
        <mc:AlternateContent xmlns:mc="http://schemas.openxmlformats.org/markup-compatibility/2006">
          <mc:Choice Requires="x14">
            <control shapeId="2074" r:id="rId26" name="Group Box 26">
              <controlPr defaultSize="0" autoFill="0" autoPict="0">
                <anchor moveWithCells="1">
                  <from>
                    <xdr:col>18</xdr:col>
                    <xdr:colOff>600075</xdr:colOff>
                    <xdr:row>35</xdr:row>
                    <xdr:rowOff>0</xdr:rowOff>
                  </from>
                  <to>
                    <xdr:col>20</xdr:col>
                    <xdr:colOff>600075</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Summary!$K$2:$K$29</xm:f>
          </x14:formula1>
          <xm:sqref>J22:K22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H227"/>
  <sheetViews>
    <sheetView workbookViewId="0"/>
  </sheetViews>
  <sheetFormatPr defaultRowHeight="15" x14ac:dyDescent="0.25"/>
  <sheetData>
    <row r="1" spans="1:8" x14ac:dyDescent="0.25">
      <c r="A1" t="s">
        <v>137</v>
      </c>
      <c r="B1">
        <v>1</v>
      </c>
      <c r="C1">
        <v>2</v>
      </c>
      <c r="D1">
        <v>3</v>
      </c>
      <c r="E1">
        <v>4</v>
      </c>
      <c r="F1">
        <v>5</v>
      </c>
      <c r="G1">
        <v>6</v>
      </c>
      <c r="H1">
        <v>7</v>
      </c>
    </row>
    <row r="2" spans="1:8" x14ac:dyDescent="0.25">
      <c r="A2">
        <v>190</v>
      </c>
      <c r="B2">
        <v>1.797175</v>
      </c>
      <c r="C2">
        <v>8.7263090000000005</v>
      </c>
      <c r="D2">
        <v>3.0871650000000002</v>
      </c>
      <c r="E2">
        <v>7.1087689999999997</v>
      </c>
      <c r="F2">
        <v>10.945239000000001</v>
      </c>
      <c r="G2">
        <v>1.7456400000000001</v>
      </c>
      <c r="H2">
        <v>54.521428</v>
      </c>
    </row>
    <row r="3" spans="1:8" x14ac:dyDescent="0.25">
      <c r="A3">
        <v>192</v>
      </c>
      <c r="B3">
        <v>1.919754</v>
      </c>
      <c r="C3">
        <v>7.846374</v>
      </c>
      <c r="D3">
        <v>3.092327</v>
      </c>
      <c r="E3">
        <v>7.1493339999999996</v>
      </c>
      <c r="F3">
        <v>10.928575</v>
      </c>
      <c r="G3">
        <v>1.761889</v>
      </c>
      <c r="H3">
        <v>47.800446999999998</v>
      </c>
    </row>
    <row r="4" spans="1:8" x14ac:dyDescent="0.25">
      <c r="A4">
        <v>194</v>
      </c>
      <c r="B4">
        <v>2.0252379999999999</v>
      </c>
      <c r="C4">
        <v>6.9523469999999996</v>
      </c>
      <c r="D4">
        <v>3.038923</v>
      </c>
      <c r="E4">
        <v>7.0285260000000003</v>
      </c>
      <c r="F4">
        <v>10.730467000000001</v>
      </c>
      <c r="G4">
        <v>1.7051590000000001</v>
      </c>
      <c r="H4">
        <v>40.559443999999999</v>
      </c>
    </row>
    <row r="5" spans="1:8" x14ac:dyDescent="0.25">
      <c r="A5">
        <v>196</v>
      </c>
      <c r="B5">
        <v>2.1274839999999999</v>
      </c>
      <c r="C5">
        <v>6.144603</v>
      </c>
      <c r="D5">
        <v>2.9538829999999998</v>
      </c>
      <c r="E5">
        <v>6.8190039999999996</v>
      </c>
      <c r="F5">
        <v>10.395326000000001</v>
      </c>
      <c r="G5">
        <v>1.6596010000000001</v>
      </c>
      <c r="H5">
        <v>33.725597999999998</v>
      </c>
    </row>
    <row r="6" spans="1:8" x14ac:dyDescent="0.25">
      <c r="A6">
        <v>198</v>
      </c>
      <c r="B6">
        <v>2.23129</v>
      </c>
      <c r="C6">
        <v>5.4985400000000002</v>
      </c>
      <c r="D6">
        <v>2.8093910000000002</v>
      </c>
      <c r="E6">
        <v>6.5429729999999999</v>
      </c>
      <c r="F6">
        <v>9.9468949999999996</v>
      </c>
      <c r="G6">
        <v>1.6308530000000001</v>
      </c>
      <c r="H6">
        <v>27.792705000000002</v>
      </c>
    </row>
    <row r="7" spans="1:8" x14ac:dyDescent="0.25">
      <c r="A7">
        <v>200</v>
      </c>
      <c r="B7">
        <v>2.3289200000000001</v>
      </c>
      <c r="C7">
        <v>5.0341139999999998</v>
      </c>
      <c r="D7">
        <v>2.6132369999999998</v>
      </c>
      <c r="E7">
        <v>6.2047619999999997</v>
      </c>
      <c r="F7">
        <v>9.3770819999999997</v>
      </c>
      <c r="G7">
        <v>1.599073</v>
      </c>
      <c r="H7">
        <v>22.688918000000001</v>
      </c>
    </row>
    <row r="8" spans="1:8" x14ac:dyDescent="0.25">
      <c r="A8">
        <v>202</v>
      </c>
      <c r="B8">
        <v>2.4320300000000001</v>
      </c>
      <c r="C8">
        <v>4.7323019999999998</v>
      </c>
      <c r="D8">
        <v>2.3485830000000001</v>
      </c>
      <c r="E8">
        <v>5.7810480000000002</v>
      </c>
      <c r="F8">
        <v>8.6539149999999996</v>
      </c>
      <c r="G8">
        <v>1.560341</v>
      </c>
      <c r="H8">
        <v>17.934373000000001</v>
      </c>
    </row>
    <row r="9" spans="1:8" x14ac:dyDescent="0.25">
      <c r="A9">
        <v>204</v>
      </c>
      <c r="B9">
        <v>2.514351</v>
      </c>
      <c r="C9">
        <v>4.5952979999999997</v>
      </c>
      <c r="D9">
        <v>2.0571190000000001</v>
      </c>
      <c r="E9">
        <v>5.3302459999999998</v>
      </c>
      <c r="F9">
        <v>7.9052730000000002</v>
      </c>
      <c r="G9">
        <v>1.545161</v>
      </c>
      <c r="H9">
        <v>13.832577000000001</v>
      </c>
    </row>
    <row r="10" spans="1:8" x14ac:dyDescent="0.25">
      <c r="A10">
        <v>206</v>
      </c>
      <c r="B10">
        <v>2.5553560000000002</v>
      </c>
      <c r="C10">
        <v>4.5660569999999998</v>
      </c>
      <c r="D10">
        <v>1.769577</v>
      </c>
      <c r="E10">
        <v>4.957446</v>
      </c>
      <c r="F10">
        <v>7.2694799999999997</v>
      </c>
      <c r="G10">
        <v>1.559558</v>
      </c>
      <c r="H10">
        <v>10.317144000000001</v>
      </c>
    </row>
    <row r="11" spans="1:8" x14ac:dyDescent="0.25">
      <c r="A11">
        <v>208</v>
      </c>
      <c r="B11">
        <v>2.5410469999999998</v>
      </c>
      <c r="C11">
        <v>4.6414160000000004</v>
      </c>
      <c r="D11">
        <v>1.49231</v>
      </c>
      <c r="E11">
        <v>4.6881599999999999</v>
      </c>
      <c r="F11">
        <v>6.7947600000000001</v>
      </c>
      <c r="G11">
        <v>1.588149</v>
      </c>
      <c r="H11">
        <v>7.1681010000000001</v>
      </c>
    </row>
    <row r="12" spans="1:8" x14ac:dyDescent="0.25">
      <c r="A12">
        <v>210</v>
      </c>
      <c r="B12">
        <v>2.4711059999999998</v>
      </c>
      <c r="C12">
        <v>4.781015</v>
      </c>
      <c r="D12">
        <v>1.257584</v>
      </c>
      <c r="E12">
        <v>4.5197510000000003</v>
      </c>
      <c r="F12">
        <v>6.5033329999999996</v>
      </c>
      <c r="G12">
        <v>1.628557</v>
      </c>
      <c r="H12">
        <v>4.6737529999999996</v>
      </c>
    </row>
    <row r="13" spans="1:8" x14ac:dyDescent="0.25">
      <c r="A13">
        <v>212</v>
      </c>
      <c r="B13">
        <v>2.3430719999999998</v>
      </c>
      <c r="C13">
        <v>4.9540839999999999</v>
      </c>
      <c r="D13">
        <v>1.05175</v>
      </c>
      <c r="E13">
        <v>4.4234850000000003</v>
      </c>
      <c r="F13">
        <v>6.3034939999999997</v>
      </c>
      <c r="G13">
        <v>1.667948</v>
      </c>
      <c r="H13">
        <v>2.842133</v>
      </c>
    </row>
    <row r="14" spans="1:8" x14ac:dyDescent="0.25">
      <c r="A14">
        <v>214</v>
      </c>
      <c r="B14">
        <v>2.1630829999999999</v>
      </c>
      <c r="C14">
        <v>5.1208879999999999</v>
      </c>
      <c r="D14">
        <v>0.878386</v>
      </c>
      <c r="E14">
        <v>4.3496589999999999</v>
      </c>
      <c r="F14">
        <v>6.1395400000000002</v>
      </c>
      <c r="G14">
        <v>1.701894</v>
      </c>
      <c r="H14">
        <v>1.612395</v>
      </c>
    </row>
    <row r="15" spans="1:8" x14ac:dyDescent="0.25">
      <c r="A15">
        <v>216</v>
      </c>
      <c r="B15">
        <v>1.959989</v>
      </c>
      <c r="C15">
        <v>5.255185</v>
      </c>
      <c r="D15">
        <v>0.72560000000000002</v>
      </c>
      <c r="E15">
        <v>4.2570160000000001</v>
      </c>
      <c r="F15">
        <v>5.9661299999999997</v>
      </c>
      <c r="G15">
        <v>1.7313210000000001</v>
      </c>
      <c r="H15">
        <v>0.80623599999999995</v>
      </c>
    </row>
    <row r="16" spans="1:8" x14ac:dyDescent="0.25">
      <c r="A16">
        <v>218</v>
      </c>
      <c r="B16">
        <v>1.763056</v>
      </c>
      <c r="C16">
        <v>5.3054220000000001</v>
      </c>
      <c r="D16">
        <v>0.595723</v>
      </c>
      <c r="E16">
        <v>4.1377499999999996</v>
      </c>
      <c r="F16">
        <v>5.7631500000000004</v>
      </c>
      <c r="G16">
        <v>1.7334940000000001</v>
      </c>
      <c r="H16">
        <v>0.30992599999999998</v>
      </c>
    </row>
    <row r="17" spans="1:8" x14ac:dyDescent="0.25">
      <c r="A17">
        <v>220</v>
      </c>
      <c r="B17">
        <v>1.616757</v>
      </c>
      <c r="C17">
        <v>5.1990990000000004</v>
      </c>
      <c r="D17">
        <v>0.51663300000000001</v>
      </c>
      <c r="E17">
        <v>3.991527</v>
      </c>
      <c r="F17">
        <v>5.5314139999999998</v>
      </c>
      <c r="G17">
        <v>1.7155210000000001</v>
      </c>
      <c r="H17">
        <v>2.5373E-2</v>
      </c>
    </row>
    <row r="18" spans="1:8" x14ac:dyDescent="0.25">
      <c r="A18">
        <v>222</v>
      </c>
      <c r="B18">
        <v>1.564228</v>
      </c>
      <c r="C18">
        <v>4.913125</v>
      </c>
      <c r="D18">
        <v>0.49323400000000001</v>
      </c>
      <c r="E18">
        <v>3.8236530000000002</v>
      </c>
      <c r="F18">
        <v>5.2866770000000001</v>
      </c>
      <c r="G18">
        <v>1.6791659999999999</v>
      </c>
      <c r="H18">
        <v>-0.125665</v>
      </c>
    </row>
    <row r="19" spans="1:8" x14ac:dyDescent="0.25">
      <c r="A19">
        <v>224</v>
      </c>
      <c r="B19">
        <v>1.6159669999999999</v>
      </c>
      <c r="C19">
        <v>4.4441740000000003</v>
      </c>
      <c r="D19">
        <v>0.51055099999999998</v>
      </c>
      <c r="E19">
        <v>3.6443989999999999</v>
      </c>
      <c r="F19">
        <v>5.0619149999999999</v>
      </c>
      <c r="G19">
        <v>1.6062620000000001</v>
      </c>
      <c r="H19">
        <v>-0.202431</v>
      </c>
    </row>
    <row r="20" spans="1:8" x14ac:dyDescent="0.25">
      <c r="A20">
        <v>226</v>
      </c>
      <c r="B20">
        <v>1.7725820000000001</v>
      </c>
      <c r="C20">
        <v>3.8321730000000001</v>
      </c>
      <c r="D20">
        <v>0.55197700000000005</v>
      </c>
      <c r="E20">
        <v>3.4650219999999998</v>
      </c>
      <c r="F20">
        <v>4.880452</v>
      </c>
      <c r="G20">
        <v>1.5078370000000001</v>
      </c>
      <c r="H20">
        <v>-0.24218000000000001</v>
      </c>
    </row>
    <row r="21" spans="1:8" x14ac:dyDescent="0.25">
      <c r="A21">
        <v>228</v>
      </c>
      <c r="B21">
        <v>2.0305580000000001</v>
      </c>
      <c r="C21">
        <v>3.1229680000000002</v>
      </c>
      <c r="D21">
        <v>0.60009299999999999</v>
      </c>
      <c r="E21">
        <v>3.3113290000000002</v>
      </c>
      <c r="F21">
        <v>4.7532719999999999</v>
      </c>
      <c r="G21">
        <v>1.390166</v>
      </c>
      <c r="H21">
        <v>-0.25493100000000002</v>
      </c>
    </row>
    <row r="22" spans="1:8" x14ac:dyDescent="0.25">
      <c r="A22">
        <v>230</v>
      </c>
      <c r="B22">
        <v>2.365202</v>
      </c>
      <c r="C22">
        <v>2.4403579999999998</v>
      </c>
      <c r="D22">
        <v>0.643459</v>
      </c>
      <c r="E22">
        <v>3.2044820000000001</v>
      </c>
      <c r="F22">
        <v>4.7084830000000002</v>
      </c>
      <c r="G22">
        <v>1.2558579999999999</v>
      </c>
      <c r="H22">
        <v>-0.24680099999999999</v>
      </c>
    </row>
    <row r="23" spans="1:8" x14ac:dyDescent="0.25">
      <c r="A23">
        <v>232</v>
      </c>
      <c r="B23">
        <v>2.7599200000000002</v>
      </c>
      <c r="C23">
        <v>1.8571759999999999</v>
      </c>
      <c r="D23">
        <v>0.687199</v>
      </c>
      <c r="E23">
        <v>3.1655410000000002</v>
      </c>
      <c r="F23">
        <v>4.758413</v>
      </c>
      <c r="G23">
        <v>1.1138410000000001</v>
      </c>
      <c r="H23">
        <v>-0.235014</v>
      </c>
    </row>
    <row r="24" spans="1:8" x14ac:dyDescent="0.25">
      <c r="A24">
        <v>234</v>
      </c>
      <c r="B24">
        <v>3.1846169999999998</v>
      </c>
      <c r="C24">
        <v>1.414007</v>
      </c>
      <c r="D24">
        <v>0.74282199999999998</v>
      </c>
      <c r="E24">
        <v>3.205422</v>
      </c>
      <c r="F24">
        <v>4.9259539999999999</v>
      </c>
      <c r="G24">
        <v>0.96386899999999998</v>
      </c>
      <c r="H24">
        <v>-0.212786</v>
      </c>
    </row>
    <row r="25" spans="1:8" x14ac:dyDescent="0.25">
      <c r="A25">
        <v>236</v>
      </c>
      <c r="B25">
        <v>3.5905499999999999</v>
      </c>
      <c r="C25">
        <v>1.146404</v>
      </c>
      <c r="D25">
        <v>0.79903599999999997</v>
      </c>
      <c r="E25">
        <v>3.3180740000000002</v>
      </c>
      <c r="F25">
        <v>5.2081900000000001</v>
      </c>
      <c r="G25">
        <v>0.82006699999999999</v>
      </c>
      <c r="H25">
        <v>-0.192857</v>
      </c>
    </row>
    <row r="26" spans="1:8" x14ac:dyDescent="0.25">
      <c r="A26">
        <v>238</v>
      </c>
      <c r="B26">
        <v>3.9708779999999999</v>
      </c>
      <c r="C26">
        <v>0.99877099999999996</v>
      </c>
      <c r="D26">
        <v>0.87794000000000005</v>
      </c>
      <c r="E26">
        <v>3.5290569999999999</v>
      </c>
      <c r="F26">
        <v>5.6334819999999999</v>
      </c>
      <c r="G26">
        <v>0.67460799999999999</v>
      </c>
      <c r="H26">
        <v>-0.16941700000000001</v>
      </c>
    </row>
    <row r="27" spans="1:8" x14ac:dyDescent="0.25">
      <c r="A27">
        <v>240</v>
      </c>
      <c r="B27">
        <v>4.2500640000000001</v>
      </c>
      <c r="C27">
        <v>0.93360500000000002</v>
      </c>
      <c r="D27">
        <v>0.96291199999999999</v>
      </c>
      <c r="E27">
        <v>3.8291140000000001</v>
      </c>
      <c r="F27">
        <v>6.1857920000000002</v>
      </c>
      <c r="G27">
        <v>0.54889299999999996</v>
      </c>
      <c r="H27">
        <v>-0.13956199999999999</v>
      </c>
    </row>
    <row r="28" spans="1:8" x14ac:dyDescent="0.25">
      <c r="A28">
        <v>242</v>
      </c>
      <c r="B28">
        <v>4.3949449999999999</v>
      </c>
      <c r="C28">
        <v>0.91516699999999995</v>
      </c>
      <c r="D28">
        <v>1.0464599999999999</v>
      </c>
      <c r="E28">
        <v>4.2253480000000003</v>
      </c>
      <c r="F28">
        <v>6.886819</v>
      </c>
      <c r="G28">
        <v>0.43803300000000001</v>
      </c>
      <c r="H28">
        <v>-0.11665200000000001</v>
      </c>
    </row>
    <row r="29" spans="1:8" x14ac:dyDescent="0.25">
      <c r="A29">
        <v>244</v>
      </c>
      <c r="B29">
        <v>4.3575520000000001</v>
      </c>
      <c r="C29">
        <v>0.92104799999999998</v>
      </c>
      <c r="D29">
        <v>1.133529</v>
      </c>
      <c r="E29">
        <v>4.6891790000000002</v>
      </c>
      <c r="F29">
        <v>7.6848229999999997</v>
      </c>
      <c r="G29">
        <v>0.33885300000000002</v>
      </c>
      <c r="H29">
        <v>-0.101117</v>
      </c>
    </row>
    <row r="30" spans="1:8" x14ac:dyDescent="0.25">
      <c r="A30">
        <v>246</v>
      </c>
      <c r="B30">
        <v>4.1356859999999998</v>
      </c>
      <c r="C30">
        <v>0.95237099999999997</v>
      </c>
      <c r="D30">
        <v>1.231374</v>
      </c>
      <c r="E30">
        <v>5.2413600000000002</v>
      </c>
      <c r="F30">
        <v>8.6007350000000002</v>
      </c>
      <c r="G30">
        <v>0.25420100000000001</v>
      </c>
      <c r="H30">
        <v>-8.4306000000000006E-2</v>
      </c>
    </row>
    <row r="31" spans="1:8" x14ac:dyDescent="0.25">
      <c r="A31">
        <v>248</v>
      </c>
      <c r="B31">
        <v>3.8173430000000002</v>
      </c>
      <c r="C31">
        <v>1.0180149999999999</v>
      </c>
      <c r="D31">
        <v>1.3221830000000001</v>
      </c>
      <c r="E31">
        <v>5.8316379999999999</v>
      </c>
      <c r="F31">
        <v>9.5737369999999995</v>
      </c>
      <c r="G31">
        <v>0.196796</v>
      </c>
      <c r="H31">
        <v>-6.2598000000000001E-2</v>
      </c>
    </row>
    <row r="32" spans="1:8" x14ac:dyDescent="0.25">
      <c r="A32">
        <v>250</v>
      </c>
      <c r="B32">
        <v>3.49248</v>
      </c>
      <c r="C32">
        <v>1.127318</v>
      </c>
      <c r="D32">
        <v>1.4088020000000001</v>
      </c>
      <c r="E32">
        <v>6.4817970000000003</v>
      </c>
      <c r="F32">
        <v>10.629671</v>
      </c>
      <c r="G32">
        <v>0.15004500000000001</v>
      </c>
      <c r="H32">
        <v>-4.9725999999999999E-2</v>
      </c>
    </row>
    <row r="33" spans="1:8" x14ac:dyDescent="0.25">
      <c r="A33">
        <v>252</v>
      </c>
      <c r="B33">
        <v>3.2429239999999999</v>
      </c>
      <c r="C33">
        <v>1.271012</v>
      </c>
      <c r="D33">
        <v>1.4728190000000001</v>
      </c>
      <c r="E33">
        <v>7.1465500000000004</v>
      </c>
      <c r="F33">
        <v>11.691186</v>
      </c>
      <c r="G33">
        <v>0.115605</v>
      </c>
      <c r="H33">
        <v>-4.4232E-2</v>
      </c>
    </row>
    <row r="34" spans="1:8" x14ac:dyDescent="0.25">
      <c r="A34">
        <v>254</v>
      </c>
      <c r="B34">
        <v>3.0797249999999998</v>
      </c>
      <c r="C34">
        <v>1.460558</v>
      </c>
      <c r="D34">
        <v>1.515339</v>
      </c>
      <c r="E34">
        <v>7.8491989999999996</v>
      </c>
      <c r="F34">
        <v>12.804523</v>
      </c>
      <c r="G34">
        <v>9.0199000000000001E-2</v>
      </c>
      <c r="H34">
        <v>-3.7515E-2</v>
      </c>
    </row>
    <row r="35" spans="1:8" x14ac:dyDescent="0.25">
      <c r="A35">
        <v>256</v>
      </c>
      <c r="B35">
        <v>2.9797199999999999</v>
      </c>
      <c r="C35">
        <v>1.669864</v>
      </c>
      <c r="D35">
        <v>1.537974</v>
      </c>
      <c r="E35">
        <v>8.5662099999999999</v>
      </c>
      <c r="F35">
        <v>13.925822999999999</v>
      </c>
      <c r="G35">
        <v>7.1661000000000002E-2</v>
      </c>
      <c r="H35">
        <v>-3.4597999999999997E-2</v>
      </c>
    </row>
    <row r="36" spans="1:8" x14ac:dyDescent="0.25">
      <c r="A36">
        <v>258</v>
      </c>
      <c r="B36">
        <v>2.8952469999999999</v>
      </c>
      <c r="C36">
        <v>1.88768</v>
      </c>
      <c r="D36">
        <v>1.5373540000000001</v>
      </c>
      <c r="E36">
        <v>9.2668339999999993</v>
      </c>
      <c r="F36">
        <v>15.000076999999999</v>
      </c>
      <c r="G36">
        <v>5.8505000000000001E-2</v>
      </c>
      <c r="H36">
        <v>-3.2635999999999998E-2</v>
      </c>
    </row>
    <row r="37" spans="1:8" x14ac:dyDescent="0.25">
      <c r="A37">
        <v>260</v>
      </c>
      <c r="B37">
        <v>2.7936719999999999</v>
      </c>
      <c r="C37">
        <v>2.1239490000000001</v>
      </c>
      <c r="D37">
        <v>1.524988</v>
      </c>
      <c r="E37">
        <v>9.9687359999999998</v>
      </c>
      <c r="F37">
        <v>16.071525000000001</v>
      </c>
      <c r="G37">
        <v>4.7953999999999997E-2</v>
      </c>
      <c r="H37">
        <v>-3.0623999999999998E-2</v>
      </c>
    </row>
    <row r="38" spans="1:8" x14ac:dyDescent="0.25">
      <c r="A38">
        <v>262</v>
      </c>
      <c r="B38">
        <v>2.6550660000000001</v>
      </c>
      <c r="C38">
        <v>2.3508170000000002</v>
      </c>
      <c r="D38">
        <v>1.501566</v>
      </c>
      <c r="E38">
        <v>10.641159</v>
      </c>
      <c r="F38">
        <v>17.097204999999999</v>
      </c>
      <c r="G38">
        <v>4.0094999999999999E-2</v>
      </c>
      <c r="H38">
        <v>-2.9281999999999999E-2</v>
      </c>
    </row>
    <row r="39" spans="1:8" x14ac:dyDescent="0.25">
      <c r="A39">
        <v>264</v>
      </c>
      <c r="B39">
        <v>2.4608469999999998</v>
      </c>
      <c r="C39">
        <v>2.5608460000000002</v>
      </c>
      <c r="D39">
        <v>1.4572609999999999</v>
      </c>
      <c r="E39">
        <v>11.275270000000001</v>
      </c>
      <c r="F39">
        <v>18.046559999999999</v>
      </c>
      <c r="G39">
        <v>3.5381999999999997E-2</v>
      </c>
      <c r="H39">
        <v>-3.1572000000000003E-2</v>
      </c>
    </row>
    <row r="40" spans="1:8" x14ac:dyDescent="0.25">
      <c r="A40">
        <v>266</v>
      </c>
      <c r="B40">
        <v>2.2274349999999998</v>
      </c>
      <c r="C40">
        <v>2.7361759999999999</v>
      </c>
      <c r="D40">
        <v>1.3910960000000001</v>
      </c>
      <c r="E40">
        <v>11.853394</v>
      </c>
      <c r="F40">
        <v>18.881772999999999</v>
      </c>
      <c r="G40">
        <v>3.211E-2</v>
      </c>
      <c r="H40">
        <v>-2.9687000000000002E-2</v>
      </c>
    </row>
    <row r="41" spans="1:8" x14ac:dyDescent="0.25">
      <c r="A41">
        <v>268</v>
      </c>
      <c r="B41">
        <v>1.9737899999999999</v>
      </c>
      <c r="C41">
        <v>2.87324</v>
      </c>
      <c r="D41">
        <v>1.3220130000000001</v>
      </c>
      <c r="E41">
        <v>12.385007999999999</v>
      </c>
      <c r="F41">
        <v>19.620411000000001</v>
      </c>
      <c r="G41">
        <v>3.2489999999999998E-2</v>
      </c>
      <c r="H41">
        <v>-2.7087E-2</v>
      </c>
    </row>
    <row r="42" spans="1:8" x14ac:dyDescent="0.25">
      <c r="A42">
        <v>270</v>
      </c>
      <c r="B42">
        <v>1.7271909999999999</v>
      </c>
      <c r="C42">
        <v>2.940839</v>
      </c>
      <c r="D42">
        <v>1.2609170000000001</v>
      </c>
      <c r="E42">
        <v>12.817159</v>
      </c>
      <c r="F42">
        <v>20.207305000000002</v>
      </c>
      <c r="G42">
        <v>3.3729000000000002E-2</v>
      </c>
      <c r="H42">
        <v>-2.1871000000000002E-2</v>
      </c>
    </row>
    <row r="43" spans="1:8" x14ac:dyDescent="0.25">
      <c r="A43">
        <v>272</v>
      </c>
      <c r="B43">
        <v>1.5163489999999999</v>
      </c>
      <c r="C43">
        <v>2.9383900000000001</v>
      </c>
      <c r="D43">
        <v>1.2154469999999999</v>
      </c>
      <c r="E43">
        <v>13.139628</v>
      </c>
      <c r="F43">
        <v>20.608718</v>
      </c>
      <c r="G43">
        <v>2.3675000000000002E-2</v>
      </c>
      <c r="H43">
        <v>-2.2244E-2</v>
      </c>
    </row>
    <row r="44" spans="1:8" x14ac:dyDescent="0.25">
      <c r="A44">
        <v>274</v>
      </c>
      <c r="B44">
        <v>1.360789</v>
      </c>
      <c r="C44">
        <v>2.8567360000000002</v>
      </c>
      <c r="D44">
        <v>1.1947000000000001</v>
      </c>
      <c r="E44">
        <v>13.34821</v>
      </c>
      <c r="F44">
        <v>20.80245</v>
      </c>
      <c r="G44">
        <v>1.7235E-2</v>
      </c>
      <c r="H44">
        <v>-1.9285E-2</v>
      </c>
    </row>
    <row r="45" spans="1:8" x14ac:dyDescent="0.25">
      <c r="A45">
        <v>276</v>
      </c>
      <c r="B45">
        <v>1.263347</v>
      </c>
      <c r="C45">
        <v>2.6836259999999998</v>
      </c>
      <c r="D45">
        <v>1.1917720000000001</v>
      </c>
      <c r="E45">
        <v>13.418141</v>
      </c>
      <c r="F45">
        <v>20.778319</v>
      </c>
      <c r="G45">
        <v>2.146E-2</v>
      </c>
      <c r="H45">
        <v>-1.6057999999999999E-2</v>
      </c>
    </row>
    <row r="46" spans="1:8" x14ac:dyDescent="0.25">
      <c r="A46">
        <v>278</v>
      </c>
      <c r="B46">
        <v>1.219023</v>
      </c>
      <c r="C46">
        <v>2.4427720000000002</v>
      </c>
      <c r="D46">
        <v>1.1986190000000001</v>
      </c>
      <c r="E46">
        <v>13.35472</v>
      </c>
      <c r="F46">
        <v>20.529394</v>
      </c>
      <c r="G46">
        <v>2.3647000000000001E-2</v>
      </c>
      <c r="H46">
        <v>-2.2695E-2</v>
      </c>
    </row>
    <row r="47" spans="1:8" x14ac:dyDescent="0.25">
      <c r="A47">
        <v>280</v>
      </c>
      <c r="B47">
        <v>1.203535</v>
      </c>
      <c r="C47">
        <v>2.1421039999999998</v>
      </c>
      <c r="D47">
        <v>1.1954530000000001</v>
      </c>
      <c r="E47">
        <v>13.159720999999999</v>
      </c>
      <c r="F47">
        <v>20.067153999999999</v>
      </c>
      <c r="G47">
        <v>2.6169000000000001E-2</v>
      </c>
      <c r="H47">
        <v>-3.1439000000000002E-2</v>
      </c>
    </row>
    <row r="48" spans="1:8" x14ac:dyDescent="0.25">
      <c r="A48">
        <v>282</v>
      </c>
      <c r="B48">
        <v>1.1990099999999999</v>
      </c>
      <c r="C48">
        <v>1.815949</v>
      </c>
      <c r="D48">
        <v>1.186032</v>
      </c>
      <c r="E48">
        <v>12.831901999999999</v>
      </c>
      <c r="F48">
        <v>19.403302</v>
      </c>
      <c r="G48">
        <v>2.0187E-2</v>
      </c>
      <c r="H48">
        <v>-3.2313000000000001E-2</v>
      </c>
    </row>
    <row r="49" spans="1:8" x14ac:dyDescent="0.25">
      <c r="A49">
        <v>284</v>
      </c>
      <c r="B49">
        <v>1.200769</v>
      </c>
      <c r="C49">
        <v>1.5023169999999999</v>
      </c>
      <c r="D49">
        <v>1.171473</v>
      </c>
      <c r="E49">
        <v>12.376158999999999</v>
      </c>
      <c r="F49">
        <v>18.552782000000001</v>
      </c>
      <c r="G49">
        <v>1.223E-2</v>
      </c>
      <c r="H49">
        <v>-3.0224999999999998E-2</v>
      </c>
    </row>
    <row r="50" spans="1:8" x14ac:dyDescent="0.25">
      <c r="A50">
        <v>286</v>
      </c>
      <c r="B50">
        <v>1.1969320000000001</v>
      </c>
      <c r="C50">
        <v>1.2268520000000001</v>
      </c>
      <c r="D50">
        <v>1.1362950000000001</v>
      </c>
      <c r="E50">
        <v>11.809993</v>
      </c>
      <c r="F50">
        <v>17.538630999999999</v>
      </c>
      <c r="G50">
        <v>1.2612999999999999E-2</v>
      </c>
      <c r="H50">
        <v>-2.3465E-2</v>
      </c>
    </row>
    <row r="51" spans="1:8" x14ac:dyDescent="0.25">
      <c r="A51">
        <v>288</v>
      </c>
      <c r="B51">
        <v>1.1845829999999999</v>
      </c>
      <c r="C51">
        <v>1.0041850000000001</v>
      </c>
      <c r="D51">
        <v>1.0861190000000001</v>
      </c>
      <c r="E51">
        <v>11.140416</v>
      </c>
      <c r="F51">
        <v>16.391380000000002</v>
      </c>
      <c r="G51">
        <v>1.3254999999999999E-2</v>
      </c>
      <c r="H51">
        <v>-2.3132E-2</v>
      </c>
    </row>
    <row r="52" spans="1:8" x14ac:dyDescent="0.25">
      <c r="A52">
        <v>290</v>
      </c>
      <c r="B52">
        <v>1.1569179999999999</v>
      </c>
      <c r="C52">
        <v>0.84415700000000005</v>
      </c>
      <c r="D52">
        <v>1.024408</v>
      </c>
      <c r="E52">
        <v>10.386742999999999</v>
      </c>
      <c r="F52">
        <v>15.131618</v>
      </c>
      <c r="G52">
        <v>1.0867999999999999E-2</v>
      </c>
      <c r="H52">
        <v>-2.265E-2</v>
      </c>
    </row>
    <row r="53" spans="1:8" x14ac:dyDescent="0.25">
      <c r="A53">
        <v>292</v>
      </c>
      <c r="B53">
        <v>1.1009389999999999</v>
      </c>
      <c r="C53">
        <v>0.74283999999999994</v>
      </c>
      <c r="D53">
        <v>0.94179900000000005</v>
      </c>
      <c r="E53">
        <v>9.5666519999999995</v>
      </c>
      <c r="F53">
        <v>13.780419999999999</v>
      </c>
      <c r="G53">
        <v>5.8279999999999998E-3</v>
      </c>
      <c r="H53">
        <v>-1.9545E-2</v>
      </c>
    </row>
    <row r="54" spans="1:8" x14ac:dyDescent="0.25">
      <c r="A54">
        <v>294</v>
      </c>
      <c r="B54">
        <v>1.0305470000000001</v>
      </c>
      <c r="C54">
        <v>0.684419</v>
      </c>
      <c r="D54">
        <v>0.84050400000000003</v>
      </c>
      <c r="E54">
        <v>8.7002089999999992</v>
      </c>
      <c r="F54">
        <v>12.386074000000001</v>
      </c>
      <c r="G54">
        <v>-7.6400000000000003E-4</v>
      </c>
      <c r="H54">
        <v>-2.0049000000000001E-2</v>
      </c>
    </row>
    <row r="55" spans="1:8" x14ac:dyDescent="0.25">
      <c r="A55">
        <v>296</v>
      </c>
      <c r="B55">
        <v>0.95846699999999996</v>
      </c>
      <c r="C55">
        <v>0.65323299999999995</v>
      </c>
      <c r="D55">
        <v>0.73318799999999995</v>
      </c>
      <c r="E55">
        <v>7.8074820000000003</v>
      </c>
      <c r="F55">
        <v>10.972393</v>
      </c>
      <c r="G55">
        <v>-6.3999999999999997E-5</v>
      </c>
      <c r="H55">
        <v>-1.8460000000000001E-2</v>
      </c>
    </row>
    <row r="56" spans="1:8" x14ac:dyDescent="0.25">
      <c r="A56">
        <v>298</v>
      </c>
      <c r="B56">
        <v>0.86800200000000005</v>
      </c>
      <c r="C56">
        <v>0.64095100000000005</v>
      </c>
      <c r="D56">
        <v>0.62398200000000004</v>
      </c>
      <c r="E56">
        <v>6.8794129999999996</v>
      </c>
      <c r="F56">
        <v>9.5305309999999999</v>
      </c>
      <c r="G56">
        <v>4.6700000000000002E-4</v>
      </c>
      <c r="H56">
        <v>-1.4671E-2</v>
      </c>
    </row>
    <row r="57" spans="1:8" x14ac:dyDescent="0.25">
      <c r="A57">
        <v>300</v>
      </c>
      <c r="B57">
        <v>0.76873499999999995</v>
      </c>
      <c r="C57">
        <v>0.647702</v>
      </c>
      <c r="D57">
        <v>0.52471000000000001</v>
      </c>
      <c r="E57">
        <v>5.9937769999999997</v>
      </c>
      <c r="F57">
        <v>8.1795880000000007</v>
      </c>
      <c r="G57">
        <v>-1.946E-3</v>
      </c>
      <c r="H57">
        <v>-7.8840000000000004E-3</v>
      </c>
    </row>
    <row r="58" spans="1:8" x14ac:dyDescent="0.25">
      <c r="A58">
        <v>302</v>
      </c>
      <c r="B58">
        <v>0.67912700000000004</v>
      </c>
      <c r="C58">
        <v>0.67026699999999995</v>
      </c>
      <c r="D58">
        <v>0.43338599999999999</v>
      </c>
      <c r="E58">
        <v>5.1387520000000002</v>
      </c>
      <c r="F58">
        <v>6.9071730000000002</v>
      </c>
      <c r="G58">
        <v>-1.952E-3</v>
      </c>
      <c r="H58">
        <v>-3.6549999999999998E-3</v>
      </c>
    </row>
    <row r="59" spans="1:8" x14ac:dyDescent="0.25">
      <c r="A59">
        <v>304</v>
      </c>
      <c r="B59">
        <v>0.59183799999999998</v>
      </c>
      <c r="C59">
        <v>0.69815199999999999</v>
      </c>
      <c r="D59">
        <v>0.35853200000000002</v>
      </c>
      <c r="E59">
        <v>4.3268050000000002</v>
      </c>
      <c r="F59">
        <v>5.7319959999999996</v>
      </c>
      <c r="G59">
        <v>-4.7800000000000002E-4</v>
      </c>
      <c r="H59">
        <v>-8.5280000000000009E-3</v>
      </c>
    </row>
    <row r="60" spans="1:8" x14ac:dyDescent="0.25">
      <c r="A60">
        <v>306</v>
      </c>
      <c r="B60">
        <v>0.51264200000000004</v>
      </c>
      <c r="C60">
        <v>0.73080800000000001</v>
      </c>
      <c r="D60">
        <v>0.293296</v>
      </c>
      <c r="E60">
        <v>3.5678030000000001</v>
      </c>
      <c r="F60">
        <v>4.644158</v>
      </c>
      <c r="G60">
        <v>-7.0179999999999999E-3</v>
      </c>
      <c r="H60">
        <v>-3.6549999999999998E-3</v>
      </c>
    </row>
    <row r="61" spans="1:8" x14ac:dyDescent="0.25">
      <c r="A61">
        <v>308</v>
      </c>
      <c r="B61">
        <v>0.45499200000000001</v>
      </c>
      <c r="C61">
        <v>0.76149</v>
      </c>
      <c r="D61">
        <v>0.23925399999999999</v>
      </c>
      <c r="E61">
        <v>2.9121869999999999</v>
      </c>
      <c r="F61">
        <v>3.7110280000000002</v>
      </c>
      <c r="G61">
        <v>-1.0914999999999999E-2</v>
      </c>
      <c r="H61">
        <v>-2.6619999999999999E-3</v>
      </c>
    </row>
    <row r="62" spans="1:8" x14ac:dyDescent="0.25">
      <c r="A62">
        <v>310</v>
      </c>
      <c r="B62">
        <v>0.42142299999999999</v>
      </c>
      <c r="C62">
        <v>0.80140999999999996</v>
      </c>
      <c r="D62">
        <v>0.20225000000000001</v>
      </c>
      <c r="E62">
        <v>2.335728</v>
      </c>
      <c r="F62">
        <v>2.912741</v>
      </c>
      <c r="G62">
        <v>-1.4531000000000001E-2</v>
      </c>
      <c r="H62">
        <v>-6.3049999999999998E-3</v>
      </c>
    </row>
    <row r="63" spans="1:8" x14ac:dyDescent="0.25">
      <c r="A63">
        <v>312</v>
      </c>
      <c r="B63">
        <v>0.41149599999999997</v>
      </c>
      <c r="C63">
        <v>0.84452300000000002</v>
      </c>
      <c r="D63">
        <v>0.16635900000000001</v>
      </c>
      <c r="E63">
        <v>1.83019</v>
      </c>
      <c r="F63">
        <v>2.2330230000000002</v>
      </c>
      <c r="G63">
        <v>-1.2211E-2</v>
      </c>
      <c r="H63">
        <v>-1.846E-3</v>
      </c>
    </row>
    <row r="64" spans="1:8" x14ac:dyDescent="0.25">
      <c r="A64">
        <v>314</v>
      </c>
      <c r="B64">
        <v>0.40801500000000002</v>
      </c>
      <c r="C64">
        <v>0.88448899999999997</v>
      </c>
      <c r="D64">
        <v>0.13952100000000001</v>
      </c>
      <c r="E64">
        <v>1.428626</v>
      </c>
      <c r="F64">
        <v>1.694464</v>
      </c>
      <c r="G64">
        <v>-1.4255E-2</v>
      </c>
      <c r="H64">
        <v>3.522E-3</v>
      </c>
    </row>
    <row r="65" spans="1:8" x14ac:dyDescent="0.25">
      <c r="A65">
        <v>316</v>
      </c>
      <c r="B65">
        <v>0.41692099999999999</v>
      </c>
      <c r="C65">
        <v>0.92817499999999997</v>
      </c>
      <c r="D65">
        <v>0.12545000000000001</v>
      </c>
      <c r="E65">
        <v>1.0803259999999999</v>
      </c>
      <c r="F65">
        <v>1.253762</v>
      </c>
      <c r="G65">
        <v>-1.9212E-2</v>
      </c>
      <c r="H65">
        <v>1.854E-3</v>
      </c>
    </row>
    <row r="66" spans="1:8" x14ac:dyDescent="0.25">
      <c r="A66">
        <v>318</v>
      </c>
      <c r="B66">
        <v>0.44874700000000001</v>
      </c>
      <c r="C66">
        <v>0.96297600000000005</v>
      </c>
      <c r="D66">
        <v>0.11253299999999999</v>
      </c>
      <c r="E66">
        <v>0.80868200000000001</v>
      </c>
      <c r="F66">
        <v>0.91345900000000002</v>
      </c>
      <c r="G66">
        <v>-1.0135999999999999E-2</v>
      </c>
      <c r="H66">
        <v>-2.0600000000000002E-3</v>
      </c>
    </row>
    <row r="67" spans="1:8" x14ac:dyDescent="0.25">
      <c r="A67">
        <v>320</v>
      </c>
      <c r="B67">
        <v>0.48974400000000001</v>
      </c>
      <c r="C67">
        <v>0.99534299999999998</v>
      </c>
      <c r="D67">
        <v>9.9005999999999997E-2</v>
      </c>
      <c r="E67">
        <v>0.605159</v>
      </c>
      <c r="F67">
        <v>0.65382899999999999</v>
      </c>
      <c r="G67">
        <v>-6.8789999999999997E-3</v>
      </c>
      <c r="H67">
        <v>3.5739999999999999E-3</v>
      </c>
    </row>
    <row r="68" spans="1:8" x14ac:dyDescent="0.25">
      <c r="A68">
        <v>322</v>
      </c>
      <c r="B68">
        <v>0.53893000000000002</v>
      </c>
      <c r="C68">
        <v>1.0285660000000001</v>
      </c>
      <c r="D68">
        <v>9.1861999999999999E-2</v>
      </c>
      <c r="E68">
        <v>0.45541199999999998</v>
      </c>
      <c r="F68">
        <v>0.46749299999999999</v>
      </c>
      <c r="G68">
        <v>-1.4481000000000001E-2</v>
      </c>
      <c r="H68">
        <v>6.2760000000000003E-3</v>
      </c>
    </row>
    <row r="69" spans="1:8" x14ac:dyDescent="0.25">
      <c r="A69">
        <v>324</v>
      </c>
      <c r="B69">
        <v>0.593974</v>
      </c>
      <c r="C69">
        <v>1.0598700000000001</v>
      </c>
      <c r="D69">
        <v>8.1577999999999998E-2</v>
      </c>
      <c r="E69">
        <v>0.34142699999999998</v>
      </c>
      <c r="F69">
        <v>0.31807299999999999</v>
      </c>
      <c r="G69">
        <v>-1.291E-2</v>
      </c>
      <c r="H69">
        <v>-4.06E-4</v>
      </c>
    </row>
    <row r="70" spans="1:8" x14ac:dyDescent="0.25">
      <c r="A70">
        <v>326</v>
      </c>
      <c r="B70">
        <v>0.65184900000000001</v>
      </c>
      <c r="C70">
        <v>1.0874140000000001</v>
      </c>
      <c r="D70">
        <v>7.7089000000000005E-2</v>
      </c>
      <c r="E70">
        <v>0.26108300000000001</v>
      </c>
      <c r="F70">
        <v>0.22359999999999999</v>
      </c>
      <c r="G70">
        <v>-3.4919999999999999E-3</v>
      </c>
      <c r="H70">
        <v>-7.4019999999999997E-3</v>
      </c>
    </row>
    <row r="71" spans="1:8" x14ac:dyDescent="0.25">
      <c r="A71">
        <v>328</v>
      </c>
      <c r="B71">
        <v>0.71307399999999999</v>
      </c>
      <c r="C71">
        <v>1.1031500000000001</v>
      </c>
      <c r="D71">
        <v>7.7562000000000006E-2</v>
      </c>
      <c r="E71">
        <v>0.20415700000000001</v>
      </c>
      <c r="F71">
        <v>0.156972</v>
      </c>
      <c r="G71">
        <v>-4.6730000000000001E-3</v>
      </c>
      <c r="H71">
        <v>-1.1658999999999999E-2</v>
      </c>
    </row>
    <row r="72" spans="1:8" x14ac:dyDescent="0.25">
      <c r="A72">
        <v>330</v>
      </c>
      <c r="B72">
        <v>0.77418299999999995</v>
      </c>
      <c r="C72">
        <v>1.1143289999999999</v>
      </c>
      <c r="D72">
        <v>7.3408000000000001E-2</v>
      </c>
      <c r="E72">
        <v>0.15781800000000001</v>
      </c>
      <c r="F72">
        <v>0.10451000000000001</v>
      </c>
      <c r="G72">
        <v>-9.9939999999999994E-3</v>
      </c>
      <c r="H72">
        <v>-1.815E-3</v>
      </c>
    </row>
    <row r="73" spans="1:8" x14ac:dyDescent="0.25">
      <c r="A73">
        <v>332</v>
      </c>
      <c r="B73">
        <v>0.84084199999999998</v>
      </c>
      <c r="C73">
        <v>1.113351</v>
      </c>
      <c r="D73">
        <v>6.7479999999999998E-2</v>
      </c>
      <c r="E73">
        <v>0.137188</v>
      </c>
      <c r="F73">
        <v>7.4204999999999993E-2</v>
      </c>
      <c r="G73">
        <v>-1.4668E-2</v>
      </c>
      <c r="H73">
        <v>5.1830000000000001E-3</v>
      </c>
    </row>
    <row r="74" spans="1:8" x14ac:dyDescent="0.25">
      <c r="A74">
        <v>334</v>
      </c>
      <c r="B74">
        <v>0.90767299999999995</v>
      </c>
      <c r="C74">
        <v>1.100689</v>
      </c>
      <c r="D74">
        <v>5.9272999999999999E-2</v>
      </c>
      <c r="E74">
        <v>0.124838</v>
      </c>
      <c r="F74">
        <v>5.6299000000000002E-2</v>
      </c>
      <c r="G74">
        <v>-1.7145000000000001E-2</v>
      </c>
      <c r="H74">
        <v>4.2099999999999999E-4</v>
      </c>
    </row>
    <row r="75" spans="1:8" x14ac:dyDescent="0.25">
      <c r="A75">
        <v>336</v>
      </c>
      <c r="B75">
        <v>0.96969799999999995</v>
      </c>
      <c r="C75">
        <v>1.0767059999999999</v>
      </c>
      <c r="D75">
        <v>5.6534000000000001E-2</v>
      </c>
      <c r="E75">
        <v>0.109947</v>
      </c>
      <c r="F75">
        <v>3.9660000000000001E-2</v>
      </c>
      <c r="G75">
        <v>-1.0437E-2</v>
      </c>
      <c r="H75">
        <v>-7.9839999999999998E-3</v>
      </c>
    </row>
    <row r="76" spans="1:8" x14ac:dyDescent="0.25">
      <c r="A76">
        <v>338</v>
      </c>
      <c r="B76">
        <v>1.03148</v>
      </c>
      <c r="C76">
        <v>1.046818</v>
      </c>
      <c r="D76">
        <v>5.6818E-2</v>
      </c>
      <c r="E76">
        <v>0.104646</v>
      </c>
      <c r="F76">
        <v>2.6620000000000001E-2</v>
      </c>
      <c r="G76">
        <v>-1.1568E-2</v>
      </c>
      <c r="H76">
        <v>-1.1897E-2</v>
      </c>
    </row>
    <row r="77" spans="1:8" x14ac:dyDescent="0.25">
      <c r="A77">
        <v>340</v>
      </c>
      <c r="B77">
        <v>1.091019</v>
      </c>
      <c r="C77">
        <v>1.0265070000000001</v>
      </c>
      <c r="D77">
        <v>4.9314999999999998E-2</v>
      </c>
      <c r="E77">
        <v>0.103544</v>
      </c>
      <c r="F77">
        <v>2.1106E-2</v>
      </c>
      <c r="G77">
        <v>-1.5018999999999999E-2</v>
      </c>
      <c r="H77">
        <v>-3.5300000000000002E-3</v>
      </c>
    </row>
    <row r="78" spans="1:8" x14ac:dyDescent="0.25">
      <c r="A78">
        <v>342</v>
      </c>
      <c r="B78">
        <v>1.1438470000000001</v>
      </c>
      <c r="C78">
        <v>0.98524800000000001</v>
      </c>
      <c r="D78">
        <v>4.5687999999999999E-2</v>
      </c>
      <c r="E78">
        <v>0.104208</v>
      </c>
      <c r="F78">
        <v>2.4823000000000001E-2</v>
      </c>
      <c r="G78">
        <v>-1.1424999999999999E-2</v>
      </c>
      <c r="H78">
        <v>-1.0232E-2</v>
      </c>
    </row>
    <row r="79" spans="1:8" x14ac:dyDescent="0.25">
      <c r="A79">
        <v>344</v>
      </c>
      <c r="B79">
        <v>1.1906330000000001</v>
      </c>
      <c r="C79">
        <v>0.939106</v>
      </c>
      <c r="D79">
        <v>4.6552000000000003E-2</v>
      </c>
      <c r="E79">
        <v>0.11303199999999999</v>
      </c>
      <c r="F79">
        <v>2.1214E-2</v>
      </c>
      <c r="G79">
        <v>-1.1873E-2</v>
      </c>
      <c r="H79">
        <v>-1.9210000000000001E-2</v>
      </c>
    </row>
    <row r="80" spans="1:8" x14ac:dyDescent="0.25">
      <c r="A80">
        <v>346</v>
      </c>
      <c r="B80">
        <v>1.241471</v>
      </c>
      <c r="C80">
        <v>0.88365400000000005</v>
      </c>
      <c r="D80">
        <v>3.7435999999999997E-2</v>
      </c>
      <c r="E80">
        <v>0.114866</v>
      </c>
      <c r="F80">
        <v>1.7507000000000002E-2</v>
      </c>
      <c r="G80">
        <v>-1.3164E-2</v>
      </c>
      <c r="H80">
        <v>-1.4579999999999999E-2</v>
      </c>
    </row>
    <row r="81" spans="1:8" x14ac:dyDescent="0.25">
      <c r="A81">
        <v>348</v>
      </c>
      <c r="B81">
        <v>1.2802770000000001</v>
      </c>
      <c r="C81">
        <v>0.81282699999999997</v>
      </c>
      <c r="D81">
        <v>3.356E-2</v>
      </c>
      <c r="E81">
        <v>0.110462</v>
      </c>
      <c r="F81">
        <v>1.9757E-2</v>
      </c>
      <c r="G81">
        <v>-1.189E-2</v>
      </c>
      <c r="H81">
        <v>-5.4600000000000004E-4</v>
      </c>
    </row>
    <row r="82" spans="1:8" x14ac:dyDescent="0.25">
      <c r="A82">
        <v>350</v>
      </c>
      <c r="B82">
        <v>1.3139829999999999</v>
      </c>
      <c r="C82">
        <v>0.74087999999999998</v>
      </c>
      <c r="D82">
        <v>3.3695999999999997E-2</v>
      </c>
      <c r="E82">
        <v>0.115327</v>
      </c>
      <c r="F82">
        <v>1.5049E-2</v>
      </c>
      <c r="G82">
        <v>-4.2950000000000002E-3</v>
      </c>
      <c r="H82">
        <v>2.8189999999999999E-3</v>
      </c>
    </row>
    <row r="83" spans="1:8" x14ac:dyDescent="0.25">
      <c r="A83">
        <v>352</v>
      </c>
      <c r="B83">
        <v>1.3450690000000001</v>
      </c>
      <c r="C83">
        <v>0.67016900000000001</v>
      </c>
      <c r="D83">
        <v>2.7306E-2</v>
      </c>
      <c r="E83">
        <v>0.11089599999999999</v>
      </c>
      <c r="F83">
        <v>1.2066E-2</v>
      </c>
      <c r="G83">
        <v>-9.2510000000000005E-3</v>
      </c>
      <c r="H83">
        <v>-9.1780000000000004E-3</v>
      </c>
    </row>
    <row r="84" spans="1:8" x14ac:dyDescent="0.25">
      <c r="A84">
        <v>354</v>
      </c>
      <c r="B84">
        <v>1.3636729999999999</v>
      </c>
      <c r="C84">
        <v>0.60646</v>
      </c>
      <c r="D84">
        <v>2.7092999999999999E-2</v>
      </c>
      <c r="E84">
        <v>0.11611200000000001</v>
      </c>
      <c r="F84">
        <v>1.472E-2</v>
      </c>
      <c r="G84">
        <v>-1.8501E-2</v>
      </c>
      <c r="H84">
        <v>-7.7359999999999998E-3</v>
      </c>
    </row>
    <row r="85" spans="1:8" x14ac:dyDescent="0.25">
      <c r="A85">
        <v>356</v>
      </c>
      <c r="B85">
        <v>1.368984</v>
      </c>
      <c r="C85">
        <v>0.53991699999999998</v>
      </c>
      <c r="D85">
        <v>1.4714E-2</v>
      </c>
      <c r="E85">
        <v>0.124121</v>
      </c>
      <c r="F85">
        <v>1.5136999999999999E-2</v>
      </c>
      <c r="G85">
        <v>-1.2624E-2</v>
      </c>
      <c r="H85">
        <v>-5.738E-3</v>
      </c>
    </row>
    <row r="86" spans="1:8" x14ac:dyDescent="0.25">
      <c r="A86">
        <v>358</v>
      </c>
      <c r="B86">
        <v>1.3579779999999999</v>
      </c>
      <c r="C86">
        <v>0.47574499999999997</v>
      </c>
      <c r="D86">
        <v>1.5474999999999999E-2</v>
      </c>
      <c r="E86">
        <v>0.116234</v>
      </c>
      <c r="F86">
        <v>1.7247999999999999E-2</v>
      </c>
      <c r="G86">
        <v>-1.1429E-2</v>
      </c>
      <c r="H86">
        <v>-4.1840000000000002E-3</v>
      </c>
    </row>
    <row r="87" spans="1:8" x14ac:dyDescent="0.25">
      <c r="A87">
        <v>360</v>
      </c>
      <c r="B87">
        <v>1.334462</v>
      </c>
      <c r="C87">
        <v>0.41763499999999998</v>
      </c>
      <c r="D87">
        <v>2.4457E-2</v>
      </c>
      <c r="E87">
        <v>0.11640200000000001</v>
      </c>
      <c r="F87">
        <v>1.9702000000000001E-2</v>
      </c>
      <c r="G87">
        <v>-9.5390000000000006E-3</v>
      </c>
      <c r="H87">
        <v>-1.2979999999999999E-3</v>
      </c>
    </row>
    <row r="88" spans="1:8" x14ac:dyDescent="0.25">
      <c r="A88">
        <v>362</v>
      </c>
      <c r="B88">
        <v>1.3093090000000001</v>
      </c>
      <c r="C88">
        <v>0.36220799999999997</v>
      </c>
      <c r="D88">
        <v>1.9591000000000001E-2</v>
      </c>
      <c r="E88">
        <v>0.118607</v>
      </c>
      <c r="F88">
        <v>2.4521999999999999E-2</v>
      </c>
      <c r="G88">
        <v>-3.5839999999999999E-3</v>
      </c>
      <c r="H88">
        <v>2.5920000000000001E-3</v>
      </c>
    </row>
    <row r="89" spans="1:8" x14ac:dyDescent="0.25">
      <c r="A89">
        <v>364</v>
      </c>
      <c r="B89">
        <v>1.272923</v>
      </c>
      <c r="C89">
        <v>0.32203500000000002</v>
      </c>
      <c r="D89">
        <v>1.6001000000000001E-2</v>
      </c>
      <c r="E89">
        <v>0.11863799999999999</v>
      </c>
      <c r="F89">
        <v>2.7479E-2</v>
      </c>
      <c r="G89">
        <v>-5.1149999999999998E-3</v>
      </c>
      <c r="H89">
        <v>8.9569999999999997E-3</v>
      </c>
    </row>
    <row r="90" spans="1:8" x14ac:dyDescent="0.25">
      <c r="A90">
        <v>366</v>
      </c>
      <c r="B90">
        <v>1.2313970000000001</v>
      </c>
      <c r="C90">
        <v>0.28512599999999999</v>
      </c>
      <c r="D90">
        <v>-5.1999999999999995E-4</v>
      </c>
      <c r="E90">
        <v>0.11010200000000001</v>
      </c>
      <c r="F90">
        <v>1.9151999999999999E-2</v>
      </c>
      <c r="G90">
        <v>-8.0789999999999994E-3</v>
      </c>
      <c r="H90">
        <v>4.8500000000000003E-4</v>
      </c>
    </row>
    <row r="91" spans="1:8" x14ac:dyDescent="0.25">
      <c r="A91">
        <v>368</v>
      </c>
      <c r="B91">
        <v>1.1817359999999999</v>
      </c>
      <c r="C91">
        <v>0.24303</v>
      </c>
      <c r="D91">
        <v>-5.744E-3</v>
      </c>
      <c r="E91">
        <v>0.10642799999999999</v>
      </c>
      <c r="F91">
        <v>1.6988E-2</v>
      </c>
      <c r="G91">
        <v>-1.6723999999999999E-2</v>
      </c>
      <c r="H91">
        <v>-4.7130000000000002E-3</v>
      </c>
    </row>
    <row r="92" spans="1:8" x14ac:dyDescent="0.25">
      <c r="A92">
        <v>370</v>
      </c>
      <c r="B92">
        <v>1.1275729999999999</v>
      </c>
      <c r="C92">
        <v>0.21005399999999999</v>
      </c>
      <c r="D92">
        <v>-8.6840000000000007E-3</v>
      </c>
      <c r="E92">
        <v>9.9611000000000005E-2</v>
      </c>
      <c r="F92">
        <v>1.9012999999999999E-2</v>
      </c>
      <c r="G92">
        <v>-1.6317999999999999E-2</v>
      </c>
      <c r="H92">
        <v>1.0480000000000001E-3</v>
      </c>
    </row>
    <row r="93" spans="1:8" x14ac:dyDescent="0.25">
      <c r="A93">
        <v>372</v>
      </c>
      <c r="B93">
        <v>1.065666</v>
      </c>
      <c r="C93">
        <v>0.19218399999999999</v>
      </c>
      <c r="D93">
        <v>-1.5802E-2</v>
      </c>
      <c r="E93">
        <v>8.6884000000000003E-2</v>
      </c>
      <c r="F93">
        <v>2.0754999999999999E-2</v>
      </c>
      <c r="G93">
        <v>-1.1320999999999999E-2</v>
      </c>
      <c r="H93">
        <v>-5.4200000000000003E-3</v>
      </c>
    </row>
    <row r="94" spans="1:8" x14ac:dyDescent="0.25">
      <c r="A94">
        <v>374</v>
      </c>
      <c r="B94">
        <v>0.99281600000000003</v>
      </c>
      <c r="C94">
        <v>0.18323999999999999</v>
      </c>
      <c r="D94">
        <v>-8.1499999999999997E-4</v>
      </c>
      <c r="E94">
        <v>8.8414000000000006E-2</v>
      </c>
      <c r="F94">
        <v>1.5401E-2</v>
      </c>
      <c r="G94">
        <v>-4.7980000000000002E-3</v>
      </c>
      <c r="H94">
        <v>-3.4489999999999998E-3</v>
      </c>
    </row>
    <row r="95" spans="1:8" x14ac:dyDescent="0.25">
      <c r="A95">
        <v>376</v>
      </c>
      <c r="B95">
        <v>0.92094600000000004</v>
      </c>
      <c r="C95">
        <v>0.17210300000000001</v>
      </c>
      <c r="D95">
        <v>7.7499999999999997E-4</v>
      </c>
      <c r="E95">
        <v>7.9707E-2</v>
      </c>
      <c r="F95">
        <v>1.0104999999999999E-2</v>
      </c>
      <c r="G95">
        <v>-5.4669999999999996E-3</v>
      </c>
      <c r="H95">
        <v>5.8699999999999996E-4</v>
      </c>
    </row>
    <row r="96" spans="1:8" x14ac:dyDescent="0.25">
      <c r="A96">
        <v>378</v>
      </c>
      <c r="B96">
        <v>0.849159</v>
      </c>
      <c r="C96">
        <v>0.16609599999999999</v>
      </c>
      <c r="D96">
        <v>-4.3229999999999996E-3</v>
      </c>
      <c r="E96">
        <v>6.8449999999999997E-2</v>
      </c>
      <c r="F96">
        <v>8.8789999999999997E-3</v>
      </c>
      <c r="G96">
        <v>-9.554E-3</v>
      </c>
      <c r="H96">
        <v>-1.2260000000000001E-3</v>
      </c>
    </row>
    <row r="97" spans="1:8" x14ac:dyDescent="0.25">
      <c r="A97">
        <v>380</v>
      </c>
      <c r="B97">
        <v>0.77508200000000005</v>
      </c>
      <c r="C97">
        <v>0.16880700000000001</v>
      </c>
      <c r="D97">
        <v>-8.3510000000000008E-3</v>
      </c>
      <c r="E97">
        <v>5.8999000000000003E-2</v>
      </c>
      <c r="F97">
        <v>2.6059999999999998E-3</v>
      </c>
      <c r="G97">
        <v>-3.2810000000000001E-3</v>
      </c>
      <c r="H97">
        <v>5.9189999999999998E-3</v>
      </c>
    </row>
    <row r="98" spans="1:8" x14ac:dyDescent="0.25">
      <c r="A98">
        <v>382</v>
      </c>
      <c r="B98">
        <v>0.68983700000000003</v>
      </c>
      <c r="C98">
        <v>0.16030700000000001</v>
      </c>
      <c r="D98">
        <v>-1.5278E-2</v>
      </c>
      <c r="E98">
        <v>5.4302000000000003E-2</v>
      </c>
      <c r="F98">
        <v>3.392E-3</v>
      </c>
      <c r="G98">
        <v>-3.6419999999999998E-3</v>
      </c>
      <c r="H98">
        <v>6.1040000000000001E-3</v>
      </c>
    </row>
    <row r="99" spans="1:8" x14ac:dyDescent="0.25">
      <c r="A99">
        <v>384</v>
      </c>
      <c r="B99">
        <v>0.61407299999999998</v>
      </c>
      <c r="C99">
        <v>0.15016499999999999</v>
      </c>
      <c r="D99">
        <v>-1.5266999999999999E-2</v>
      </c>
      <c r="E99">
        <v>5.2345000000000003E-2</v>
      </c>
      <c r="F99">
        <v>1.4171E-2</v>
      </c>
      <c r="G99">
        <v>-6.8479999999999999E-3</v>
      </c>
      <c r="H99">
        <v>-1.116E-3</v>
      </c>
    </row>
    <row r="100" spans="1:8" x14ac:dyDescent="0.25">
      <c r="A100">
        <v>386</v>
      </c>
      <c r="B100">
        <v>0.55149499999999996</v>
      </c>
      <c r="C100">
        <v>0.15287600000000001</v>
      </c>
      <c r="D100">
        <v>-1.1164E-2</v>
      </c>
      <c r="E100">
        <v>4.6241999999999998E-2</v>
      </c>
      <c r="F100">
        <v>7.3590000000000001E-3</v>
      </c>
      <c r="G100">
        <v>-2.604E-3</v>
      </c>
      <c r="H100">
        <v>-9.3109999999999998E-3</v>
      </c>
    </row>
    <row r="101" spans="1:8" x14ac:dyDescent="0.25">
      <c r="A101">
        <v>388</v>
      </c>
      <c r="B101">
        <v>0.491647</v>
      </c>
      <c r="C101">
        <v>0.13928499999999999</v>
      </c>
      <c r="D101">
        <v>-1.0349000000000001E-2</v>
      </c>
      <c r="E101">
        <v>4.1942E-2</v>
      </c>
      <c r="F101">
        <v>2.7829999999999999E-3</v>
      </c>
      <c r="G101">
        <v>-2.3319999999999999E-3</v>
      </c>
      <c r="H101">
        <v>-6.6280000000000002E-3</v>
      </c>
    </row>
    <row r="102" spans="1:8" x14ac:dyDescent="0.25">
      <c r="A102">
        <v>390</v>
      </c>
      <c r="B102">
        <v>0.42999300000000001</v>
      </c>
      <c r="C102">
        <v>0.13558600000000001</v>
      </c>
      <c r="D102">
        <v>-1.7302999999999999E-2</v>
      </c>
      <c r="E102">
        <v>3.7366999999999997E-2</v>
      </c>
      <c r="F102">
        <v>5.4920000000000004E-3</v>
      </c>
      <c r="G102">
        <v>-6.8479999999999999E-3</v>
      </c>
      <c r="H102">
        <v>-1.3320000000000001E-3</v>
      </c>
    </row>
    <row r="103" spans="1:8" x14ac:dyDescent="0.25">
      <c r="A103">
        <v>392</v>
      </c>
      <c r="B103">
        <v>0.37015399999999998</v>
      </c>
      <c r="C103">
        <v>0.14266400000000001</v>
      </c>
      <c r="D103">
        <v>-2.5146000000000002E-2</v>
      </c>
      <c r="E103">
        <v>2.9465999999999999E-2</v>
      </c>
      <c r="F103">
        <v>1.0583E-2</v>
      </c>
      <c r="G103">
        <v>-7.8600000000000007E-3</v>
      </c>
      <c r="H103">
        <v>-1.0217E-2</v>
      </c>
    </row>
    <row r="104" spans="1:8" x14ac:dyDescent="0.25">
      <c r="A104">
        <v>394</v>
      </c>
      <c r="B104">
        <v>0.31204399999999999</v>
      </c>
      <c r="C104">
        <v>0.14341799999999999</v>
      </c>
      <c r="D104">
        <v>-2.3217999999999999E-2</v>
      </c>
      <c r="E104">
        <v>3.1958E-2</v>
      </c>
      <c r="F104">
        <v>1.4995E-2</v>
      </c>
      <c r="G104">
        <v>-3.0999999999999999E-3</v>
      </c>
      <c r="H104">
        <v>-1.0229E-2</v>
      </c>
    </row>
    <row r="105" spans="1:8" x14ac:dyDescent="0.25">
      <c r="A105">
        <v>396</v>
      </c>
      <c r="B105">
        <v>0.25926900000000003</v>
      </c>
      <c r="C105">
        <v>0.14493800000000001</v>
      </c>
      <c r="D105">
        <v>-2.0094000000000001E-2</v>
      </c>
      <c r="E105">
        <v>2.9815999999999999E-2</v>
      </c>
      <c r="F105">
        <v>8.5330000000000007E-3</v>
      </c>
      <c r="G105">
        <v>-3.81E-3</v>
      </c>
      <c r="H105">
        <v>4.1110000000000001E-3</v>
      </c>
    </row>
    <row r="106" spans="1:8" x14ac:dyDescent="0.25">
      <c r="A106">
        <v>398</v>
      </c>
      <c r="B106">
        <v>0.21238699999999999</v>
      </c>
      <c r="C106">
        <v>0.14435400000000001</v>
      </c>
      <c r="D106">
        <v>-2.6502000000000001E-2</v>
      </c>
      <c r="E106">
        <v>1.5403999999999999E-2</v>
      </c>
      <c r="F106">
        <v>4.0790000000000002E-3</v>
      </c>
      <c r="G106">
        <v>-8.8190000000000004E-3</v>
      </c>
      <c r="H106">
        <v>2.862E-3</v>
      </c>
    </row>
    <row r="107" spans="1:8" x14ac:dyDescent="0.25">
      <c r="A107">
        <v>400</v>
      </c>
      <c r="B107">
        <v>0.18038399999999999</v>
      </c>
      <c r="C107">
        <v>0.13802300000000001</v>
      </c>
      <c r="D107">
        <v>-2.0736999999999998E-2</v>
      </c>
      <c r="E107">
        <v>1.2624E-2</v>
      </c>
      <c r="F107">
        <v>2.892E-3</v>
      </c>
      <c r="G107">
        <v>-7.8220000000000008E-3</v>
      </c>
      <c r="H107">
        <v>-3.8210000000000002E-3</v>
      </c>
    </row>
    <row r="108" spans="1:8" x14ac:dyDescent="0.25">
      <c r="A108">
        <v>402</v>
      </c>
      <c r="B108">
        <v>0.15441099999999999</v>
      </c>
      <c r="C108">
        <v>0.13713600000000001</v>
      </c>
      <c r="D108">
        <v>-7.85E-4</v>
      </c>
      <c r="E108">
        <v>1.7323999999999999E-2</v>
      </c>
      <c r="F108">
        <v>5.868E-3</v>
      </c>
      <c r="G108">
        <v>-3.7780000000000001E-3</v>
      </c>
      <c r="H108">
        <v>-6.5830000000000003E-3</v>
      </c>
    </row>
    <row r="109" spans="1:8" x14ac:dyDescent="0.25">
      <c r="A109">
        <v>404</v>
      </c>
      <c r="B109">
        <v>0.119481</v>
      </c>
      <c r="C109">
        <v>0.13977300000000001</v>
      </c>
      <c r="D109">
        <v>1.044E-3</v>
      </c>
      <c r="E109">
        <v>1.4572E-2</v>
      </c>
      <c r="F109">
        <v>-1.0000000000000001E-5</v>
      </c>
      <c r="G109">
        <v>3.029E-3</v>
      </c>
      <c r="H109">
        <v>-5.7229999999999998E-3</v>
      </c>
    </row>
    <row r="110" spans="1:8" x14ac:dyDescent="0.25">
      <c r="A110">
        <v>406</v>
      </c>
      <c r="B110">
        <v>9.1776999999999997E-2</v>
      </c>
      <c r="C110">
        <v>0.135131</v>
      </c>
      <c r="D110">
        <v>-6.13E-3</v>
      </c>
      <c r="E110">
        <v>2.2421E-2</v>
      </c>
      <c r="F110">
        <v>-8.0979999999999993E-3</v>
      </c>
      <c r="G110">
        <v>4.9789999999999999E-3</v>
      </c>
      <c r="H110">
        <v>4.8500000000000003E-4</v>
      </c>
    </row>
    <row r="111" spans="1:8" x14ac:dyDescent="0.25">
      <c r="A111">
        <v>408</v>
      </c>
      <c r="B111">
        <v>6.9518999999999997E-2</v>
      </c>
      <c r="C111">
        <v>0.12146700000000001</v>
      </c>
      <c r="D111">
        <v>-3.3899999999999998E-3</v>
      </c>
      <c r="E111">
        <v>2.2460000000000001E-2</v>
      </c>
      <c r="F111">
        <v>-9.0519999999999993E-3</v>
      </c>
      <c r="G111">
        <v>8.3699999999999996E-4</v>
      </c>
      <c r="H111">
        <v>-9.4369999999999992E-3</v>
      </c>
    </row>
    <row r="112" spans="1:8" x14ac:dyDescent="0.25">
      <c r="A112">
        <v>410</v>
      </c>
      <c r="B112">
        <v>5.2018000000000002E-2</v>
      </c>
      <c r="C112">
        <v>0.12711500000000001</v>
      </c>
      <c r="D112">
        <v>-8.6940000000000003E-3</v>
      </c>
      <c r="E112">
        <v>1.2931E-2</v>
      </c>
      <c r="F112">
        <v>-1.0883E-2</v>
      </c>
      <c r="G112">
        <v>-1.379E-3</v>
      </c>
      <c r="H112">
        <v>-1.8671E-2</v>
      </c>
    </row>
    <row r="113" spans="1:8" x14ac:dyDescent="0.25">
      <c r="A113">
        <v>412</v>
      </c>
      <c r="B113">
        <v>4.1422E-2</v>
      </c>
      <c r="C113">
        <v>0.14179800000000001</v>
      </c>
      <c r="D113">
        <v>-5.3689999999999996E-3</v>
      </c>
      <c r="E113">
        <v>1.3762E-2</v>
      </c>
      <c r="F113">
        <v>-8.4220000000000007E-3</v>
      </c>
      <c r="G113">
        <v>-8.7080000000000005E-3</v>
      </c>
      <c r="H113">
        <v>-6.7169999999999999E-3</v>
      </c>
    </row>
    <row r="114" spans="1:8" x14ac:dyDescent="0.25">
      <c r="A114">
        <v>414</v>
      </c>
      <c r="B114">
        <v>2.7241999999999999E-2</v>
      </c>
      <c r="C114">
        <v>0.141843</v>
      </c>
      <c r="D114">
        <v>1.4145E-2</v>
      </c>
      <c r="E114">
        <v>2.776E-2</v>
      </c>
      <c r="F114">
        <v>-6.0520000000000001E-3</v>
      </c>
      <c r="G114">
        <v>-1.0218E-2</v>
      </c>
      <c r="H114">
        <v>6.5399999999999996E-4</v>
      </c>
    </row>
    <row r="115" spans="1:8" x14ac:dyDescent="0.25">
      <c r="A115">
        <v>416</v>
      </c>
      <c r="B115">
        <v>2.8961000000000001E-2</v>
      </c>
      <c r="C115">
        <v>0.149537</v>
      </c>
      <c r="D115">
        <v>2.0947E-2</v>
      </c>
      <c r="E115">
        <v>3.0528E-2</v>
      </c>
      <c r="F115">
        <v>2.6480000000000002E-3</v>
      </c>
      <c r="G115">
        <v>-1.4E-3</v>
      </c>
      <c r="H115">
        <v>-5.7759999999999999E-3</v>
      </c>
    </row>
    <row r="116" spans="1:8" x14ac:dyDescent="0.25">
      <c r="A116">
        <v>418</v>
      </c>
      <c r="B116">
        <v>2.8698000000000001E-2</v>
      </c>
      <c r="C116">
        <v>0.149753</v>
      </c>
      <c r="D116">
        <v>2.2634000000000001E-2</v>
      </c>
      <c r="E116">
        <v>1.5712E-2</v>
      </c>
      <c r="F116">
        <v>9.6109999999999998E-3</v>
      </c>
      <c r="G116">
        <v>-6.0499999999999996E-4</v>
      </c>
      <c r="H116">
        <v>-8.2609999999999992E-3</v>
      </c>
    </row>
    <row r="117" spans="1:8" x14ac:dyDescent="0.25">
      <c r="A117">
        <v>420</v>
      </c>
      <c r="B117">
        <v>2.4927999999999999E-2</v>
      </c>
      <c r="C117">
        <v>0.135717</v>
      </c>
      <c r="D117">
        <v>2.8912E-2</v>
      </c>
      <c r="E117">
        <v>1.078E-2</v>
      </c>
      <c r="F117">
        <v>6.6379999999999998E-3</v>
      </c>
      <c r="G117">
        <v>-5.6119999999999998E-3</v>
      </c>
      <c r="H117">
        <v>-4.0660000000000002E-3</v>
      </c>
    </row>
    <row r="118" spans="1:8" x14ac:dyDescent="0.25">
      <c r="A118">
        <v>422</v>
      </c>
      <c r="B118">
        <v>2.6204999999999999E-2</v>
      </c>
      <c r="C118">
        <v>0.127</v>
      </c>
      <c r="D118">
        <v>2.9399000000000002E-2</v>
      </c>
      <c r="E118">
        <v>1.7069000000000001E-2</v>
      </c>
      <c r="F118">
        <v>1.5759999999999999E-3</v>
      </c>
      <c r="G118">
        <v>-1.539E-3</v>
      </c>
      <c r="H118">
        <v>-7.5600000000000005E-4</v>
      </c>
    </row>
    <row r="119" spans="1:8" x14ac:dyDescent="0.25">
      <c r="A119">
        <v>424</v>
      </c>
      <c r="B119">
        <v>8.626E-3</v>
      </c>
      <c r="C119">
        <v>0.12003999999999999</v>
      </c>
      <c r="D119">
        <v>3.0143E-2</v>
      </c>
      <c r="E119">
        <v>2.1083000000000001E-2</v>
      </c>
      <c r="F119">
        <v>-3.9420000000000002E-3</v>
      </c>
      <c r="G119">
        <v>-3.79E-4</v>
      </c>
      <c r="H119">
        <v>-2.6879999999999999E-3</v>
      </c>
    </row>
    <row r="120" spans="1:8" x14ac:dyDescent="0.25">
      <c r="A120">
        <v>426</v>
      </c>
      <c r="B120">
        <v>-9.68E-4</v>
      </c>
      <c r="C120">
        <v>0.11855400000000001</v>
      </c>
      <c r="D120">
        <v>3.109E-2</v>
      </c>
      <c r="E120">
        <v>1.7982000000000001E-2</v>
      </c>
      <c r="F120">
        <v>-1.0704E-2</v>
      </c>
      <c r="G120">
        <v>3.1020000000000002E-3</v>
      </c>
      <c r="H120">
        <v>2.5929999999999998E-3</v>
      </c>
    </row>
    <row r="121" spans="1:8" x14ac:dyDescent="0.25">
      <c r="A121">
        <v>428</v>
      </c>
      <c r="B121">
        <v>-6.4000000000000005E-4</v>
      </c>
      <c r="C121">
        <v>0.117992</v>
      </c>
      <c r="D121">
        <v>2.7621E-2</v>
      </c>
      <c r="E121">
        <v>1.8487E-2</v>
      </c>
      <c r="F121">
        <v>-1.5883000000000001E-2</v>
      </c>
      <c r="G121">
        <v>3.9189999999999997E-3</v>
      </c>
      <c r="H121">
        <v>-5.7790000000000003E-3</v>
      </c>
    </row>
    <row r="122" spans="1:8" x14ac:dyDescent="0.25">
      <c r="A122">
        <v>430</v>
      </c>
      <c r="B122">
        <v>2.761E-3</v>
      </c>
      <c r="C122">
        <v>0.106834</v>
      </c>
      <c r="D122">
        <v>3.0804000000000002E-2</v>
      </c>
      <c r="E122">
        <v>1.5343000000000001E-2</v>
      </c>
      <c r="F122">
        <v>-1.7009E-2</v>
      </c>
      <c r="G122">
        <v>-1.8270000000000001E-3</v>
      </c>
      <c r="H122">
        <v>-1.1302E-2</v>
      </c>
    </row>
    <row r="123" spans="1:8" x14ac:dyDescent="0.25">
      <c r="A123">
        <v>432</v>
      </c>
      <c r="B123">
        <v>1.1601999999999999E-2</v>
      </c>
      <c r="C123">
        <v>0.106152</v>
      </c>
      <c r="D123">
        <v>2.2262000000000001E-2</v>
      </c>
      <c r="E123">
        <v>2.3556000000000001E-2</v>
      </c>
      <c r="F123">
        <v>-1.0857E-2</v>
      </c>
      <c r="G123">
        <v>-1.7819999999999999E-3</v>
      </c>
      <c r="H123">
        <v>-4.0670000000000003E-3</v>
      </c>
    </row>
    <row r="124" spans="1:8" x14ac:dyDescent="0.25">
      <c r="A124">
        <v>434</v>
      </c>
      <c r="B124">
        <v>6.1310000000000002E-3</v>
      </c>
      <c r="C124">
        <v>0.127888</v>
      </c>
      <c r="D124">
        <v>1.7781999999999999E-2</v>
      </c>
      <c r="E124">
        <v>1.9661999999999999E-2</v>
      </c>
      <c r="F124">
        <v>-9.2630000000000004E-3</v>
      </c>
      <c r="G124">
        <v>3.3579999999999999E-3</v>
      </c>
      <c r="H124">
        <v>-8.4150000000000006E-3</v>
      </c>
    </row>
    <row r="125" spans="1:8" x14ac:dyDescent="0.25">
      <c r="A125">
        <v>436</v>
      </c>
      <c r="B125">
        <v>3.8830000000000002E-3</v>
      </c>
      <c r="C125">
        <v>0.12837200000000001</v>
      </c>
      <c r="D125">
        <v>2.5857000000000002E-2</v>
      </c>
      <c r="E125">
        <v>8.5299999999999994E-3</v>
      </c>
      <c r="F125">
        <v>-1.057E-3</v>
      </c>
      <c r="G125">
        <v>4.7000000000000002E-3</v>
      </c>
      <c r="H125">
        <v>1.7780000000000001E-3</v>
      </c>
    </row>
    <row r="126" spans="1:8" x14ac:dyDescent="0.25">
      <c r="A126">
        <v>438</v>
      </c>
      <c r="B126">
        <v>1.4538000000000001E-2</v>
      </c>
      <c r="C126">
        <v>0.11803</v>
      </c>
      <c r="D126">
        <v>2.5992999999999999E-2</v>
      </c>
      <c r="E126">
        <v>2.4118000000000001E-2</v>
      </c>
      <c r="F126">
        <v>1.0449999999999999E-3</v>
      </c>
      <c r="G126">
        <v>1.0076E-2</v>
      </c>
      <c r="H126">
        <v>6.136E-3</v>
      </c>
    </row>
    <row r="127" spans="1:8" x14ac:dyDescent="0.25">
      <c r="A127">
        <v>440</v>
      </c>
      <c r="B127">
        <v>2.0709999999999999E-3</v>
      </c>
      <c r="C127">
        <v>0.120226</v>
      </c>
      <c r="D127">
        <v>2.3878E-2</v>
      </c>
      <c r="E127">
        <v>2.2571000000000001E-2</v>
      </c>
      <c r="F127">
        <v>-3.6289999999999998E-3</v>
      </c>
      <c r="G127">
        <v>3.673E-3</v>
      </c>
      <c r="H127">
        <v>6.8519999999999996E-3</v>
      </c>
    </row>
    <row r="128" spans="1:8" x14ac:dyDescent="0.25">
      <c r="A128">
        <v>442</v>
      </c>
      <c r="B128">
        <v>-2.5379999999999999E-3</v>
      </c>
      <c r="C128">
        <v>0.12634600000000001</v>
      </c>
      <c r="D128">
        <v>2.8716999999999999E-2</v>
      </c>
      <c r="E128">
        <v>1.2661E-2</v>
      </c>
      <c r="F128">
        <v>1.114E-3</v>
      </c>
      <c r="G128">
        <v>-6.0480000000000004E-3</v>
      </c>
      <c r="H128">
        <v>3.9500000000000004E-3</v>
      </c>
    </row>
    <row r="129" spans="1:8" x14ac:dyDescent="0.25">
      <c r="A129">
        <v>444</v>
      </c>
      <c r="B129">
        <v>9.5469999999999999E-3</v>
      </c>
      <c r="C129">
        <v>0.12809499999999999</v>
      </c>
      <c r="D129">
        <v>3.2841000000000002E-2</v>
      </c>
      <c r="E129">
        <v>1.7028999999999999E-2</v>
      </c>
      <c r="F129">
        <v>-7.358E-3</v>
      </c>
      <c r="G129">
        <v>-1.395E-3</v>
      </c>
      <c r="H129">
        <v>-2.748E-3</v>
      </c>
    </row>
    <row r="130" spans="1:8" x14ac:dyDescent="0.25">
      <c r="A130">
        <v>446</v>
      </c>
      <c r="B130">
        <v>6.8979999999999996E-3</v>
      </c>
      <c r="C130">
        <v>0.137714</v>
      </c>
      <c r="D130">
        <v>1.2822E-2</v>
      </c>
      <c r="E130">
        <v>2.5049999999999999E-2</v>
      </c>
      <c r="F130">
        <v>-1.6260000000000001E-3</v>
      </c>
      <c r="G130">
        <v>-2.4459999999999998E-3</v>
      </c>
      <c r="H130">
        <v>-1.0640000000000001E-3</v>
      </c>
    </row>
    <row r="131" spans="1:8" x14ac:dyDescent="0.25">
      <c r="A131">
        <v>448</v>
      </c>
      <c r="B131">
        <v>4.4450000000000002E-3</v>
      </c>
      <c r="C131">
        <v>0.12740099999999999</v>
      </c>
      <c r="D131">
        <v>-9.3199999999999999E-4</v>
      </c>
      <c r="E131">
        <v>3.5227000000000001E-2</v>
      </c>
      <c r="F131">
        <v>1.0569E-2</v>
      </c>
      <c r="G131">
        <v>5.22E-4</v>
      </c>
      <c r="H131">
        <v>9.5499999999999995E-3</v>
      </c>
    </row>
    <row r="132" spans="1:8" x14ac:dyDescent="0.25">
      <c r="A132">
        <v>450</v>
      </c>
      <c r="B132">
        <v>7.4009999999999996E-3</v>
      </c>
      <c r="C132">
        <v>0.112996</v>
      </c>
      <c r="D132">
        <v>5.842E-3</v>
      </c>
      <c r="E132">
        <v>2.9447999999999998E-2</v>
      </c>
      <c r="F132">
        <v>4.4939999999999997E-3</v>
      </c>
      <c r="G132">
        <v>-3.516E-3</v>
      </c>
      <c r="H132">
        <v>7.535E-3</v>
      </c>
    </row>
    <row r="133" spans="1:8" x14ac:dyDescent="0.25">
      <c r="A133">
        <v>452</v>
      </c>
      <c r="B133">
        <v>5.9160000000000003E-3</v>
      </c>
      <c r="C133">
        <v>0.110653</v>
      </c>
      <c r="D133">
        <v>7.097E-3</v>
      </c>
      <c r="E133">
        <v>1.8495000000000001E-2</v>
      </c>
      <c r="F133">
        <v>1.835E-3</v>
      </c>
      <c r="G133">
        <v>-1.6435000000000002E-2</v>
      </c>
      <c r="H133">
        <v>-2.3960000000000001E-3</v>
      </c>
    </row>
    <row r="134" spans="1:8" x14ac:dyDescent="0.25">
      <c r="A134">
        <v>454</v>
      </c>
      <c r="B134">
        <v>5.7700000000000004E-4</v>
      </c>
      <c r="C134">
        <v>0.105542</v>
      </c>
      <c r="D134">
        <v>7.0419999999999996E-3</v>
      </c>
      <c r="E134">
        <v>1.8922000000000001E-2</v>
      </c>
      <c r="F134">
        <v>4.7679999999999997E-3</v>
      </c>
      <c r="G134">
        <v>-2.0379999999999999E-2</v>
      </c>
      <c r="H134">
        <v>-6.2769999999999996E-3</v>
      </c>
    </row>
    <row r="135" spans="1:8" x14ac:dyDescent="0.25">
      <c r="A135">
        <v>456</v>
      </c>
      <c r="B135">
        <v>4.1229999999999999E-3</v>
      </c>
      <c r="C135">
        <v>0.113592</v>
      </c>
      <c r="D135">
        <v>7.247E-3</v>
      </c>
      <c r="E135">
        <v>2.5736999999999999E-2</v>
      </c>
      <c r="F135">
        <v>3.8370000000000001E-3</v>
      </c>
      <c r="G135">
        <v>-1.1204E-2</v>
      </c>
      <c r="H135">
        <v>-9.0209999999999995E-3</v>
      </c>
    </row>
    <row r="136" spans="1:8" x14ac:dyDescent="0.25">
      <c r="A136">
        <v>458</v>
      </c>
      <c r="B136">
        <v>-9.9200000000000004E-4</v>
      </c>
      <c r="C136">
        <v>0.118468</v>
      </c>
      <c r="D136">
        <v>-3.4190000000000002E-3</v>
      </c>
      <c r="E136">
        <v>3.4511E-2</v>
      </c>
      <c r="F136">
        <v>-7.85E-4</v>
      </c>
      <c r="G136">
        <v>2.918E-3</v>
      </c>
      <c r="H136" s="117">
        <v>-6.5740399999999995E-7</v>
      </c>
    </row>
    <row r="137" spans="1:8" x14ac:dyDescent="0.25">
      <c r="A137">
        <v>460</v>
      </c>
      <c r="B137">
        <v>-4.2110000000000003E-3</v>
      </c>
      <c r="C137">
        <v>0.104653</v>
      </c>
      <c r="D137">
        <v>4.0359999999999997E-3</v>
      </c>
      <c r="E137">
        <v>2.7886999999999999E-2</v>
      </c>
      <c r="F137">
        <v>-3.2539999999999999E-3</v>
      </c>
      <c r="G137">
        <v>-4.6119999999999998E-3</v>
      </c>
      <c r="H137">
        <v>3.7850000000000002E-3</v>
      </c>
    </row>
    <row r="138" spans="1:8" x14ac:dyDescent="0.25">
      <c r="A138">
        <v>462</v>
      </c>
      <c r="B138">
        <v>2.0739E-2</v>
      </c>
      <c r="C138">
        <v>-9.6780000000000005E-2</v>
      </c>
      <c r="D138">
        <v>-1.7351999999999999E-2</v>
      </c>
      <c r="E138">
        <v>4.9341000000000003E-2</v>
      </c>
      <c r="F138">
        <v>0.10026</v>
      </c>
      <c r="G138">
        <v>-3.4210999999999998E-2</v>
      </c>
      <c r="H138">
        <v>-7.2670999999999999E-2</v>
      </c>
    </row>
    <row r="139" spans="1:8" x14ac:dyDescent="0.25">
      <c r="A139">
        <v>464</v>
      </c>
      <c r="B139">
        <v>2.4464E-2</v>
      </c>
      <c r="C139">
        <v>-0.20633699999999999</v>
      </c>
      <c r="D139">
        <v>-4.7559999999999998E-2</v>
      </c>
      <c r="E139">
        <v>6.5695000000000003E-2</v>
      </c>
      <c r="F139">
        <v>0.17415</v>
      </c>
      <c r="G139">
        <v>-4.0316999999999999E-2</v>
      </c>
      <c r="H139">
        <v>-0.11085399999999999</v>
      </c>
    </row>
    <row r="140" spans="1:8" x14ac:dyDescent="0.25">
      <c r="A140">
        <v>466</v>
      </c>
      <c r="B140">
        <v>5.9680000000000002E-3</v>
      </c>
      <c r="C140">
        <v>-2.1191000000000002E-2</v>
      </c>
      <c r="D140">
        <v>-1.3269E-2</v>
      </c>
      <c r="E140">
        <v>2.2553E-2</v>
      </c>
      <c r="F140">
        <v>7.3966000000000004E-2</v>
      </c>
      <c r="G140">
        <v>-1.9935000000000001E-2</v>
      </c>
      <c r="H140">
        <v>-4.5381999999999999E-2</v>
      </c>
    </row>
    <row r="141" spans="1:8" x14ac:dyDescent="0.25">
      <c r="A141">
        <v>468</v>
      </c>
      <c r="B141">
        <v>-6.5240000000000003E-3</v>
      </c>
      <c r="C141">
        <v>9.3923000000000006E-2</v>
      </c>
      <c r="D141">
        <v>1.8183000000000001E-2</v>
      </c>
      <c r="E141">
        <v>-8.4309999999999993E-3</v>
      </c>
      <c r="F141">
        <v>-1.47E-4</v>
      </c>
      <c r="G141">
        <v>-3.7910000000000001E-3</v>
      </c>
      <c r="H141">
        <v>-6.3449999999999999E-3</v>
      </c>
    </row>
    <row r="142" spans="1:8" x14ac:dyDescent="0.25">
      <c r="A142">
        <v>470</v>
      </c>
      <c r="B142">
        <v>-1.0841E-2</v>
      </c>
      <c r="C142">
        <v>9.4008999999999995E-2</v>
      </c>
      <c r="D142">
        <v>1.6042000000000001E-2</v>
      </c>
      <c r="E142">
        <v>-3.1340000000000001E-3</v>
      </c>
      <c r="F142">
        <v>1.1221E-2</v>
      </c>
      <c r="G142">
        <v>-7.27E-4</v>
      </c>
      <c r="H142">
        <v>-1.0357999999999999E-2</v>
      </c>
    </row>
    <row r="143" spans="1:8" x14ac:dyDescent="0.25">
      <c r="A143">
        <v>472</v>
      </c>
      <c r="B143">
        <v>4.2500000000000003E-3</v>
      </c>
      <c r="C143">
        <v>0.153415</v>
      </c>
      <c r="D143">
        <v>-5.3689999999999996E-3</v>
      </c>
      <c r="E143">
        <v>4.3210000000000002E-3</v>
      </c>
      <c r="F143">
        <v>1.6147999999999999E-2</v>
      </c>
      <c r="G143">
        <v>-9.4520000000000003E-3</v>
      </c>
      <c r="H143">
        <v>5.117E-3</v>
      </c>
    </row>
    <row r="144" spans="1:8" x14ac:dyDescent="0.25">
      <c r="A144">
        <v>474</v>
      </c>
      <c r="B144">
        <v>5.6220000000000003E-3</v>
      </c>
      <c r="C144">
        <v>0.15340999999999999</v>
      </c>
      <c r="D144">
        <v>-1.21E-4</v>
      </c>
      <c r="E144">
        <v>2.6050000000000001E-3</v>
      </c>
      <c r="F144">
        <v>1.0352999999999999E-2</v>
      </c>
      <c r="G144">
        <v>-1.4590000000000001E-2</v>
      </c>
      <c r="H144">
        <v>7.3000000000000001E-3</v>
      </c>
    </row>
    <row r="145" spans="1:8" x14ac:dyDescent="0.25">
      <c r="A145">
        <v>476</v>
      </c>
      <c r="B145">
        <v>-2.5669999999999998E-3</v>
      </c>
      <c r="C145">
        <v>9.1633000000000006E-2</v>
      </c>
      <c r="D145">
        <v>1.04E-2</v>
      </c>
      <c r="E145">
        <v>9.5379999999999996E-3</v>
      </c>
      <c r="F145">
        <v>1.0629999999999999E-3</v>
      </c>
      <c r="G145">
        <v>-1.6295E-2</v>
      </c>
      <c r="H145">
        <v>-1.1207E-2</v>
      </c>
    </row>
    <row r="146" spans="1:8" x14ac:dyDescent="0.25">
      <c r="A146">
        <v>478</v>
      </c>
      <c r="B146">
        <v>2.4620000000000002E-3</v>
      </c>
      <c r="C146">
        <v>0.111427</v>
      </c>
      <c r="D146">
        <v>-1.4626E-2</v>
      </c>
      <c r="E146">
        <v>2.6065000000000001E-2</v>
      </c>
      <c r="F146">
        <v>-5.0920000000000002E-3</v>
      </c>
      <c r="G146">
        <v>-5.9160000000000003E-3</v>
      </c>
      <c r="H146">
        <v>-2.3930000000000002E-3</v>
      </c>
    </row>
    <row r="147" spans="1:8" x14ac:dyDescent="0.25">
      <c r="A147">
        <v>480</v>
      </c>
      <c r="B147">
        <v>-1.1150000000000001E-3</v>
      </c>
      <c r="C147">
        <v>0.14758299999999999</v>
      </c>
      <c r="D147">
        <v>-2.9848E-2</v>
      </c>
      <c r="E147">
        <v>1.5630999999999999E-2</v>
      </c>
      <c r="F147">
        <v>-1.0777999999999999E-2</v>
      </c>
      <c r="G147">
        <v>5.6379999999999998E-3</v>
      </c>
      <c r="H147">
        <v>1.3464E-2</v>
      </c>
    </row>
    <row r="148" spans="1:8" x14ac:dyDescent="0.25">
      <c r="A148">
        <v>482</v>
      </c>
      <c r="B148">
        <v>9.7149999999999997E-3</v>
      </c>
      <c r="C148">
        <v>-1.4426E-2</v>
      </c>
      <c r="D148">
        <v>4.2529999999999998E-2</v>
      </c>
      <c r="E148">
        <v>2.2439000000000001E-2</v>
      </c>
      <c r="F148">
        <v>-1.0411E-2</v>
      </c>
      <c r="G148">
        <v>7.1599999999999995E-4</v>
      </c>
      <c r="H148">
        <v>-6.7219999999999997E-3</v>
      </c>
    </row>
    <row r="149" spans="1:8" x14ac:dyDescent="0.25">
      <c r="A149">
        <v>484</v>
      </c>
      <c r="B149">
        <v>1.6343E-2</v>
      </c>
      <c r="C149">
        <v>-0.112939</v>
      </c>
      <c r="D149">
        <v>5.5141999999999997E-2</v>
      </c>
      <c r="E149">
        <v>1.4880000000000001E-2</v>
      </c>
      <c r="F149">
        <v>-6.9890000000000004E-3</v>
      </c>
      <c r="G149">
        <v>-1.464E-3</v>
      </c>
      <c r="H149">
        <v>1.8619999999999999E-3</v>
      </c>
    </row>
    <row r="150" spans="1:8" x14ac:dyDescent="0.25">
      <c r="A150">
        <v>486</v>
      </c>
      <c r="B150">
        <v>1.3416000000000001E-2</v>
      </c>
      <c r="C150">
        <v>6.1247000000000003E-2</v>
      </c>
      <c r="D150">
        <v>-3.0131000000000002E-2</v>
      </c>
      <c r="E150">
        <v>-8.2480000000000001E-3</v>
      </c>
      <c r="F150">
        <v>-1.1859E-2</v>
      </c>
      <c r="G150">
        <v>3.441E-3</v>
      </c>
      <c r="H150">
        <v>4.8469999999999999E-2</v>
      </c>
    </row>
    <row r="151" spans="1:8" x14ac:dyDescent="0.25">
      <c r="A151">
        <v>488</v>
      </c>
      <c r="B151">
        <v>1.073E-2</v>
      </c>
      <c r="C151">
        <v>0.18160200000000001</v>
      </c>
      <c r="D151">
        <v>-5.9644999999999997E-2</v>
      </c>
      <c r="E151">
        <v>-3.2039999999999998E-3</v>
      </c>
      <c r="F151">
        <v>-7.8139999999999998E-3</v>
      </c>
      <c r="G151">
        <v>1.0662E-2</v>
      </c>
      <c r="H151">
        <v>4.6490999999999998E-2</v>
      </c>
    </row>
    <row r="152" spans="1:8" x14ac:dyDescent="0.25">
      <c r="A152">
        <v>490</v>
      </c>
      <c r="B152">
        <v>-3.1080000000000001E-3</v>
      </c>
      <c r="C152">
        <v>0.10988199999999999</v>
      </c>
      <c r="D152">
        <v>-8.6879999999999995E-3</v>
      </c>
      <c r="E152">
        <v>9.5060000000000006E-3</v>
      </c>
      <c r="F152">
        <v>8.1960000000000002E-3</v>
      </c>
      <c r="G152">
        <v>6.3210000000000002E-3</v>
      </c>
      <c r="H152">
        <v>1.335E-3</v>
      </c>
    </row>
    <row r="153" spans="1:8" x14ac:dyDescent="0.25">
      <c r="A153">
        <v>492</v>
      </c>
      <c r="B153">
        <v>-6.9899999999999997E-4</v>
      </c>
      <c r="C153">
        <v>0.142878</v>
      </c>
      <c r="D153">
        <v>-1.0129000000000001E-2</v>
      </c>
      <c r="E153">
        <v>-6.0699999999999999E-3</v>
      </c>
      <c r="F153">
        <v>-3.6340000000000001E-3</v>
      </c>
      <c r="G153">
        <v>-6.437E-3</v>
      </c>
      <c r="H153">
        <v>1.3991E-2</v>
      </c>
    </row>
    <row r="154" spans="1:8" x14ac:dyDescent="0.25">
      <c r="A154">
        <v>494</v>
      </c>
      <c r="B154">
        <v>-1.062E-3</v>
      </c>
      <c r="C154">
        <v>0.151311</v>
      </c>
      <c r="D154">
        <v>-6.9179999999999997E-3</v>
      </c>
      <c r="E154">
        <v>-2.0518000000000002E-2</v>
      </c>
      <c r="F154">
        <v>-6.7159999999999997E-3</v>
      </c>
      <c r="G154">
        <v>-1.204E-2</v>
      </c>
      <c r="H154">
        <v>1.4597000000000001E-2</v>
      </c>
    </row>
    <row r="155" spans="1:8" x14ac:dyDescent="0.25">
      <c r="A155">
        <v>496</v>
      </c>
      <c r="B155">
        <v>-9.4280000000000006E-3</v>
      </c>
      <c r="C155">
        <v>0.129604</v>
      </c>
      <c r="D155">
        <v>6.3140000000000002E-3</v>
      </c>
      <c r="E155">
        <v>-2.6572999999999999E-2</v>
      </c>
      <c r="F155">
        <v>7.4650000000000003E-3</v>
      </c>
      <c r="G155">
        <v>-1.8440000000000002E-2</v>
      </c>
      <c r="H155">
        <v>3.2499999999999999E-4</v>
      </c>
    </row>
    <row r="156" spans="1:8" x14ac:dyDescent="0.25">
      <c r="A156">
        <v>498</v>
      </c>
      <c r="B156">
        <v>-3.4160000000000002E-3</v>
      </c>
      <c r="C156">
        <v>0.107081</v>
      </c>
      <c r="D156">
        <v>1.0281E-2</v>
      </c>
      <c r="E156">
        <v>-2.2100999999999999E-2</v>
      </c>
      <c r="F156">
        <v>7.1170000000000001E-3</v>
      </c>
      <c r="G156">
        <v>-8.907E-3</v>
      </c>
      <c r="H156">
        <v>1.207E-3</v>
      </c>
    </row>
    <row r="157" spans="1:8" x14ac:dyDescent="0.25">
      <c r="A157">
        <v>500</v>
      </c>
      <c r="B157">
        <v>9.9679999999999994E-3</v>
      </c>
      <c r="C157">
        <v>0.10899200000000001</v>
      </c>
      <c r="D157">
        <v>6.2909999999999997E-3</v>
      </c>
      <c r="E157">
        <v>-6.6689999999999996E-3</v>
      </c>
      <c r="F157">
        <v>7.3029999999999996E-3</v>
      </c>
      <c r="G157">
        <v>-8.2330000000000007E-3</v>
      </c>
      <c r="H157">
        <v>6.2729999999999999E-3</v>
      </c>
    </row>
    <row r="158" spans="1:8" x14ac:dyDescent="0.25">
      <c r="A158">
        <v>502</v>
      </c>
      <c r="B158">
        <v>1.3773000000000001E-2</v>
      </c>
      <c r="C158">
        <v>8.9835999999999999E-2</v>
      </c>
      <c r="D158">
        <v>5.5459999999999997E-3</v>
      </c>
      <c r="E158">
        <v>-4.9059999999999998E-3</v>
      </c>
      <c r="F158">
        <v>1.0659999999999999E-2</v>
      </c>
      <c r="G158">
        <v>-9.4899999999999997E-4</v>
      </c>
      <c r="H158">
        <v>-1.3388000000000001E-2</v>
      </c>
    </row>
    <row r="159" spans="1:8" x14ac:dyDescent="0.25">
      <c r="A159">
        <v>504</v>
      </c>
      <c r="B159">
        <v>6.5760000000000002E-3</v>
      </c>
      <c r="C159">
        <v>0.10301100000000001</v>
      </c>
      <c r="D159">
        <v>-1.132E-3</v>
      </c>
      <c r="E159">
        <v>-1.0637000000000001E-2</v>
      </c>
      <c r="F159">
        <v>7.809E-3</v>
      </c>
      <c r="G159">
        <v>1.3226999999999999E-2</v>
      </c>
      <c r="H159">
        <v>-1.7025999999999999E-2</v>
      </c>
    </row>
    <row r="160" spans="1:8" x14ac:dyDescent="0.25">
      <c r="A160">
        <v>506</v>
      </c>
      <c r="B160">
        <v>4.3559999999999996E-3</v>
      </c>
      <c r="C160">
        <v>0.12861900000000001</v>
      </c>
      <c r="D160">
        <v>1.133E-2</v>
      </c>
      <c r="E160">
        <v>-4.3359999999999996E-3</v>
      </c>
      <c r="F160">
        <v>-3.59E-4</v>
      </c>
      <c r="G160">
        <v>2.0089999999999999E-3</v>
      </c>
      <c r="H160">
        <v>-4.5830000000000003E-3</v>
      </c>
    </row>
    <row r="161" spans="1:8" x14ac:dyDescent="0.25">
      <c r="A161">
        <v>508</v>
      </c>
      <c r="B161">
        <v>-1.4859999999999999E-3</v>
      </c>
      <c r="C161">
        <v>7.5436000000000003E-2</v>
      </c>
      <c r="D161">
        <v>2.2976E-2</v>
      </c>
      <c r="E161">
        <v>-7.1809999999999999E-3</v>
      </c>
      <c r="F161">
        <v>2.5720000000000001E-3</v>
      </c>
      <c r="G161">
        <v>7.6559999999999996E-3</v>
      </c>
      <c r="H161">
        <v>-5.986E-3</v>
      </c>
    </row>
    <row r="162" spans="1:8" x14ac:dyDescent="0.25">
      <c r="A162">
        <v>510</v>
      </c>
      <c r="B162">
        <v>-1.2312999999999999E-2</v>
      </c>
      <c r="C162">
        <v>9.0364E-2</v>
      </c>
      <c r="D162">
        <v>1.3559E-2</v>
      </c>
      <c r="E162">
        <v>-8.7829999999999991E-3</v>
      </c>
      <c r="F162">
        <v>1.1259999999999999E-2</v>
      </c>
      <c r="G162">
        <v>9.5530000000000007E-3</v>
      </c>
      <c r="H162">
        <v>-2.5309999999999998E-3</v>
      </c>
    </row>
    <row r="163" spans="1:8" x14ac:dyDescent="0.25">
      <c r="A163">
        <v>512</v>
      </c>
      <c r="B163">
        <v>-1.6319E-2</v>
      </c>
      <c r="C163">
        <v>9.6803E-2</v>
      </c>
      <c r="D163">
        <v>1.4775E-2</v>
      </c>
      <c r="E163">
        <v>-1.0168999999999999E-2</v>
      </c>
      <c r="F163">
        <v>-2.4069999999999999E-3</v>
      </c>
      <c r="G163">
        <v>-1.315E-2</v>
      </c>
      <c r="H163">
        <v>-1.6299999999999999E-2</v>
      </c>
    </row>
    <row r="164" spans="1:8" x14ac:dyDescent="0.25">
      <c r="A164">
        <v>514</v>
      </c>
      <c r="B164">
        <v>-1.0227E-2</v>
      </c>
      <c r="C164">
        <v>6.7475999999999994E-2</v>
      </c>
      <c r="D164">
        <v>1.7531000000000001E-2</v>
      </c>
      <c r="E164">
        <v>-2.5624000000000001E-2</v>
      </c>
      <c r="F164">
        <v>-1.0670000000000001E-2</v>
      </c>
      <c r="G164">
        <v>-7.8239999999999994E-3</v>
      </c>
      <c r="H164">
        <v>-2.4958999999999999E-2</v>
      </c>
    </row>
    <row r="165" spans="1:8" x14ac:dyDescent="0.25">
      <c r="A165">
        <v>516</v>
      </c>
      <c r="B165">
        <v>8.34E-4</v>
      </c>
      <c r="C165">
        <v>0.13272100000000001</v>
      </c>
      <c r="D165">
        <v>1.0926999999999999E-2</v>
      </c>
      <c r="E165">
        <v>-1.5583E-2</v>
      </c>
      <c r="F165">
        <v>4.1539999999999997E-3</v>
      </c>
      <c r="G165">
        <v>-1.2252000000000001E-2</v>
      </c>
      <c r="H165">
        <v>6.4499999999999996E-4</v>
      </c>
    </row>
    <row r="166" spans="1:8" x14ac:dyDescent="0.25">
      <c r="A166">
        <v>518</v>
      </c>
      <c r="B166">
        <v>2.715E-3</v>
      </c>
      <c r="C166">
        <v>9.5777000000000001E-2</v>
      </c>
      <c r="D166">
        <v>6.9680000000000002E-3</v>
      </c>
      <c r="E166">
        <v>-5.7710000000000001E-3</v>
      </c>
      <c r="F166">
        <v>1.6744999999999999E-2</v>
      </c>
      <c r="G166">
        <v>-1.6268999999999999E-2</v>
      </c>
      <c r="H166">
        <v>-1.0644000000000001E-2</v>
      </c>
    </row>
    <row r="167" spans="1:8" x14ac:dyDescent="0.25">
      <c r="A167">
        <v>520</v>
      </c>
      <c r="B167">
        <v>5.0169999999999998E-3</v>
      </c>
      <c r="C167">
        <v>7.2860999999999995E-2</v>
      </c>
      <c r="D167">
        <v>-8.2269999999999999E-3</v>
      </c>
      <c r="E167">
        <v>-8.2459999999999999E-3</v>
      </c>
      <c r="F167">
        <v>7.071E-3</v>
      </c>
      <c r="G167">
        <v>-1.4116999999999999E-2</v>
      </c>
      <c r="H167">
        <v>-1.2415000000000001E-2</v>
      </c>
    </row>
    <row r="168" spans="1:8" x14ac:dyDescent="0.25">
      <c r="A168">
        <v>522</v>
      </c>
      <c r="B168">
        <v>1.1922E-2</v>
      </c>
      <c r="C168">
        <v>8.7594000000000005E-2</v>
      </c>
      <c r="D168">
        <v>-1.439E-3</v>
      </c>
      <c r="E168">
        <v>-1.375E-2</v>
      </c>
      <c r="F168">
        <v>4.751E-3</v>
      </c>
      <c r="G168">
        <v>-8.8330000000000006E-3</v>
      </c>
      <c r="H168">
        <v>6.9249999999999997E-3</v>
      </c>
    </row>
    <row r="169" spans="1:8" x14ac:dyDescent="0.25">
      <c r="A169">
        <v>524</v>
      </c>
      <c r="B169">
        <v>1.0149999999999999E-2</v>
      </c>
      <c r="C169">
        <v>4.9155999999999998E-2</v>
      </c>
      <c r="D169">
        <v>9.9690000000000004E-3</v>
      </c>
      <c r="E169">
        <v>-6.7409999999999996E-3</v>
      </c>
      <c r="F169">
        <v>3.5254000000000001E-2</v>
      </c>
      <c r="G169">
        <v>4.0530000000000002E-3</v>
      </c>
      <c r="H169">
        <v>-1.0145E-2</v>
      </c>
    </row>
    <row r="170" spans="1:8" x14ac:dyDescent="0.25">
      <c r="A170">
        <v>526</v>
      </c>
      <c r="B170">
        <v>2.3262999999999999E-2</v>
      </c>
      <c r="C170">
        <v>0.141925</v>
      </c>
      <c r="D170">
        <v>7.5560000000000002E-3</v>
      </c>
      <c r="E170">
        <v>2.9710000000000001E-3</v>
      </c>
      <c r="F170">
        <v>2.7352000000000001E-2</v>
      </c>
      <c r="G170">
        <v>-4.594E-3</v>
      </c>
      <c r="H170">
        <v>6.6259999999999999E-3</v>
      </c>
    </row>
    <row r="171" spans="1:8" x14ac:dyDescent="0.25">
      <c r="A171">
        <v>528</v>
      </c>
      <c r="B171">
        <v>1.2266000000000001E-2</v>
      </c>
      <c r="C171">
        <v>0.12138400000000001</v>
      </c>
      <c r="D171">
        <v>1.4567999999999999E-2</v>
      </c>
      <c r="E171">
        <v>-1.3471E-2</v>
      </c>
      <c r="F171">
        <v>-1.977E-3</v>
      </c>
      <c r="G171">
        <v>-3.4299999999999999E-4</v>
      </c>
      <c r="H171">
        <v>-3.006E-3</v>
      </c>
    </row>
    <row r="172" spans="1:8" x14ac:dyDescent="0.25">
      <c r="A172">
        <v>530</v>
      </c>
      <c r="B172">
        <v>-6.476E-3</v>
      </c>
      <c r="C172">
        <v>9.5292000000000002E-2</v>
      </c>
      <c r="D172">
        <v>-4.62E-3</v>
      </c>
      <c r="E172">
        <v>-6.0109999999999999E-3</v>
      </c>
      <c r="F172">
        <v>-1.3209999999999999E-3</v>
      </c>
      <c r="G172">
        <v>8.5059999999999997E-3</v>
      </c>
      <c r="H172">
        <v>-1.4419E-2</v>
      </c>
    </row>
    <row r="173" spans="1:8" x14ac:dyDescent="0.25">
      <c r="A173">
        <v>532</v>
      </c>
      <c r="B173">
        <v>-7.0889999999999998E-3</v>
      </c>
      <c r="C173">
        <v>0.12560199999999999</v>
      </c>
      <c r="D173">
        <v>8.26E-3</v>
      </c>
      <c r="E173">
        <v>-3.3010000000000001E-3</v>
      </c>
      <c r="F173">
        <v>1.6622000000000001E-2</v>
      </c>
      <c r="G173">
        <v>-9.221E-3</v>
      </c>
      <c r="H173">
        <v>-1.1289E-2</v>
      </c>
    </row>
    <row r="174" spans="1:8" x14ac:dyDescent="0.25">
      <c r="A174">
        <v>534</v>
      </c>
      <c r="B174">
        <v>-5.3530000000000001E-3</v>
      </c>
      <c r="C174">
        <v>9.2324000000000003E-2</v>
      </c>
      <c r="D174">
        <v>2.214E-2</v>
      </c>
      <c r="E174">
        <v>-2.5016E-2</v>
      </c>
      <c r="F174">
        <v>7.0320000000000001E-3</v>
      </c>
      <c r="G174">
        <v>-1.5584000000000001E-2</v>
      </c>
      <c r="H174">
        <v>-3.3159999999999999E-3</v>
      </c>
    </row>
    <row r="175" spans="1:8" x14ac:dyDescent="0.25">
      <c r="A175">
        <v>536</v>
      </c>
      <c r="B175">
        <v>-4.5279999999999999E-3</v>
      </c>
      <c r="C175">
        <v>0.110038</v>
      </c>
      <c r="D175">
        <v>2.409E-2</v>
      </c>
      <c r="E175">
        <v>-2.5885999999999999E-2</v>
      </c>
      <c r="F175">
        <v>-8.6459999999999992E-3</v>
      </c>
      <c r="G175">
        <v>-6.6600000000000003E-4</v>
      </c>
      <c r="H175">
        <v>-5.7429999999999998E-3</v>
      </c>
    </row>
    <row r="176" spans="1:8" x14ac:dyDescent="0.25">
      <c r="A176">
        <v>538</v>
      </c>
      <c r="B176">
        <v>-1.1625999999999999E-2</v>
      </c>
      <c r="C176">
        <v>8.9747999999999994E-2</v>
      </c>
      <c r="D176">
        <v>1.6839E-2</v>
      </c>
      <c r="E176">
        <v>-2.8896000000000002E-2</v>
      </c>
      <c r="F176">
        <v>2.4320000000000001E-3</v>
      </c>
      <c r="G176">
        <v>7.2350000000000001E-3</v>
      </c>
      <c r="H176">
        <v>-1.3372999999999999E-2</v>
      </c>
    </row>
    <row r="177" spans="1:8" x14ac:dyDescent="0.25">
      <c r="A177">
        <v>540</v>
      </c>
      <c r="B177">
        <v>-1.6969999999999999E-3</v>
      </c>
      <c r="C177">
        <v>0.11927599999999999</v>
      </c>
      <c r="D177">
        <v>-4.0150000000000003E-3</v>
      </c>
      <c r="E177">
        <v>-3.0491000000000001E-2</v>
      </c>
      <c r="F177">
        <v>1.7226000000000002E-2</v>
      </c>
      <c r="G177">
        <v>4.4739999999999997E-3</v>
      </c>
      <c r="H177">
        <v>-6.6340000000000001E-3</v>
      </c>
    </row>
    <row r="178" spans="1:8" x14ac:dyDescent="0.25">
      <c r="A178">
        <v>542</v>
      </c>
      <c r="B178">
        <v>-8.5099999999999998E-4</v>
      </c>
      <c r="C178">
        <v>9.6753000000000006E-2</v>
      </c>
      <c r="D178">
        <v>-5.1050000000000002E-3</v>
      </c>
      <c r="E178">
        <v>-1.1306E-2</v>
      </c>
      <c r="F178">
        <v>3.0765000000000001E-2</v>
      </c>
      <c r="G178">
        <v>-4.3610000000000003E-3</v>
      </c>
      <c r="H178">
        <v>-1.2675000000000001E-2</v>
      </c>
    </row>
    <row r="179" spans="1:8" x14ac:dyDescent="0.25">
      <c r="A179">
        <v>544</v>
      </c>
      <c r="B179">
        <v>-2.709E-3</v>
      </c>
      <c r="C179">
        <v>9.8274E-2</v>
      </c>
      <c r="D179">
        <v>8.5800000000000008E-3</v>
      </c>
      <c r="E179">
        <v>-1.0586E-2</v>
      </c>
      <c r="F179">
        <v>1.4003E-2</v>
      </c>
      <c r="G179">
        <v>-3.2200000000000002E-4</v>
      </c>
      <c r="H179">
        <v>-5.6319999999999999E-3</v>
      </c>
    </row>
    <row r="180" spans="1:8" x14ac:dyDescent="0.25">
      <c r="A180">
        <v>546</v>
      </c>
      <c r="B180">
        <v>2.1094999999999999E-2</v>
      </c>
      <c r="C180">
        <v>0.116646</v>
      </c>
      <c r="D180">
        <v>1.5611999999999999E-2</v>
      </c>
      <c r="E180">
        <v>-1.933E-2</v>
      </c>
      <c r="F180">
        <v>2.591E-3</v>
      </c>
      <c r="G180">
        <v>-2.8419999999999999E-3</v>
      </c>
      <c r="H180">
        <v>2.5639999999999999E-3</v>
      </c>
    </row>
    <row r="181" spans="1:8" x14ac:dyDescent="0.25">
      <c r="A181">
        <v>548</v>
      </c>
      <c r="B181">
        <v>1.4348E-2</v>
      </c>
      <c r="C181">
        <v>0.11758</v>
      </c>
      <c r="D181">
        <v>1.5824999999999999E-2</v>
      </c>
      <c r="E181">
        <v>-2.6912999999999999E-2</v>
      </c>
      <c r="F181">
        <v>5.3429999999999997E-3</v>
      </c>
      <c r="G181">
        <v>-9.2110000000000004E-3</v>
      </c>
      <c r="H181">
        <v>5.5779999999999996E-3</v>
      </c>
    </row>
    <row r="182" spans="1:8" x14ac:dyDescent="0.25">
      <c r="A182">
        <v>550</v>
      </c>
      <c r="B182">
        <v>-8.8950000000000001E-3</v>
      </c>
      <c r="C182">
        <v>0.13591400000000001</v>
      </c>
      <c r="D182">
        <v>1.3658E-2</v>
      </c>
      <c r="E182">
        <v>-2.4267E-2</v>
      </c>
      <c r="F182">
        <v>2.3509999999999998E-3</v>
      </c>
      <c r="G182">
        <v>-3.5119999999999999E-3</v>
      </c>
      <c r="H182">
        <v>8.3499999999999998E-3</v>
      </c>
    </row>
    <row r="183" spans="1:8" x14ac:dyDescent="0.25">
      <c r="A183">
        <v>552</v>
      </c>
      <c r="B183">
        <v>-1.1361E-2</v>
      </c>
      <c r="C183">
        <v>0.11214</v>
      </c>
      <c r="D183">
        <v>-6.5700000000000003E-4</v>
      </c>
      <c r="E183">
        <v>-2.6064E-2</v>
      </c>
      <c r="F183">
        <v>-3.8779999999999999E-3</v>
      </c>
      <c r="G183">
        <v>6.79E-3</v>
      </c>
      <c r="H183">
        <v>6.0470000000000003E-3</v>
      </c>
    </row>
    <row r="184" spans="1:8" x14ac:dyDescent="0.25">
      <c r="A184">
        <v>554</v>
      </c>
      <c r="B184">
        <v>-1.0016000000000001E-2</v>
      </c>
      <c r="C184">
        <v>0.11749800000000001</v>
      </c>
      <c r="D184">
        <v>1.6381E-2</v>
      </c>
      <c r="E184">
        <v>-3.1157000000000001E-2</v>
      </c>
      <c r="F184">
        <v>-2.3961E-2</v>
      </c>
      <c r="G184">
        <v>2.7067999999999998E-2</v>
      </c>
      <c r="H184">
        <v>1.4385E-2</v>
      </c>
    </row>
    <row r="185" spans="1:8" x14ac:dyDescent="0.25">
      <c r="A185">
        <v>556</v>
      </c>
      <c r="B185">
        <v>1.297E-3</v>
      </c>
      <c r="C185">
        <v>0.13225600000000001</v>
      </c>
      <c r="D185">
        <v>2.2884000000000002E-2</v>
      </c>
      <c r="E185">
        <v>-1.9562E-2</v>
      </c>
      <c r="F185">
        <v>-1.8616000000000001E-2</v>
      </c>
      <c r="G185">
        <v>1.1228E-2</v>
      </c>
      <c r="H185">
        <v>-4.3270000000000001E-3</v>
      </c>
    </row>
    <row r="186" spans="1:8" x14ac:dyDescent="0.25">
      <c r="A186">
        <v>558</v>
      </c>
      <c r="B186">
        <v>-6.5630000000000003E-3</v>
      </c>
      <c r="C186">
        <v>0.112428</v>
      </c>
      <c r="D186">
        <v>-1.6844000000000001E-2</v>
      </c>
      <c r="E186">
        <v>-6.6810000000000003E-3</v>
      </c>
      <c r="F186">
        <v>4.5729999999999998E-3</v>
      </c>
      <c r="G186">
        <v>-8.4290000000000007E-3</v>
      </c>
      <c r="H186">
        <v>-1.0577E-2</v>
      </c>
    </row>
    <row r="187" spans="1:8" x14ac:dyDescent="0.25">
      <c r="A187">
        <v>560</v>
      </c>
      <c r="B187">
        <v>-3.4070999999999997E-2</v>
      </c>
      <c r="C187">
        <v>0.108255</v>
      </c>
      <c r="D187">
        <v>-8.4829999999999992E-3</v>
      </c>
      <c r="E187">
        <v>-1.1769999999999999E-2</v>
      </c>
      <c r="F187">
        <v>5.1500000000000001E-3</v>
      </c>
      <c r="G187">
        <v>1.402E-3</v>
      </c>
      <c r="H187">
        <v>-9.6609999999999994E-3</v>
      </c>
    </row>
    <row r="188" spans="1:8" x14ac:dyDescent="0.25">
      <c r="A188">
        <v>562</v>
      </c>
      <c r="B188">
        <v>-1.5069000000000001E-2</v>
      </c>
      <c r="C188">
        <v>7.7227000000000004E-2</v>
      </c>
      <c r="D188">
        <v>3.346E-3</v>
      </c>
      <c r="E188">
        <v>-1.3762E-2</v>
      </c>
      <c r="F188">
        <v>-1.2213999999999999E-2</v>
      </c>
      <c r="G188">
        <v>-2.1058E-2</v>
      </c>
      <c r="H188">
        <v>-2.787E-3</v>
      </c>
    </row>
    <row r="189" spans="1:8" x14ac:dyDescent="0.25">
      <c r="A189">
        <v>564</v>
      </c>
      <c r="B189">
        <v>3.5760000000000002E-3</v>
      </c>
      <c r="C189">
        <v>7.4549000000000004E-2</v>
      </c>
      <c r="D189">
        <v>2.134E-3</v>
      </c>
      <c r="E189">
        <v>-1.7912999999999998E-2</v>
      </c>
      <c r="F189">
        <v>-2.2166999999999999E-2</v>
      </c>
      <c r="G189">
        <v>-2.0448000000000001E-2</v>
      </c>
      <c r="H189">
        <v>7.2940000000000001E-3</v>
      </c>
    </row>
    <row r="190" spans="1:8" x14ac:dyDescent="0.25">
      <c r="A190">
        <v>566</v>
      </c>
      <c r="B190">
        <v>-4.163E-3</v>
      </c>
      <c r="C190">
        <v>0.105235</v>
      </c>
      <c r="D190">
        <v>2.7163E-2</v>
      </c>
      <c r="E190">
        <v>-1.3009E-2</v>
      </c>
      <c r="F190">
        <v>8.0370000000000007E-3</v>
      </c>
      <c r="G190">
        <v>-3.5530000000000002E-3</v>
      </c>
      <c r="H190">
        <v>-1.0713E-2</v>
      </c>
    </row>
    <row r="191" spans="1:8" x14ac:dyDescent="0.25">
      <c r="A191">
        <v>568</v>
      </c>
      <c r="B191">
        <v>5.574E-3</v>
      </c>
      <c r="C191">
        <v>0.14052700000000001</v>
      </c>
      <c r="D191">
        <v>1.6225E-2</v>
      </c>
      <c r="E191">
        <v>6.8800000000000003E-4</v>
      </c>
      <c r="F191">
        <v>1.9099000000000001E-2</v>
      </c>
      <c r="G191">
        <v>-7.8720000000000005E-3</v>
      </c>
      <c r="H191">
        <v>-6.5519999999999997E-3</v>
      </c>
    </row>
    <row r="192" spans="1:8" x14ac:dyDescent="0.25">
      <c r="A192">
        <v>570</v>
      </c>
      <c r="B192">
        <v>2.398E-3</v>
      </c>
      <c r="C192">
        <v>7.8448000000000004E-2</v>
      </c>
      <c r="D192">
        <v>1.9415999999999999E-2</v>
      </c>
      <c r="E192">
        <v>-2.7699999999999999E-3</v>
      </c>
      <c r="F192">
        <v>6.829E-3</v>
      </c>
      <c r="G192">
        <v>-9.5130000000000006E-3</v>
      </c>
      <c r="H192">
        <v>-8.2649999999999998E-3</v>
      </c>
    </row>
    <row r="193" spans="1:8" x14ac:dyDescent="0.25">
      <c r="A193">
        <v>572</v>
      </c>
      <c r="B193">
        <v>-8.3199999999999993E-3</v>
      </c>
      <c r="C193">
        <v>0.15543000000000001</v>
      </c>
      <c r="D193">
        <v>3.8990999999999998E-2</v>
      </c>
      <c r="E193">
        <v>-1.0828000000000001E-2</v>
      </c>
      <c r="F193">
        <v>-3.2520000000000001E-3</v>
      </c>
      <c r="G193">
        <v>-4.4759999999999999E-3</v>
      </c>
      <c r="H193">
        <v>-2.0036000000000002E-2</v>
      </c>
    </row>
    <row r="194" spans="1:8" x14ac:dyDescent="0.25">
      <c r="A194">
        <v>574</v>
      </c>
      <c r="B194">
        <v>3.277E-3</v>
      </c>
      <c r="C194">
        <v>8.4969000000000003E-2</v>
      </c>
      <c r="D194">
        <v>1.5502E-2</v>
      </c>
      <c r="E194">
        <v>-1.3511E-2</v>
      </c>
      <c r="F194">
        <v>-7.2129999999999998E-3</v>
      </c>
      <c r="G194">
        <v>-2.64E-3</v>
      </c>
      <c r="H194">
        <v>-8.0990000000000003E-3</v>
      </c>
    </row>
    <row r="195" spans="1:8" x14ac:dyDescent="0.25">
      <c r="A195">
        <v>576</v>
      </c>
      <c r="B195">
        <v>1.0408000000000001E-2</v>
      </c>
      <c r="C195">
        <v>8.1335000000000005E-2</v>
      </c>
      <c r="D195">
        <v>2.3068000000000002E-2</v>
      </c>
      <c r="E195">
        <v>-8.5210000000000008E-3</v>
      </c>
      <c r="F195">
        <v>2.7900000000000001E-4</v>
      </c>
      <c r="G195">
        <v>-3.9189999999999997E-3</v>
      </c>
      <c r="H195">
        <v>-1.4800000000000001E-2</v>
      </c>
    </row>
    <row r="196" spans="1:8" x14ac:dyDescent="0.25">
      <c r="A196">
        <v>578</v>
      </c>
      <c r="B196">
        <v>9.5989999999999999E-3</v>
      </c>
      <c r="C196">
        <v>1.812E-3</v>
      </c>
      <c r="D196">
        <v>1.0995E-2</v>
      </c>
      <c r="E196">
        <v>-2.9129999999999998E-3</v>
      </c>
      <c r="F196">
        <v>-3.9849999999999998E-3</v>
      </c>
      <c r="G196">
        <v>-2.9729999999999999E-3</v>
      </c>
      <c r="H196">
        <v>-2.4520000000000002E-3</v>
      </c>
    </row>
    <row r="197" spans="1:8" x14ac:dyDescent="0.25">
      <c r="A197">
        <v>580</v>
      </c>
      <c r="B197">
        <v>3.5769999999999999E-3</v>
      </c>
      <c r="C197">
        <v>-8.9560000000000004E-3</v>
      </c>
      <c r="D197">
        <v>9.4490000000000008E-3</v>
      </c>
      <c r="E197">
        <v>-8.4440000000000001E-3</v>
      </c>
      <c r="F197">
        <v>-1.1908999999999999E-2</v>
      </c>
      <c r="G197">
        <v>-6.0920000000000002E-3</v>
      </c>
      <c r="H197">
        <v>4.1939999999999998E-3</v>
      </c>
    </row>
    <row r="198" spans="1:8" x14ac:dyDescent="0.25">
      <c r="A198">
        <v>582</v>
      </c>
      <c r="B198">
        <v>2.81E-3</v>
      </c>
      <c r="C198">
        <v>8.2520000000000007E-3</v>
      </c>
      <c r="D198">
        <v>8.6300000000000005E-4</v>
      </c>
      <c r="E198">
        <v>1.678E-3</v>
      </c>
      <c r="F198">
        <v>-3.3760000000000001E-3</v>
      </c>
      <c r="G198">
        <v>-5.0800000000000003E-3</v>
      </c>
      <c r="H198">
        <v>2.7077E-2</v>
      </c>
    </row>
    <row r="199" spans="1:8" x14ac:dyDescent="0.25">
      <c r="A199">
        <v>584</v>
      </c>
      <c r="B199">
        <v>-5.9299999999999999E-4</v>
      </c>
      <c r="C199">
        <v>3.2163999999999998E-2</v>
      </c>
      <c r="D199">
        <v>-2.0599999999999999E-4</v>
      </c>
      <c r="E199">
        <v>-9.3860000000000002E-3</v>
      </c>
      <c r="F199">
        <v>-2.2200000000000002E-3</v>
      </c>
      <c r="G199">
        <v>2.1599999999999999E-4</v>
      </c>
      <c r="H199">
        <v>1.9571000000000002E-2</v>
      </c>
    </row>
    <row r="200" spans="1:8" x14ac:dyDescent="0.25">
      <c r="A200">
        <v>586</v>
      </c>
      <c r="B200">
        <v>-2.1849999999999999E-3</v>
      </c>
      <c r="C200">
        <v>0.21982399999999999</v>
      </c>
      <c r="D200">
        <v>8.1449999999999995E-3</v>
      </c>
      <c r="E200">
        <v>-1.5344E-2</v>
      </c>
      <c r="F200">
        <v>-7.43E-3</v>
      </c>
      <c r="G200">
        <v>1.013E-3</v>
      </c>
      <c r="H200">
        <v>1.6540000000000001E-3</v>
      </c>
    </row>
    <row r="201" spans="1:8" x14ac:dyDescent="0.25">
      <c r="A201">
        <v>588</v>
      </c>
      <c r="B201">
        <v>1.1805E-2</v>
      </c>
      <c r="C201">
        <v>0.11476699999999999</v>
      </c>
      <c r="D201">
        <v>2.0337000000000001E-2</v>
      </c>
      <c r="E201">
        <v>-1.1169999999999999E-3</v>
      </c>
      <c r="F201">
        <v>-3.5699999999999998E-3</v>
      </c>
      <c r="G201">
        <v>1.4549999999999999E-3</v>
      </c>
      <c r="H201">
        <v>9.5329999999999998E-3</v>
      </c>
    </row>
    <row r="202" spans="1:8" x14ac:dyDescent="0.25">
      <c r="A202">
        <v>590</v>
      </c>
      <c r="B202">
        <v>6.0159999999999996E-3</v>
      </c>
      <c r="C202">
        <v>9.1070999999999999E-2</v>
      </c>
      <c r="D202">
        <v>9.6520000000000009E-3</v>
      </c>
      <c r="E202">
        <v>-5.359E-3</v>
      </c>
      <c r="F202">
        <v>-7.2150000000000001E-3</v>
      </c>
      <c r="G202">
        <v>2.4269999999999999E-3</v>
      </c>
      <c r="H202">
        <v>1.6660000000000001E-2</v>
      </c>
    </row>
    <row r="203" spans="1:8" x14ac:dyDescent="0.25">
      <c r="A203">
        <v>592</v>
      </c>
      <c r="B203">
        <v>9.2270000000000008E-3</v>
      </c>
      <c r="C203">
        <v>3.1420999999999998E-2</v>
      </c>
      <c r="D203">
        <v>-8.8719999999999997E-3</v>
      </c>
      <c r="E203">
        <v>-1.0673999999999999E-2</v>
      </c>
      <c r="F203">
        <v>-3.1129999999999999E-3</v>
      </c>
      <c r="G203">
        <v>-3.3639999999999998E-3</v>
      </c>
      <c r="H203">
        <v>1.171E-2</v>
      </c>
    </row>
    <row r="204" spans="1:8" x14ac:dyDescent="0.25">
      <c r="A204">
        <v>594</v>
      </c>
      <c r="B204">
        <v>1.4057999999999999E-2</v>
      </c>
      <c r="C204">
        <v>0.123455</v>
      </c>
      <c r="D204">
        <v>1.5296000000000001E-2</v>
      </c>
      <c r="E204">
        <v>-1.125E-2</v>
      </c>
      <c r="F204">
        <v>1.634E-3</v>
      </c>
      <c r="G204">
        <v>-1.4170000000000001E-3</v>
      </c>
      <c r="H204">
        <v>-1.2037000000000001E-2</v>
      </c>
    </row>
    <row r="205" spans="1:8" x14ac:dyDescent="0.25">
      <c r="A205">
        <v>596</v>
      </c>
      <c r="B205">
        <v>1.1561999999999999E-2</v>
      </c>
      <c r="C205">
        <v>-2.63E-3</v>
      </c>
      <c r="D205">
        <v>5.1400000000000003E-4</v>
      </c>
      <c r="E205">
        <v>-1.1906999999999999E-2</v>
      </c>
      <c r="F205">
        <v>4.9820000000000003E-3</v>
      </c>
      <c r="G205">
        <v>4.8299999999999998E-4</v>
      </c>
      <c r="H205">
        <v>6.463E-3</v>
      </c>
    </row>
    <row r="206" spans="1:8" x14ac:dyDescent="0.25">
      <c r="A206">
        <v>598</v>
      </c>
      <c r="B206">
        <v>-8.2100000000000001E-4</v>
      </c>
      <c r="C206">
        <v>0.106323</v>
      </c>
      <c r="D206">
        <v>1.4482999999999999E-2</v>
      </c>
      <c r="E206">
        <v>-1.3795E-2</v>
      </c>
      <c r="F206">
        <v>6.2179999999999996E-3</v>
      </c>
      <c r="G206">
        <v>4.4050000000000001E-3</v>
      </c>
      <c r="H206">
        <v>2.2820000000000002E-3</v>
      </c>
    </row>
    <row r="207" spans="1:8" x14ac:dyDescent="0.25">
      <c r="A207">
        <v>600</v>
      </c>
      <c r="B207">
        <v>3.0130000000000001E-3</v>
      </c>
      <c r="C207">
        <v>4.4047999999999997E-2</v>
      </c>
      <c r="D207">
        <v>-3.5980000000000001E-3</v>
      </c>
      <c r="E207">
        <v>-3.5729999999999998E-3</v>
      </c>
      <c r="F207">
        <v>-9.2370000000000004E-3</v>
      </c>
      <c r="G207">
        <v>-7.7300000000000003E-4</v>
      </c>
      <c r="H207">
        <v>9.5149999999999992E-3</v>
      </c>
    </row>
    <row r="208" spans="1:8" x14ac:dyDescent="0.25">
      <c r="A208">
        <v>602</v>
      </c>
      <c r="B208">
        <v>-1.2999999999999999E-4</v>
      </c>
      <c r="C208">
        <v>7.6026999999999997E-2</v>
      </c>
      <c r="D208">
        <v>2.1205999999999999E-2</v>
      </c>
      <c r="E208">
        <v>-4.8999999999999998E-3</v>
      </c>
      <c r="F208">
        <v>-1.2782E-2</v>
      </c>
      <c r="G208">
        <v>1.0950000000000001E-3</v>
      </c>
      <c r="H208">
        <v>-6.8770000000000003E-3</v>
      </c>
    </row>
    <row r="209" spans="1:8" x14ac:dyDescent="0.25">
      <c r="A209">
        <v>604</v>
      </c>
      <c r="B209">
        <v>-9.469E-3</v>
      </c>
      <c r="C209">
        <v>0.14913699999999999</v>
      </c>
      <c r="D209">
        <v>-1.403E-3</v>
      </c>
      <c r="E209">
        <v>1.2689999999999999E-3</v>
      </c>
      <c r="F209">
        <v>-9.4260000000000004E-3</v>
      </c>
      <c r="G209">
        <v>5.9410000000000001E-3</v>
      </c>
      <c r="H209">
        <v>-3.797E-3</v>
      </c>
    </row>
    <row r="210" spans="1:8" x14ac:dyDescent="0.25">
      <c r="A210">
        <v>606</v>
      </c>
      <c r="B210">
        <v>-1.5635E-2</v>
      </c>
      <c r="C210">
        <v>9.7795999999999994E-2</v>
      </c>
      <c r="D210">
        <v>2.294E-3</v>
      </c>
      <c r="E210">
        <v>-6.0060000000000001E-3</v>
      </c>
      <c r="F210">
        <v>-6.215E-3</v>
      </c>
      <c r="G210">
        <v>2.1870000000000001E-3</v>
      </c>
      <c r="H210">
        <v>-2.6463E-2</v>
      </c>
    </row>
    <row r="211" spans="1:8" x14ac:dyDescent="0.25">
      <c r="A211">
        <v>608</v>
      </c>
      <c r="B211">
        <v>-6.6660000000000001E-3</v>
      </c>
      <c r="C211">
        <v>0.170428</v>
      </c>
      <c r="D211">
        <v>1.3368E-2</v>
      </c>
      <c r="E211">
        <v>-7.0099999999999997E-3</v>
      </c>
      <c r="F211">
        <v>-5.8929999999999998E-3</v>
      </c>
      <c r="G211">
        <v>2.0140000000000002E-3</v>
      </c>
      <c r="H211">
        <v>-2.8670999999999999E-2</v>
      </c>
    </row>
    <row r="212" spans="1:8" x14ac:dyDescent="0.25">
      <c r="A212">
        <v>610</v>
      </c>
      <c r="B212">
        <v>3.7309999999999999E-3</v>
      </c>
      <c r="C212">
        <v>2.4555E-2</v>
      </c>
      <c r="D212">
        <v>1.3599999999999999E-2</v>
      </c>
      <c r="E212">
        <v>-6.4440000000000001E-3</v>
      </c>
      <c r="F212">
        <v>4.0379999999999999E-3</v>
      </c>
      <c r="G212">
        <v>4.6360000000000004E-3</v>
      </c>
      <c r="H212">
        <v>-8.6669999999999994E-3</v>
      </c>
    </row>
    <row r="213" spans="1:8" x14ac:dyDescent="0.25">
      <c r="A213">
        <v>612</v>
      </c>
      <c r="B213">
        <v>-6.0740000000000004E-3</v>
      </c>
      <c r="C213">
        <v>0.13716900000000001</v>
      </c>
      <c r="D213">
        <v>3.4379E-2</v>
      </c>
      <c r="E213">
        <v>-4.95E-4</v>
      </c>
      <c r="F213">
        <v>8.6110000000000006E-3</v>
      </c>
      <c r="G213">
        <v>-7.639E-3</v>
      </c>
      <c r="H213">
        <v>-1.1610000000000001E-2</v>
      </c>
    </row>
    <row r="214" spans="1:8" x14ac:dyDescent="0.25">
      <c r="A214">
        <v>614</v>
      </c>
      <c r="B214">
        <v>-2.1979999999999999E-3</v>
      </c>
      <c r="C214">
        <v>5.6404000000000003E-2</v>
      </c>
      <c r="D214">
        <v>5.3379999999999999E-3</v>
      </c>
      <c r="E214">
        <v>8.1480000000000007E-3</v>
      </c>
      <c r="F214">
        <v>-6.62E-3</v>
      </c>
      <c r="G214">
        <v>-9.4619999999999999E-3</v>
      </c>
      <c r="H214">
        <v>1.2651000000000001E-2</v>
      </c>
    </row>
    <row r="215" spans="1:8" x14ac:dyDescent="0.25">
      <c r="A215">
        <v>616</v>
      </c>
      <c r="B215">
        <v>4.8580000000000003E-3</v>
      </c>
      <c r="C215">
        <v>0.11308699999999999</v>
      </c>
      <c r="D215">
        <v>4.6900000000000002E-4</v>
      </c>
      <c r="E215">
        <v>-5.7999999999999996E-3</v>
      </c>
      <c r="F215">
        <v>-7.0210000000000003E-3</v>
      </c>
      <c r="G215">
        <v>-1.1013E-2</v>
      </c>
      <c r="H215">
        <v>-2.539E-3</v>
      </c>
    </row>
    <row r="216" spans="1:8" x14ac:dyDescent="0.25">
      <c r="A216">
        <v>618</v>
      </c>
      <c r="B216">
        <v>4.6360000000000004E-3</v>
      </c>
      <c r="C216">
        <v>7.6966999999999994E-2</v>
      </c>
      <c r="D216">
        <v>-2.3611E-2</v>
      </c>
      <c r="E216">
        <v>-5.5900000000000004E-4</v>
      </c>
      <c r="F216">
        <v>3.8930000000000002E-3</v>
      </c>
      <c r="G216">
        <v>-1.626E-2</v>
      </c>
      <c r="H216">
        <v>1.0645999999999999E-2</v>
      </c>
    </row>
    <row r="217" spans="1:8" x14ac:dyDescent="0.25">
      <c r="A217">
        <v>620</v>
      </c>
      <c r="B217">
        <v>-7.4999999999999993E-5</v>
      </c>
      <c r="C217">
        <v>6.9552000000000003E-2</v>
      </c>
      <c r="D217">
        <v>5.8069999999999997E-3</v>
      </c>
      <c r="E217">
        <v>-9.0899999999999998E-4</v>
      </c>
      <c r="F217">
        <v>-5.8019999999999999E-3</v>
      </c>
      <c r="G217">
        <v>6.0700000000000001E-4</v>
      </c>
      <c r="H217">
        <v>-1.5017000000000001E-2</v>
      </c>
    </row>
    <row r="218" spans="1:8" x14ac:dyDescent="0.25">
      <c r="A218">
        <v>622</v>
      </c>
      <c r="B218">
        <v>-1.5509E-2</v>
      </c>
      <c r="C218">
        <v>0.14746300000000001</v>
      </c>
      <c r="D218">
        <v>3.4826999999999997E-2</v>
      </c>
      <c r="E218">
        <v>-1.1640000000000001E-3</v>
      </c>
      <c r="F218">
        <v>-1.2245000000000001E-2</v>
      </c>
      <c r="G218">
        <v>9.5049999999999996E-3</v>
      </c>
      <c r="H218">
        <v>-7.1549999999999999E-3</v>
      </c>
    </row>
    <row r="219" spans="1:8" x14ac:dyDescent="0.25">
      <c r="A219">
        <v>624</v>
      </c>
      <c r="B219">
        <v>-1.1339E-2</v>
      </c>
      <c r="C219">
        <v>7.1579000000000004E-2</v>
      </c>
      <c r="D219">
        <v>1.7544000000000001E-2</v>
      </c>
      <c r="E219">
        <v>-4.8890000000000001E-3</v>
      </c>
      <c r="F219">
        <v>-1.9382E-2</v>
      </c>
      <c r="G219">
        <v>-4.5970000000000004E-3</v>
      </c>
      <c r="H219">
        <v>1.8634000000000001E-2</v>
      </c>
    </row>
    <row r="220" spans="1:8" x14ac:dyDescent="0.25">
      <c r="A220">
        <v>626</v>
      </c>
      <c r="B220">
        <v>-1.4821000000000001E-2</v>
      </c>
      <c r="C220">
        <v>0.21224599999999999</v>
      </c>
      <c r="D220">
        <v>-4.241E-3</v>
      </c>
      <c r="E220">
        <v>1.1180000000000001E-3</v>
      </c>
      <c r="F220">
        <v>-1.7364000000000001E-2</v>
      </c>
      <c r="G220">
        <v>-1.444E-2</v>
      </c>
      <c r="H220">
        <v>-1.1254999999999999E-2</v>
      </c>
    </row>
    <row r="221" spans="1:8" x14ac:dyDescent="0.25">
      <c r="A221">
        <v>628</v>
      </c>
      <c r="B221">
        <v>-5.5399999999999998E-3</v>
      </c>
      <c r="C221">
        <v>8.0267000000000005E-2</v>
      </c>
      <c r="D221">
        <v>-4.1866E-2</v>
      </c>
      <c r="E221">
        <v>9.7809999999999998E-3</v>
      </c>
      <c r="F221">
        <v>-7.8619999999999992E-3</v>
      </c>
      <c r="G221">
        <v>7.7809999999999997E-3</v>
      </c>
      <c r="H221">
        <v>-1.2973999999999999E-2</v>
      </c>
    </row>
    <row r="222" spans="1:8" x14ac:dyDescent="0.25">
      <c r="A222">
        <v>630</v>
      </c>
      <c r="B222">
        <v>4.816E-3</v>
      </c>
      <c r="C222">
        <v>7.9464999999999994E-2</v>
      </c>
      <c r="D222">
        <v>1.6508999999999999E-2</v>
      </c>
      <c r="E222">
        <v>-5.9230000000000003E-3</v>
      </c>
      <c r="F222">
        <v>-2.98E-3</v>
      </c>
      <c r="G222">
        <v>1.3727E-2</v>
      </c>
      <c r="H222">
        <v>-4.3062000000000003E-2</v>
      </c>
    </row>
    <row r="223" spans="1:8" x14ac:dyDescent="0.25">
      <c r="A223">
        <v>632</v>
      </c>
      <c r="B223">
        <v>7.0600000000000003E-3</v>
      </c>
      <c r="C223">
        <v>0.14225499999999999</v>
      </c>
      <c r="D223">
        <v>3.9468000000000003E-2</v>
      </c>
      <c r="E223">
        <v>-1.1949E-2</v>
      </c>
      <c r="F223">
        <v>-6.6899999999999998E-3</v>
      </c>
      <c r="G223">
        <v>1.3197E-2</v>
      </c>
      <c r="H223">
        <v>-6.5839999999999996E-3</v>
      </c>
    </row>
    <row r="224" spans="1:8" x14ac:dyDescent="0.25">
      <c r="A224">
        <v>634</v>
      </c>
      <c r="B224">
        <v>1.6709000000000002E-2</v>
      </c>
      <c r="C224">
        <v>-6.2170999999999997E-2</v>
      </c>
      <c r="D224">
        <v>1.3216E-2</v>
      </c>
      <c r="E224">
        <v>1.3466000000000001E-2</v>
      </c>
      <c r="F224">
        <v>4.901E-3</v>
      </c>
      <c r="G224">
        <v>3.7290000000000001E-3</v>
      </c>
      <c r="H224">
        <v>5.1639999999999998E-2</v>
      </c>
    </row>
    <row r="225" spans="1:8" x14ac:dyDescent="0.25">
      <c r="A225">
        <v>636</v>
      </c>
      <c r="B225">
        <v>-4.5849999999999997E-3</v>
      </c>
      <c r="C225">
        <v>0.16920399999999999</v>
      </c>
      <c r="D225">
        <v>4.1695000000000003E-2</v>
      </c>
      <c r="E225">
        <v>1.3337E-2</v>
      </c>
      <c r="F225">
        <v>2.8469999999999999E-2</v>
      </c>
      <c r="G225">
        <v>-1.9904000000000002E-2</v>
      </c>
      <c r="H225">
        <v>3.0149999999999999E-3</v>
      </c>
    </row>
    <row r="226" spans="1:8" x14ac:dyDescent="0.25">
      <c r="A226">
        <v>638</v>
      </c>
      <c r="B226">
        <v>-1.3447000000000001E-2</v>
      </c>
      <c r="C226">
        <v>9.4680000000000007E-3</v>
      </c>
      <c r="D226">
        <v>-8.4019999999999997E-3</v>
      </c>
      <c r="E226">
        <v>5.9389999999999998E-3</v>
      </c>
      <c r="F226">
        <v>-2.8699999999999998E-4</v>
      </c>
      <c r="G226">
        <v>-2.5035000000000002E-2</v>
      </c>
      <c r="H226">
        <v>1.3100000000000001E-2</v>
      </c>
    </row>
    <row r="227" spans="1:8" x14ac:dyDescent="0.25">
      <c r="A227">
        <v>640</v>
      </c>
      <c r="B227">
        <v>-1.6281E-2</v>
      </c>
      <c r="C227">
        <v>0.109847</v>
      </c>
      <c r="D227">
        <v>1.0005999999999999E-2</v>
      </c>
      <c r="E227">
        <v>-1.4703000000000001E-2</v>
      </c>
      <c r="F227">
        <v>7.9179999999999997E-3</v>
      </c>
      <c r="G227">
        <v>-6.1654E-2</v>
      </c>
      <c r="H227">
        <v>-5.8784000000000003E-2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H227"/>
  <sheetViews>
    <sheetView topLeftCell="A2" workbookViewId="0"/>
  </sheetViews>
  <sheetFormatPr defaultRowHeight="15" x14ac:dyDescent="0.25"/>
  <sheetData>
    <row r="1" spans="1:8" x14ac:dyDescent="0.25">
      <c r="A1" t="s">
        <v>5</v>
      </c>
      <c r="B1">
        <v>1</v>
      </c>
      <c r="C1">
        <v>2</v>
      </c>
      <c r="D1">
        <v>3</v>
      </c>
      <c r="E1">
        <v>4</v>
      </c>
      <c r="F1">
        <v>5</v>
      </c>
      <c r="G1">
        <v>6</v>
      </c>
      <c r="H1">
        <v>7</v>
      </c>
    </row>
    <row r="2" spans="1:8" x14ac:dyDescent="0.25">
      <c r="A2">
        <v>190</v>
      </c>
      <c r="B2">
        <v>42.519634246826172</v>
      </c>
      <c r="C2">
        <v>100</v>
      </c>
      <c r="D2">
        <v>99.839500427246094</v>
      </c>
      <c r="E2">
        <v>54.025966644287109</v>
      </c>
      <c r="F2">
        <v>53.616268157958984</v>
      </c>
      <c r="G2">
        <v>99.126754760742188</v>
      </c>
      <c r="H2">
        <v>100</v>
      </c>
    </row>
    <row r="3" spans="1:8" x14ac:dyDescent="0.25">
      <c r="A3">
        <v>192</v>
      </c>
      <c r="B3">
        <v>45.231914520263672</v>
      </c>
      <c r="C3">
        <v>90.346244812011719</v>
      </c>
      <c r="D3">
        <v>100</v>
      </c>
      <c r="E3">
        <v>54.321552276611328</v>
      </c>
      <c r="F3">
        <v>53.537857055664063</v>
      </c>
      <c r="G3">
        <v>100</v>
      </c>
      <c r="H3">
        <v>87.975540161132813</v>
      </c>
    </row>
    <row r="4" spans="1:8" x14ac:dyDescent="0.25">
      <c r="A4">
        <v>194</v>
      </c>
      <c r="B4">
        <v>47.565940856933594</v>
      </c>
      <c r="C4">
        <v>80.537879943847656</v>
      </c>
      <c r="D4">
        <v>98.339576721191406</v>
      </c>
      <c r="E4">
        <v>53.441268920898438</v>
      </c>
      <c r="F4">
        <v>52.605644226074219</v>
      </c>
      <c r="G4">
        <v>96.951248168945313</v>
      </c>
      <c r="H4">
        <v>75.020713806152344</v>
      </c>
    </row>
    <row r="5" spans="1:8" x14ac:dyDescent="0.25">
      <c r="A5">
        <v>196</v>
      </c>
      <c r="B5">
        <v>49.828319549560547</v>
      </c>
      <c r="C5">
        <v>71.676124572753906</v>
      </c>
      <c r="D5">
        <v>95.695549011230469</v>
      </c>
      <c r="E5">
        <v>51.914558410644531</v>
      </c>
      <c r="F5">
        <v>51.028617858886719</v>
      </c>
      <c r="G5">
        <v>94.502891540527344</v>
      </c>
      <c r="H5">
        <v>62.794326782226563</v>
      </c>
    </row>
    <row r="6" spans="1:8" x14ac:dyDescent="0.25">
      <c r="A6">
        <v>198</v>
      </c>
      <c r="B6">
        <v>52.125213623046875</v>
      </c>
      <c r="C6">
        <v>64.588172912597656</v>
      </c>
      <c r="D6">
        <v>91.203048706054688</v>
      </c>
      <c r="E6">
        <v>49.903224945068359</v>
      </c>
      <c r="F6">
        <v>48.918498992919922</v>
      </c>
      <c r="G6">
        <v>92.957923889160156</v>
      </c>
      <c r="H6">
        <v>52.179828643798828</v>
      </c>
    </row>
    <row r="7" spans="1:8" x14ac:dyDescent="0.25">
      <c r="A7">
        <v>200</v>
      </c>
      <c r="B7">
        <v>54.285453796386719</v>
      </c>
      <c r="C7">
        <v>59.492954254150391</v>
      </c>
      <c r="D7">
        <v>85.104301452636719</v>
      </c>
      <c r="E7">
        <v>47.438808441162109</v>
      </c>
      <c r="F7">
        <v>46.237205505371094</v>
      </c>
      <c r="G7">
        <v>91.250022888183594</v>
      </c>
      <c r="H7">
        <v>43.048679351806641</v>
      </c>
    </row>
    <row r="8" spans="1:8" x14ac:dyDescent="0.25">
      <c r="A8">
        <v>202</v>
      </c>
      <c r="B8">
        <v>56.566947937011719</v>
      </c>
      <c r="C8">
        <v>56.181777954101563</v>
      </c>
      <c r="D8">
        <v>76.875770568847656</v>
      </c>
      <c r="E8">
        <v>44.351364135742188</v>
      </c>
      <c r="F8">
        <v>42.834297180175781</v>
      </c>
      <c r="G8">
        <v>89.168502807617188</v>
      </c>
      <c r="H8">
        <v>34.542354583740234</v>
      </c>
    </row>
    <row r="9" spans="1:8" x14ac:dyDescent="0.25">
      <c r="A9">
        <v>204</v>
      </c>
      <c r="B9">
        <v>58.388450622558594</v>
      </c>
      <c r="C9">
        <v>54.678707122802734</v>
      </c>
      <c r="D9">
        <v>67.813674926757813</v>
      </c>
      <c r="E9">
        <v>41.066535949707031</v>
      </c>
      <c r="F9">
        <v>39.311515808105469</v>
      </c>
      <c r="G9">
        <v>88.352706909179688</v>
      </c>
      <c r="H9">
        <v>27.203861236572266</v>
      </c>
    </row>
    <row r="10" spans="1:8" x14ac:dyDescent="0.25">
      <c r="A10">
        <v>206</v>
      </c>
      <c r="B10">
        <v>59.295761108398438</v>
      </c>
      <c r="C10">
        <v>54.357902526855469</v>
      </c>
      <c r="D10">
        <v>58.873523712158203</v>
      </c>
      <c r="E10">
        <v>38.350082397460938</v>
      </c>
      <c r="F10">
        <v>36.319751739501953</v>
      </c>
      <c r="G10">
        <v>89.126426696777344</v>
      </c>
      <c r="H10">
        <v>20.914424896240234</v>
      </c>
    </row>
    <row r="11" spans="1:8" x14ac:dyDescent="0.25">
      <c r="A11">
        <v>208</v>
      </c>
      <c r="B11">
        <v>58.979148864746094</v>
      </c>
      <c r="C11">
        <v>55.184665679931641</v>
      </c>
      <c r="D11">
        <v>50.252834320068359</v>
      </c>
      <c r="E11">
        <v>36.387897491455078</v>
      </c>
      <c r="F11">
        <v>34.085926055908203</v>
      </c>
      <c r="G11">
        <v>90.662948608398438</v>
      </c>
      <c r="H11">
        <v>15.280494689941406</v>
      </c>
    </row>
    <row r="12" spans="1:8" x14ac:dyDescent="0.25">
      <c r="A12">
        <v>210</v>
      </c>
      <c r="B12">
        <v>57.431575775146484</v>
      </c>
      <c r="C12">
        <v>56.716205596923828</v>
      </c>
      <c r="D12">
        <v>42.954818725585938</v>
      </c>
      <c r="E12">
        <v>35.160762786865234</v>
      </c>
      <c r="F12">
        <v>32.714595794677734</v>
      </c>
      <c r="G12">
        <v>92.83453369140625</v>
      </c>
      <c r="H12">
        <v>10.817873954772949</v>
      </c>
    </row>
    <row r="13" spans="1:8" x14ac:dyDescent="0.25">
      <c r="A13">
        <v>212</v>
      </c>
      <c r="B13">
        <v>54.598590850830078</v>
      </c>
      <c r="C13">
        <v>58.614944458007813</v>
      </c>
      <c r="D13">
        <v>36.555099487304688</v>
      </c>
      <c r="E13">
        <v>34.459308624267578</v>
      </c>
      <c r="F13">
        <v>31.774242401123047</v>
      </c>
      <c r="G13">
        <v>94.951469421386719</v>
      </c>
      <c r="H13">
        <v>7.5409355163574219</v>
      </c>
    </row>
    <row r="14" spans="1:8" x14ac:dyDescent="0.25">
      <c r="A14">
        <v>214</v>
      </c>
      <c r="B14">
        <v>50.616008758544922</v>
      </c>
      <c r="C14">
        <v>60.444950103759766</v>
      </c>
      <c r="D14">
        <v>31.164928436279297</v>
      </c>
      <c r="E14">
        <v>33.921367645263672</v>
      </c>
      <c r="F14">
        <v>31.00274658203125</v>
      </c>
      <c r="G14">
        <v>96.775779724121094</v>
      </c>
      <c r="H14">
        <v>5.3408198356628418</v>
      </c>
    </row>
    <row r="15" spans="1:8" x14ac:dyDescent="0.25">
      <c r="A15">
        <v>216</v>
      </c>
      <c r="B15">
        <v>46.122188568115234</v>
      </c>
      <c r="C15">
        <v>61.918323516845703</v>
      </c>
      <c r="D15">
        <v>26.414560317993164</v>
      </c>
      <c r="E15">
        <v>33.246311187744141</v>
      </c>
      <c r="F15">
        <v>30.18675422668457</v>
      </c>
      <c r="G15">
        <v>98.357231140136719</v>
      </c>
      <c r="H15">
        <v>3.8985264301300049</v>
      </c>
    </row>
    <row r="16" spans="1:8" x14ac:dyDescent="0.25">
      <c r="A16">
        <v>218</v>
      </c>
      <c r="B16">
        <v>41.764686584472656</v>
      </c>
      <c r="C16">
        <v>62.469470977783203</v>
      </c>
      <c r="D16">
        <v>22.376470565795898</v>
      </c>
      <c r="E16">
        <v>32.377265930175781</v>
      </c>
      <c r="F16">
        <v>29.231618881225586</v>
      </c>
      <c r="G16">
        <v>98.474014282226563</v>
      </c>
      <c r="H16">
        <v>3.0105817317962646</v>
      </c>
    </row>
    <row r="17" spans="1:8" x14ac:dyDescent="0.25">
      <c r="A17">
        <v>220</v>
      </c>
      <c r="B17">
        <v>38.527557373046875</v>
      </c>
      <c r="C17">
        <v>61.303005218505859</v>
      </c>
      <c r="D17">
        <v>19.917430877685547</v>
      </c>
      <c r="E17">
        <v>31.311792373657227</v>
      </c>
      <c r="F17">
        <v>28.141170501708984</v>
      </c>
      <c r="G17">
        <v>97.50811767578125</v>
      </c>
      <c r="H17">
        <v>2.5014898777008057</v>
      </c>
    </row>
    <row r="18" spans="1:8" x14ac:dyDescent="0.25">
      <c r="A18">
        <v>222</v>
      </c>
      <c r="B18">
        <v>37.365257263183594</v>
      </c>
      <c r="C18">
        <v>58.165584564208984</v>
      </c>
      <c r="D18">
        <v>19.189918518066406</v>
      </c>
      <c r="E18">
        <v>30.088558197021484</v>
      </c>
      <c r="F18">
        <v>26.989545822143555</v>
      </c>
      <c r="G18">
        <v>95.554344177246094</v>
      </c>
      <c r="H18">
        <v>2.2312688827514648</v>
      </c>
    </row>
    <row r="19" spans="1:8" x14ac:dyDescent="0.25">
      <c r="A19">
        <v>224</v>
      </c>
      <c r="B19">
        <v>38.510078430175781</v>
      </c>
      <c r="C19">
        <v>53.020725250244141</v>
      </c>
      <c r="D19">
        <v>19.72833251953125</v>
      </c>
      <c r="E19">
        <v>28.782400131225586</v>
      </c>
      <c r="F19">
        <v>25.931913375854492</v>
      </c>
      <c r="G19">
        <v>91.636367797851563</v>
      </c>
      <c r="H19">
        <v>2.0939273834228516</v>
      </c>
    </row>
    <row r="20" spans="1:8" x14ac:dyDescent="0.25">
      <c r="A20">
        <v>226</v>
      </c>
      <c r="B20">
        <v>41.975467681884766</v>
      </c>
      <c r="C20">
        <v>46.306468963623047</v>
      </c>
      <c r="D20">
        <v>21.016334533691406</v>
      </c>
      <c r="E20">
        <v>27.475347518920898</v>
      </c>
      <c r="F20">
        <v>25.078027725219727</v>
      </c>
      <c r="G20">
        <v>86.346855163574219</v>
      </c>
      <c r="H20">
        <v>2.0228128433227539</v>
      </c>
    </row>
    <row r="21" spans="1:8" x14ac:dyDescent="0.25">
      <c r="A21">
        <v>228</v>
      </c>
      <c r="B21">
        <v>47.68365478515625</v>
      </c>
      <c r="C21">
        <v>38.525783538818359</v>
      </c>
      <c r="D21">
        <v>22.512340545654297</v>
      </c>
      <c r="E21">
        <v>26.355443954467773</v>
      </c>
      <c r="F21">
        <v>24.479574203491211</v>
      </c>
      <c r="G21">
        <v>80.023040771484375</v>
      </c>
      <c r="H21">
        <v>2</v>
      </c>
    </row>
    <row r="22" spans="1:8" x14ac:dyDescent="0.25">
      <c r="A22">
        <v>230</v>
      </c>
      <c r="B22">
        <v>55.088260650634766</v>
      </c>
      <c r="C22">
        <v>31.036874771118164</v>
      </c>
      <c r="D22">
        <v>23.860660552978516</v>
      </c>
      <c r="E22">
        <v>25.57689094543457</v>
      </c>
      <c r="F22">
        <v>24.268815994262695</v>
      </c>
      <c r="G22">
        <v>72.805122375488281</v>
      </c>
      <c r="H22">
        <v>2.0145454406738281</v>
      </c>
    </row>
    <row r="23" spans="1:8" x14ac:dyDescent="0.25">
      <c r="A23">
        <v>232</v>
      </c>
      <c r="B23">
        <v>63.822109222412109</v>
      </c>
      <c r="C23">
        <v>24.638788223266602</v>
      </c>
      <c r="D23">
        <v>25.220609664916992</v>
      </c>
      <c r="E23">
        <v>25.293142318725586</v>
      </c>
      <c r="F23">
        <v>24.503765106201172</v>
      </c>
      <c r="G23">
        <v>65.172904968261719</v>
      </c>
      <c r="H23">
        <v>2.0356333255767822</v>
      </c>
    </row>
    <row r="24" spans="1:8" x14ac:dyDescent="0.25">
      <c r="A24">
        <v>234</v>
      </c>
      <c r="B24">
        <v>73.21929931640625</v>
      </c>
      <c r="C24">
        <v>19.776782989501953</v>
      </c>
      <c r="D24">
        <v>26.950019836425781</v>
      </c>
      <c r="E24">
        <v>25.583740234375</v>
      </c>
      <c r="F24">
        <v>25.292140960693359</v>
      </c>
      <c r="G24">
        <v>57.113182067871094</v>
      </c>
      <c r="H24">
        <v>2.0754013061523438</v>
      </c>
    </row>
    <row r="25" spans="1:8" x14ac:dyDescent="0.25">
      <c r="A25">
        <v>236</v>
      </c>
      <c r="B25">
        <v>82.201301574707031</v>
      </c>
      <c r="C25">
        <v>16.840913772583008</v>
      </c>
      <c r="D25">
        <v>28.697805404663086</v>
      </c>
      <c r="E25">
        <v>26.404592514038086</v>
      </c>
      <c r="F25">
        <v>26.620220184326172</v>
      </c>
      <c r="G25">
        <v>49.385040283203125</v>
      </c>
      <c r="H25">
        <v>2.1110560894012451</v>
      </c>
    </row>
    <row r="26" spans="1:8" x14ac:dyDescent="0.25">
      <c r="A26">
        <v>238</v>
      </c>
      <c r="B26">
        <v>90.616744995117188</v>
      </c>
      <c r="C26">
        <v>15.221232414245605</v>
      </c>
      <c r="D26">
        <v>31.15106201171875</v>
      </c>
      <c r="E26">
        <v>27.941946029663086</v>
      </c>
      <c r="F26">
        <v>28.621458053588867</v>
      </c>
      <c r="G26">
        <v>41.567852020263672</v>
      </c>
      <c r="H26">
        <v>2.1529924869537354</v>
      </c>
    </row>
    <row r="27" spans="1:8" x14ac:dyDescent="0.25">
      <c r="A27">
        <v>240</v>
      </c>
      <c r="B27">
        <v>96.794242858886719</v>
      </c>
      <c r="C27">
        <v>14.506296157836914</v>
      </c>
      <c r="D27">
        <v>33.792980194091797</v>
      </c>
      <c r="E27">
        <v>30.128349304199219</v>
      </c>
      <c r="F27">
        <v>31.220388412475586</v>
      </c>
      <c r="G27">
        <v>34.811733245849609</v>
      </c>
      <c r="H27">
        <v>2.2064058780670166</v>
      </c>
    </row>
    <row r="28" spans="1:8" x14ac:dyDescent="0.25">
      <c r="A28">
        <v>242</v>
      </c>
      <c r="B28">
        <v>100</v>
      </c>
      <c r="C28">
        <v>14.304013252258301</v>
      </c>
      <c r="D28">
        <v>36.390625</v>
      </c>
      <c r="E28">
        <v>33.015560150146484</v>
      </c>
      <c r="F28">
        <v>34.519115447998047</v>
      </c>
      <c r="G28">
        <v>28.853946685791016</v>
      </c>
      <c r="H28">
        <v>2.2473940849304199</v>
      </c>
    </row>
    <row r="29" spans="1:8" x14ac:dyDescent="0.25">
      <c r="A29">
        <v>244</v>
      </c>
      <c r="B29">
        <v>99.172607421875</v>
      </c>
      <c r="C29">
        <v>14.368534088134766</v>
      </c>
      <c r="D29">
        <v>39.097743988037109</v>
      </c>
      <c r="E29">
        <v>36.395320892333984</v>
      </c>
      <c r="F29">
        <v>38.274173736572266</v>
      </c>
      <c r="G29">
        <v>23.523860931396484</v>
      </c>
      <c r="H29">
        <v>2.2751874923706055</v>
      </c>
    </row>
    <row r="30" spans="1:8" x14ac:dyDescent="0.25">
      <c r="A30">
        <v>246</v>
      </c>
      <c r="B30">
        <v>94.263420104980469</v>
      </c>
      <c r="C30">
        <v>14.712178230285645</v>
      </c>
      <c r="D30">
        <v>42.139907836914063</v>
      </c>
      <c r="E30">
        <v>40.418857574462891</v>
      </c>
      <c r="F30">
        <v>42.584056854248047</v>
      </c>
      <c r="G30">
        <v>18.974533081054688</v>
      </c>
      <c r="H30">
        <v>2.3052639961242676</v>
      </c>
    </row>
    <row r="31" spans="1:8" x14ac:dyDescent="0.25">
      <c r="A31">
        <v>248</v>
      </c>
      <c r="B31">
        <v>87.219505310058594</v>
      </c>
      <c r="C31">
        <v>15.432357788085938</v>
      </c>
      <c r="D31">
        <v>44.963306427001953</v>
      </c>
      <c r="E31">
        <v>44.719993591308594</v>
      </c>
      <c r="F31">
        <v>47.162578582763672</v>
      </c>
      <c r="G31">
        <v>15.889500617980957</v>
      </c>
      <c r="H31">
        <v>2.3441016674041748</v>
      </c>
    </row>
    <row r="32" spans="1:8" x14ac:dyDescent="0.25">
      <c r="A32">
        <v>250</v>
      </c>
      <c r="B32">
        <v>80.031326293945313</v>
      </c>
      <c r="C32">
        <v>16.631521224975586</v>
      </c>
      <c r="D32">
        <v>47.65643310546875</v>
      </c>
      <c r="E32">
        <v>49.45745849609375</v>
      </c>
      <c r="F32">
        <v>52.131343841552734</v>
      </c>
      <c r="G32">
        <v>13.377029418945313</v>
      </c>
      <c r="H32">
        <v>2.3671307563781738</v>
      </c>
    </row>
    <row r="33" spans="1:8" x14ac:dyDescent="0.25">
      <c r="A33">
        <v>252</v>
      </c>
      <c r="B33">
        <v>74.509445190429688</v>
      </c>
      <c r="C33">
        <v>18.207986831665039</v>
      </c>
      <c r="D33">
        <v>49.646827697753906</v>
      </c>
      <c r="E33">
        <v>54.301265716552734</v>
      </c>
      <c r="F33">
        <v>57.126369476318359</v>
      </c>
      <c r="G33">
        <v>11.52617073059082</v>
      </c>
      <c r="H33">
        <v>2.3769600391387939</v>
      </c>
    </row>
    <row r="34" spans="1:8" x14ac:dyDescent="0.25">
      <c r="A34">
        <v>254</v>
      </c>
      <c r="B34">
        <v>70.89837646484375</v>
      </c>
      <c r="C34">
        <v>20.287494659423828</v>
      </c>
      <c r="D34">
        <v>50.968845367431641</v>
      </c>
      <c r="E34">
        <v>59.42120361328125</v>
      </c>
      <c r="F34">
        <v>62.365249633789063</v>
      </c>
      <c r="G34">
        <v>10.160813331604004</v>
      </c>
      <c r="H34">
        <v>2.3889775276184082</v>
      </c>
    </row>
    <row r="35" spans="1:8" x14ac:dyDescent="0.25">
      <c r="A35">
        <v>256</v>
      </c>
      <c r="B35">
        <v>68.685585021972656</v>
      </c>
      <c r="C35">
        <v>22.583789825439453</v>
      </c>
      <c r="D35">
        <v>51.672603607177734</v>
      </c>
      <c r="E35">
        <v>64.645797729492188</v>
      </c>
      <c r="F35">
        <v>67.641593933105469</v>
      </c>
      <c r="G35">
        <v>9.1645526885986328</v>
      </c>
      <c r="H35">
        <v>2.3941962718963623</v>
      </c>
    </row>
    <row r="36" spans="1:8" x14ac:dyDescent="0.25">
      <c r="A36">
        <v>258</v>
      </c>
      <c r="B36">
        <v>66.81646728515625</v>
      </c>
      <c r="C36">
        <v>24.973447799682617</v>
      </c>
      <c r="D36">
        <v>51.653327941894531</v>
      </c>
      <c r="E36">
        <v>69.7509765625</v>
      </c>
      <c r="F36">
        <v>72.696571350097656</v>
      </c>
      <c r="G36">
        <v>8.4575290679931641</v>
      </c>
      <c r="H36">
        <v>2.3977065086364746</v>
      </c>
    </row>
    <row r="37" spans="1:8" x14ac:dyDescent="0.25">
      <c r="A37">
        <v>260</v>
      </c>
      <c r="B37">
        <v>64.568931579589844</v>
      </c>
      <c r="C37">
        <v>27.565553665161133</v>
      </c>
      <c r="D37">
        <v>51.268848419189453</v>
      </c>
      <c r="E37">
        <v>74.865478515625</v>
      </c>
      <c r="F37">
        <v>77.738334655761719</v>
      </c>
      <c r="G37">
        <v>7.8905024528503418</v>
      </c>
      <c r="H37">
        <v>2.40130615234375</v>
      </c>
    </row>
    <row r="38" spans="1:8" x14ac:dyDescent="0.25">
      <c r="A38">
        <v>262</v>
      </c>
      <c r="B38">
        <v>61.502025604248047</v>
      </c>
      <c r="C38">
        <v>30.054519653320313</v>
      </c>
      <c r="D38">
        <v>50.540618896484375</v>
      </c>
      <c r="E38">
        <v>79.765174865722656</v>
      </c>
      <c r="F38">
        <v>82.564735412597656</v>
      </c>
      <c r="G38">
        <v>7.4681477546691895</v>
      </c>
      <c r="H38">
        <v>2.4037070274353027</v>
      </c>
    </row>
    <row r="39" spans="1:8" x14ac:dyDescent="0.25">
      <c r="A39">
        <v>264</v>
      </c>
      <c r="B39">
        <v>57.204578399658203</v>
      </c>
      <c r="C39">
        <v>32.358745574951172</v>
      </c>
      <c r="D39">
        <v>49.163105010986328</v>
      </c>
      <c r="E39">
        <v>84.385704040527344</v>
      </c>
      <c r="F39">
        <v>87.031990051269531</v>
      </c>
      <c r="G39">
        <v>7.2148637771606445</v>
      </c>
      <c r="H39">
        <v>2.3996100425720215</v>
      </c>
    </row>
    <row r="40" spans="1:8" x14ac:dyDescent="0.25">
      <c r="A40">
        <v>266</v>
      </c>
      <c r="B40">
        <v>52.039913177490234</v>
      </c>
      <c r="C40">
        <v>34.282291412353516</v>
      </c>
      <c r="D40">
        <v>47.105926513671875</v>
      </c>
      <c r="E40">
        <v>88.598274230957031</v>
      </c>
      <c r="F40">
        <v>90.962135314941406</v>
      </c>
      <c r="G40">
        <v>7.0390214920043945</v>
      </c>
      <c r="H40">
        <v>2.4029824733734131</v>
      </c>
    </row>
    <row r="41" spans="1:8" x14ac:dyDescent="0.25">
      <c r="A41">
        <v>268</v>
      </c>
      <c r="B41">
        <v>46.427558898925781</v>
      </c>
      <c r="C41">
        <v>35.786018371582031</v>
      </c>
      <c r="D41">
        <v>44.958023071289063</v>
      </c>
      <c r="E41">
        <v>92.471946716308594</v>
      </c>
      <c r="F41">
        <v>94.437843322753906</v>
      </c>
      <c r="G41">
        <v>7.059443473815918</v>
      </c>
      <c r="H41">
        <v>2.4076340198516846</v>
      </c>
    </row>
    <row r="42" spans="1:8" x14ac:dyDescent="0.25">
      <c r="A42">
        <v>270</v>
      </c>
      <c r="B42">
        <v>40.971111297607422</v>
      </c>
      <c r="C42">
        <v>36.52764892578125</v>
      </c>
      <c r="D42">
        <v>43.058444976806641</v>
      </c>
      <c r="E42">
        <v>95.620872497558594</v>
      </c>
      <c r="F42">
        <v>97.199508666992188</v>
      </c>
      <c r="G42">
        <v>7.1260290145874023</v>
      </c>
      <c r="H42">
        <v>2.4169659614562988</v>
      </c>
    </row>
    <row r="43" spans="1:8" x14ac:dyDescent="0.25">
      <c r="A43">
        <v>272</v>
      </c>
      <c r="B43">
        <v>36.305850982666016</v>
      </c>
      <c r="C43">
        <v>36.500778198242188</v>
      </c>
      <c r="D43">
        <v>41.644710540771484</v>
      </c>
      <c r="E43">
        <v>97.9705810546875</v>
      </c>
      <c r="F43">
        <v>99.088386535644531</v>
      </c>
      <c r="G43">
        <v>6.5857114791870117</v>
      </c>
      <c r="H43">
        <v>2.4162986278533936</v>
      </c>
    </row>
    <row r="44" spans="1:8" x14ac:dyDescent="0.25">
      <c r="A44">
        <v>274</v>
      </c>
      <c r="B44">
        <v>32.863803863525391</v>
      </c>
      <c r="C44">
        <v>35.604953765869141</v>
      </c>
      <c r="D44">
        <v>40.999652862548828</v>
      </c>
      <c r="E44">
        <v>99.490440368652344</v>
      </c>
      <c r="F44">
        <v>100</v>
      </c>
      <c r="G44">
        <v>6.2396159172058105</v>
      </c>
      <c r="H44">
        <v>2.4215927124023438</v>
      </c>
    </row>
    <row r="45" spans="1:8" x14ac:dyDescent="0.25">
      <c r="A45">
        <v>276</v>
      </c>
      <c r="B45">
        <v>30.707721710205078</v>
      </c>
      <c r="C45">
        <v>33.705764770507813</v>
      </c>
      <c r="D45">
        <v>40.908615112304688</v>
      </c>
      <c r="E45">
        <v>100</v>
      </c>
      <c r="F45">
        <v>99.886451721191406</v>
      </c>
      <c r="G45">
        <v>6.4666743278503418</v>
      </c>
      <c r="H45">
        <v>2.4273660182952881</v>
      </c>
    </row>
    <row r="46" spans="1:8" x14ac:dyDescent="0.25">
      <c r="A46">
        <v>278</v>
      </c>
      <c r="B46">
        <v>29.726972579956055</v>
      </c>
      <c r="C46">
        <v>31.063358306884766</v>
      </c>
      <c r="D46">
        <v>41.121498107910156</v>
      </c>
      <c r="E46">
        <v>99.537872314453125</v>
      </c>
      <c r="F46">
        <v>98.715118408203125</v>
      </c>
      <c r="G46">
        <v>6.5842070579528809</v>
      </c>
      <c r="H46">
        <v>2.4154918193817139</v>
      </c>
    </row>
    <row r="47" spans="1:8" x14ac:dyDescent="0.25">
      <c r="A47">
        <v>280</v>
      </c>
      <c r="B47">
        <v>29.384273529052734</v>
      </c>
      <c r="C47">
        <v>27.764730453491211</v>
      </c>
      <c r="D47">
        <v>41.023063659667969</v>
      </c>
      <c r="E47">
        <v>98.116989135742188</v>
      </c>
      <c r="F47">
        <v>96.540023803710938</v>
      </c>
      <c r="G47">
        <v>6.7197432518005371</v>
      </c>
      <c r="H47">
        <v>2.3998479843139648</v>
      </c>
    </row>
    <row r="48" spans="1:8" x14ac:dyDescent="0.25">
      <c r="A48">
        <v>282</v>
      </c>
      <c r="B48">
        <v>29.284149169921875</v>
      </c>
      <c r="C48">
        <v>24.186487197875977</v>
      </c>
      <c r="D48">
        <v>40.730148315429688</v>
      </c>
      <c r="E48">
        <v>95.728294372558594</v>
      </c>
      <c r="F48">
        <v>93.416221618652344</v>
      </c>
      <c r="G48">
        <v>6.3982610702514648</v>
      </c>
      <c r="H48">
        <v>2.3982841968536377</v>
      </c>
    </row>
    <row r="49" spans="1:8" x14ac:dyDescent="0.25">
      <c r="A49">
        <v>284</v>
      </c>
      <c r="B49">
        <v>29.323070526123047</v>
      </c>
      <c r="C49">
        <v>20.745632171630859</v>
      </c>
      <c r="D49">
        <v>40.277484893798828</v>
      </c>
      <c r="E49">
        <v>92.407470703125</v>
      </c>
      <c r="F49">
        <v>89.414047241210938</v>
      </c>
      <c r="G49">
        <v>5.970639705657959</v>
      </c>
      <c r="H49">
        <v>2.4020199775695801</v>
      </c>
    </row>
    <row r="50" spans="1:8" x14ac:dyDescent="0.25">
      <c r="A50">
        <v>286</v>
      </c>
      <c r="B50">
        <v>29.238170623779297</v>
      </c>
      <c r="C50">
        <v>17.723506927490234</v>
      </c>
      <c r="D50">
        <v>39.183742523193359</v>
      </c>
      <c r="E50">
        <v>88.282028198242188</v>
      </c>
      <c r="F50">
        <v>84.641891479492188</v>
      </c>
      <c r="G50">
        <v>5.9912228584289551</v>
      </c>
      <c r="H50">
        <v>2.414114236831665</v>
      </c>
    </row>
    <row r="51" spans="1:8" x14ac:dyDescent="0.25">
      <c r="A51">
        <v>288</v>
      </c>
      <c r="B51">
        <v>28.964925765991211</v>
      </c>
      <c r="C51">
        <v>15.28062915802002</v>
      </c>
      <c r="D51">
        <v>37.623687744140625</v>
      </c>
      <c r="E51">
        <v>83.403068542480469</v>
      </c>
      <c r="F51">
        <v>79.243431091308594</v>
      </c>
      <c r="G51">
        <v>6.0257248878479004</v>
      </c>
      <c r="H51">
        <v>2.4147100448608398</v>
      </c>
    </row>
    <row r="52" spans="1:8" x14ac:dyDescent="0.25">
      <c r="A52">
        <v>290</v>
      </c>
      <c r="B52">
        <v>28.352787017822266</v>
      </c>
      <c r="C52">
        <v>13.52496337890625</v>
      </c>
      <c r="D52">
        <v>35.704994201660156</v>
      </c>
      <c r="E52">
        <v>77.911338806152344</v>
      </c>
      <c r="F52">
        <v>73.315544128417969</v>
      </c>
      <c r="G52">
        <v>5.8974437713623047</v>
      </c>
      <c r="H52">
        <v>2.4155724048614502</v>
      </c>
    </row>
    <row r="53" spans="1:8" x14ac:dyDescent="0.25">
      <c r="A53">
        <v>292</v>
      </c>
      <c r="B53">
        <v>27.114151000976563</v>
      </c>
      <c r="C53">
        <v>12.41341495513916</v>
      </c>
      <c r="D53">
        <v>33.136543273925781</v>
      </c>
      <c r="E53">
        <v>71.935638427734375</v>
      </c>
      <c r="F53">
        <v>66.9573974609375</v>
      </c>
      <c r="G53">
        <v>5.6265864372253418</v>
      </c>
      <c r="H53">
        <v>2.4211275577545166</v>
      </c>
    </row>
    <row r="54" spans="1:8" x14ac:dyDescent="0.25">
      <c r="A54">
        <v>294</v>
      </c>
      <c r="B54">
        <v>25.556600570678711</v>
      </c>
      <c r="C54">
        <v>11.772478103637695</v>
      </c>
      <c r="D54">
        <v>29.987113952636719</v>
      </c>
      <c r="E54">
        <v>65.6221923828125</v>
      </c>
      <c r="F54">
        <v>60.396209716796875</v>
      </c>
      <c r="G54">
        <v>5.2723221778869629</v>
      </c>
      <c r="H54">
        <v>2.4202258586883545</v>
      </c>
    </row>
    <row r="55" spans="1:8" x14ac:dyDescent="0.25">
      <c r="A55">
        <v>296</v>
      </c>
      <c r="B55">
        <v>23.961700439453125</v>
      </c>
      <c r="C55">
        <v>11.430336952209473</v>
      </c>
      <c r="D55">
        <v>26.650484085083008</v>
      </c>
      <c r="E55">
        <v>59.117229461669922</v>
      </c>
      <c r="F55">
        <v>53.744045257568359</v>
      </c>
      <c r="G55">
        <v>5.309941291809082</v>
      </c>
      <c r="H55">
        <v>2.4230685234069824</v>
      </c>
    </row>
    <row r="56" spans="1:8" x14ac:dyDescent="0.25">
      <c r="A56">
        <v>298</v>
      </c>
      <c r="B56">
        <v>21.959999084472656</v>
      </c>
      <c r="C56">
        <v>11.295591354370117</v>
      </c>
      <c r="D56">
        <v>23.255088806152344</v>
      </c>
      <c r="E56">
        <v>52.354736328125</v>
      </c>
      <c r="F56">
        <v>46.959270477294922</v>
      </c>
      <c r="G56">
        <v>5.3384780883789063</v>
      </c>
      <c r="H56">
        <v>2.4298474788665771</v>
      </c>
    </row>
    <row r="57" spans="1:8" x14ac:dyDescent="0.25">
      <c r="A57">
        <v>300</v>
      </c>
      <c r="B57">
        <v>19.76353645324707</v>
      </c>
      <c r="C57">
        <v>11.369656562805176</v>
      </c>
      <c r="D57">
        <v>20.168558120727539</v>
      </c>
      <c r="E57">
        <v>45.901439666748047</v>
      </c>
      <c r="F57">
        <v>40.602321624755859</v>
      </c>
      <c r="G57">
        <v>5.2087998390197754</v>
      </c>
      <c r="H57">
        <v>2.4419901371002197</v>
      </c>
    </row>
    <row r="58" spans="1:8" x14ac:dyDescent="0.25">
      <c r="A58">
        <v>302</v>
      </c>
      <c r="B58">
        <v>17.780796051025391</v>
      </c>
      <c r="C58">
        <v>11.617217063903809</v>
      </c>
      <c r="D58">
        <v>17.329145431518555</v>
      </c>
      <c r="E58">
        <v>39.671192169189453</v>
      </c>
      <c r="F58">
        <v>34.614891052246094</v>
      </c>
      <c r="G58">
        <v>5.2084774971008301</v>
      </c>
      <c r="H58">
        <v>2.4495561122894287</v>
      </c>
    </row>
    <row r="59" spans="1:8" x14ac:dyDescent="0.25">
      <c r="A59">
        <v>304</v>
      </c>
      <c r="B59">
        <v>15.849370002746582</v>
      </c>
      <c r="C59">
        <v>11.92314338684082</v>
      </c>
      <c r="D59">
        <v>15.001811027526855</v>
      </c>
      <c r="E59">
        <v>33.754837036132813</v>
      </c>
      <c r="F59">
        <v>29.08502197265625</v>
      </c>
      <c r="G59">
        <v>5.2876925468444824</v>
      </c>
      <c r="H59">
        <v>2.4408378601074219</v>
      </c>
    </row>
    <row r="60" spans="1:8" x14ac:dyDescent="0.25">
      <c r="A60">
        <v>306</v>
      </c>
      <c r="B60">
        <v>14.097014427185059</v>
      </c>
      <c r="C60">
        <v>12.281412124633789</v>
      </c>
      <c r="D60">
        <v>12.973516464233398</v>
      </c>
      <c r="E60">
        <v>28.224273681640625</v>
      </c>
      <c r="F60">
        <v>23.966131210327148</v>
      </c>
      <c r="G60">
        <v>4.9362225532531738</v>
      </c>
      <c r="H60">
        <v>2.4495561122894287</v>
      </c>
    </row>
    <row r="61" spans="1:8" x14ac:dyDescent="0.25">
      <c r="A61">
        <v>308</v>
      </c>
      <c r="B61">
        <v>12.821404457092285</v>
      </c>
      <c r="C61">
        <v>12.618023872375488</v>
      </c>
      <c r="D61">
        <v>11.293261528015137</v>
      </c>
      <c r="E61">
        <v>23.447046279907227</v>
      </c>
      <c r="F61">
        <v>19.575227737426758</v>
      </c>
      <c r="G61">
        <v>4.7267918586730957</v>
      </c>
      <c r="H61">
        <v>2.4513328075408936</v>
      </c>
    </row>
    <row r="62" spans="1:8" x14ac:dyDescent="0.25">
      <c r="A62">
        <v>310</v>
      </c>
      <c r="B62">
        <v>12.078629493713379</v>
      </c>
      <c r="C62">
        <v>13.055986404418945</v>
      </c>
      <c r="D62">
        <v>10.142746925354004</v>
      </c>
      <c r="E62">
        <v>19.246604919433594</v>
      </c>
      <c r="F62">
        <v>15.818838119506836</v>
      </c>
      <c r="G62">
        <v>4.5324625968933105</v>
      </c>
      <c r="H62">
        <v>2.444814920425415</v>
      </c>
    </row>
    <row r="63" spans="1:8" x14ac:dyDescent="0.25">
      <c r="A63">
        <v>312</v>
      </c>
      <c r="B63">
        <v>11.858976364135742</v>
      </c>
      <c r="C63">
        <v>13.52897834777832</v>
      </c>
      <c r="D63">
        <v>9.0268363952636719</v>
      </c>
      <c r="E63">
        <v>15.562938690185547</v>
      </c>
      <c r="F63">
        <v>12.620382308959961</v>
      </c>
      <c r="G63">
        <v>4.6571426391601563</v>
      </c>
      <c r="H63">
        <v>2.4527926445007324</v>
      </c>
    </row>
    <row r="64" spans="1:8" x14ac:dyDescent="0.25">
      <c r="A64">
        <v>314</v>
      </c>
      <c r="B64">
        <v>11.781952857971191</v>
      </c>
      <c r="C64">
        <v>13.967445373535156</v>
      </c>
      <c r="D64">
        <v>8.1923990249633789</v>
      </c>
      <c r="E64">
        <v>12.636892318725586</v>
      </c>
      <c r="F64">
        <v>10.086158752441406</v>
      </c>
      <c r="G64">
        <v>4.547295093536377</v>
      </c>
      <c r="H64">
        <v>2.4623963832855225</v>
      </c>
    </row>
    <row r="65" spans="1:8" x14ac:dyDescent="0.25">
      <c r="A65">
        <v>316</v>
      </c>
      <c r="B65">
        <v>11.97901439666748</v>
      </c>
      <c r="C65">
        <v>14.446723937988281</v>
      </c>
      <c r="D65">
        <v>7.7549080848693848</v>
      </c>
      <c r="E65">
        <v>10.098960876464844</v>
      </c>
      <c r="F65">
        <v>8.0124073028564453</v>
      </c>
      <c r="G65">
        <v>4.2808985710144043</v>
      </c>
      <c r="H65">
        <v>2.4594123363494873</v>
      </c>
    </row>
    <row r="66" spans="1:8" x14ac:dyDescent="0.25">
      <c r="A66">
        <v>318</v>
      </c>
      <c r="B66">
        <v>12.683222770690918</v>
      </c>
      <c r="C66">
        <v>14.828525543212891</v>
      </c>
      <c r="D66">
        <v>7.3532977104187012</v>
      </c>
      <c r="E66">
        <v>8.1195926666259766</v>
      </c>
      <c r="F66">
        <v>6.4110894203186035</v>
      </c>
      <c r="G66">
        <v>4.7686567306518555</v>
      </c>
      <c r="H66">
        <v>2.4524097442626953</v>
      </c>
    </row>
    <row r="67" spans="1:8" x14ac:dyDescent="0.25">
      <c r="A67">
        <v>320</v>
      </c>
      <c r="B67">
        <v>13.590354919433594</v>
      </c>
      <c r="C67">
        <v>15.183623313903809</v>
      </c>
      <c r="D67">
        <v>6.9327206611633301</v>
      </c>
      <c r="E67">
        <v>6.6365966796875</v>
      </c>
      <c r="F67">
        <v>5.1893839836120605</v>
      </c>
      <c r="G67">
        <v>4.943692684173584</v>
      </c>
      <c r="H67">
        <v>2.4624893665313721</v>
      </c>
    </row>
    <row r="68" spans="1:8" x14ac:dyDescent="0.25">
      <c r="A68">
        <v>322</v>
      </c>
      <c r="B68">
        <v>14.678684234619141</v>
      </c>
      <c r="C68">
        <v>15.548112869262695</v>
      </c>
      <c r="D68">
        <v>6.7106022834777832</v>
      </c>
      <c r="E68">
        <v>5.5454463958740234</v>
      </c>
      <c r="F68">
        <v>4.312568187713623</v>
      </c>
      <c r="G68">
        <v>4.5351495742797852</v>
      </c>
      <c r="H68">
        <v>2.4673235416412354</v>
      </c>
    </row>
    <row r="69" spans="1:8" x14ac:dyDescent="0.25">
      <c r="A69">
        <v>324</v>
      </c>
      <c r="B69">
        <v>15.896632194519043</v>
      </c>
      <c r="C69">
        <v>15.891549110412598</v>
      </c>
      <c r="D69">
        <v>6.3908557891845703</v>
      </c>
      <c r="E69">
        <v>4.7148799896240234</v>
      </c>
      <c r="F69">
        <v>3.6094627380371094</v>
      </c>
      <c r="G69">
        <v>4.6195774078369141</v>
      </c>
      <c r="H69">
        <v>2.4553689956665039</v>
      </c>
    </row>
    <row r="70" spans="1:8" x14ac:dyDescent="0.25">
      <c r="A70">
        <v>326</v>
      </c>
      <c r="B70">
        <v>17.177221298217773</v>
      </c>
      <c r="C70">
        <v>16.193733215332031</v>
      </c>
      <c r="D70">
        <v>6.2512850761413574</v>
      </c>
      <c r="E70">
        <v>4.1294436454772949</v>
      </c>
      <c r="F70">
        <v>3.1649141311645508</v>
      </c>
      <c r="G70">
        <v>5.1257152557373047</v>
      </c>
      <c r="H70">
        <v>2.4428524971008301</v>
      </c>
    </row>
    <row r="71" spans="1:8" x14ac:dyDescent="0.25">
      <c r="A71">
        <v>328</v>
      </c>
      <c r="B71">
        <v>18.531936645507813</v>
      </c>
      <c r="C71">
        <v>16.366373062133789</v>
      </c>
      <c r="D71">
        <v>6.2659916877746582</v>
      </c>
      <c r="E71">
        <v>3.7146451473236084</v>
      </c>
      <c r="F71">
        <v>2.8513917922973633</v>
      </c>
      <c r="G71">
        <v>5.0622467994689941</v>
      </c>
      <c r="H71">
        <v>2.4352362155914307</v>
      </c>
    </row>
    <row r="72" spans="1:8" x14ac:dyDescent="0.25">
      <c r="A72">
        <v>330</v>
      </c>
      <c r="B72">
        <v>19.884082794189453</v>
      </c>
      <c r="C72">
        <v>16.489017486572266</v>
      </c>
      <c r="D72">
        <v>6.1368370056152344</v>
      </c>
      <c r="E72">
        <v>3.3769900798797607</v>
      </c>
      <c r="F72">
        <v>2.6045284271240234</v>
      </c>
      <c r="G72">
        <v>4.7762880325317383</v>
      </c>
      <c r="H72">
        <v>2.452847957611084</v>
      </c>
    </row>
    <row r="73" spans="1:8" x14ac:dyDescent="0.25">
      <c r="A73">
        <v>332</v>
      </c>
      <c r="B73">
        <v>21.359033584594727</v>
      </c>
      <c r="C73">
        <v>16.478288650512695</v>
      </c>
      <c r="D73">
        <v>5.9525256156921387</v>
      </c>
      <c r="E73">
        <v>3.2266669273376465</v>
      </c>
      <c r="F73">
        <v>2.4619264602661133</v>
      </c>
      <c r="G73">
        <v>4.5250997543334961</v>
      </c>
      <c r="H73">
        <v>2.4653680324554443</v>
      </c>
    </row>
    <row r="74" spans="1:8" x14ac:dyDescent="0.25">
      <c r="A74">
        <v>334</v>
      </c>
      <c r="B74">
        <v>22.837791442871094</v>
      </c>
      <c r="C74">
        <v>16.339374542236328</v>
      </c>
      <c r="D74">
        <v>5.6973562240600586</v>
      </c>
      <c r="E74">
        <v>3.1366772651672363</v>
      </c>
      <c r="F74">
        <v>2.3776686191558838</v>
      </c>
      <c r="G74">
        <v>4.3919820785522461</v>
      </c>
      <c r="H74">
        <v>2.4568483829498291</v>
      </c>
    </row>
    <row r="75" spans="1:8" x14ac:dyDescent="0.25">
      <c r="A75">
        <v>336</v>
      </c>
      <c r="B75">
        <v>24.210206985473633</v>
      </c>
      <c r="C75">
        <v>16.076255798339844</v>
      </c>
      <c r="D75">
        <v>5.6121964454650879</v>
      </c>
      <c r="E75">
        <v>3.0281720161437988</v>
      </c>
      <c r="F75">
        <v>2.299372673034668</v>
      </c>
      <c r="G75">
        <v>4.7524805068969727</v>
      </c>
      <c r="H75">
        <v>2.4418110847473145</v>
      </c>
    </row>
    <row r="76" spans="1:8" x14ac:dyDescent="0.25">
      <c r="A76">
        <v>338</v>
      </c>
      <c r="B76">
        <v>25.577245712280273</v>
      </c>
      <c r="C76">
        <v>15.748355865478516</v>
      </c>
      <c r="D76">
        <v>5.6210265159606934</v>
      </c>
      <c r="E76">
        <v>2.9895455837249756</v>
      </c>
      <c r="F76">
        <v>2.2380120754241943</v>
      </c>
      <c r="G76">
        <v>4.6916985511779785</v>
      </c>
      <c r="H76">
        <v>2.4348104000091553</v>
      </c>
    </row>
    <row r="77" spans="1:8" x14ac:dyDescent="0.25">
      <c r="A77">
        <v>340</v>
      </c>
      <c r="B77">
        <v>26.8946533203125</v>
      </c>
      <c r="C77">
        <v>15.525524139404297</v>
      </c>
      <c r="D77">
        <v>5.3877458572387695</v>
      </c>
      <c r="E77">
        <v>2.9815158843994141</v>
      </c>
      <c r="F77">
        <v>2.2120656967163086</v>
      </c>
      <c r="G77">
        <v>4.5062365531921387</v>
      </c>
      <c r="H77">
        <v>2.449779748916626</v>
      </c>
    </row>
    <row r="78" spans="1:8" x14ac:dyDescent="0.25">
      <c r="A78">
        <v>342</v>
      </c>
      <c r="B78">
        <v>28.063568115234375</v>
      </c>
      <c r="C78">
        <v>15.072871208190918</v>
      </c>
      <c r="D78">
        <v>5.2749762535095215</v>
      </c>
      <c r="E78">
        <v>2.9863541126251221</v>
      </c>
      <c r="F78">
        <v>2.2295563220977783</v>
      </c>
      <c r="G78">
        <v>4.6993837356567383</v>
      </c>
      <c r="H78">
        <v>2.4377892017364502</v>
      </c>
    </row>
    <row r="79" spans="1:8" x14ac:dyDescent="0.25">
      <c r="A79">
        <v>344</v>
      </c>
      <c r="B79">
        <v>29.098793029785156</v>
      </c>
      <c r="C79">
        <v>14.566647529602051</v>
      </c>
      <c r="D79">
        <v>5.3018393516540527</v>
      </c>
      <c r="E79">
        <v>3.0506513118743896</v>
      </c>
      <c r="F79">
        <v>2.212573766708374</v>
      </c>
      <c r="G79">
        <v>4.6753072738647461</v>
      </c>
      <c r="H79">
        <v>2.4217267036437988</v>
      </c>
    </row>
    <row r="80" spans="1:8" x14ac:dyDescent="0.25">
      <c r="A80">
        <v>346</v>
      </c>
      <c r="B80">
        <v>30.223676681518555</v>
      </c>
      <c r="C80">
        <v>13.958284378051758</v>
      </c>
      <c r="D80">
        <v>5.0184082984924316</v>
      </c>
      <c r="E80">
        <v>3.0640149116516113</v>
      </c>
      <c r="F80">
        <v>2.1951303482055664</v>
      </c>
      <c r="G80">
        <v>4.6059269905090332</v>
      </c>
      <c r="H80">
        <v>2.4300103187561035</v>
      </c>
    </row>
    <row r="81" spans="1:8" x14ac:dyDescent="0.25">
      <c r="A81">
        <v>348</v>
      </c>
      <c r="B81">
        <v>31.082328796386719</v>
      </c>
      <c r="C81">
        <v>13.181241989135742</v>
      </c>
      <c r="D81">
        <v>4.8978967666625977</v>
      </c>
      <c r="E81">
        <v>3.0319247245788574</v>
      </c>
      <c r="F81">
        <v>2.2057178020477295</v>
      </c>
      <c r="G81">
        <v>4.6743941307067871</v>
      </c>
      <c r="H81">
        <v>2.4551184177398682</v>
      </c>
    </row>
    <row r="82" spans="1:8" x14ac:dyDescent="0.25">
      <c r="A82">
        <v>350</v>
      </c>
      <c r="B82">
        <v>31.828134536743164</v>
      </c>
      <c r="C82">
        <v>12.391911506652832</v>
      </c>
      <c r="D82">
        <v>4.902125358581543</v>
      </c>
      <c r="E82">
        <v>3.0673739910125732</v>
      </c>
      <c r="F82">
        <v>2.1835639476776123</v>
      </c>
      <c r="G82">
        <v>5.0825610160827637</v>
      </c>
      <c r="H82">
        <v>2.4611387252807617</v>
      </c>
    </row>
    <row r="83" spans="1:8" x14ac:dyDescent="0.25">
      <c r="A83">
        <v>352</v>
      </c>
      <c r="B83">
        <v>32.515968322753906</v>
      </c>
      <c r="C83">
        <v>11.616141319274902</v>
      </c>
      <c r="D83">
        <v>4.7034497261047363</v>
      </c>
      <c r="E83">
        <v>3.0350871086120605</v>
      </c>
      <c r="F83">
        <v>2.1695272922515869</v>
      </c>
      <c r="G83">
        <v>4.8162178993225098</v>
      </c>
      <c r="H83">
        <v>2.4396748542785645</v>
      </c>
    </row>
    <row r="84" spans="1:8" x14ac:dyDescent="0.25">
      <c r="A84">
        <v>354</v>
      </c>
      <c r="B84">
        <v>32.927616119384766</v>
      </c>
      <c r="C84">
        <v>10.917190551757813</v>
      </c>
      <c r="D84">
        <v>4.6968274116516113</v>
      </c>
      <c r="E84">
        <v>3.0730941295623779</v>
      </c>
      <c r="F84">
        <v>2.1820158958435059</v>
      </c>
      <c r="G84">
        <v>4.3191084861755371</v>
      </c>
      <c r="H84">
        <v>2.4422547817230225</v>
      </c>
    </row>
    <row r="85" spans="1:8" x14ac:dyDescent="0.25">
      <c r="A85">
        <v>356</v>
      </c>
      <c r="B85">
        <v>33.045131683349609</v>
      </c>
      <c r="C85">
        <v>10.187148094177246</v>
      </c>
      <c r="D85">
        <v>4.311943531036377</v>
      </c>
      <c r="E85">
        <v>3.1314525604248047</v>
      </c>
      <c r="F85">
        <v>2.1839780807495117</v>
      </c>
      <c r="G85">
        <v>4.6349477767944336</v>
      </c>
      <c r="H85">
        <v>2.4458293914794922</v>
      </c>
    </row>
    <row r="86" spans="1:8" x14ac:dyDescent="0.25">
      <c r="A86">
        <v>358</v>
      </c>
      <c r="B86">
        <v>32.801605224609375</v>
      </c>
      <c r="C86">
        <v>9.4831171035766602</v>
      </c>
      <c r="D86">
        <v>4.3356046676635742</v>
      </c>
      <c r="E86">
        <v>3.0739829540252686</v>
      </c>
      <c r="F86">
        <v>2.1939115524291992</v>
      </c>
      <c r="G86">
        <v>4.6991686820983887</v>
      </c>
      <c r="H86">
        <v>2.4486095905303955</v>
      </c>
    </row>
    <row r="87" spans="1:8" x14ac:dyDescent="0.25">
      <c r="A87">
        <v>360</v>
      </c>
      <c r="B87">
        <v>32.281269073486328</v>
      </c>
      <c r="C87">
        <v>8.8455924987792969</v>
      </c>
      <c r="D87">
        <v>4.6148695945739746</v>
      </c>
      <c r="E87">
        <v>3.0752072334289551</v>
      </c>
      <c r="F87">
        <v>2.2054591178894043</v>
      </c>
      <c r="G87">
        <v>4.8007402420043945</v>
      </c>
      <c r="H87">
        <v>2.453773021697998</v>
      </c>
    </row>
    <row r="88" spans="1:8" x14ac:dyDescent="0.25">
      <c r="A88">
        <v>362</v>
      </c>
      <c r="B88">
        <v>31.724714279174805</v>
      </c>
      <c r="C88">
        <v>8.2375040054321289</v>
      </c>
      <c r="D88">
        <v>4.4635777473449707</v>
      </c>
      <c r="E88">
        <v>3.0912742614746094</v>
      </c>
      <c r="F88">
        <v>2.2281398773193359</v>
      </c>
      <c r="G88">
        <v>5.1207709312438965</v>
      </c>
      <c r="H88">
        <v>2.4607326984405518</v>
      </c>
    </row>
    <row r="89" spans="1:8" x14ac:dyDescent="0.25">
      <c r="A89">
        <v>364</v>
      </c>
      <c r="B89">
        <v>30.919609069824219</v>
      </c>
      <c r="C89">
        <v>7.7967658042907715</v>
      </c>
      <c r="D89">
        <v>4.3519587516784668</v>
      </c>
      <c r="E89">
        <v>3.0915000438690186</v>
      </c>
      <c r="F89">
        <v>2.2420542240142822</v>
      </c>
      <c r="G89">
        <v>5.0384926795959473</v>
      </c>
      <c r="H89">
        <v>2.4721202850341797</v>
      </c>
    </row>
    <row r="90" spans="1:8" x14ac:dyDescent="0.25">
      <c r="A90">
        <v>366</v>
      </c>
      <c r="B90">
        <v>30.000770568847656</v>
      </c>
      <c r="C90">
        <v>7.3918375968933105</v>
      </c>
      <c r="D90">
        <v>3.8382935523986816</v>
      </c>
      <c r="E90">
        <v>3.0293014049530029</v>
      </c>
      <c r="F90">
        <v>2.2028710842132568</v>
      </c>
      <c r="G90">
        <v>4.8792028427124023</v>
      </c>
      <c r="H90">
        <v>2.456963062286377</v>
      </c>
    </row>
    <row r="91" spans="1:8" x14ac:dyDescent="0.25">
      <c r="A91">
        <v>368</v>
      </c>
      <c r="B91">
        <v>28.901931762695313</v>
      </c>
      <c r="C91">
        <v>6.9300026893615723</v>
      </c>
      <c r="D91">
        <v>3.6758708953857422</v>
      </c>
      <c r="E91">
        <v>3.0025303363800049</v>
      </c>
      <c r="F91">
        <v>2.1926882266998291</v>
      </c>
      <c r="G91">
        <v>4.4146075248718262</v>
      </c>
      <c r="H91">
        <v>2.4476633071899414</v>
      </c>
    </row>
    <row r="92" spans="1:8" x14ac:dyDescent="0.25">
      <c r="A92">
        <v>370</v>
      </c>
      <c r="B92">
        <v>27.703475952148438</v>
      </c>
      <c r="C92">
        <v>6.5682229995727539</v>
      </c>
      <c r="D92">
        <v>3.5844614505767822</v>
      </c>
      <c r="E92">
        <v>2.952857494354248</v>
      </c>
      <c r="F92">
        <v>2.2022168636322021</v>
      </c>
      <c r="G92">
        <v>4.4364261627197266</v>
      </c>
      <c r="H92">
        <v>2.457970142364502</v>
      </c>
    </row>
    <row r="93" spans="1:8" x14ac:dyDescent="0.25">
      <c r="A93">
        <v>372</v>
      </c>
      <c r="B93">
        <v>26.333671569824219</v>
      </c>
      <c r="C93">
        <v>6.3721714019775391</v>
      </c>
      <c r="D93">
        <v>3.3631510734558105</v>
      </c>
      <c r="E93">
        <v>2.8601205348968506</v>
      </c>
      <c r="F93">
        <v>2.210413932800293</v>
      </c>
      <c r="G93">
        <v>4.7049727439880371</v>
      </c>
      <c r="H93">
        <v>2.4463984966278076</v>
      </c>
    </row>
    <row r="94" spans="1:8" x14ac:dyDescent="0.25">
      <c r="A94">
        <v>374</v>
      </c>
      <c r="B94">
        <v>24.721733093261719</v>
      </c>
      <c r="C94">
        <v>6.2740468978881836</v>
      </c>
      <c r="D94">
        <v>3.8291215896606445</v>
      </c>
      <c r="E94">
        <v>2.8712692260742188</v>
      </c>
      <c r="F94">
        <v>2.18522047996521</v>
      </c>
      <c r="G94">
        <v>5.0555286407470703</v>
      </c>
      <c r="H94">
        <v>2.4499247074127197</v>
      </c>
    </row>
    <row r="95" spans="1:8" x14ac:dyDescent="0.25">
      <c r="A95">
        <v>376</v>
      </c>
      <c r="B95">
        <v>23.131479263305664</v>
      </c>
      <c r="C95">
        <v>6.1518630981445313</v>
      </c>
      <c r="D95">
        <v>3.8785572052001953</v>
      </c>
      <c r="E95">
        <v>2.8078243732452393</v>
      </c>
      <c r="F95">
        <v>2.1602997779846191</v>
      </c>
      <c r="G95">
        <v>5.0195755958557129</v>
      </c>
      <c r="H95">
        <v>2.4571454524993896</v>
      </c>
    </row>
    <row r="96" spans="1:8" x14ac:dyDescent="0.25">
      <c r="A96">
        <v>378</v>
      </c>
      <c r="B96">
        <v>21.543062210083008</v>
      </c>
      <c r="C96">
        <v>6.0859599113464355</v>
      </c>
      <c r="D96">
        <v>3.7200520038604736</v>
      </c>
      <c r="E96">
        <v>2.7257988452911377</v>
      </c>
      <c r="F96">
        <v>2.1545307636260986</v>
      </c>
      <c r="G96">
        <v>4.799933910369873</v>
      </c>
      <c r="H96">
        <v>2.4539017677307129</v>
      </c>
    </row>
    <row r="97" spans="1:8" x14ac:dyDescent="0.25">
      <c r="A97">
        <v>380</v>
      </c>
      <c r="B97">
        <v>19.903974533081055</v>
      </c>
      <c r="C97">
        <v>6.1157026290893555</v>
      </c>
      <c r="D97">
        <v>3.5948150157928467</v>
      </c>
      <c r="E97">
        <v>2.656933069229126</v>
      </c>
      <c r="F97">
        <v>2.1250126361846924</v>
      </c>
      <c r="G97">
        <v>5.1370549201965332</v>
      </c>
      <c r="H97">
        <v>2.4666848182678223</v>
      </c>
    </row>
    <row r="98" spans="1:8" x14ac:dyDescent="0.25">
      <c r="A98">
        <v>382</v>
      </c>
      <c r="B98">
        <v>18.01777458190918</v>
      </c>
      <c r="C98">
        <v>6.0224490165710449</v>
      </c>
      <c r="D98">
        <v>3.3794431686401367</v>
      </c>
      <c r="E98">
        <v>2.6227078437805176</v>
      </c>
      <c r="F98">
        <v>2.1287112236022949</v>
      </c>
      <c r="G98">
        <v>5.1176543235778809</v>
      </c>
      <c r="H98">
        <v>2.4670159816741943</v>
      </c>
    </row>
    <row r="99" spans="1:8" x14ac:dyDescent="0.25">
      <c r="A99">
        <v>384</v>
      </c>
      <c r="B99">
        <v>16.341360092163086</v>
      </c>
      <c r="C99">
        <v>5.9111814498901367</v>
      </c>
      <c r="D99">
        <v>3.3797850608825684</v>
      </c>
      <c r="E99">
        <v>2.608447790145874</v>
      </c>
      <c r="F99">
        <v>2.1794326305389404</v>
      </c>
      <c r="G99">
        <v>4.9453587532043457</v>
      </c>
      <c r="H99">
        <v>2.4540987014770508</v>
      </c>
    </row>
    <row r="100" spans="1:8" x14ac:dyDescent="0.25">
      <c r="A100">
        <v>386</v>
      </c>
      <c r="B100">
        <v>14.956707954406738</v>
      </c>
      <c r="C100">
        <v>5.9409236907958984</v>
      </c>
      <c r="D100">
        <v>3.5073540210723877</v>
      </c>
      <c r="E100">
        <v>2.5639774799346924</v>
      </c>
      <c r="F100">
        <v>2.1473782062530518</v>
      </c>
      <c r="G100">
        <v>5.1734375953674316</v>
      </c>
      <c r="H100">
        <v>2.4394369125366211</v>
      </c>
    </row>
    <row r="101" spans="1:8" x14ac:dyDescent="0.25">
      <c r="A101">
        <v>388</v>
      </c>
      <c r="B101">
        <v>13.632462501525879</v>
      </c>
      <c r="C101">
        <v>5.7918167114257813</v>
      </c>
      <c r="D101">
        <v>3.5326938629150391</v>
      </c>
      <c r="E101">
        <v>2.5326449871063232</v>
      </c>
      <c r="F101">
        <v>2.1258456707000732</v>
      </c>
      <c r="G101">
        <v>5.1880555152893066</v>
      </c>
      <c r="H101">
        <v>2.444237232208252</v>
      </c>
    </row>
    <row r="102" spans="1:8" x14ac:dyDescent="0.25">
      <c r="A102">
        <v>390</v>
      </c>
      <c r="B102">
        <v>12.268256187438965</v>
      </c>
      <c r="C102">
        <v>5.7512350082397461</v>
      </c>
      <c r="D102">
        <v>3.3164825439453125</v>
      </c>
      <c r="E102">
        <v>2.4993088245391846</v>
      </c>
      <c r="F102">
        <v>2.1385929584503174</v>
      </c>
      <c r="G102">
        <v>4.9453587532043457</v>
      </c>
      <c r="H102">
        <v>2.4537122249603271</v>
      </c>
    </row>
    <row r="103" spans="1:8" x14ac:dyDescent="0.25">
      <c r="A103">
        <v>392</v>
      </c>
      <c r="B103">
        <v>10.944210052490234</v>
      </c>
      <c r="C103">
        <v>5.828887939453125</v>
      </c>
      <c r="D103">
        <v>3.0726306438446045</v>
      </c>
      <c r="E103">
        <v>2.441737174987793</v>
      </c>
      <c r="F103">
        <v>2.1625490188598633</v>
      </c>
      <c r="G103">
        <v>4.8909721374511719</v>
      </c>
      <c r="H103">
        <v>2.4378161430358887</v>
      </c>
    </row>
    <row r="104" spans="1:8" x14ac:dyDescent="0.25">
      <c r="A104">
        <v>394</v>
      </c>
      <c r="B104">
        <v>9.6584205627441406</v>
      </c>
      <c r="C104">
        <v>5.8371601104736328</v>
      </c>
      <c r="D104">
        <v>3.132575511932373</v>
      </c>
      <c r="E104">
        <v>2.4598953723907471</v>
      </c>
      <c r="F104">
        <v>2.1833100318908691</v>
      </c>
      <c r="G104">
        <v>5.1467819213867188</v>
      </c>
      <c r="H104">
        <v>2.4377946853637695</v>
      </c>
    </row>
    <row r="105" spans="1:8" x14ac:dyDescent="0.25">
      <c r="A105">
        <v>396</v>
      </c>
      <c r="B105">
        <v>8.4906787872314453</v>
      </c>
      <c r="C105">
        <v>5.8538360595703125</v>
      </c>
      <c r="D105">
        <v>3.229705810546875</v>
      </c>
      <c r="E105">
        <v>2.4442875385284424</v>
      </c>
      <c r="F105">
        <v>2.1529026031494141</v>
      </c>
      <c r="G105">
        <v>5.1086254119873047</v>
      </c>
      <c r="H105">
        <v>2.4634501934051514</v>
      </c>
    </row>
    <row r="106" spans="1:8" x14ac:dyDescent="0.25">
      <c r="A106">
        <v>398</v>
      </c>
      <c r="B106">
        <v>7.4533295631408691</v>
      </c>
      <c r="C106">
        <v>5.8474287986755371</v>
      </c>
      <c r="D106">
        <v>3.0304703712463379</v>
      </c>
      <c r="E106">
        <v>2.3392724990844727</v>
      </c>
      <c r="F106">
        <v>2.131943941116333</v>
      </c>
      <c r="G106">
        <v>4.8394341468811035</v>
      </c>
      <c r="H106">
        <v>2.4612157344818115</v>
      </c>
    </row>
    <row r="107" spans="1:8" x14ac:dyDescent="0.25">
      <c r="A107">
        <v>400</v>
      </c>
      <c r="B107">
        <v>6.7452049255371094</v>
      </c>
      <c r="C107">
        <v>5.7779712677001953</v>
      </c>
      <c r="D107">
        <v>3.2097136974334717</v>
      </c>
      <c r="E107">
        <v>2.3190157413482666</v>
      </c>
      <c r="F107">
        <v>2.1263585090637207</v>
      </c>
      <c r="G107">
        <v>4.8930144309997559</v>
      </c>
      <c r="H107">
        <v>2.4492590427398682</v>
      </c>
    </row>
    <row r="108" spans="1:8" x14ac:dyDescent="0.25">
      <c r="A108">
        <v>402</v>
      </c>
      <c r="B108">
        <v>6.1705055236816406</v>
      </c>
      <c r="C108">
        <v>5.7682399749755859</v>
      </c>
      <c r="D108">
        <v>3.8300542831420898</v>
      </c>
      <c r="E108">
        <v>2.3532629013061523</v>
      </c>
      <c r="F108">
        <v>2.1403622627258301</v>
      </c>
      <c r="G108">
        <v>5.1103453636169434</v>
      </c>
      <c r="H108">
        <v>2.4443175792694092</v>
      </c>
    </row>
    <row r="109" spans="1:8" x14ac:dyDescent="0.25">
      <c r="A109">
        <v>404</v>
      </c>
      <c r="B109">
        <v>5.397615909576416</v>
      </c>
      <c r="C109">
        <v>5.7971706390380859</v>
      </c>
      <c r="D109">
        <v>3.8869209289550781</v>
      </c>
      <c r="E109">
        <v>2.3332099914550781</v>
      </c>
      <c r="F109">
        <v>2.1127028465270996</v>
      </c>
      <c r="G109">
        <v>5.4761638641357422</v>
      </c>
      <c r="H109">
        <v>2.4458563327789307</v>
      </c>
    </row>
    <row r="110" spans="1:8" x14ac:dyDescent="0.25">
      <c r="A110">
        <v>406</v>
      </c>
      <c r="B110">
        <v>4.7846150398254395</v>
      </c>
      <c r="C110">
        <v>5.7462434768676758</v>
      </c>
      <c r="D110">
        <v>3.6638693809509277</v>
      </c>
      <c r="E110">
        <v>2.3904027938842773</v>
      </c>
      <c r="F110">
        <v>2.0746443271636963</v>
      </c>
      <c r="G110">
        <v>5.5809597969055176</v>
      </c>
      <c r="H110">
        <v>2.456963062286377</v>
      </c>
    </row>
    <row r="111" spans="1:8" x14ac:dyDescent="0.25">
      <c r="A111">
        <v>408</v>
      </c>
      <c r="B111">
        <v>4.2921161651611328</v>
      </c>
      <c r="C111">
        <v>5.5963354110717773</v>
      </c>
      <c r="D111">
        <v>3.7490606307983398</v>
      </c>
      <c r="E111">
        <v>2.3906869888305664</v>
      </c>
      <c r="F111">
        <v>2.070155143737793</v>
      </c>
      <c r="G111">
        <v>5.3583621978759766</v>
      </c>
      <c r="H111">
        <v>2.4392116069793701</v>
      </c>
    </row>
    <row r="112" spans="1:8" x14ac:dyDescent="0.25">
      <c r="A112">
        <v>410</v>
      </c>
      <c r="B112">
        <v>3.9048750400543213</v>
      </c>
      <c r="C112">
        <v>5.6582999229431152</v>
      </c>
      <c r="D112">
        <v>3.5841505527496338</v>
      </c>
      <c r="E112">
        <v>2.3212528228759766</v>
      </c>
      <c r="F112">
        <v>2.0615394115447998</v>
      </c>
      <c r="G112">
        <v>5.2392711639404297</v>
      </c>
      <c r="H112">
        <v>2.4226911067962646</v>
      </c>
    </row>
    <row r="113" spans="1:8" x14ac:dyDescent="0.25">
      <c r="A113">
        <v>412</v>
      </c>
      <c r="B113">
        <v>3.6704192161560059</v>
      </c>
      <c r="C113">
        <v>5.8193869590759277</v>
      </c>
      <c r="D113">
        <v>3.6875302791595459</v>
      </c>
      <c r="E113">
        <v>2.3273079395294189</v>
      </c>
      <c r="F113">
        <v>2.0731196403503418</v>
      </c>
      <c r="G113">
        <v>4.8453993797302246</v>
      </c>
      <c r="H113">
        <v>2.4440779685974121</v>
      </c>
    </row>
    <row r="114" spans="1:8" x14ac:dyDescent="0.25">
      <c r="A114">
        <v>414</v>
      </c>
      <c r="B114">
        <v>3.3566610813140869</v>
      </c>
      <c r="C114">
        <v>5.819880485534668</v>
      </c>
      <c r="D114">
        <v>4.2942523956298828</v>
      </c>
      <c r="E114">
        <v>2.4293060302734375</v>
      </c>
      <c r="F114">
        <v>2.0842719078063965</v>
      </c>
      <c r="G114">
        <v>4.7642498016357422</v>
      </c>
      <c r="H114">
        <v>2.4572653770446777</v>
      </c>
    </row>
    <row r="115" spans="1:8" x14ac:dyDescent="0.25">
      <c r="A115">
        <v>416</v>
      </c>
      <c r="B115">
        <v>3.3946971893310547</v>
      </c>
      <c r="C115">
        <v>5.9042916297912598</v>
      </c>
      <c r="D115">
        <v>4.5057377815246582</v>
      </c>
      <c r="E115">
        <v>2.4494755268096924</v>
      </c>
      <c r="F115">
        <v>2.1252102851867676</v>
      </c>
      <c r="G115">
        <v>5.2381424903869629</v>
      </c>
      <c r="H115">
        <v>2.4457614421844482</v>
      </c>
    </row>
    <row r="116" spans="1:8" x14ac:dyDescent="0.25">
      <c r="A116">
        <v>418</v>
      </c>
      <c r="B116">
        <v>3.3888776302337646</v>
      </c>
      <c r="C116">
        <v>5.9066610336303711</v>
      </c>
      <c r="D116">
        <v>4.5581893920898438</v>
      </c>
      <c r="E116">
        <v>2.3415169715881348</v>
      </c>
      <c r="F116">
        <v>2.1579751968383789</v>
      </c>
      <c r="G116">
        <v>5.2808670997619629</v>
      </c>
      <c r="H116">
        <v>2.4413156509399414</v>
      </c>
    </row>
    <row r="117" spans="1:8" x14ac:dyDescent="0.25">
      <c r="A117">
        <v>420</v>
      </c>
      <c r="B117">
        <v>3.30545973777771</v>
      </c>
      <c r="C117">
        <v>5.7526721954345703</v>
      </c>
      <c r="D117">
        <v>4.7533831596374512</v>
      </c>
      <c r="E117">
        <v>2.3055791854858398</v>
      </c>
      <c r="F117">
        <v>2.1439855098724365</v>
      </c>
      <c r="G117">
        <v>5.0117831230163574</v>
      </c>
      <c r="H117">
        <v>2.4488208293914795</v>
      </c>
    </row>
    <row r="118" spans="1:8" x14ac:dyDescent="0.25">
      <c r="A118">
        <v>422</v>
      </c>
      <c r="B118">
        <v>3.3337156772613525</v>
      </c>
      <c r="C118">
        <v>5.6570382118225098</v>
      </c>
      <c r="D118">
        <v>4.7685246467590332</v>
      </c>
      <c r="E118">
        <v>2.3514049053192139</v>
      </c>
      <c r="F118">
        <v>2.1201660633087158</v>
      </c>
      <c r="G118">
        <v>5.2306723594665527</v>
      </c>
      <c r="H118">
        <v>2.4547426700592041</v>
      </c>
    </row>
    <row r="119" spans="1:8" x14ac:dyDescent="0.25">
      <c r="A119">
        <v>424</v>
      </c>
      <c r="B119">
        <v>2.9447484016418457</v>
      </c>
      <c r="C119">
        <v>5.5806798934936523</v>
      </c>
      <c r="D119">
        <v>4.7916569709777832</v>
      </c>
      <c r="E119">
        <v>2.3806533813476563</v>
      </c>
      <c r="F119">
        <v>2.094200611114502</v>
      </c>
      <c r="G119">
        <v>5.2930126190185547</v>
      </c>
      <c r="H119">
        <v>2.4512860774993896</v>
      </c>
    </row>
    <row r="120" spans="1:8" x14ac:dyDescent="0.25">
      <c r="A120">
        <v>426</v>
      </c>
      <c r="B120">
        <v>2.7324638366699219</v>
      </c>
      <c r="C120">
        <v>5.5643773078918457</v>
      </c>
      <c r="D120">
        <v>4.8211007118225098</v>
      </c>
      <c r="E120">
        <v>2.3580574989318848</v>
      </c>
      <c r="F120">
        <v>2.0623817443847656</v>
      </c>
      <c r="G120">
        <v>5.4800868034362793</v>
      </c>
      <c r="H120">
        <v>2.4607343673706055</v>
      </c>
    </row>
    <row r="121" spans="1:8" x14ac:dyDescent="0.25">
      <c r="A121">
        <v>428</v>
      </c>
      <c r="B121">
        <v>2.7397212982177734</v>
      </c>
      <c r="C121">
        <v>5.5582113265991211</v>
      </c>
      <c r="D121">
        <v>4.7132434844970703</v>
      </c>
      <c r="E121">
        <v>2.3617372512817383</v>
      </c>
      <c r="F121">
        <v>2.0380115509033203</v>
      </c>
      <c r="G121">
        <v>5.523993968963623</v>
      </c>
      <c r="H121">
        <v>2.445756196975708</v>
      </c>
    </row>
    <row r="122" spans="1:8" x14ac:dyDescent="0.25">
      <c r="A122">
        <v>430</v>
      </c>
      <c r="B122">
        <v>2.8149745464324951</v>
      </c>
      <c r="C122">
        <v>5.4357972145080566</v>
      </c>
      <c r="D122">
        <v>4.8122081756591797</v>
      </c>
      <c r="E122">
        <v>2.3388280868530273</v>
      </c>
      <c r="F122">
        <v>2.0327131748199463</v>
      </c>
      <c r="G122">
        <v>5.2151951789855957</v>
      </c>
      <c r="H122">
        <v>2.4358749389648438</v>
      </c>
    </row>
    <row r="123" spans="1:8" x14ac:dyDescent="0.25">
      <c r="A123">
        <v>432</v>
      </c>
      <c r="B123">
        <v>3.0105977058410645</v>
      </c>
      <c r="C123">
        <v>5.4283146858215332</v>
      </c>
      <c r="D123">
        <v>4.546623706817627</v>
      </c>
      <c r="E123">
        <v>2.3986730575561523</v>
      </c>
      <c r="F123">
        <v>2.0616617202758789</v>
      </c>
      <c r="G123">
        <v>5.2176132202148438</v>
      </c>
      <c r="H123">
        <v>2.4488189220428467</v>
      </c>
    </row>
    <row r="124" spans="1:8" x14ac:dyDescent="0.25">
      <c r="A124">
        <v>434</v>
      </c>
      <c r="B124">
        <v>2.8895421028137207</v>
      </c>
      <c r="C124">
        <v>5.6667804718017578</v>
      </c>
      <c r="D124">
        <v>4.4073328971862793</v>
      </c>
      <c r="E124">
        <v>2.3702991008758545</v>
      </c>
      <c r="F124">
        <v>2.0691623687744141</v>
      </c>
      <c r="G124">
        <v>5.4938449859619141</v>
      </c>
      <c r="H124">
        <v>2.4410400390625</v>
      </c>
    </row>
    <row r="125" spans="1:8" x14ac:dyDescent="0.25">
      <c r="A125">
        <v>436</v>
      </c>
      <c r="B125">
        <v>2.8398008346557617</v>
      </c>
      <c r="C125">
        <v>5.6720905303955078</v>
      </c>
      <c r="D125">
        <v>4.6583981513977051</v>
      </c>
      <c r="E125">
        <v>2.2891843318939209</v>
      </c>
      <c r="F125">
        <v>2.1077761650085449</v>
      </c>
      <c r="G125">
        <v>5.5659661293029785</v>
      </c>
      <c r="H125">
        <v>2.4592761993408203</v>
      </c>
    </row>
    <row r="126" spans="1:8" x14ac:dyDescent="0.25">
      <c r="A126">
        <v>438</v>
      </c>
      <c r="B126">
        <v>3.0755620002746582</v>
      </c>
      <c r="C126">
        <v>5.5586285591125488</v>
      </c>
      <c r="D126">
        <v>4.6626262664794922</v>
      </c>
      <c r="E126">
        <v>2.4027681350708008</v>
      </c>
      <c r="F126">
        <v>2.1176674365997314</v>
      </c>
      <c r="G126">
        <v>5.8548803329467773</v>
      </c>
      <c r="H126">
        <v>2.4670732021331787</v>
      </c>
    </row>
    <row r="127" spans="1:8" x14ac:dyDescent="0.25">
      <c r="A127">
        <v>440</v>
      </c>
      <c r="B127">
        <v>2.7997071743011475</v>
      </c>
      <c r="C127">
        <v>5.5827207565307617</v>
      </c>
      <c r="D127">
        <v>4.596867561340332</v>
      </c>
      <c r="E127">
        <v>2.391495943069458</v>
      </c>
      <c r="F127">
        <v>2.0956735610961914</v>
      </c>
      <c r="G127">
        <v>5.5107736587524414</v>
      </c>
      <c r="H127">
        <v>2.4683542251586914</v>
      </c>
    </row>
    <row r="128" spans="1:8" x14ac:dyDescent="0.25">
      <c r="A128">
        <v>442</v>
      </c>
      <c r="B128">
        <v>2.6977245807647705</v>
      </c>
      <c r="C128">
        <v>5.6498632431030273</v>
      </c>
      <c r="D128">
        <v>4.7473201751708984</v>
      </c>
      <c r="E128">
        <v>2.3192853927612305</v>
      </c>
      <c r="F128">
        <v>2.1179919242858887</v>
      </c>
      <c r="G128">
        <v>4.9883518218994141</v>
      </c>
      <c r="H128">
        <v>2.4631621837615967</v>
      </c>
    </row>
    <row r="129" spans="1:8" x14ac:dyDescent="0.25">
      <c r="A129">
        <v>444</v>
      </c>
      <c r="B129">
        <v>2.9651272296905518</v>
      </c>
      <c r="C129">
        <v>5.6690511703491211</v>
      </c>
      <c r="D129">
        <v>4.875542163848877</v>
      </c>
      <c r="E129">
        <v>2.3511133193969727</v>
      </c>
      <c r="F129">
        <v>2.0781264305114746</v>
      </c>
      <c r="G129">
        <v>5.2384114265441895</v>
      </c>
      <c r="H129">
        <v>2.4511787891387939</v>
      </c>
    </row>
    <row r="130" spans="1:8" x14ac:dyDescent="0.25">
      <c r="A130">
        <v>446</v>
      </c>
      <c r="B130">
        <v>2.9065132141113281</v>
      </c>
      <c r="C130">
        <v>5.7745814323425293</v>
      </c>
      <c r="D130">
        <v>4.2531185150146484</v>
      </c>
      <c r="E130">
        <v>2.4095594882965088</v>
      </c>
      <c r="F130">
        <v>2.1050987243652344</v>
      </c>
      <c r="G130">
        <v>5.1819291114807129</v>
      </c>
      <c r="H130">
        <v>2.4541916847229004</v>
      </c>
    </row>
    <row r="131" spans="1:8" x14ac:dyDescent="0.25">
      <c r="A131">
        <v>448</v>
      </c>
      <c r="B131">
        <v>2.852236270904541</v>
      </c>
      <c r="C131">
        <v>5.6614375114440918</v>
      </c>
      <c r="D131">
        <v>3.8254837989807129</v>
      </c>
      <c r="E131">
        <v>2.483715295791626</v>
      </c>
      <c r="F131">
        <v>2.1624832153320313</v>
      </c>
      <c r="G131">
        <v>5.3414340019226074</v>
      </c>
      <c r="H131">
        <v>2.4731810092926025</v>
      </c>
    </row>
    <row r="132" spans="1:8" x14ac:dyDescent="0.25">
      <c r="A132">
        <v>450</v>
      </c>
      <c r="B132">
        <v>2.9176430702209473</v>
      </c>
      <c r="C132">
        <v>5.5034003257751465</v>
      </c>
      <c r="D132">
        <v>4.0360984802246094</v>
      </c>
      <c r="E132">
        <v>2.4416060447692871</v>
      </c>
      <c r="F132">
        <v>2.1338968276977539</v>
      </c>
      <c r="G132">
        <v>5.1244254112243652</v>
      </c>
      <c r="H132">
        <v>2.4695761203765869</v>
      </c>
    </row>
    <row r="133" spans="1:8" x14ac:dyDescent="0.25">
      <c r="A133">
        <v>452</v>
      </c>
      <c r="B133">
        <v>2.8847846984863281</v>
      </c>
      <c r="C133">
        <v>5.4776954650878906</v>
      </c>
      <c r="D133">
        <v>4.0751185417175293</v>
      </c>
      <c r="E133">
        <v>2.3617954254150391</v>
      </c>
      <c r="F133">
        <v>2.1213846206665039</v>
      </c>
      <c r="G133">
        <v>4.4301385879516602</v>
      </c>
      <c r="H133">
        <v>2.4518086910247803</v>
      </c>
    </row>
    <row r="134" spans="1:8" x14ac:dyDescent="0.25">
      <c r="A134">
        <v>454</v>
      </c>
      <c r="B134">
        <v>2.7666497230529785</v>
      </c>
      <c r="C134">
        <v>5.4216227531433105</v>
      </c>
      <c r="D134">
        <v>4.0734086036682129</v>
      </c>
      <c r="E134">
        <v>2.3649070262908936</v>
      </c>
      <c r="F134">
        <v>2.1351861953735352</v>
      </c>
      <c r="G134">
        <v>4.2181282043457031</v>
      </c>
      <c r="H134">
        <v>2.4448652267456055</v>
      </c>
    </row>
    <row r="135" spans="1:8" x14ac:dyDescent="0.25">
      <c r="A135">
        <v>456</v>
      </c>
      <c r="B135">
        <v>2.8451113700866699</v>
      </c>
      <c r="C135">
        <v>5.5099391937255859</v>
      </c>
      <c r="D135">
        <v>4.0797824859619141</v>
      </c>
      <c r="E135">
        <v>2.4145653247833252</v>
      </c>
      <c r="F135">
        <v>2.1308052539825439</v>
      </c>
      <c r="G135">
        <v>4.7112607955932617</v>
      </c>
      <c r="H135">
        <v>2.4399559497833252</v>
      </c>
    </row>
    <row r="136" spans="1:8" x14ac:dyDescent="0.25">
      <c r="A136">
        <v>458</v>
      </c>
      <c r="B136">
        <v>2.7319326400756836</v>
      </c>
      <c r="C136">
        <v>5.5634336471557617</v>
      </c>
      <c r="D136">
        <v>3.7481589317321777</v>
      </c>
      <c r="E136">
        <v>2.4784982204437256</v>
      </c>
      <c r="F136">
        <v>2.1090562343597412</v>
      </c>
      <c r="G136">
        <v>5.4701986312866211</v>
      </c>
      <c r="H136">
        <v>2.4560940265655518</v>
      </c>
    </row>
    <row r="137" spans="1:8" x14ac:dyDescent="0.25">
      <c r="A137">
        <v>460</v>
      </c>
      <c r="B137">
        <v>2.6607065200805664</v>
      </c>
      <c r="C137">
        <v>5.4118695259094238</v>
      </c>
      <c r="D137">
        <v>3.9799470901489258</v>
      </c>
      <c r="E137">
        <v>2.4302315711975098</v>
      </c>
      <c r="F137">
        <v>2.0974380970001221</v>
      </c>
      <c r="G137">
        <v>5.0655245780944824</v>
      </c>
      <c r="H137">
        <v>2.4628670215606689</v>
      </c>
    </row>
    <row r="138" spans="1:8" x14ac:dyDescent="0.25">
      <c r="A138">
        <v>462</v>
      </c>
      <c r="B138">
        <v>3.2127704620361328</v>
      </c>
      <c r="C138">
        <v>3.2019491195678711</v>
      </c>
      <c r="D138">
        <v>3.3149590492248535</v>
      </c>
      <c r="E138">
        <v>2.5865588188171387</v>
      </c>
      <c r="F138">
        <v>2.5845298767089844</v>
      </c>
      <c r="G138">
        <v>3.4748289585113525</v>
      </c>
      <c r="H138">
        <v>2.3260800838470459</v>
      </c>
    </row>
    <row r="139" spans="1:8" x14ac:dyDescent="0.25">
      <c r="A139">
        <v>464</v>
      </c>
      <c r="B139">
        <v>3.2951927185058594</v>
      </c>
      <c r="C139">
        <v>2</v>
      </c>
      <c r="D139">
        <v>2.3757426738739014</v>
      </c>
      <c r="E139">
        <v>2.7057242393493652</v>
      </c>
      <c r="F139">
        <v>2.9322240352630615</v>
      </c>
      <c r="G139">
        <v>3.1466832160949707</v>
      </c>
      <c r="H139">
        <v>2.2577672004699707</v>
      </c>
    </row>
    <row r="140" spans="1:8" x14ac:dyDescent="0.25">
      <c r="A140">
        <v>466</v>
      </c>
      <c r="B140">
        <v>2.8859353065490723</v>
      </c>
      <c r="C140">
        <v>4.0312356948852539</v>
      </c>
      <c r="D140">
        <v>3.441906213760376</v>
      </c>
      <c r="E140">
        <v>2.391364574432373</v>
      </c>
      <c r="F140">
        <v>2.4608018398284912</v>
      </c>
      <c r="G140">
        <v>4.2420430183410645</v>
      </c>
      <c r="H140">
        <v>2.3749027252197266</v>
      </c>
    </row>
    <row r="141" spans="1:8" x14ac:dyDescent="0.25">
      <c r="A141">
        <v>468</v>
      </c>
      <c r="B141">
        <v>2.6095271110534668</v>
      </c>
      <c r="C141">
        <v>5.2941508293151855</v>
      </c>
      <c r="D141">
        <v>4.4198007583618164</v>
      </c>
      <c r="E141">
        <v>2.1655957698822021</v>
      </c>
      <c r="F141">
        <v>2.1120584011077881</v>
      </c>
      <c r="G141">
        <v>5.1096467971801758</v>
      </c>
      <c r="H141">
        <v>2.4447433948516846</v>
      </c>
    </row>
    <row r="142" spans="1:8" x14ac:dyDescent="0.25">
      <c r="A142">
        <v>470</v>
      </c>
      <c r="B142">
        <v>2.5140056610107422</v>
      </c>
      <c r="C142">
        <v>5.2950940132141113</v>
      </c>
      <c r="D142">
        <v>4.3532333374023438</v>
      </c>
      <c r="E142">
        <v>2.204193115234375</v>
      </c>
      <c r="F142">
        <v>2.1655511856079102</v>
      </c>
      <c r="G142">
        <v>5.2743105888366699</v>
      </c>
      <c r="H142">
        <v>2.4375638961791992</v>
      </c>
    </row>
    <row r="143" spans="1:8" x14ac:dyDescent="0.25">
      <c r="A143">
        <v>472</v>
      </c>
      <c r="B143">
        <v>2.8479213714599609</v>
      </c>
      <c r="C143">
        <v>5.9468369483947754</v>
      </c>
      <c r="D143">
        <v>3.6875302791595459</v>
      </c>
      <c r="E143">
        <v>2.2585148811340332</v>
      </c>
      <c r="F143">
        <v>2.1887354850769043</v>
      </c>
      <c r="G143">
        <v>4.8054156303405762</v>
      </c>
      <c r="H143">
        <v>2.4652500152587891</v>
      </c>
    </row>
    <row r="144" spans="1:8" x14ac:dyDescent="0.25">
      <c r="A144">
        <v>474</v>
      </c>
      <c r="B144">
        <v>2.878279447555542</v>
      </c>
      <c r="C144">
        <v>5.946782112121582</v>
      </c>
      <c r="D144">
        <v>3.8506991863250732</v>
      </c>
      <c r="E144">
        <v>2.2460110187530518</v>
      </c>
      <c r="F144">
        <v>2.1614665985107422</v>
      </c>
      <c r="G144">
        <v>4.5292916297912598</v>
      </c>
      <c r="H144">
        <v>2.4691555500030518</v>
      </c>
    </row>
    <row r="145" spans="1:8" x14ac:dyDescent="0.25">
      <c r="A145">
        <v>476</v>
      </c>
      <c r="B145">
        <v>2.6970829963684082</v>
      </c>
      <c r="C145">
        <v>5.2690272331237793</v>
      </c>
      <c r="D145">
        <v>4.1778144836425781</v>
      </c>
      <c r="E145">
        <v>2.2965292930603027</v>
      </c>
      <c r="F145">
        <v>2.1177520751953125</v>
      </c>
      <c r="G145">
        <v>4.4376626014709473</v>
      </c>
      <c r="H145">
        <v>2.4360449314117432</v>
      </c>
    </row>
    <row r="146" spans="1:8" x14ac:dyDescent="0.25">
      <c r="A146">
        <v>478</v>
      </c>
      <c r="B146">
        <v>2.8083586692810059</v>
      </c>
      <c r="C146">
        <v>5.4861869812011719</v>
      </c>
      <c r="D146">
        <v>3.3997149467468262</v>
      </c>
      <c r="E146">
        <v>2.4169552326202393</v>
      </c>
      <c r="F146">
        <v>2.0887892246246338</v>
      </c>
      <c r="G146">
        <v>4.995445728302002</v>
      </c>
      <c r="H146">
        <v>2.4518139362335205</v>
      </c>
    </row>
    <row r="147" spans="1:8" x14ac:dyDescent="0.25">
      <c r="A147">
        <v>480</v>
      </c>
      <c r="B147">
        <v>2.7292110919952393</v>
      </c>
      <c r="C147">
        <v>5.8828539848327637</v>
      </c>
      <c r="D147">
        <v>2.9264378547668457</v>
      </c>
      <c r="E147">
        <v>2.3409266471862793</v>
      </c>
      <c r="F147">
        <v>2.0620334148406982</v>
      </c>
      <c r="G147">
        <v>5.6163754463195801</v>
      </c>
      <c r="H147">
        <v>2.4801836013793945</v>
      </c>
    </row>
    <row r="148" spans="1:8" x14ac:dyDescent="0.25">
      <c r="A148">
        <v>482</v>
      </c>
      <c r="B148">
        <v>2.9688444137573242</v>
      </c>
      <c r="C148">
        <v>4.1054544448852539</v>
      </c>
      <c r="D148">
        <v>5.1767888069152832</v>
      </c>
      <c r="E148">
        <v>2.3905339241027832</v>
      </c>
      <c r="F148">
        <v>2.0637602806091309</v>
      </c>
      <c r="G148">
        <v>5.3518595695495605</v>
      </c>
      <c r="H148">
        <v>2.4440689086914063</v>
      </c>
    </row>
    <row r="149" spans="1:8" x14ac:dyDescent="0.25">
      <c r="A149">
        <v>484</v>
      </c>
      <c r="B149">
        <v>3.1155009269714355</v>
      </c>
      <c r="C149">
        <v>3.0246689319610596</v>
      </c>
      <c r="D149">
        <v>5.5689167976379395</v>
      </c>
      <c r="E149">
        <v>2.3354544639587402</v>
      </c>
      <c r="F149">
        <v>2.0798628330230713</v>
      </c>
      <c r="G149">
        <v>5.2347030639648438</v>
      </c>
      <c r="H149">
        <v>2.4594266414642334</v>
      </c>
    </row>
    <row r="150" spans="1:8" x14ac:dyDescent="0.25">
      <c r="A150">
        <v>486</v>
      </c>
      <c r="B150">
        <v>3.0507357120513916</v>
      </c>
      <c r="C150">
        <v>4.9356622695922852</v>
      </c>
      <c r="D150">
        <v>2.9176387786865234</v>
      </c>
      <c r="E150">
        <v>2.1669292449951172</v>
      </c>
      <c r="F150">
        <v>2.0569467544555664</v>
      </c>
      <c r="G150">
        <v>5.4983053207397461</v>
      </c>
      <c r="H150">
        <v>2.5428125858306885</v>
      </c>
    </row>
    <row r="151" spans="1:8" x14ac:dyDescent="0.25">
      <c r="A151">
        <v>488</v>
      </c>
      <c r="B151">
        <v>2.9913032054901123</v>
      </c>
      <c r="C151">
        <v>6.2560763359069824</v>
      </c>
      <c r="D151">
        <v>2</v>
      </c>
      <c r="E151">
        <v>2.2036831378936768</v>
      </c>
      <c r="F151">
        <v>2.0759806632995605</v>
      </c>
      <c r="G151">
        <v>5.8863730430603027</v>
      </c>
      <c r="H151">
        <v>2.5392720699310303</v>
      </c>
    </row>
    <row r="152" spans="1:8" x14ac:dyDescent="0.25">
      <c r="A152">
        <v>490</v>
      </c>
      <c r="B152">
        <v>2.685112476348877</v>
      </c>
      <c r="C152">
        <v>5.4692368507385254</v>
      </c>
      <c r="D152">
        <v>3.5843369960784912</v>
      </c>
      <c r="E152">
        <v>2.2962961196899414</v>
      </c>
      <c r="F152">
        <v>2.1513168811798096</v>
      </c>
      <c r="G152">
        <v>5.653080940246582</v>
      </c>
      <c r="H152">
        <v>2.4584836959838867</v>
      </c>
    </row>
    <row r="153" spans="1:8" x14ac:dyDescent="0.25">
      <c r="A153">
        <v>492</v>
      </c>
      <c r="B153">
        <v>2.7384159564971924</v>
      </c>
      <c r="C153">
        <v>5.831235408782959</v>
      </c>
      <c r="D153">
        <v>3.5395340919494629</v>
      </c>
      <c r="E153">
        <v>2.1827995777130127</v>
      </c>
      <c r="F153">
        <v>2.0956499576568604</v>
      </c>
      <c r="G153">
        <v>4.9674463272094727</v>
      </c>
      <c r="H153">
        <v>2.4811265468597412</v>
      </c>
    </row>
    <row r="154" spans="1:8" x14ac:dyDescent="0.25">
      <c r="A154">
        <v>494</v>
      </c>
      <c r="B154">
        <v>2.7303838729858398</v>
      </c>
      <c r="C154">
        <v>5.9237542152404785</v>
      </c>
      <c r="D154">
        <v>3.6393692493438721</v>
      </c>
      <c r="E154">
        <v>2.0775225162506104</v>
      </c>
      <c r="F154">
        <v>2.0811474323272705</v>
      </c>
      <c r="G154">
        <v>4.6663327217102051</v>
      </c>
      <c r="H154">
        <v>2.482210636138916</v>
      </c>
    </row>
    <row r="155" spans="1:8" x14ac:dyDescent="0.25">
      <c r="A155">
        <v>496</v>
      </c>
      <c r="B155">
        <v>2.5452709197998047</v>
      </c>
      <c r="C155">
        <v>5.6856064796447754</v>
      </c>
      <c r="D155">
        <v>4.050774097442627</v>
      </c>
      <c r="E155">
        <v>2.0334019660949707</v>
      </c>
      <c r="F155">
        <v>2.1478769779205322</v>
      </c>
      <c r="G155">
        <v>4.3223867416381836</v>
      </c>
      <c r="H155">
        <v>2.456676721572876</v>
      </c>
    </row>
    <row r="156" spans="1:8" x14ac:dyDescent="0.25">
      <c r="A156">
        <v>498</v>
      </c>
      <c r="B156">
        <v>2.6782972812652588</v>
      </c>
      <c r="C156">
        <v>5.438507080078125</v>
      </c>
      <c r="D156">
        <v>4.1741147041320801</v>
      </c>
      <c r="E156">
        <v>2.0659875869750977</v>
      </c>
      <c r="F156">
        <v>2.1462395191192627</v>
      </c>
      <c r="G156">
        <v>4.8347048759460449</v>
      </c>
      <c r="H156">
        <v>2.4582548141479492</v>
      </c>
    </row>
    <row r="157" spans="1:8" x14ac:dyDescent="0.25">
      <c r="A157">
        <v>500</v>
      </c>
      <c r="B157">
        <v>2.9744424819946289</v>
      </c>
      <c r="C157">
        <v>5.45947265625</v>
      </c>
      <c r="D157">
        <v>4.0500588417053223</v>
      </c>
      <c r="E157">
        <v>2.1784348487854004</v>
      </c>
      <c r="F157">
        <v>2.1471147537231445</v>
      </c>
      <c r="G157">
        <v>4.8709268569946289</v>
      </c>
      <c r="H157">
        <v>2.4673182964324951</v>
      </c>
    </row>
    <row r="158" spans="1:8" x14ac:dyDescent="0.25">
      <c r="A158">
        <v>502</v>
      </c>
      <c r="B158">
        <v>3.0586349964141846</v>
      </c>
      <c r="C158">
        <v>5.2493119239807129</v>
      </c>
      <c r="D158">
        <v>4.0268955230712891</v>
      </c>
      <c r="E158">
        <v>2.1912813186645508</v>
      </c>
      <c r="F158">
        <v>2.1629114151000977</v>
      </c>
      <c r="G158">
        <v>5.2623801231384277</v>
      </c>
      <c r="H158">
        <v>2.432142972946167</v>
      </c>
    </row>
    <row r="159" spans="1:8" x14ac:dyDescent="0.25">
      <c r="A159">
        <v>504</v>
      </c>
      <c r="B159">
        <v>2.899388313293457</v>
      </c>
      <c r="C159">
        <v>5.393855094909668</v>
      </c>
      <c r="D159">
        <v>3.819265604019165</v>
      </c>
      <c r="E159">
        <v>2.1495215892791748</v>
      </c>
      <c r="F159">
        <v>2.1494958400726318</v>
      </c>
      <c r="G159">
        <v>6.0242199897766113</v>
      </c>
      <c r="H159">
        <v>2.4256341457366943</v>
      </c>
    </row>
    <row r="160" spans="1:8" x14ac:dyDescent="0.25">
      <c r="A160">
        <v>506</v>
      </c>
      <c r="B160">
        <v>2.8502669334411621</v>
      </c>
      <c r="C160">
        <v>5.6748003959655762</v>
      </c>
      <c r="D160">
        <v>4.2067294120788574</v>
      </c>
      <c r="E160">
        <v>2.1954345703125</v>
      </c>
      <c r="F160">
        <v>2.111060619354248</v>
      </c>
      <c r="G160">
        <v>5.4213476181030273</v>
      </c>
      <c r="H160">
        <v>2.4478957653045654</v>
      </c>
    </row>
    <row r="161" spans="1:8" x14ac:dyDescent="0.25">
      <c r="A161">
        <v>508</v>
      </c>
      <c r="B161">
        <v>2.7210021018981934</v>
      </c>
      <c r="C161">
        <v>5.0913300514221191</v>
      </c>
      <c r="D161">
        <v>4.5688228607177734</v>
      </c>
      <c r="E161">
        <v>2.1747040748596191</v>
      </c>
      <c r="F161">
        <v>2.1248526573181152</v>
      </c>
      <c r="G161">
        <v>5.7248258590698242</v>
      </c>
      <c r="H161">
        <v>2.4453856945037842</v>
      </c>
    </row>
    <row r="162" spans="1:8" x14ac:dyDescent="0.25">
      <c r="A162">
        <v>510</v>
      </c>
      <c r="B162">
        <v>2.4814350605010986</v>
      </c>
      <c r="C162">
        <v>5.2551050186157227</v>
      </c>
      <c r="D162">
        <v>4.2760329246520996</v>
      </c>
      <c r="E162">
        <v>2.1630308628082275</v>
      </c>
      <c r="F162">
        <v>2.1657347679138184</v>
      </c>
      <c r="G162">
        <v>5.8267736434936523</v>
      </c>
      <c r="H162">
        <v>2.4515671730041504</v>
      </c>
    </row>
    <row r="163" spans="1:8" x14ac:dyDescent="0.25">
      <c r="A163">
        <v>512</v>
      </c>
      <c r="B163">
        <v>2.3927950859069824</v>
      </c>
      <c r="C163">
        <v>5.325747013092041</v>
      </c>
      <c r="D163">
        <v>4.313840389251709</v>
      </c>
      <c r="E163">
        <v>2.1529316902160645</v>
      </c>
      <c r="F163">
        <v>2.1014237403869629</v>
      </c>
      <c r="G163">
        <v>4.6066794395446777</v>
      </c>
      <c r="H163">
        <v>2.4269330501556396</v>
      </c>
    </row>
    <row r="164" spans="1:8" x14ac:dyDescent="0.25">
      <c r="A164">
        <v>514</v>
      </c>
      <c r="B164">
        <v>2.5275917053222656</v>
      </c>
      <c r="C164">
        <v>5.0040006637573242</v>
      </c>
      <c r="D164">
        <v>4.399528980255127</v>
      </c>
      <c r="E164">
        <v>2.0403168201446533</v>
      </c>
      <c r="F164">
        <v>2.0625417232513428</v>
      </c>
      <c r="G164">
        <v>4.8929071426391602</v>
      </c>
      <c r="H164">
        <v>2.4114413261413574</v>
      </c>
    </row>
    <row r="165" spans="1:8" x14ac:dyDescent="0.25">
      <c r="A165">
        <v>516</v>
      </c>
      <c r="B165">
        <v>2.7723362445831299</v>
      </c>
      <c r="C165">
        <v>5.7198033332824707</v>
      </c>
      <c r="D165">
        <v>4.1941995620727539</v>
      </c>
      <c r="E165">
        <v>2.1134819984436035</v>
      </c>
      <c r="F165">
        <v>2.1322970390319824</v>
      </c>
      <c r="G165">
        <v>4.6549396514892578</v>
      </c>
      <c r="H165">
        <v>2.4572491645812988</v>
      </c>
    </row>
    <row r="166" spans="1:8" x14ac:dyDescent="0.25">
      <c r="A166">
        <v>518</v>
      </c>
      <c r="B166">
        <v>2.8139567375183105</v>
      </c>
      <c r="C166">
        <v>5.314490795135498</v>
      </c>
      <c r="D166">
        <v>4.0711078643798828</v>
      </c>
      <c r="E166">
        <v>2.1849782466888428</v>
      </c>
      <c r="F166">
        <v>2.191544771194458</v>
      </c>
      <c r="G166">
        <v>4.4390597343444824</v>
      </c>
      <c r="H166">
        <v>2.4370522499084473</v>
      </c>
    </row>
    <row r="167" spans="1:8" x14ac:dyDescent="0.25">
      <c r="A167">
        <v>520</v>
      </c>
      <c r="B167">
        <v>2.8648927211761475</v>
      </c>
      <c r="C167">
        <v>5.0630793571472168</v>
      </c>
      <c r="D167">
        <v>3.5986702442169189</v>
      </c>
      <c r="E167">
        <v>2.1669437885284424</v>
      </c>
      <c r="F167">
        <v>2.1460230350494385</v>
      </c>
      <c r="G167">
        <v>4.5547113418579102</v>
      </c>
      <c r="H167">
        <v>2.4338836669921875</v>
      </c>
    </row>
    <row r="168" spans="1:8" x14ac:dyDescent="0.25">
      <c r="A168">
        <v>522</v>
      </c>
      <c r="B168">
        <v>3.0176782608032227</v>
      </c>
      <c r="C168">
        <v>5.2247152328491211</v>
      </c>
      <c r="D168">
        <v>3.8097202777862549</v>
      </c>
      <c r="E168">
        <v>2.126838207244873</v>
      </c>
      <c r="F168">
        <v>2.135106086730957</v>
      </c>
      <c r="G168">
        <v>4.838681697845459</v>
      </c>
      <c r="H168">
        <v>2.46848464012146</v>
      </c>
    </row>
    <row r="169" spans="1:8" x14ac:dyDescent="0.25">
      <c r="A169">
        <v>524</v>
      </c>
      <c r="B169">
        <v>2.9784696102142334</v>
      </c>
      <c r="C169">
        <v>4.8030118942260742</v>
      </c>
      <c r="D169">
        <v>4.1644139289855957</v>
      </c>
      <c r="E169">
        <v>2.177910327911377</v>
      </c>
      <c r="F169">
        <v>2.2786400318145752</v>
      </c>
      <c r="G169">
        <v>5.5311951637268066</v>
      </c>
      <c r="H169">
        <v>2.4379448890686035</v>
      </c>
    </row>
    <row r="170" spans="1:8" x14ac:dyDescent="0.25">
      <c r="A170">
        <v>526</v>
      </c>
      <c r="B170">
        <v>3.2686185836791992</v>
      </c>
      <c r="C170">
        <v>5.8207802772521973</v>
      </c>
      <c r="D170">
        <v>4.0893898010253906</v>
      </c>
      <c r="E170">
        <v>2.2486779689788818</v>
      </c>
      <c r="F170">
        <v>2.2414565086364746</v>
      </c>
      <c r="G170">
        <v>5.0664920806884766</v>
      </c>
      <c r="H170">
        <v>2.4679498672485352</v>
      </c>
    </row>
    <row r="171" spans="1:8" x14ac:dyDescent="0.25">
      <c r="A171">
        <v>528</v>
      </c>
      <c r="B171">
        <v>3.0252900123596191</v>
      </c>
      <c r="C171">
        <v>5.5954251289367676</v>
      </c>
      <c r="D171">
        <v>4.3074045181274414</v>
      </c>
      <c r="E171">
        <v>2.1288712024688721</v>
      </c>
      <c r="F171">
        <v>2.1034471988677979</v>
      </c>
      <c r="G171">
        <v>5.294947624206543</v>
      </c>
      <c r="H171">
        <v>2.4507172107696533</v>
      </c>
    </row>
    <row r="172" spans="1:8" x14ac:dyDescent="0.25">
      <c r="A172">
        <v>530</v>
      </c>
      <c r="B172">
        <v>2.6105892658233643</v>
      </c>
      <c r="C172">
        <v>5.3091697692871094</v>
      </c>
      <c r="D172">
        <v>3.710817813873291</v>
      </c>
      <c r="E172">
        <v>2.1832294464111328</v>
      </c>
      <c r="F172">
        <v>2.1065340042114258</v>
      </c>
      <c r="G172">
        <v>5.7705063819885254</v>
      </c>
      <c r="H172">
        <v>2.4302983283996582</v>
      </c>
    </row>
    <row r="173" spans="1:8" x14ac:dyDescent="0.25">
      <c r="A173">
        <v>532</v>
      </c>
      <c r="B173">
        <v>2.5970256328582764</v>
      </c>
      <c r="C173">
        <v>5.6417007446289063</v>
      </c>
      <c r="D173">
        <v>4.1112780570983887</v>
      </c>
      <c r="E173">
        <v>2.2029762268066406</v>
      </c>
      <c r="F173">
        <v>2.1909658908843994</v>
      </c>
      <c r="G173">
        <v>4.8178300857543945</v>
      </c>
      <c r="H173">
        <v>2.4358983039855957</v>
      </c>
    </row>
    <row r="174" spans="1:8" x14ac:dyDescent="0.25">
      <c r="A174">
        <v>534</v>
      </c>
      <c r="B174">
        <v>2.6354377269744873</v>
      </c>
      <c r="C174">
        <v>5.2766079902648926</v>
      </c>
      <c r="D174">
        <v>4.5428304672241211</v>
      </c>
      <c r="E174">
        <v>2.0447471141815186</v>
      </c>
      <c r="F174">
        <v>2.1458394527435303</v>
      </c>
      <c r="G174">
        <v>4.4758725166320801</v>
      </c>
      <c r="H174">
        <v>2.4501626491546631</v>
      </c>
    </row>
    <row r="175" spans="1:8" x14ac:dyDescent="0.25">
      <c r="A175">
        <v>536</v>
      </c>
      <c r="B175">
        <v>2.6536922454833984</v>
      </c>
      <c r="C175">
        <v>5.4709482192993164</v>
      </c>
      <c r="D175">
        <v>4.6034588813781738</v>
      </c>
      <c r="E175">
        <v>2.0384078025817871</v>
      </c>
      <c r="F175">
        <v>2.0720655918121338</v>
      </c>
      <c r="G175">
        <v>5.2775888442993164</v>
      </c>
      <c r="H175">
        <v>2.4458205699920654</v>
      </c>
    </row>
    <row r="176" spans="1:8" x14ac:dyDescent="0.25">
      <c r="A176">
        <v>538</v>
      </c>
      <c r="B176">
        <v>2.4966361522674561</v>
      </c>
      <c r="C176">
        <v>5.2483468055725098</v>
      </c>
      <c r="D176">
        <v>4.3780136108398438</v>
      </c>
      <c r="E176">
        <v>2.0164749622344971</v>
      </c>
      <c r="F176">
        <v>2.1241939067840576</v>
      </c>
      <c r="G176">
        <v>5.7022008895874023</v>
      </c>
      <c r="H176">
        <v>2.4321696758270264</v>
      </c>
    </row>
    <row r="177" spans="1:8" x14ac:dyDescent="0.25">
      <c r="A177">
        <v>540</v>
      </c>
      <c r="B177">
        <v>2.7163333892822266</v>
      </c>
      <c r="C177">
        <v>5.5722980499267578</v>
      </c>
      <c r="D177">
        <v>3.729628324508667</v>
      </c>
      <c r="E177">
        <v>2.0048530101776123</v>
      </c>
      <c r="F177">
        <v>2.1938080787658691</v>
      </c>
      <c r="G177">
        <v>5.5538206100463867</v>
      </c>
      <c r="H177">
        <v>2.4442265033721924</v>
      </c>
    </row>
    <row r="178" spans="1:8" x14ac:dyDescent="0.25">
      <c r="A178">
        <v>542</v>
      </c>
      <c r="B178">
        <v>2.7350525856018066</v>
      </c>
      <c r="C178">
        <v>5.3251986503601074</v>
      </c>
      <c r="D178">
        <v>3.6957383155822754</v>
      </c>
      <c r="E178">
        <v>2.1446468830108643</v>
      </c>
      <c r="F178">
        <v>2.257516622543335</v>
      </c>
      <c r="G178">
        <v>5.0790138244628906</v>
      </c>
      <c r="H178">
        <v>2.4334185123443604</v>
      </c>
    </row>
    <row r="179" spans="1:8" x14ac:dyDescent="0.25">
      <c r="A179">
        <v>544</v>
      </c>
      <c r="B179">
        <v>2.6939408779144287</v>
      </c>
      <c r="C179">
        <v>5.3418855667114258</v>
      </c>
      <c r="D179">
        <v>4.1212277412414551</v>
      </c>
      <c r="E179">
        <v>2.1498932838439941</v>
      </c>
      <c r="F179">
        <v>2.1786420345306396</v>
      </c>
      <c r="G179">
        <v>5.2960758209228516</v>
      </c>
      <c r="H179">
        <v>2.446019172668457</v>
      </c>
    </row>
    <row r="180" spans="1:8" x14ac:dyDescent="0.25">
      <c r="A180">
        <v>546</v>
      </c>
      <c r="B180">
        <v>3.2206475734710693</v>
      </c>
      <c r="C180">
        <v>5.5434446334838867</v>
      </c>
      <c r="D180">
        <v>4.3398642539978027</v>
      </c>
      <c r="E180">
        <v>2.0861790180206299</v>
      </c>
      <c r="F180">
        <v>2.1249420642852783</v>
      </c>
      <c r="G180">
        <v>5.1606473922729492</v>
      </c>
      <c r="H180">
        <v>2.4606823921203613</v>
      </c>
    </row>
    <row r="181" spans="1:8" x14ac:dyDescent="0.25">
      <c r="A181">
        <v>548</v>
      </c>
      <c r="B181">
        <v>3.0713579654693604</v>
      </c>
      <c r="C181">
        <v>5.5536913871765137</v>
      </c>
      <c r="D181">
        <v>4.3464865684509277</v>
      </c>
      <c r="E181">
        <v>2.0309245586395264</v>
      </c>
      <c r="F181">
        <v>2.1378917694091797</v>
      </c>
      <c r="G181">
        <v>4.8183674812316895</v>
      </c>
      <c r="H181">
        <v>2.4660749435424805</v>
      </c>
    </row>
    <row r="182" spans="1:8" x14ac:dyDescent="0.25">
      <c r="A182">
        <v>550</v>
      </c>
      <c r="B182">
        <v>2.5570645332336426</v>
      </c>
      <c r="C182">
        <v>5.7548336982727051</v>
      </c>
      <c r="D182">
        <v>4.2791109085083008</v>
      </c>
      <c r="E182">
        <v>2.0502047538757324</v>
      </c>
      <c r="F182">
        <v>2.1238126754760742</v>
      </c>
      <c r="G182">
        <v>5.1246404647827148</v>
      </c>
      <c r="H182">
        <v>2.4710342884063721</v>
      </c>
    </row>
    <row r="183" spans="1:8" x14ac:dyDescent="0.25">
      <c r="A183">
        <v>552</v>
      </c>
      <c r="B183">
        <v>2.5024998188018799</v>
      </c>
      <c r="C183">
        <v>5.4940090179443359</v>
      </c>
      <c r="D183">
        <v>3.8340339660644531</v>
      </c>
      <c r="E183">
        <v>2.0371108055114746</v>
      </c>
      <c r="F183">
        <v>2.0945017337799072</v>
      </c>
      <c r="G183">
        <v>5.6782855987548828</v>
      </c>
      <c r="H183">
        <v>2.4669139385223389</v>
      </c>
    </row>
    <row r="184" spans="1:8" x14ac:dyDescent="0.25">
      <c r="A184">
        <v>554</v>
      </c>
      <c r="B184">
        <v>2.5322604179382324</v>
      </c>
      <c r="C184">
        <v>5.5527915954589844</v>
      </c>
      <c r="D184">
        <v>4.3637733459472656</v>
      </c>
      <c r="E184">
        <v>2</v>
      </c>
      <c r="F184">
        <v>2</v>
      </c>
      <c r="G184">
        <v>6.7680568695068359</v>
      </c>
      <c r="H184">
        <v>2.4818313121795654</v>
      </c>
    </row>
    <row r="185" spans="1:8" x14ac:dyDescent="0.25">
      <c r="A185">
        <v>556</v>
      </c>
      <c r="B185">
        <v>2.782581090927124</v>
      </c>
      <c r="C185">
        <v>5.7147016525268555</v>
      </c>
      <c r="D185">
        <v>4.5659623146057129</v>
      </c>
      <c r="E185">
        <v>2.0844883918762207</v>
      </c>
      <c r="F185">
        <v>2.025151252746582</v>
      </c>
      <c r="G185">
        <v>5.9167909622192383</v>
      </c>
      <c r="H185">
        <v>2.4483537673950195</v>
      </c>
    </row>
    <row r="186" spans="1:8" x14ac:dyDescent="0.25">
      <c r="A186">
        <v>558</v>
      </c>
      <c r="B186">
        <v>2.6086642742156982</v>
      </c>
      <c r="C186">
        <v>5.497169017791748</v>
      </c>
      <c r="D186">
        <v>3.3307535648345947</v>
      </c>
      <c r="E186">
        <v>2.1783473491668701</v>
      </c>
      <c r="F186">
        <v>2.1342685222625732</v>
      </c>
      <c r="G186">
        <v>4.8603935241699219</v>
      </c>
      <c r="H186">
        <v>2.4371719360351563</v>
      </c>
    </row>
    <row r="187" spans="1:8" x14ac:dyDescent="0.25">
      <c r="A187">
        <v>560</v>
      </c>
      <c r="B187">
        <v>2</v>
      </c>
      <c r="C187">
        <v>5.4513869285583496</v>
      </c>
      <c r="D187">
        <v>3.5907108783721924</v>
      </c>
      <c r="E187">
        <v>2.141265869140625</v>
      </c>
      <c r="F187">
        <v>2.1369836330413818</v>
      </c>
      <c r="G187">
        <v>5.3887262344360352</v>
      </c>
      <c r="H187">
        <v>2.4388108253479004</v>
      </c>
    </row>
    <row r="188" spans="1:8" x14ac:dyDescent="0.25">
      <c r="A188">
        <v>562</v>
      </c>
      <c r="B188">
        <v>2.4204535484313965</v>
      </c>
      <c r="C188">
        <v>5.1109790802001953</v>
      </c>
      <c r="D188">
        <v>3.9584939479827881</v>
      </c>
      <c r="E188">
        <v>2.1267509460449219</v>
      </c>
      <c r="F188">
        <v>2.0552761554718018</v>
      </c>
      <c r="G188">
        <v>4.1816916465759277</v>
      </c>
      <c r="H188">
        <v>2.4511091709136963</v>
      </c>
    </row>
    <row r="189" spans="1:8" x14ac:dyDescent="0.25">
      <c r="A189">
        <v>564</v>
      </c>
      <c r="B189">
        <v>2.8330080509185791</v>
      </c>
      <c r="C189">
        <v>5.0815987586975098</v>
      </c>
      <c r="D189">
        <v>3.9208109378814697</v>
      </c>
      <c r="E189">
        <v>2.0965039730072021</v>
      </c>
      <c r="F189">
        <v>2.008441686630249</v>
      </c>
      <c r="G189">
        <v>4.2144737243652344</v>
      </c>
      <c r="H189">
        <v>2.4691448211669922</v>
      </c>
    </row>
    <row r="190" spans="1:8" x14ac:dyDescent="0.25">
      <c r="A190">
        <v>566</v>
      </c>
      <c r="B190">
        <v>2.6617686748504639</v>
      </c>
      <c r="C190">
        <v>5.4182543754577637</v>
      </c>
      <c r="D190">
        <v>4.6990036964416504</v>
      </c>
      <c r="E190">
        <v>2.1322376728057861</v>
      </c>
      <c r="F190">
        <v>2.1505687236785889</v>
      </c>
      <c r="G190">
        <v>5.1224370002746582</v>
      </c>
      <c r="H190">
        <v>2.4369287490844727</v>
      </c>
    </row>
    <row r="191" spans="1:8" x14ac:dyDescent="0.25">
      <c r="A191">
        <v>568</v>
      </c>
      <c r="B191">
        <v>2.8772172927856445</v>
      </c>
      <c r="C191">
        <v>5.8054428100585938</v>
      </c>
      <c r="D191">
        <v>4.3589234352111816</v>
      </c>
      <c r="E191">
        <v>2.2320425510406494</v>
      </c>
      <c r="F191">
        <v>2.2026214599609375</v>
      </c>
      <c r="G191">
        <v>4.8903274536132813</v>
      </c>
      <c r="H191">
        <v>2.4443731307983398</v>
      </c>
    </row>
    <row r="192" spans="1:8" x14ac:dyDescent="0.25">
      <c r="A192">
        <v>570</v>
      </c>
      <c r="B192">
        <v>2.8069427013397217</v>
      </c>
      <c r="C192">
        <v>5.1243743896484375</v>
      </c>
      <c r="D192">
        <v>4.4581365585327148</v>
      </c>
      <c r="E192">
        <v>2.2068455219268799</v>
      </c>
      <c r="F192">
        <v>2.1448843479156494</v>
      </c>
      <c r="G192">
        <v>4.8021373748779297</v>
      </c>
      <c r="H192">
        <v>2.4413084983825684</v>
      </c>
    </row>
    <row r="193" spans="1:8" x14ac:dyDescent="0.25">
      <c r="A193">
        <v>572</v>
      </c>
      <c r="B193">
        <v>2.5697875022888184</v>
      </c>
      <c r="C193">
        <v>5.9689435958862305</v>
      </c>
      <c r="D193">
        <v>5.0667557716369629</v>
      </c>
      <c r="E193">
        <v>2.1481297016143799</v>
      </c>
      <c r="F193">
        <v>2.0974476337432861</v>
      </c>
      <c r="G193">
        <v>5.0728335380554199</v>
      </c>
      <c r="H193">
        <v>2.4202489852905273</v>
      </c>
    </row>
    <row r="194" spans="1:8" x14ac:dyDescent="0.25">
      <c r="A194">
        <v>574</v>
      </c>
      <c r="B194">
        <v>2.8263921737670898</v>
      </c>
      <c r="C194">
        <v>5.1959161758422852</v>
      </c>
      <c r="D194">
        <v>4.3364439010620117</v>
      </c>
      <c r="E194">
        <v>2.12857985496521</v>
      </c>
      <c r="F194">
        <v>2.0788087844848633</v>
      </c>
      <c r="G194">
        <v>5.1715030670166016</v>
      </c>
      <c r="H194">
        <v>2.4416053295135498</v>
      </c>
    </row>
    <row r="195" spans="1:8" x14ac:dyDescent="0.25">
      <c r="A195">
        <v>576</v>
      </c>
      <c r="B195">
        <v>2.9841783046722412</v>
      </c>
      <c r="C195">
        <v>5.1560478210449219</v>
      </c>
      <c r="D195">
        <v>4.571683406829834</v>
      </c>
      <c r="E195">
        <v>2.1649401187896729</v>
      </c>
      <c r="F195">
        <v>2.1140627861022949</v>
      </c>
      <c r="G195">
        <v>5.1027674674987793</v>
      </c>
      <c r="H195">
        <v>2.4296166896820068</v>
      </c>
    </row>
    <row r="196" spans="1:8" x14ac:dyDescent="0.25">
      <c r="A196">
        <v>578</v>
      </c>
      <c r="B196">
        <v>2.9662778377532959</v>
      </c>
      <c r="C196">
        <v>4.2836012840270996</v>
      </c>
      <c r="D196">
        <v>4.1963138580322266</v>
      </c>
      <c r="E196">
        <v>2.205803394317627</v>
      </c>
      <c r="F196">
        <v>2.0939984321594238</v>
      </c>
      <c r="G196">
        <v>5.1536073684692383</v>
      </c>
      <c r="H196">
        <v>2.4517083168029785</v>
      </c>
    </row>
    <row r="197" spans="1:8" x14ac:dyDescent="0.25">
      <c r="A197">
        <v>580</v>
      </c>
      <c r="B197">
        <v>2.8330302238464355</v>
      </c>
      <c r="C197">
        <v>4.1654658317565918</v>
      </c>
      <c r="D197">
        <v>4.1482462882995605</v>
      </c>
      <c r="E197">
        <v>2.1655011177062988</v>
      </c>
      <c r="F197">
        <v>2.0567114353179932</v>
      </c>
      <c r="G197">
        <v>4.9859871864318848</v>
      </c>
      <c r="H197">
        <v>2.4635987281799316</v>
      </c>
    </row>
    <row r="198" spans="1:8" x14ac:dyDescent="0.25">
      <c r="A198">
        <v>582</v>
      </c>
      <c r="B198">
        <v>2.816058874130249</v>
      </c>
      <c r="C198">
        <v>4.3542547225952148</v>
      </c>
      <c r="D198">
        <v>3.8812932968139648</v>
      </c>
      <c r="E198">
        <v>2.2392563819885254</v>
      </c>
      <c r="F198">
        <v>2.0968639850616455</v>
      </c>
      <c r="G198">
        <v>5.0403738021850586</v>
      </c>
      <c r="H198">
        <v>2.5045385360717773</v>
      </c>
    </row>
    <row r="199" spans="1:8" x14ac:dyDescent="0.25">
      <c r="A199">
        <v>584</v>
      </c>
      <c r="B199">
        <v>2.7407612800598145</v>
      </c>
      <c r="C199">
        <v>4.6165928840637207</v>
      </c>
      <c r="D199">
        <v>3.8480563163757324</v>
      </c>
      <c r="E199">
        <v>2.1586370468139648</v>
      </c>
      <c r="F199">
        <v>2.1023037433624268</v>
      </c>
      <c r="G199">
        <v>5.324988842010498</v>
      </c>
      <c r="H199">
        <v>2.4911096096038818</v>
      </c>
    </row>
    <row r="200" spans="1:8" x14ac:dyDescent="0.25">
      <c r="A200">
        <v>586</v>
      </c>
      <c r="B200">
        <v>2.7055354118347168</v>
      </c>
      <c r="C200">
        <v>6.6754097938537598</v>
      </c>
      <c r="D200">
        <v>4.1077027320861816</v>
      </c>
      <c r="E200">
        <v>2.1152234077453613</v>
      </c>
      <c r="F200">
        <v>2.0777876377105713</v>
      </c>
      <c r="G200">
        <v>5.3678207397460938</v>
      </c>
      <c r="H200">
        <v>2.4590544700622559</v>
      </c>
    </row>
    <row r="201" spans="1:8" x14ac:dyDescent="0.25">
      <c r="A201">
        <v>588</v>
      </c>
      <c r="B201">
        <v>3.0150895118713379</v>
      </c>
      <c r="C201">
        <v>5.5228300094604492</v>
      </c>
      <c r="D201">
        <v>4.4867720603942871</v>
      </c>
      <c r="E201">
        <v>2.2188901901245117</v>
      </c>
      <c r="F201">
        <v>2.0959510803222656</v>
      </c>
      <c r="G201">
        <v>5.3915748596191406</v>
      </c>
      <c r="H201">
        <v>2.4731507301330566</v>
      </c>
    </row>
    <row r="202" spans="1:8" x14ac:dyDescent="0.25">
      <c r="A202">
        <v>590</v>
      </c>
      <c r="B202">
        <v>2.8869974613189697</v>
      </c>
      <c r="C202">
        <v>5.2628612518310547</v>
      </c>
      <c r="D202">
        <v>4.1545577049255371</v>
      </c>
      <c r="E202">
        <v>2.1879804134368896</v>
      </c>
      <c r="F202">
        <v>2.0787994861602783</v>
      </c>
      <c r="G202">
        <v>5.4438114166259766</v>
      </c>
      <c r="H202">
        <v>2.4859015941619873</v>
      </c>
    </row>
    <row r="203" spans="1:8" x14ac:dyDescent="0.25">
      <c r="A203">
        <v>592</v>
      </c>
      <c r="B203">
        <v>2.9580466747283936</v>
      </c>
      <c r="C203">
        <v>4.6084413528442383</v>
      </c>
      <c r="D203">
        <v>3.5786161422729492</v>
      </c>
      <c r="E203">
        <v>2.1492519378662109</v>
      </c>
      <c r="F203">
        <v>2.0981016159057617</v>
      </c>
      <c r="G203">
        <v>5.132594108581543</v>
      </c>
      <c r="H203">
        <v>2.4770455360412598</v>
      </c>
    </row>
    <row r="204" spans="1:8" x14ac:dyDescent="0.25">
      <c r="A204">
        <v>594</v>
      </c>
      <c r="B204">
        <v>3.0649411678314209</v>
      </c>
      <c r="C204">
        <v>5.6181459426879883</v>
      </c>
      <c r="D204">
        <v>4.3300390243530273</v>
      </c>
      <c r="E204">
        <v>2.145054817199707</v>
      </c>
      <c r="F204">
        <v>2.120438814163208</v>
      </c>
      <c r="G204">
        <v>5.2372288703918457</v>
      </c>
      <c r="H204">
        <v>2.4345600605010986</v>
      </c>
    </row>
    <row r="205" spans="1:8" x14ac:dyDescent="0.25">
      <c r="A205">
        <v>596</v>
      </c>
      <c r="B205">
        <v>3.0097126960754395</v>
      </c>
      <c r="C205">
        <v>4.234868049621582</v>
      </c>
      <c r="D205">
        <v>3.8704423904418945</v>
      </c>
      <c r="E205">
        <v>2.1402676105499268</v>
      </c>
      <c r="F205">
        <v>2.1361930370330811</v>
      </c>
      <c r="G205">
        <v>5.3393378257751465</v>
      </c>
      <c r="H205">
        <v>2.4676582813262939</v>
      </c>
    </row>
    <row r="206" spans="1:8" x14ac:dyDescent="0.25">
      <c r="A206">
        <v>598</v>
      </c>
      <c r="B206">
        <v>2.7357163429260254</v>
      </c>
      <c r="C206">
        <v>5.4301910400390625</v>
      </c>
      <c r="D206">
        <v>4.3047614097595215</v>
      </c>
      <c r="E206">
        <v>2.1265103816986084</v>
      </c>
      <c r="F206">
        <v>2.1420092582702637</v>
      </c>
      <c r="G206">
        <v>5.550112247467041</v>
      </c>
      <c r="H206">
        <v>2.4601778984069824</v>
      </c>
    </row>
    <row r="207" spans="1:8" x14ac:dyDescent="0.25">
      <c r="A207">
        <v>600</v>
      </c>
      <c r="B207">
        <v>2.8205506801605225</v>
      </c>
      <c r="C207">
        <v>4.7469720840454102</v>
      </c>
      <c r="D207">
        <v>3.74259352684021</v>
      </c>
      <c r="E207">
        <v>2.2009942531585693</v>
      </c>
      <c r="F207">
        <v>2.0692846775054932</v>
      </c>
      <c r="G207">
        <v>5.2718386650085449</v>
      </c>
      <c r="H207">
        <v>2.4731185436248779</v>
      </c>
    </row>
    <row r="208" spans="1:8" x14ac:dyDescent="0.25">
      <c r="A208">
        <v>602</v>
      </c>
      <c r="B208">
        <v>2.7510061264038086</v>
      </c>
      <c r="C208">
        <v>5.097813606262207</v>
      </c>
      <c r="D208">
        <v>4.5137906074523926</v>
      </c>
      <c r="E208">
        <v>2.1913249492645264</v>
      </c>
      <c r="F208">
        <v>2.0526034832000732</v>
      </c>
      <c r="G208">
        <v>5.372227668762207</v>
      </c>
      <c r="H208">
        <v>2.4437916278839111</v>
      </c>
    </row>
    <row r="209" spans="1:8" x14ac:dyDescent="0.25">
      <c r="A209">
        <v>604</v>
      </c>
      <c r="B209">
        <v>2.5443637371063232</v>
      </c>
      <c r="C209">
        <v>5.8999028205871582</v>
      </c>
      <c r="D209">
        <v>3.8108396530151367</v>
      </c>
      <c r="E209">
        <v>2.2362761497497559</v>
      </c>
      <c r="F209">
        <v>2.0683953762054443</v>
      </c>
      <c r="G209">
        <v>5.6326594352722168</v>
      </c>
      <c r="H209">
        <v>2.4493021965026855</v>
      </c>
    </row>
    <row r="210" spans="1:8" x14ac:dyDescent="0.25">
      <c r="A210">
        <v>606</v>
      </c>
      <c r="B210">
        <v>2.4079298973083496</v>
      </c>
      <c r="C210">
        <v>5.3366413116455078</v>
      </c>
      <c r="D210">
        <v>3.9257855415344238</v>
      </c>
      <c r="E210">
        <v>2.1832659244537354</v>
      </c>
      <c r="F210">
        <v>2.0835049152374268</v>
      </c>
      <c r="G210">
        <v>5.4309134483337402</v>
      </c>
      <c r="H210">
        <v>2.4087505340576172</v>
      </c>
    </row>
    <row r="211" spans="1:8" x14ac:dyDescent="0.25">
      <c r="A211">
        <v>608</v>
      </c>
      <c r="B211">
        <v>2.6063852310180664</v>
      </c>
      <c r="C211">
        <v>6.133486270904541</v>
      </c>
      <c r="D211">
        <v>4.2700943946838379</v>
      </c>
      <c r="E211">
        <v>2.1759500503540039</v>
      </c>
      <c r="F211">
        <v>2.0850200653076172</v>
      </c>
      <c r="G211">
        <v>5.4216160774230957</v>
      </c>
      <c r="H211">
        <v>2.4048001766204834</v>
      </c>
    </row>
    <row r="212" spans="1:8" x14ac:dyDescent="0.25">
      <c r="A212">
        <v>610</v>
      </c>
      <c r="B212">
        <v>2.8364377021789551</v>
      </c>
      <c r="C212">
        <v>4.5331149101257324</v>
      </c>
      <c r="D212">
        <v>4.2773075103759766</v>
      </c>
      <c r="E212">
        <v>2.1800744533538818</v>
      </c>
      <c r="F212">
        <v>2.1317510604858398</v>
      </c>
      <c r="G212">
        <v>5.5625267028808594</v>
      </c>
      <c r="H212">
        <v>2.4405891895294189</v>
      </c>
    </row>
    <row r="213" spans="1:8" x14ac:dyDescent="0.25">
      <c r="A213">
        <v>612</v>
      </c>
      <c r="B213">
        <v>2.6194841861724854</v>
      </c>
      <c r="C213">
        <v>5.7686023712158203</v>
      </c>
      <c r="D213">
        <v>4.9233608245849609</v>
      </c>
      <c r="E213">
        <v>2.2234225273132324</v>
      </c>
      <c r="F213">
        <v>2.1532695293426514</v>
      </c>
      <c r="G213">
        <v>4.9028491973876953</v>
      </c>
      <c r="H213">
        <v>2.43532395362854</v>
      </c>
    </row>
    <row r="214" spans="1:8" x14ac:dyDescent="0.25">
      <c r="A214">
        <v>614</v>
      </c>
      <c r="B214">
        <v>2.7052478790283203</v>
      </c>
      <c r="C214">
        <v>4.8825297355651855</v>
      </c>
      <c r="D214">
        <v>4.0204286575317383</v>
      </c>
      <c r="E214">
        <v>2.2864007949829102</v>
      </c>
      <c r="F214">
        <v>2.081599235534668</v>
      </c>
      <c r="G214">
        <v>4.8048782348632813</v>
      </c>
      <c r="H214">
        <v>2.4787290096282959</v>
      </c>
    </row>
    <row r="215" spans="1:8" x14ac:dyDescent="0.25">
      <c r="A215">
        <v>616</v>
      </c>
      <c r="B215">
        <v>2.8613746166229248</v>
      </c>
      <c r="C215">
        <v>5.5043988227844238</v>
      </c>
      <c r="D215">
        <v>3.8690433502197266</v>
      </c>
      <c r="E215">
        <v>2.1847670078277588</v>
      </c>
      <c r="F215">
        <v>2.0797121524810791</v>
      </c>
      <c r="G215">
        <v>4.7215251922607422</v>
      </c>
      <c r="H215">
        <v>2.4515528678894043</v>
      </c>
    </row>
    <row r="216" spans="1:8" x14ac:dyDescent="0.25">
      <c r="A216">
        <v>618</v>
      </c>
      <c r="B216">
        <v>2.8564624786376953</v>
      </c>
      <c r="C216">
        <v>5.1081266403198242</v>
      </c>
      <c r="D216">
        <v>3.1203563213348389</v>
      </c>
      <c r="E216">
        <v>2.2229561805725098</v>
      </c>
      <c r="F216">
        <v>2.1310687065124512</v>
      </c>
      <c r="G216">
        <v>4.4395432472229004</v>
      </c>
      <c r="H216">
        <v>2.4751420021057129</v>
      </c>
    </row>
    <row r="217" spans="1:8" x14ac:dyDescent="0.25">
      <c r="A217">
        <v>620</v>
      </c>
      <c r="B217">
        <v>2.752223014831543</v>
      </c>
      <c r="C217">
        <v>5.0267763137817383</v>
      </c>
      <c r="D217">
        <v>4.0350103378295898</v>
      </c>
      <c r="E217">
        <v>2.2204058170318604</v>
      </c>
      <c r="F217">
        <v>2.0854482650756836</v>
      </c>
      <c r="G217">
        <v>5.3460021018981934</v>
      </c>
      <c r="H217">
        <v>2.4292285442352295</v>
      </c>
    </row>
    <row r="218" spans="1:8" x14ac:dyDescent="0.25">
      <c r="A218">
        <v>622</v>
      </c>
      <c r="B218">
        <v>2.4107177257537842</v>
      </c>
      <c r="C218">
        <v>5.8815374374389648</v>
      </c>
      <c r="D218">
        <v>4.9372901916503906</v>
      </c>
      <c r="E218">
        <v>2.2185478210449219</v>
      </c>
      <c r="F218">
        <v>2.0551304817199707</v>
      </c>
      <c r="G218">
        <v>5.8241939544677734</v>
      </c>
      <c r="H218">
        <v>2.4432942867279053</v>
      </c>
    </row>
    <row r="219" spans="1:8" x14ac:dyDescent="0.25">
      <c r="A219">
        <v>624</v>
      </c>
      <c r="B219">
        <v>2.5029866695404053</v>
      </c>
      <c r="C219">
        <v>5.0490145683288574</v>
      </c>
      <c r="D219">
        <v>4.3999333381652832</v>
      </c>
      <c r="E219">
        <v>2.1914050579071045</v>
      </c>
      <c r="F219">
        <v>2.0215468406677246</v>
      </c>
      <c r="G219">
        <v>5.0663309097290039</v>
      </c>
      <c r="H219">
        <v>2.4894332885742188</v>
      </c>
    </row>
    <row r="220" spans="1:8" x14ac:dyDescent="0.25">
      <c r="A220">
        <v>626</v>
      </c>
      <c r="B220">
        <v>2.425940990447998</v>
      </c>
      <c r="C220">
        <v>6.5922713279724121</v>
      </c>
      <c r="D220">
        <v>3.7226016521453857</v>
      </c>
      <c r="E220">
        <v>2.2351758480072021</v>
      </c>
      <c r="F220">
        <v>2.0310425758361816</v>
      </c>
      <c r="G220">
        <v>4.5373530387878418</v>
      </c>
      <c r="H220">
        <v>2.4359591007232666</v>
      </c>
    </row>
    <row r="221" spans="1:8" x14ac:dyDescent="0.25">
      <c r="A221">
        <v>628</v>
      </c>
      <c r="B221">
        <v>2.6312999725341797</v>
      </c>
      <c r="C221">
        <v>5.1443305015563965</v>
      </c>
      <c r="D221">
        <v>2.5527784824371338</v>
      </c>
      <c r="E221">
        <v>2.2982997894287109</v>
      </c>
      <c r="F221">
        <v>2.0757548809051514</v>
      </c>
      <c r="G221">
        <v>5.7315435409545898</v>
      </c>
      <c r="H221">
        <v>2.4328835010528564</v>
      </c>
    </row>
    <row r="222" spans="1:8" x14ac:dyDescent="0.25">
      <c r="A222">
        <v>630</v>
      </c>
      <c r="B222">
        <v>2.8604452610015869</v>
      </c>
      <c r="C222">
        <v>5.1355319023132324</v>
      </c>
      <c r="D222">
        <v>4.3677530288696289</v>
      </c>
      <c r="E222">
        <v>2.183870792388916</v>
      </c>
      <c r="F222">
        <v>2.0987274646759033</v>
      </c>
      <c r="G222">
        <v>6.0510907173156738</v>
      </c>
      <c r="H222">
        <v>2.3790533542633057</v>
      </c>
    </row>
    <row r="223" spans="1:8" x14ac:dyDescent="0.25">
      <c r="A223">
        <v>632</v>
      </c>
      <c r="B223">
        <v>2.9100978374481201</v>
      </c>
      <c r="C223">
        <v>5.8244004249572754</v>
      </c>
      <c r="D223">
        <v>5.0815863609313965</v>
      </c>
      <c r="E223">
        <v>2.1399614810943604</v>
      </c>
      <c r="F223">
        <v>2.0812697410583496</v>
      </c>
      <c r="G223">
        <v>6.0226078033447266</v>
      </c>
      <c r="H223">
        <v>2.4443159103393555</v>
      </c>
    </row>
    <row r="224" spans="1:8" x14ac:dyDescent="0.25">
      <c r="A224">
        <v>634</v>
      </c>
      <c r="B224">
        <v>3.1235992908477783</v>
      </c>
      <c r="C224">
        <v>3.5816442966461182</v>
      </c>
      <c r="D224">
        <v>4.2653684616088867</v>
      </c>
      <c r="E224">
        <v>2.3251512050628662</v>
      </c>
      <c r="F224">
        <v>2.1358120441436768</v>
      </c>
      <c r="G224">
        <v>5.5137829780578613</v>
      </c>
      <c r="H224">
        <v>2.5484840869903564</v>
      </c>
    </row>
    <row r="225" spans="1:8" x14ac:dyDescent="0.25">
      <c r="A225">
        <v>636</v>
      </c>
      <c r="B225">
        <v>2.6524310111999512</v>
      </c>
      <c r="C225">
        <v>6.1200580596923828</v>
      </c>
      <c r="D225">
        <v>5.1508274078369141</v>
      </c>
      <c r="E225">
        <v>2.3242111206054688</v>
      </c>
      <c r="F225">
        <v>2.2467174530029297</v>
      </c>
      <c r="G225">
        <v>4.2437090873718262</v>
      </c>
      <c r="H225">
        <v>2.4614894390106201</v>
      </c>
    </row>
    <row r="226" spans="1:8" x14ac:dyDescent="0.25">
      <c r="A226">
        <v>638</v>
      </c>
      <c r="B226">
        <v>2.456343412399292</v>
      </c>
      <c r="C226">
        <v>4.3675951957702637</v>
      </c>
      <c r="D226">
        <v>3.5932292938232422</v>
      </c>
      <c r="E226">
        <v>2.2703046798706055</v>
      </c>
      <c r="F226">
        <v>2.1113994121551514</v>
      </c>
      <c r="G226">
        <v>3.967961311340332</v>
      </c>
      <c r="H226">
        <v>2.4795324802398682</v>
      </c>
    </row>
    <row r="227" spans="1:8" x14ac:dyDescent="0.25">
      <c r="A227">
        <v>640</v>
      </c>
      <c r="B227">
        <v>2.3936359882354736</v>
      </c>
      <c r="C227">
        <v>5.4688525199890137</v>
      </c>
      <c r="D227">
        <v>4.1655640602111816</v>
      </c>
      <c r="E227">
        <v>2.1198940277099609</v>
      </c>
      <c r="F227">
        <v>2.1500086784362793</v>
      </c>
      <c r="G227">
        <v>2</v>
      </c>
      <c r="H227">
        <v>2.3509252071380615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227"/>
  <sheetViews>
    <sheetView workbookViewId="0"/>
  </sheetViews>
  <sheetFormatPr defaultColWidth="9.140625" defaultRowHeight="15" x14ac:dyDescent="0.25"/>
  <cols>
    <col min="102" max="16384" width="9.140625" style="24"/>
  </cols>
  <sheetData>
    <row r="1" spans="1:104" x14ac:dyDescent="0.25">
      <c r="B1">
        <v>1</v>
      </c>
      <c r="C1">
        <v>2</v>
      </c>
      <c r="D1">
        <v>3</v>
      </c>
      <c r="E1">
        <v>4</v>
      </c>
      <c r="F1">
        <v>5</v>
      </c>
      <c r="G1">
        <v>6</v>
      </c>
      <c r="H1">
        <v>7</v>
      </c>
    </row>
    <row r="2" spans="1:104" x14ac:dyDescent="0.25">
      <c r="A2">
        <v>190</v>
      </c>
      <c r="CY2" s="24">
        <v>200</v>
      </c>
      <c r="CZ2" s="24">
        <v>0</v>
      </c>
    </row>
    <row r="3" spans="1:104" x14ac:dyDescent="0.25">
      <c r="A3">
        <v>192</v>
      </c>
      <c r="D3">
        <v>192</v>
      </c>
      <c r="E3">
        <v>192</v>
      </c>
      <c r="G3">
        <v>192</v>
      </c>
      <c r="CY3" s="24">
        <v>300</v>
      </c>
      <c r="CZ3" s="24">
        <v>0</v>
      </c>
    </row>
    <row r="4" spans="1:104" x14ac:dyDescent="0.25">
      <c r="A4">
        <v>194</v>
      </c>
      <c r="CY4" s="24">
        <v>400</v>
      </c>
      <c r="CZ4" s="24">
        <v>0</v>
      </c>
    </row>
    <row r="5" spans="1:104" x14ac:dyDescent="0.25">
      <c r="A5">
        <v>196</v>
      </c>
      <c r="CY5" s="24">
        <v>500</v>
      </c>
      <c r="CZ5" s="24">
        <v>0</v>
      </c>
    </row>
    <row r="6" spans="1:104" x14ac:dyDescent="0.25">
      <c r="A6">
        <v>198</v>
      </c>
      <c r="CY6" s="24">
        <v>600</v>
      </c>
      <c r="CZ6" s="24">
        <v>0</v>
      </c>
    </row>
    <row r="7" spans="1:104" x14ac:dyDescent="0.25">
      <c r="A7">
        <v>200</v>
      </c>
    </row>
    <row r="8" spans="1:104" x14ac:dyDescent="0.25">
      <c r="A8">
        <v>202</v>
      </c>
    </row>
    <row r="9" spans="1:104" x14ac:dyDescent="0.25">
      <c r="A9">
        <v>204</v>
      </c>
    </row>
    <row r="10" spans="1:104" x14ac:dyDescent="0.25">
      <c r="A10">
        <v>206</v>
      </c>
      <c r="B10">
        <v>206</v>
      </c>
    </row>
    <row r="11" spans="1:104" x14ac:dyDescent="0.25">
      <c r="A11">
        <v>208</v>
      </c>
    </row>
    <row r="12" spans="1:104" x14ac:dyDescent="0.25">
      <c r="A12">
        <v>210</v>
      </c>
    </row>
    <row r="13" spans="1:104" x14ac:dyDescent="0.25">
      <c r="A13">
        <v>212</v>
      </c>
    </row>
    <row r="14" spans="1:104" x14ac:dyDescent="0.25">
      <c r="A14">
        <v>214</v>
      </c>
    </row>
    <row r="15" spans="1:104" x14ac:dyDescent="0.25">
      <c r="A15">
        <v>216</v>
      </c>
    </row>
    <row r="16" spans="1:104" x14ac:dyDescent="0.25">
      <c r="A16">
        <v>218</v>
      </c>
      <c r="C16">
        <v>218</v>
      </c>
      <c r="G16">
        <v>218</v>
      </c>
    </row>
    <row r="17" spans="1:2" x14ac:dyDescent="0.25">
      <c r="A17">
        <v>220</v>
      </c>
    </row>
    <row r="18" spans="1:2" x14ac:dyDescent="0.25">
      <c r="A18">
        <v>222</v>
      </c>
    </row>
    <row r="19" spans="1:2" x14ac:dyDescent="0.25">
      <c r="A19">
        <v>224</v>
      </c>
    </row>
    <row r="20" spans="1:2" x14ac:dyDescent="0.25">
      <c r="A20">
        <v>226</v>
      </c>
    </row>
    <row r="21" spans="1:2" x14ac:dyDescent="0.25">
      <c r="A21">
        <v>228</v>
      </c>
    </row>
    <row r="22" spans="1:2" x14ac:dyDescent="0.25">
      <c r="A22">
        <v>230</v>
      </c>
    </row>
    <row r="23" spans="1:2" x14ac:dyDescent="0.25">
      <c r="A23">
        <v>232</v>
      </c>
    </row>
    <row r="24" spans="1:2" x14ac:dyDescent="0.25">
      <c r="A24">
        <v>234</v>
      </c>
    </row>
    <row r="25" spans="1:2" x14ac:dyDescent="0.25">
      <c r="A25">
        <v>236</v>
      </c>
    </row>
    <row r="26" spans="1:2" x14ac:dyDescent="0.25">
      <c r="A26">
        <v>238</v>
      </c>
    </row>
    <row r="27" spans="1:2" x14ac:dyDescent="0.25">
      <c r="A27">
        <v>240</v>
      </c>
    </row>
    <row r="28" spans="1:2" x14ac:dyDescent="0.25">
      <c r="A28">
        <v>242</v>
      </c>
      <c r="B28">
        <v>242</v>
      </c>
    </row>
    <row r="29" spans="1:2" x14ac:dyDescent="0.25">
      <c r="A29">
        <v>244</v>
      </c>
    </row>
    <row r="30" spans="1:2" x14ac:dyDescent="0.25">
      <c r="A30">
        <v>246</v>
      </c>
    </row>
    <row r="31" spans="1:2" x14ac:dyDescent="0.25">
      <c r="A31">
        <v>248</v>
      </c>
    </row>
    <row r="32" spans="1:2" x14ac:dyDescent="0.25">
      <c r="A32">
        <v>250</v>
      </c>
    </row>
    <row r="33" spans="1:6" x14ac:dyDescent="0.25">
      <c r="A33">
        <v>252</v>
      </c>
    </row>
    <row r="34" spans="1:6" x14ac:dyDescent="0.25">
      <c r="A34">
        <v>254</v>
      </c>
    </row>
    <row r="35" spans="1:6" x14ac:dyDescent="0.25">
      <c r="A35">
        <v>256</v>
      </c>
      <c r="D35">
        <v>256</v>
      </c>
    </row>
    <row r="36" spans="1:6" x14ac:dyDescent="0.25">
      <c r="A36">
        <v>258</v>
      </c>
    </row>
    <row r="37" spans="1:6" x14ac:dyDescent="0.25">
      <c r="A37">
        <v>260</v>
      </c>
    </row>
    <row r="38" spans="1:6" x14ac:dyDescent="0.25">
      <c r="A38">
        <v>262</v>
      </c>
    </row>
    <row r="39" spans="1:6" x14ac:dyDescent="0.25">
      <c r="A39">
        <v>264</v>
      </c>
    </row>
    <row r="40" spans="1:6" x14ac:dyDescent="0.25">
      <c r="A40">
        <v>266</v>
      </c>
    </row>
    <row r="41" spans="1:6" x14ac:dyDescent="0.25">
      <c r="A41">
        <v>268</v>
      </c>
    </row>
    <row r="42" spans="1:6" x14ac:dyDescent="0.25">
      <c r="A42">
        <v>270</v>
      </c>
      <c r="C42">
        <v>270</v>
      </c>
    </row>
    <row r="43" spans="1:6" x14ac:dyDescent="0.25">
      <c r="A43">
        <v>272</v>
      </c>
    </row>
    <row r="44" spans="1:6" x14ac:dyDescent="0.25">
      <c r="A44">
        <v>274</v>
      </c>
      <c r="F44">
        <v>274</v>
      </c>
    </row>
    <row r="45" spans="1:6" x14ac:dyDescent="0.25">
      <c r="A45">
        <v>276</v>
      </c>
      <c r="E45">
        <v>276</v>
      </c>
    </row>
    <row r="46" spans="1:6" x14ac:dyDescent="0.25">
      <c r="A46">
        <v>278</v>
      </c>
      <c r="D46">
        <v>278</v>
      </c>
    </row>
    <row r="47" spans="1:6" x14ac:dyDescent="0.25">
      <c r="A47">
        <v>280</v>
      </c>
    </row>
    <row r="48" spans="1:6" x14ac:dyDescent="0.25">
      <c r="A48">
        <v>282</v>
      </c>
    </row>
    <row r="49" spans="1:2" x14ac:dyDescent="0.25">
      <c r="A49">
        <v>284</v>
      </c>
      <c r="B49">
        <v>284</v>
      </c>
    </row>
    <row r="50" spans="1:2" x14ac:dyDescent="0.25">
      <c r="A50">
        <v>286</v>
      </c>
    </row>
    <row r="51" spans="1:2" x14ac:dyDescent="0.25">
      <c r="A51">
        <v>288</v>
      </c>
    </row>
    <row r="52" spans="1:2" x14ac:dyDescent="0.25">
      <c r="A52">
        <v>290</v>
      </c>
    </row>
    <row r="53" spans="1:2" x14ac:dyDescent="0.25">
      <c r="A53">
        <v>292</v>
      </c>
    </row>
    <row r="54" spans="1:2" x14ac:dyDescent="0.25">
      <c r="A54">
        <v>294</v>
      </c>
    </row>
    <row r="55" spans="1:2" x14ac:dyDescent="0.25">
      <c r="A55">
        <v>296</v>
      </c>
    </row>
    <row r="56" spans="1:2" x14ac:dyDescent="0.25">
      <c r="A56">
        <v>298</v>
      </c>
    </row>
    <row r="57" spans="1:2" x14ac:dyDescent="0.25">
      <c r="A57">
        <v>300</v>
      </c>
    </row>
    <row r="58" spans="1:2" x14ac:dyDescent="0.25">
      <c r="A58">
        <v>302</v>
      </c>
    </row>
    <row r="59" spans="1:2" x14ac:dyDescent="0.25">
      <c r="A59">
        <v>304</v>
      </c>
    </row>
    <row r="60" spans="1:2" x14ac:dyDescent="0.25">
      <c r="A60">
        <v>306</v>
      </c>
    </row>
    <row r="61" spans="1:2" x14ac:dyDescent="0.25">
      <c r="A61">
        <v>308</v>
      </c>
    </row>
    <row r="62" spans="1:2" x14ac:dyDescent="0.25">
      <c r="A62">
        <v>310</v>
      </c>
    </row>
    <row r="63" spans="1:2" x14ac:dyDescent="0.25">
      <c r="A63">
        <v>312</v>
      </c>
    </row>
    <row r="64" spans="1:2" x14ac:dyDescent="0.25">
      <c r="A64">
        <v>314</v>
      </c>
    </row>
    <row r="65" spans="1:3" x14ac:dyDescent="0.25">
      <c r="A65">
        <v>316</v>
      </c>
    </row>
    <row r="66" spans="1:3" x14ac:dyDescent="0.25">
      <c r="A66">
        <v>318</v>
      </c>
    </row>
    <row r="67" spans="1:3" x14ac:dyDescent="0.25">
      <c r="A67">
        <v>320</v>
      </c>
    </row>
    <row r="68" spans="1:3" x14ac:dyDescent="0.25">
      <c r="A68">
        <v>322</v>
      </c>
    </row>
    <row r="69" spans="1:3" x14ac:dyDescent="0.25">
      <c r="A69">
        <v>324</v>
      </c>
    </row>
    <row r="70" spans="1:3" x14ac:dyDescent="0.25">
      <c r="A70">
        <v>326</v>
      </c>
    </row>
    <row r="71" spans="1:3" x14ac:dyDescent="0.25">
      <c r="A71">
        <v>328</v>
      </c>
    </row>
    <row r="72" spans="1:3" x14ac:dyDescent="0.25">
      <c r="A72">
        <v>330</v>
      </c>
      <c r="C72">
        <v>330</v>
      </c>
    </row>
    <row r="73" spans="1:3" x14ac:dyDescent="0.25">
      <c r="A73">
        <v>332</v>
      </c>
    </row>
    <row r="74" spans="1:3" x14ac:dyDescent="0.25">
      <c r="A74">
        <v>334</v>
      </c>
    </row>
    <row r="75" spans="1:3" x14ac:dyDescent="0.25">
      <c r="A75">
        <v>336</v>
      </c>
    </row>
    <row r="76" spans="1:3" x14ac:dyDescent="0.25">
      <c r="A76">
        <v>338</v>
      </c>
    </row>
    <row r="77" spans="1:3" x14ac:dyDescent="0.25">
      <c r="A77">
        <v>340</v>
      </c>
    </row>
    <row r="78" spans="1:3" x14ac:dyDescent="0.25">
      <c r="A78">
        <v>342</v>
      </c>
    </row>
    <row r="79" spans="1:3" x14ac:dyDescent="0.25">
      <c r="A79">
        <v>344</v>
      </c>
    </row>
    <row r="80" spans="1:3" x14ac:dyDescent="0.25">
      <c r="A80">
        <v>346</v>
      </c>
    </row>
    <row r="81" spans="1:3" x14ac:dyDescent="0.25">
      <c r="A81">
        <v>348</v>
      </c>
      <c r="C81" t="s">
        <v>138</v>
      </c>
    </row>
    <row r="82" spans="1:3" x14ac:dyDescent="0.25">
      <c r="A82">
        <v>350</v>
      </c>
    </row>
    <row r="83" spans="1:3" x14ac:dyDescent="0.25">
      <c r="A83">
        <v>352</v>
      </c>
    </row>
    <row r="84" spans="1:3" x14ac:dyDescent="0.25">
      <c r="A84">
        <v>354</v>
      </c>
    </row>
    <row r="85" spans="1:3" x14ac:dyDescent="0.25">
      <c r="A85">
        <v>356</v>
      </c>
      <c r="B85">
        <v>356</v>
      </c>
    </row>
    <row r="86" spans="1:3" x14ac:dyDescent="0.25">
      <c r="A86">
        <v>358</v>
      </c>
    </row>
    <row r="87" spans="1:3" x14ac:dyDescent="0.25">
      <c r="A87">
        <v>360</v>
      </c>
    </row>
    <row r="88" spans="1:3" x14ac:dyDescent="0.25">
      <c r="A88">
        <v>362</v>
      </c>
    </row>
    <row r="89" spans="1:3" x14ac:dyDescent="0.25">
      <c r="A89">
        <v>364</v>
      </c>
    </row>
    <row r="90" spans="1:3" x14ac:dyDescent="0.25">
      <c r="A90">
        <v>366</v>
      </c>
    </row>
    <row r="91" spans="1:3" x14ac:dyDescent="0.25">
      <c r="A91">
        <v>368</v>
      </c>
    </row>
    <row r="92" spans="1:3" x14ac:dyDescent="0.25">
      <c r="A92">
        <v>370</v>
      </c>
    </row>
    <row r="93" spans="1:3" x14ac:dyDescent="0.25">
      <c r="A93">
        <v>372</v>
      </c>
    </row>
    <row r="94" spans="1:3" x14ac:dyDescent="0.25">
      <c r="A94">
        <v>374</v>
      </c>
    </row>
    <row r="95" spans="1:3" x14ac:dyDescent="0.25">
      <c r="A95">
        <v>376</v>
      </c>
    </row>
    <row r="96" spans="1:3" x14ac:dyDescent="0.25">
      <c r="A96">
        <v>378</v>
      </c>
    </row>
    <row r="97" spans="1:3" x14ac:dyDescent="0.25">
      <c r="A97">
        <v>380</v>
      </c>
      <c r="C97">
        <v>380</v>
      </c>
    </row>
    <row r="98" spans="1:3" x14ac:dyDescent="0.25">
      <c r="A98">
        <v>382</v>
      </c>
    </row>
    <row r="99" spans="1:3" x14ac:dyDescent="0.25">
      <c r="A99">
        <v>384</v>
      </c>
    </row>
    <row r="100" spans="1:3" x14ac:dyDescent="0.25">
      <c r="A100">
        <v>386</v>
      </c>
    </row>
    <row r="101" spans="1:3" x14ac:dyDescent="0.25">
      <c r="A101">
        <v>388</v>
      </c>
    </row>
    <row r="102" spans="1:3" x14ac:dyDescent="0.25">
      <c r="A102">
        <v>390</v>
      </c>
    </row>
    <row r="103" spans="1:3" x14ac:dyDescent="0.25">
      <c r="A103">
        <v>392</v>
      </c>
    </row>
    <row r="104" spans="1:3" x14ac:dyDescent="0.25">
      <c r="A104">
        <v>394</v>
      </c>
    </row>
    <row r="105" spans="1:3" x14ac:dyDescent="0.25">
      <c r="A105">
        <v>396</v>
      </c>
      <c r="C105">
        <v>396</v>
      </c>
    </row>
    <row r="106" spans="1:3" x14ac:dyDescent="0.25">
      <c r="A106">
        <v>398</v>
      </c>
    </row>
    <row r="107" spans="1:3" x14ac:dyDescent="0.25">
      <c r="A107">
        <v>400</v>
      </c>
    </row>
    <row r="108" spans="1:3" x14ac:dyDescent="0.25">
      <c r="A108">
        <v>402</v>
      </c>
    </row>
    <row r="109" spans="1:3" x14ac:dyDescent="0.25">
      <c r="A109">
        <v>404</v>
      </c>
    </row>
    <row r="110" spans="1:3" x14ac:dyDescent="0.25">
      <c r="A110">
        <v>406</v>
      </c>
    </row>
    <row r="111" spans="1:3" x14ac:dyDescent="0.25">
      <c r="A111">
        <v>408</v>
      </c>
    </row>
    <row r="112" spans="1:3" x14ac:dyDescent="0.25">
      <c r="A112">
        <v>410</v>
      </c>
    </row>
    <row r="113" spans="1:3" x14ac:dyDescent="0.25">
      <c r="A113">
        <v>412</v>
      </c>
    </row>
    <row r="114" spans="1:3" x14ac:dyDescent="0.25">
      <c r="A114">
        <v>414</v>
      </c>
    </row>
    <row r="115" spans="1:3" x14ac:dyDescent="0.25">
      <c r="A115">
        <v>416</v>
      </c>
    </row>
    <row r="116" spans="1:3" x14ac:dyDescent="0.25">
      <c r="A116">
        <v>418</v>
      </c>
      <c r="C116">
        <v>418</v>
      </c>
    </row>
    <row r="117" spans="1:3" x14ac:dyDescent="0.25">
      <c r="A117">
        <v>420</v>
      </c>
    </row>
    <row r="118" spans="1:3" x14ac:dyDescent="0.25">
      <c r="A118">
        <v>422</v>
      </c>
    </row>
    <row r="119" spans="1:3" x14ac:dyDescent="0.25">
      <c r="A119">
        <v>424</v>
      </c>
    </row>
    <row r="120" spans="1:3" x14ac:dyDescent="0.25">
      <c r="A120">
        <v>426</v>
      </c>
    </row>
    <row r="121" spans="1:3" x14ac:dyDescent="0.25">
      <c r="A121">
        <v>428</v>
      </c>
    </row>
    <row r="122" spans="1:3" x14ac:dyDescent="0.25">
      <c r="A122">
        <v>430</v>
      </c>
    </row>
    <row r="123" spans="1:3" x14ac:dyDescent="0.25">
      <c r="A123">
        <v>432</v>
      </c>
    </row>
    <row r="124" spans="1:3" x14ac:dyDescent="0.25">
      <c r="A124">
        <v>434</v>
      </c>
    </row>
    <row r="125" spans="1:3" x14ac:dyDescent="0.25">
      <c r="A125">
        <v>436</v>
      </c>
    </row>
    <row r="126" spans="1:3" x14ac:dyDescent="0.25">
      <c r="A126">
        <v>438</v>
      </c>
    </row>
    <row r="127" spans="1:3" x14ac:dyDescent="0.25">
      <c r="A127">
        <v>440</v>
      </c>
    </row>
    <row r="128" spans="1:3" x14ac:dyDescent="0.25">
      <c r="A128">
        <v>442</v>
      </c>
    </row>
    <row r="129" spans="1:3" x14ac:dyDescent="0.25">
      <c r="A129">
        <v>444</v>
      </c>
    </row>
    <row r="130" spans="1:3" x14ac:dyDescent="0.25">
      <c r="A130">
        <v>446</v>
      </c>
      <c r="C130">
        <v>446</v>
      </c>
    </row>
    <row r="131" spans="1:3" x14ac:dyDescent="0.25">
      <c r="A131">
        <v>448</v>
      </c>
    </row>
    <row r="132" spans="1:3" x14ac:dyDescent="0.25">
      <c r="A132">
        <v>450</v>
      </c>
    </row>
    <row r="133" spans="1:3" x14ac:dyDescent="0.25">
      <c r="A133">
        <v>452</v>
      </c>
    </row>
    <row r="134" spans="1:3" x14ac:dyDescent="0.25">
      <c r="A134">
        <v>454</v>
      </c>
    </row>
    <row r="135" spans="1:3" x14ac:dyDescent="0.25">
      <c r="A135">
        <v>456</v>
      </c>
    </row>
    <row r="136" spans="1:3" x14ac:dyDescent="0.25">
      <c r="A136">
        <v>458</v>
      </c>
      <c r="C136">
        <v>458</v>
      </c>
    </row>
    <row r="137" spans="1:3" x14ac:dyDescent="0.25">
      <c r="A137">
        <v>460</v>
      </c>
    </row>
    <row r="138" spans="1:3" x14ac:dyDescent="0.25">
      <c r="A138">
        <v>462</v>
      </c>
    </row>
    <row r="139" spans="1:3" x14ac:dyDescent="0.25">
      <c r="A139">
        <v>464</v>
      </c>
    </row>
    <row r="140" spans="1:3" x14ac:dyDescent="0.25">
      <c r="A140">
        <v>466</v>
      </c>
    </row>
    <row r="141" spans="1:3" x14ac:dyDescent="0.25">
      <c r="A141">
        <v>468</v>
      </c>
    </row>
    <row r="142" spans="1:3" x14ac:dyDescent="0.25">
      <c r="A142">
        <v>470</v>
      </c>
    </row>
    <row r="143" spans="1:3" x14ac:dyDescent="0.25">
      <c r="A143">
        <v>472</v>
      </c>
      <c r="C143">
        <v>472</v>
      </c>
    </row>
    <row r="144" spans="1:3" x14ac:dyDescent="0.25">
      <c r="A144">
        <v>474</v>
      </c>
    </row>
    <row r="145" spans="1:3" x14ac:dyDescent="0.25">
      <c r="A145">
        <v>476</v>
      </c>
    </row>
    <row r="146" spans="1:3" x14ac:dyDescent="0.25">
      <c r="A146">
        <v>478</v>
      </c>
    </row>
    <row r="147" spans="1:3" x14ac:dyDescent="0.25">
      <c r="A147">
        <v>480</v>
      </c>
    </row>
    <row r="148" spans="1:3" x14ac:dyDescent="0.25">
      <c r="A148">
        <v>482</v>
      </c>
    </row>
    <row r="149" spans="1:3" x14ac:dyDescent="0.25">
      <c r="A149">
        <v>484</v>
      </c>
    </row>
    <row r="150" spans="1:3" x14ac:dyDescent="0.25">
      <c r="A150">
        <v>486</v>
      </c>
    </row>
    <row r="151" spans="1:3" x14ac:dyDescent="0.25">
      <c r="A151">
        <v>488</v>
      </c>
      <c r="C151">
        <v>488</v>
      </c>
    </row>
    <row r="152" spans="1:3" x14ac:dyDescent="0.25">
      <c r="A152">
        <v>490</v>
      </c>
    </row>
    <row r="153" spans="1:3" x14ac:dyDescent="0.25">
      <c r="A153">
        <v>492</v>
      </c>
    </row>
    <row r="154" spans="1:3" x14ac:dyDescent="0.25">
      <c r="A154">
        <v>494</v>
      </c>
    </row>
    <row r="155" spans="1:3" x14ac:dyDescent="0.25">
      <c r="A155">
        <v>496</v>
      </c>
    </row>
    <row r="156" spans="1:3" x14ac:dyDescent="0.25">
      <c r="A156">
        <v>498</v>
      </c>
    </row>
    <row r="157" spans="1:3" x14ac:dyDescent="0.25">
      <c r="A157">
        <v>500</v>
      </c>
    </row>
    <row r="158" spans="1:3" x14ac:dyDescent="0.25">
      <c r="A158">
        <v>502</v>
      </c>
    </row>
    <row r="159" spans="1:3" x14ac:dyDescent="0.25">
      <c r="A159">
        <v>504</v>
      </c>
    </row>
    <row r="160" spans="1:3" x14ac:dyDescent="0.25">
      <c r="A160">
        <v>506</v>
      </c>
    </row>
    <row r="161" spans="1:3" x14ac:dyDescent="0.25">
      <c r="A161">
        <v>508</v>
      </c>
    </row>
    <row r="162" spans="1:3" x14ac:dyDescent="0.25">
      <c r="A162">
        <v>510</v>
      </c>
    </row>
    <row r="163" spans="1:3" x14ac:dyDescent="0.25">
      <c r="A163">
        <v>512</v>
      </c>
    </row>
    <row r="164" spans="1:3" x14ac:dyDescent="0.25">
      <c r="A164">
        <v>514</v>
      </c>
    </row>
    <row r="165" spans="1:3" x14ac:dyDescent="0.25">
      <c r="A165">
        <v>516</v>
      </c>
    </row>
    <row r="166" spans="1:3" x14ac:dyDescent="0.25">
      <c r="A166">
        <v>518</v>
      </c>
    </row>
    <row r="167" spans="1:3" x14ac:dyDescent="0.25">
      <c r="A167">
        <v>520</v>
      </c>
    </row>
    <row r="168" spans="1:3" x14ac:dyDescent="0.25">
      <c r="A168">
        <v>522</v>
      </c>
    </row>
    <row r="169" spans="1:3" x14ac:dyDescent="0.25">
      <c r="A169">
        <v>524</v>
      </c>
    </row>
    <row r="170" spans="1:3" x14ac:dyDescent="0.25">
      <c r="A170">
        <v>526</v>
      </c>
      <c r="C170">
        <v>526</v>
      </c>
    </row>
    <row r="171" spans="1:3" x14ac:dyDescent="0.25">
      <c r="A171">
        <v>528</v>
      </c>
    </row>
    <row r="172" spans="1:3" x14ac:dyDescent="0.25">
      <c r="A172">
        <v>530</v>
      </c>
    </row>
    <row r="173" spans="1:3" x14ac:dyDescent="0.25">
      <c r="A173">
        <v>532</v>
      </c>
    </row>
    <row r="174" spans="1:3" x14ac:dyDescent="0.25">
      <c r="A174">
        <v>534</v>
      </c>
    </row>
    <row r="175" spans="1:3" x14ac:dyDescent="0.25">
      <c r="A175">
        <v>536</v>
      </c>
    </row>
    <row r="176" spans="1:3" x14ac:dyDescent="0.25">
      <c r="A176">
        <v>538</v>
      </c>
    </row>
    <row r="177" spans="1:3" x14ac:dyDescent="0.25">
      <c r="A177">
        <v>540</v>
      </c>
    </row>
    <row r="178" spans="1:3" x14ac:dyDescent="0.25">
      <c r="A178">
        <v>542</v>
      </c>
    </row>
    <row r="179" spans="1:3" x14ac:dyDescent="0.25">
      <c r="A179">
        <v>544</v>
      </c>
    </row>
    <row r="180" spans="1:3" x14ac:dyDescent="0.25">
      <c r="A180">
        <v>546</v>
      </c>
    </row>
    <row r="181" spans="1:3" x14ac:dyDescent="0.25">
      <c r="A181">
        <v>548</v>
      </c>
    </row>
    <row r="182" spans="1:3" x14ac:dyDescent="0.25">
      <c r="A182">
        <v>550</v>
      </c>
      <c r="C182">
        <v>550</v>
      </c>
    </row>
    <row r="183" spans="1:3" x14ac:dyDescent="0.25">
      <c r="A183">
        <v>552</v>
      </c>
    </row>
    <row r="184" spans="1:3" x14ac:dyDescent="0.25">
      <c r="A184">
        <v>554</v>
      </c>
    </row>
    <row r="185" spans="1:3" x14ac:dyDescent="0.25">
      <c r="A185">
        <v>556</v>
      </c>
    </row>
    <row r="186" spans="1:3" x14ac:dyDescent="0.25">
      <c r="A186">
        <v>558</v>
      </c>
    </row>
    <row r="187" spans="1:3" x14ac:dyDescent="0.25">
      <c r="A187">
        <v>560</v>
      </c>
    </row>
    <row r="188" spans="1:3" x14ac:dyDescent="0.25">
      <c r="A188">
        <v>562</v>
      </c>
    </row>
    <row r="189" spans="1:3" x14ac:dyDescent="0.25">
      <c r="A189">
        <v>564</v>
      </c>
    </row>
    <row r="190" spans="1:3" x14ac:dyDescent="0.25">
      <c r="A190">
        <v>566</v>
      </c>
    </row>
    <row r="191" spans="1:3" x14ac:dyDescent="0.25">
      <c r="A191">
        <v>568</v>
      </c>
    </row>
    <row r="192" spans="1:3" x14ac:dyDescent="0.25">
      <c r="A192">
        <v>570</v>
      </c>
    </row>
    <row r="193" spans="1:3" x14ac:dyDescent="0.25">
      <c r="A193">
        <v>572</v>
      </c>
      <c r="C193">
        <v>572</v>
      </c>
    </row>
    <row r="194" spans="1:3" x14ac:dyDescent="0.25">
      <c r="A194">
        <v>574</v>
      </c>
    </row>
    <row r="195" spans="1:3" x14ac:dyDescent="0.25">
      <c r="A195">
        <v>576</v>
      </c>
    </row>
    <row r="196" spans="1:3" x14ac:dyDescent="0.25">
      <c r="A196">
        <v>578</v>
      </c>
    </row>
    <row r="197" spans="1:3" x14ac:dyDescent="0.25">
      <c r="A197">
        <v>580</v>
      </c>
    </row>
    <row r="198" spans="1:3" x14ac:dyDescent="0.25">
      <c r="A198">
        <v>582</v>
      </c>
    </row>
    <row r="199" spans="1:3" x14ac:dyDescent="0.25">
      <c r="A199">
        <v>584</v>
      </c>
    </row>
    <row r="200" spans="1:3" x14ac:dyDescent="0.25">
      <c r="A200">
        <v>586</v>
      </c>
      <c r="C200">
        <v>586</v>
      </c>
    </row>
    <row r="201" spans="1:3" x14ac:dyDescent="0.25">
      <c r="A201">
        <v>588</v>
      </c>
    </row>
    <row r="202" spans="1:3" x14ac:dyDescent="0.25">
      <c r="A202">
        <v>590</v>
      </c>
    </row>
    <row r="203" spans="1:3" x14ac:dyDescent="0.25">
      <c r="A203">
        <v>592</v>
      </c>
    </row>
    <row r="204" spans="1:3" x14ac:dyDescent="0.25">
      <c r="A204">
        <v>594</v>
      </c>
    </row>
    <row r="205" spans="1:3" x14ac:dyDescent="0.25">
      <c r="A205">
        <v>596</v>
      </c>
    </row>
    <row r="206" spans="1:3" x14ac:dyDescent="0.25">
      <c r="A206">
        <v>598</v>
      </c>
    </row>
    <row r="207" spans="1:3" x14ac:dyDescent="0.25">
      <c r="A207">
        <v>600</v>
      </c>
    </row>
    <row r="208" spans="1:3" x14ac:dyDescent="0.25">
      <c r="A208">
        <v>602</v>
      </c>
    </row>
    <row r="209" spans="1:3" x14ac:dyDescent="0.25">
      <c r="A209">
        <v>604</v>
      </c>
    </row>
    <row r="210" spans="1:3" x14ac:dyDescent="0.25">
      <c r="A210">
        <v>606</v>
      </c>
    </row>
    <row r="211" spans="1:3" x14ac:dyDescent="0.25">
      <c r="A211">
        <v>608</v>
      </c>
      <c r="C211">
        <v>608</v>
      </c>
    </row>
    <row r="212" spans="1:3" x14ac:dyDescent="0.25">
      <c r="A212">
        <v>610</v>
      </c>
    </row>
    <row r="213" spans="1:3" x14ac:dyDescent="0.25">
      <c r="A213">
        <v>612</v>
      </c>
    </row>
    <row r="214" spans="1:3" x14ac:dyDescent="0.25">
      <c r="A214">
        <v>614</v>
      </c>
    </row>
    <row r="215" spans="1:3" x14ac:dyDescent="0.25">
      <c r="A215">
        <v>616</v>
      </c>
    </row>
    <row r="216" spans="1:3" x14ac:dyDescent="0.25">
      <c r="A216">
        <v>618</v>
      </c>
    </row>
    <row r="217" spans="1:3" x14ac:dyDescent="0.25">
      <c r="A217">
        <v>620</v>
      </c>
    </row>
    <row r="218" spans="1:3" x14ac:dyDescent="0.25">
      <c r="A218">
        <v>622</v>
      </c>
    </row>
    <row r="219" spans="1:3" x14ac:dyDescent="0.25">
      <c r="A219">
        <v>624</v>
      </c>
    </row>
    <row r="220" spans="1:3" x14ac:dyDescent="0.25">
      <c r="A220">
        <v>626</v>
      </c>
      <c r="C220">
        <v>626</v>
      </c>
    </row>
    <row r="221" spans="1:3" x14ac:dyDescent="0.25">
      <c r="A221">
        <v>628</v>
      </c>
    </row>
    <row r="222" spans="1:3" x14ac:dyDescent="0.25">
      <c r="A222">
        <v>630</v>
      </c>
    </row>
    <row r="223" spans="1:3" x14ac:dyDescent="0.25">
      <c r="A223">
        <v>632</v>
      </c>
    </row>
    <row r="224" spans="1:3" x14ac:dyDescent="0.25">
      <c r="A224">
        <v>634</v>
      </c>
    </row>
    <row r="225" spans="1:1" x14ac:dyDescent="0.25">
      <c r="A225">
        <v>636</v>
      </c>
    </row>
    <row r="226" spans="1:1" x14ac:dyDescent="0.25">
      <c r="A226">
        <v>638</v>
      </c>
    </row>
    <row r="227" spans="1:1" x14ac:dyDescent="0.25">
      <c r="A227">
        <v>640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workbookViewId="0"/>
  </sheetViews>
  <sheetFormatPr defaultColWidth="9.140625" defaultRowHeight="15" x14ac:dyDescent="0.25"/>
  <cols>
    <col min="1" max="16384" width="9.140625" style="3"/>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902"/>
  <sheetViews>
    <sheetView workbookViewId="0"/>
  </sheetViews>
  <sheetFormatPr defaultRowHeight="15" x14ac:dyDescent="0.25"/>
  <sheetData>
    <row r="2" spans="1:1" x14ac:dyDescent="0.25">
      <c r="A2">
        <v>100</v>
      </c>
    </row>
    <row r="3" spans="1:1" x14ac:dyDescent="0.25">
      <c r="A3">
        <v>101</v>
      </c>
    </row>
    <row r="4" spans="1:1" x14ac:dyDescent="0.25">
      <c r="A4">
        <v>102</v>
      </c>
    </row>
    <row r="5" spans="1:1" x14ac:dyDescent="0.25">
      <c r="A5">
        <v>103</v>
      </c>
    </row>
    <row r="6" spans="1:1" x14ac:dyDescent="0.25">
      <c r="A6">
        <v>104</v>
      </c>
    </row>
    <row r="7" spans="1:1" x14ac:dyDescent="0.25">
      <c r="A7">
        <v>105</v>
      </c>
    </row>
    <row r="8" spans="1:1" x14ac:dyDescent="0.25">
      <c r="A8">
        <v>106</v>
      </c>
    </row>
    <row r="9" spans="1:1" x14ac:dyDescent="0.25">
      <c r="A9">
        <v>107</v>
      </c>
    </row>
    <row r="10" spans="1:1" x14ac:dyDescent="0.25">
      <c r="A10">
        <v>108</v>
      </c>
    </row>
    <row r="11" spans="1:1" x14ac:dyDescent="0.25">
      <c r="A11">
        <v>109</v>
      </c>
    </row>
    <row r="12" spans="1:1" x14ac:dyDescent="0.25">
      <c r="A12">
        <v>110</v>
      </c>
    </row>
    <row r="13" spans="1:1" x14ac:dyDescent="0.25">
      <c r="A13">
        <v>111</v>
      </c>
    </row>
    <row r="14" spans="1:1" x14ac:dyDescent="0.25">
      <c r="A14">
        <v>112</v>
      </c>
    </row>
    <row r="15" spans="1:1" x14ac:dyDescent="0.25">
      <c r="A15">
        <v>113</v>
      </c>
    </row>
    <row r="16" spans="1:1" x14ac:dyDescent="0.25">
      <c r="A16">
        <v>114</v>
      </c>
    </row>
    <row r="17" spans="1:1" x14ac:dyDescent="0.25">
      <c r="A17">
        <v>115</v>
      </c>
    </row>
    <row r="18" spans="1:1" x14ac:dyDescent="0.25">
      <c r="A18">
        <v>116</v>
      </c>
    </row>
    <row r="19" spans="1:1" x14ac:dyDescent="0.25">
      <c r="A19">
        <v>117</v>
      </c>
    </row>
    <row r="20" spans="1:1" x14ac:dyDescent="0.25">
      <c r="A20">
        <v>118</v>
      </c>
    </row>
    <row r="21" spans="1:1" x14ac:dyDescent="0.25">
      <c r="A21">
        <v>119</v>
      </c>
    </row>
    <row r="22" spans="1:1" x14ac:dyDescent="0.25">
      <c r="A22">
        <v>120</v>
      </c>
    </row>
    <row r="23" spans="1:1" x14ac:dyDescent="0.25">
      <c r="A23">
        <v>121</v>
      </c>
    </row>
    <row r="24" spans="1:1" x14ac:dyDescent="0.25">
      <c r="A24">
        <v>122</v>
      </c>
    </row>
    <row r="25" spans="1:1" x14ac:dyDescent="0.25">
      <c r="A25">
        <v>123</v>
      </c>
    </row>
    <row r="26" spans="1:1" x14ac:dyDescent="0.25">
      <c r="A26">
        <v>124</v>
      </c>
    </row>
    <row r="27" spans="1:1" x14ac:dyDescent="0.25">
      <c r="A27">
        <v>125</v>
      </c>
    </row>
    <row r="28" spans="1:1" x14ac:dyDescent="0.25">
      <c r="A28">
        <v>126</v>
      </c>
    </row>
    <row r="29" spans="1:1" x14ac:dyDescent="0.25">
      <c r="A29">
        <v>127</v>
      </c>
    </row>
    <row r="30" spans="1:1" x14ac:dyDescent="0.25">
      <c r="A30">
        <v>128</v>
      </c>
    </row>
    <row r="31" spans="1:1" x14ac:dyDescent="0.25">
      <c r="A31">
        <v>129</v>
      </c>
    </row>
    <row r="32" spans="1:1" x14ac:dyDescent="0.25">
      <c r="A32">
        <v>130</v>
      </c>
    </row>
    <row r="33" spans="1:1" x14ac:dyDescent="0.25">
      <c r="A33">
        <v>131</v>
      </c>
    </row>
    <row r="34" spans="1:1" x14ac:dyDescent="0.25">
      <c r="A34">
        <v>132</v>
      </c>
    </row>
    <row r="35" spans="1:1" x14ac:dyDescent="0.25">
      <c r="A35">
        <v>133</v>
      </c>
    </row>
    <row r="36" spans="1:1" x14ac:dyDescent="0.25">
      <c r="A36">
        <v>134</v>
      </c>
    </row>
    <row r="37" spans="1:1" x14ac:dyDescent="0.25">
      <c r="A37">
        <v>135</v>
      </c>
    </row>
    <row r="38" spans="1:1" x14ac:dyDescent="0.25">
      <c r="A38">
        <v>136</v>
      </c>
    </row>
    <row r="39" spans="1:1" x14ac:dyDescent="0.25">
      <c r="A39">
        <v>137</v>
      </c>
    </row>
    <row r="40" spans="1:1" x14ac:dyDescent="0.25">
      <c r="A40">
        <v>138</v>
      </c>
    </row>
    <row r="41" spans="1:1" x14ac:dyDescent="0.25">
      <c r="A41">
        <v>139</v>
      </c>
    </row>
    <row r="42" spans="1:1" x14ac:dyDescent="0.25">
      <c r="A42">
        <v>140</v>
      </c>
    </row>
    <row r="43" spans="1:1" x14ac:dyDescent="0.25">
      <c r="A43">
        <v>141</v>
      </c>
    </row>
    <row r="44" spans="1:1" x14ac:dyDescent="0.25">
      <c r="A44">
        <v>142</v>
      </c>
    </row>
    <row r="45" spans="1:1" x14ac:dyDescent="0.25">
      <c r="A45">
        <v>143</v>
      </c>
    </row>
    <row r="46" spans="1:1" x14ac:dyDescent="0.25">
      <c r="A46">
        <v>144</v>
      </c>
    </row>
    <row r="47" spans="1:1" x14ac:dyDescent="0.25">
      <c r="A47">
        <v>145</v>
      </c>
    </row>
    <row r="48" spans="1:1" x14ac:dyDescent="0.25">
      <c r="A48">
        <v>146</v>
      </c>
    </row>
    <row r="49" spans="1:1" x14ac:dyDescent="0.25">
      <c r="A49">
        <v>147</v>
      </c>
    </row>
    <row r="50" spans="1:1" x14ac:dyDescent="0.25">
      <c r="A50">
        <v>148</v>
      </c>
    </row>
    <row r="51" spans="1:1" x14ac:dyDescent="0.25">
      <c r="A51">
        <v>149</v>
      </c>
    </row>
    <row r="52" spans="1:1" x14ac:dyDescent="0.25">
      <c r="A52">
        <v>150</v>
      </c>
    </row>
    <row r="53" spans="1:1" x14ac:dyDescent="0.25">
      <c r="A53">
        <v>151</v>
      </c>
    </row>
    <row r="54" spans="1:1" x14ac:dyDescent="0.25">
      <c r="A54">
        <v>152</v>
      </c>
    </row>
    <row r="55" spans="1:1" x14ac:dyDescent="0.25">
      <c r="A55">
        <v>153</v>
      </c>
    </row>
    <row r="56" spans="1:1" x14ac:dyDescent="0.25">
      <c r="A56">
        <v>154</v>
      </c>
    </row>
    <row r="57" spans="1:1" x14ac:dyDescent="0.25">
      <c r="A57">
        <v>155</v>
      </c>
    </row>
    <row r="58" spans="1:1" x14ac:dyDescent="0.25">
      <c r="A58">
        <v>156</v>
      </c>
    </row>
    <row r="59" spans="1:1" x14ac:dyDescent="0.25">
      <c r="A59">
        <v>157</v>
      </c>
    </row>
    <row r="60" spans="1:1" x14ac:dyDescent="0.25">
      <c r="A60">
        <v>158</v>
      </c>
    </row>
    <row r="61" spans="1:1" x14ac:dyDescent="0.25">
      <c r="A61">
        <v>159</v>
      </c>
    </row>
    <row r="62" spans="1:1" x14ac:dyDescent="0.25">
      <c r="A62">
        <v>160</v>
      </c>
    </row>
    <row r="63" spans="1:1" x14ac:dyDescent="0.25">
      <c r="A63">
        <v>161</v>
      </c>
    </row>
    <row r="64" spans="1:1" x14ac:dyDescent="0.25">
      <c r="A64">
        <v>162</v>
      </c>
    </row>
    <row r="65" spans="1:1" x14ac:dyDescent="0.25">
      <c r="A65">
        <v>163</v>
      </c>
    </row>
    <row r="66" spans="1:1" x14ac:dyDescent="0.25">
      <c r="A66">
        <v>164</v>
      </c>
    </row>
    <row r="67" spans="1:1" x14ac:dyDescent="0.25">
      <c r="A67">
        <v>165</v>
      </c>
    </row>
    <row r="68" spans="1:1" x14ac:dyDescent="0.25">
      <c r="A68">
        <v>166</v>
      </c>
    </row>
    <row r="69" spans="1:1" x14ac:dyDescent="0.25">
      <c r="A69">
        <v>167</v>
      </c>
    </row>
    <row r="70" spans="1:1" x14ac:dyDescent="0.25">
      <c r="A70">
        <v>168</v>
      </c>
    </row>
    <row r="71" spans="1:1" x14ac:dyDescent="0.25">
      <c r="A71">
        <v>169</v>
      </c>
    </row>
    <row r="72" spans="1:1" x14ac:dyDescent="0.25">
      <c r="A72">
        <v>170</v>
      </c>
    </row>
    <row r="73" spans="1:1" x14ac:dyDescent="0.25">
      <c r="A73">
        <v>171</v>
      </c>
    </row>
    <row r="74" spans="1:1" x14ac:dyDescent="0.25">
      <c r="A74">
        <v>172</v>
      </c>
    </row>
    <row r="75" spans="1:1" x14ac:dyDescent="0.25">
      <c r="A75">
        <v>173</v>
      </c>
    </row>
    <row r="76" spans="1:1" x14ac:dyDescent="0.25">
      <c r="A76">
        <v>174</v>
      </c>
    </row>
    <row r="77" spans="1:1" x14ac:dyDescent="0.25">
      <c r="A77">
        <v>175</v>
      </c>
    </row>
    <row r="78" spans="1:1" x14ac:dyDescent="0.25">
      <c r="A78">
        <v>176</v>
      </c>
    </row>
    <row r="79" spans="1:1" x14ac:dyDescent="0.25">
      <c r="A79">
        <v>177</v>
      </c>
    </row>
    <row r="80" spans="1:1" x14ac:dyDescent="0.25">
      <c r="A80">
        <v>178</v>
      </c>
    </row>
    <row r="81" spans="1:1" x14ac:dyDescent="0.25">
      <c r="A81">
        <v>179</v>
      </c>
    </row>
    <row r="82" spans="1:1" x14ac:dyDescent="0.25">
      <c r="A82">
        <v>180</v>
      </c>
    </row>
    <row r="83" spans="1:1" x14ac:dyDescent="0.25">
      <c r="A83">
        <v>181</v>
      </c>
    </row>
    <row r="84" spans="1:1" x14ac:dyDescent="0.25">
      <c r="A84">
        <v>182</v>
      </c>
    </row>
    <row r="85" spans="1:1" x14ac:dyDescent="0.25">
      <c r="A85">
        <v>183</v>
      </c>
    </row>
    <row r="86" spans="1:1" x14ac:dyDescent="0.25">
      <c r="A86">
        <v>184</v>
      </c>
    </row>
    <row r="87" spans="1:1" x14ac:dyDescent="0.25">
      <c r="A87">
        <v>185</v>
      </c>
    </row>
    <row r="88" spans="1:1" x14ac:dyDescent="0.25">
      <c r="A88">
        <v>186</v>
      </c>
    </row>
    <row r="89" spans="1:1" x14ac:dyDescent="0.25">
      <c r="A89">
        <v>187</v>
      </c>
    </row>
    <row r="90" spans="1:1" x14ac:dyDescent="0.25">
      <c r="A90">
        <v>188</v>
      </c>
    </row>
    <row r="91" spans="1:1" x14ac:dyDescent="0.25">
      <c r="A91">
        <v>189</v>
      </c>
    </row>
    <row r="92" spans="1:1" x14ac:dyDescent="0.25">
      <c r="A92">
        <v>190</v>
      </c>
    </row>
    <row r="93" spans="1:1" x14ac:dyDescent="0.25">
      <c r="A93">
        <v>191</v>
      </c>
    </row>
    <row r="94" spans="1:1" x14ac:dyDescent="0.25">
      <c r="A94">
        <v>192</v>
      </c>
    </row>
    <row r="95" spans="1:1" x14ac:dyDescent="0.25">
      <c r="A95">
        <v>193</v>
      </c>
    </row>
    <row r="96" spans="1:1" x14ac:dyDescent="0.25">
      <c r="A96">
        <v>194</v>
      </c>
    </row>
    <row r="97" spans="1:1" x14ac:dyDescent="0.25">
      <c r="A97">
        <v>195</v>
      </c>
    </row>
    <row r="98" spans="1:1" x14ac:dyDescent="0.25">
      <c r="A98">
        <v>196</v>
      </c>
    </row>
    <row r="99" spans="1:1" x14ac:dyDescent="0.25">
      <c r="A99">
        <v>197</v>
      </c>
    </row>
    <row r="100" spans="1:1" x14ac:dyDescent="0.25">
      <c r="A100">
        <v>198</v>
      </c>
    </row>
    <row r="101" spans="1:1" x14ac:dyDescent="0.25">
      <c r="A101">
        <v>199</v>
      </c>
    </row>
    <row r="102" spans="1:1" x14ac:dyDescent="0.25">
      <c r="A102">
        <v>200</v>
      </c>
    </row>
    <row r="103" spans="1:1" x14ac:dyDescent="0.25">
      <c r="A103">
        <v>201</v>
      </c>
    </row>
    <row r="104" spans="1:1" x14ac:dyDescent="0.25">
      <c r="A104">
        <v>202</v>
      </c>
    </row>
    <row r="105" spans="1:1" x14ac:dyDescent="0.25">
      <c r="A105">
        <v>203</v>
      </c>
    </row>
    <row r="106" spans="1:1" x14ac:dyDescent="0.25">
      <c r="A106">
        <v>204</v>
      </c>
    </row>
    <row r="107" spans="1:1" x14ac:dyDescent="0.25">
      <c r="A107">
        <v>205</v>
      </c>
    </row>
    <row r="108" spans="1:1" x14ac:dyDescent="0.25">
      <c r="A108">
        <v>206</v>
      </c>
    </row>
    <row r="109" spans="1:1" x14ac:dyDescent="0.25">
      <c r="A109">
        <v>207</v>
      </c>
    </row>
    <row r="110" spans="1:1" x14ac:dyDescent="0.25">
      <c r="A110">
        <v>208</v>
      </c>
    </row>
    <row r="111" spans="1:1" x14ac:dyDescent="0.25">
      <c r="A111">
        <v>209</v>
      </c>
    </row>
    <row r="112" spans="1:1" x14ac:dyDescent="0.25">
      <c r="A112">
        <v>210</v>
      </c>
    </row>
    <row r="113" spans="1:1" x14ac:dyDescent="0.25">
      <c r="A113">
        <v>211</v>
      </c>
    </row>
    <row r="114" spans="1:1" x14ac:dyDescent="0.25">
      <c r="A114">
        <v>212</v>
      </c>
    </row>
    <row r="115" spans="1:1" x14ac:dyDescent="0.25">
      <c r="A115">
        <v>213</v>
      </c>
    </row>
    <row r="116" spans="1:1" x14ac:dyDescent="0.25">
      <c r="A116">
        <v>214</v>
      </c>
    </row>
    <row r="117" spans="1:1" x14ac:dyDescent="0.25">
      <c r="A117">
        <v>215</v>
      </c>
    </row>
    <row r="118" spans="1:1" x14ac:dyDescent="0.25">
      <c r="A118">
        <v>216</v>
      </c>
    </row>
    <row r="119" spans="1:1" x14ac:dyDescent="0.25">
      <c r="A119">
        <v>217</v>
      </c>
    </row>
    <row r="120" spans="1:1" x14ac:dyDescent="0.25">
      <c r="A120">
        <v>218</v>
      </c>
    </row>
    <row r="121" spans="1:1" x14ac:dyDescent="0.25">
      <c r="A121">
        <v>219</v>
      </c>
    </row>
    <row r="122" spans="1:1" x14ac:dyDescent="0.25">
      <c r="A122">
        <v>220</v>
      </c>
    </row>
    <row r="123" spans="1:1" x14ac:dyDescent="0.25">
      <c r="A123">
        <v>221</v>
      </c>
    </row>
    <row r="124" spans="1:1" x14ac:dyDescent="0.25">
      <c r="A124">
        <v>222</v>
      </c>
    </row>
    <row r="125" spans="1:1" x14ac:dyDescent="0.25">
      <c r="A125">
        <v>223</v>
      </c>
    </row>
    <row r="126" spans="1:1" x14ac:dyDescent="0.25">
      <c r="A126">
        <v>224</v>
      </c>
    </row>
    <row r="127" spans="1:1" x14ac:dyDescent="0.25">
      <c r="A127">
        <v>225</v>
      </c>
    </row>
    <row r="128" spans="1:1" x14ac:dyDescent="0.25">
      <c r="A128">
        <v>226</v>
      </c>
    </row>
    <row r="129" spans="1:1" x14ac:dyDescent="0.25">
      <c r="A129">
        <v>227</v>
      </c>
    </row>
    <row r="130" spans="1:1" x14ac:dyDescent="0.25">
      <c r="A130">
        <v>228</v>
      </c>
    </row>
    <row r="131" spans="1:1" x14ac:dyDescent="0.25">
      <c r="A131">
        <v>229</v>
      </c>
    </row>
    <row r="132" spans="1:1" x14ac:dyDescent="0.25">
      <c r="A132">
        <v>230</v>
      </c>
    </row>
    <row r="133" spans="1:1" x14ac:dyDescent="0.25">
      <c r="A133">
        <v>231</v>
      </c>
    </row>
    <row r="134" spans="1:1" x14ac:dyDescent="0.25">
      <c r="A134">
        <v>232</v>
      </c>
    </row>
    <row r="135" spans="1:1" x14ac:dyDescent="0.25">
      <c r="A135">
        <v>233</v>
      </c>
    </row>
    <row r="136" spans="1:1" x14ac:dyDescent="0.25">
      <c r="A136">
        <v>234</v>
      </c>
    </row>
    <row r="137" spans="1:1" x14ac:dyDescent="0.25">
      <c r="A137">
        <v>235</v>
      </c>
    </row>
    <row r="138" spans="1:1" x14ac:dyDescent="0.25">
      <c r="A138">
        <v>236</v>
      </c>
    </row>
    <row r="139" spans="1:1" x14ac:dyDescent="0.25">
      <c r="A139">
        <v>237</v>
      </c>
    </row>
    <row r="140" spans="1:1" x14ac:dyDescent="0.25">
      <c r="A140">
        <v>238</v>
      </c>
    </row>
    <row r="141" spans="1:1" x14ac:dyDescent="0.25">
      <c r="A141">
        <v>239</v>
      </c>
    </row>
    <row r="142" spans="1:1" x14ac:dyDescent="0.25">
      <c r="A142">
        <v>240</v>
      </c>
    </row>
    <row r="143" spans="1:1" x14ac:dyDescent="0.25">
      <c r="A143">
        <v>241</v>
      </c>
    </row>
    <row r="144" spans="1:1" x14ac:dyDescent="0.25">
      <c r="A144">
        <v>242</v>
      </c>
    </row>
    <row r="145" spans="1:1" x14ac:dyDescent="0.25">
      <c r="A145">
        <v>243</v>
      </c>
    </row>
    <row r="146" spans="1:1" x14ac:dyDescent="0.25">
      <c r="A146">
        <v>244</v>
      </c>
    </row>
    <row r="147" spans="1:1" x14ac:dyDescent="0.25">
      <c r="A147">
        <v>245</v>
      </c>
    </row>
    <row r="148" spans="1:1" x14ac:dyDescent="0.25">
      <c r="A148">
        <v>246</v>
      </c>
    </row>
    <row r="149" spans="1:1" x14ac:dyDescent="0.25">
      <c r="A149">
        <v>247</v>
      </c>
    </row>
    <row r="150" spans="1:1" x14ac:dyDescent="0.25">
      <c r="A150">
        <v>248</v>
      </c>
    </row>
    <row r="151" spans="1:1" x14ac:dyDescent="0.25">
      <c r="A151">
        <v>249</v>
      </c>
    </row>
    <row r="152" spans="1:1" x14ac:dyDescent="0.25">
      <c r="A152">
        <v>250</v>
      </c>
    </row>
    <row r="153" spans="1:1" x14ac:dyDescent="0.25">
      <c r="A153">
        <v>251</v>
      </c>
    </row>
    <row r="154" spans="1:1" x14ac:dyDescent="0.25">
      <c r="A154">
        <v>252</v>
      </c>
    </row>
    <row r="155" spans="1:1" x14ac:dyDescent="0.25">
      <c r="A155">
        <v>253</v>
      </c>
    </row>
    <row r="156" spans="1:1" x14ac:dyDescent="0.25">
      <c r="A156">
        <v>254</v>
      </c>
    </row>
    <row r="157" spans="1:1" x14ac:dyDescent="0.25">
      <c r="A157">
        <v>255</v>
      </c>
    </row>
    <row r="158" spans="1:1" x14ac:dyDescent="0.25">
      <c r="A158">
        <v>256</v>
      </c>
    </row>
    <row r="159" spans="1:1" x14ac:dyDescent="0.25">
      <c r="A159">
        <v>257</v>
      </c>
    </row>
    <row r="160" spans="1:1" x14ac:dyDescent="0.25">
      <c r="A160">
        <v>258</v>
      </c>
    </row>
    <row r="161" spans="1:1" x14ac:dyDescent="0.25">
      <c r="A161">
        <v>259</v>
      </c>
    </row>
    <row r="162" spans="1:1" x14ac:dyDescent="0.25">
      <c r="A162">
        <v>260</v>
      </c>
    </row>
    <row r="163" spans="1:1" x14ac:dyDescent="0.25">
      <c r="A163">
        <v>261</v>
      </c>
    </row>
    <row r="164" spans="1:1" x14ac:dyDescent="0.25">
      <c r="A164">
        <v>262</v>
      </c>
    </row>
    <row r="165" spans="1:1" x14ac:dyDescent="0.25">
      <c r="A165">
        <v>263</v>
      </c>
    </row>
    <row r="166" spans="1:1" x14ac:dyDescent="0.25">
      <c r="A166">
        <v>264</v>
      </c>
    </row>
    <row r="167" spans="1:1" x14ac:dyDescent="0.25">
      <c r="A167">
        <v>265</v>
      </c>
    </row>
    <row r="168" spans="1:1" x14ac:dyDescent="0.25">
      <c r="A168">
        <v>266</v>
      </c>
    </row>
    <row r="169" spans="1:1" x14ac:dyDescent="0.25">
      <c r="A169">
        <v>267</v>
      </c>
    </row>
    <row r="170" spans="1:1" x14ac:dyDescent="0.25">
      <c r="A170">
        <v>268</v>
      </c>
    </row>
    <row r="171" spans="1:1" x14ac:dyDescent="0.25">
      <c r="A171">
        <v>269</v>
      </c>
    </row>
    <row r="172" spans="1:1" x14ac:dyDescent="0.25">
      <c r="A172">
        <v>270</v>
      </c>
    </row>
    <row r="173" spans="1:1" x14ac:dyDescent="0.25">
      <c r="A173">
        <v>271</v>
      </c>
    </row>
    <row r="174" spans="1:1" x14ac:dyDescent="0.25">
      <c r="A174">
        <v>272</v>
      </c>
    </row>
    <row r="175" spans="1:1" x14ac:dyDescent="0.25">
      <c r="A175">
        <v>273</v>
      </c>
    </row>
    <row r="176" spans="1:1" x14ac:dyDescent="0.25">
      <c r="A176">
        <v>274</v>
      </c>
    </row>
    <row r="177" spans="1:1" x14ac:dyDescent="0.25">
      <c r="A177">
        <v>275</v>
      </c>
    </row>
    <row r="178" spans="1:1" x14ac:dyDescent="0.25">
      <c r="A178">
        <v>276</v>
      </c>
    </row>
    <row r="179" spans="1:1" x14ac:dyDescent="0.25">
      <c r="A179">
        <v>277</v>
      </c>
    </row>
    <row r="180" spans="1:1" x14ac:dyDescent="0.25">
      <c r="A180">
        <v>278</v>
      </c>
    </row>
    <row r="181" spans="1:1" x14ac:dyDescent="0.25">
      <c r="A181">
        <v>279</v>
      </c>
    </row>
    <row r="182" spans="1:1" x14ac:dyDescent="0.25">
      <c r="A182">
        <v>280</v>
      </c>
    </row>
    <row r="183" spans="1:1" x14ac:dyDescent="0.25">
      <c r="A183">
        <v>281</v>
      </c>
    </row>
    <row r="184" spans="1:1" x14ac:dyDescent="0.25">
      <c r="A184">
        <v>282</v>
      </c>
    </row>
    <row r="185" spans="1:1" x14ac:dyDescent="0.25">
      <c r="A185">
        <v>283</v>
      </c>
    </row>
    <row r="186" spans="1:1" x14ac:dyDescent="0.25">
      <c r="A186">
        <v>284</v>
      </c>
    </row>
    <row r="187" spans="1:1" x14ac:dyDescent="0.25">
      <c r="A187">
        <v>285</v>
      </c>
    </row>
    <row r="188" spans="1:1" x14ac:dyDescent="0.25">
      <c r="A188">
        <v>286</v>
      </c>
    </row>
    <row r="189" spans="1:1" x14ac:dyDescent="0.25">
      <c r="A189">
        <v>287</v>
      </c>
    </row>
    <row r="190" spans="1:1" x14ac:dyDescent="0.25">
      <c r="A190">
        <v>288</v>
      </c>
    </row>
    <row r="191" spans="1:1" x14ac:dyDescent="0.25">
      <c r="A191">
        <v>289</v>
      </c>
    </row>
    <row r="192" spans="1:1" x14ac:dyDescent="0.25">
      <c r="A192">
        <v>290</v>
      </c>
    </row>
    <row r="193" spans="1:1" x14ac:dyDescent="0.25">
      <c r="A193">
        <v>291</v>
      </c>
    </row>
    <row r="194" spans="1:1" x14ac:dyDescent="0.25">
      <c r="A194">
        <v>292</v>
      </c>
    </row>
    <row r="195" spans="1:1" x14ac:dyDescent="0.25">
      <c r="A195">
        <v>293</v>
      </c>
    </row>
    <row r="196" spans="1:1" x14ac:dyDescent="0.25">
      <c r="A196">
        <v>294</v>
      </c>
    </row>
    <row r="197" spans="1:1" x14ac:dyDescent="0.25">
      <c r="A197">
        <v>295</v>
      </c>
    </row>
    <row r="198" spans="1:1" x14ac:dyDescent="0.25">
      <c r="A198">
        <v>296</v>
      </c>
    </row>
    <row r="199" spans="1:1" x14ac:dyDescent="0.25">
      <c r="A199">
        <v>297</v>
      </c>
    </row>
    <row r="200" spans="1:1" x14ac:dyDescent="0.25">
      <c r="A200">
        <v>298</v>
      </c>
    </row>
    <row r="201" spans="1:1" x14ac:dyDescent="0.25">
      <c r="A201">
        <v>299</v>
      </c>
    </row>
    <row r="202" spans="1:1" x14ac:dyDescent="0.25">
      <c r="A202">
        <v>300</v>
      </c>
    </row>
    <row r="203" spans="1:1" x14ac:dyDescent="0.25">
      <c r="A203">
        <v>301</v>
      </c>
    </row>
    <row r="204" spans="1:1" x14ac:dyDescent="0.25">
      <c r="A204">
        <v>302</v>
      </c>
    </row>
    <row r="205" spans="1:1" x14ac:dyDescent="0.25">
      <c r="A205">
        <v>303</v>
      </c>
    </row>
    <row r="206" spans="1:1" x14ac:dyDescent="0.25">
      <c r="A206">
        <v>304</v>
      </c>
    </row>
    <row r="207" spans="1:1" x14ac:dyDescent="0.25">
      <c r="A207">
        <v>305</v>
      </c>
    </row>
    <row r="208" spans="1:1" x14ac:dyDescent="0.25">
      <c r="A208">
        <v>306</v>
      </c>
    </row>
    <row r="209" spans="1:1" x14ac:dyDescent="0.25">
      <c r="A209">
        <v>307</v>
      </c>
    </row>
    <row r="210" spans="1:1" x14ac:dyDescent="0.25">
      <c r="A210">
        <v>308</v>
      </c>
    </row>
    <row r="211" spans="1:1" x14ac:dyDescent="0.25">
      <c r="A211">
        <v>309</v>
      </c>
    </row>
    <row r="212" spans="1:1" x14ac:dyDescent="0.25">
      <c r="A212">
        <v>310</v>
      </c>
    </row>
    <row r="213" spans="1:1" x14ac:dyDescent="0.25">
      <c r="A213">
        <v>311</v>
      </c>
    </row>
    <row r="214" spans="1:1" x14ac:dyDescent="0.25">
      <c r="A214">
        <v>312</v>
      </c>
    </row>
    <row r="215" spans="1:1" x14ac:dyDescent="0.25">
      <c r="A215">
        <v>313</v>
      </c>
    </row>
    <row r="216" spans="1:1" x14ac:dyDescent="0.25">
      <c r="A216">
        <v>314</v>
      </c>
    </row>
    <row r="217" spans="1:1" x14ac:dyDescent="0.25">
      <c r="A217">
        <v>315</v>
      </c>
    </row>
    <row r="218" spans="1:1" x14ac:dyDescent="0.25">
      <c r="A218">
        <v>316</v>
      </c>
    </row>
    <row r="219" spans="1:1" x14ac:dyDescent="0.25">
      <c r="A219">
        <v>317</v>
      </c>
    </row>
    <row r="220" spans="1:1" x14ac:dyDescent="0.25">
      <c r="A220">
        <v>318</v>
      </c>
    </row>
    <row r="221" spans="1:1" x14ac:dyDescent="0.25">
      <c r="A221">
        <v>319</v>
      </c>
    </row>
    <row r="222" spans="1:1" x14ac:dyDescent="0.25">
      <c r="A222">
        <v>320</v>
      </c>
    </row>
    <row r="223" spans="1:1" x14ac:dyDescent="0.25">
      <c r="A223">
        <v>321</v>
      </c>
    </row>
    <row r="224" spans="1:1" x14ac:dyDescent="0.25">
      <c r="A224">
        <v>322</v>
      </c>
    </row>
    <row r="225" spans="1:1" x14ac:dyDescent="0.25">
      <c r="A225">
        <v>323</v>
      </c>
    </row>
    <row r="226" spans="1:1" x14ac:dyDescent="0.25">
      <c r="A226">
        <v>324</v>
      </c>
    </row>
    <row r="227" spans="1:1" x14ac:dyDescent="0.25">
      <c r="A227">
        <v>325</v>
      </c>
    </row>
    <row r="228" spans="1:1" x14ac:dyDescent="0.25">
      <c r="A228">
        <v>326</v>
      </c>
    </row>
    <row r="229" spans="1:1" x14ac:dyDescent="0.25">
      <c r="A229">
        <v>327</v>
      </c>
    </row>
    <row r="230" spans="1:1" x14ac:dyDescent="0.25">
      <c r="A230">
        <v>328</v>
      </c>
    </row>
    <row r="231" spans="1:1" x14ac:dyDescent="0.25">
      <c r="A231">
        <v>329</v>
      </c>
    </row>
    <row r="232" spans="1:1" x14ac:dyDescent="0.25">
      <c r="A232">
        <v>330</v>
      </c>
    </row>
    <row r="233" spans="1:1" x14ac:dyDescent="0.25">
      <c r="A233">
        <v>331</v>
      </c>
    </row>
    <row r="234" spans="1:1" x14ac:dyDescent="0.25">
      <c r="A234">
        <v>332</v>
      </c>
    </row>
    <row r="235" spans="1:1" x14ac:dyDescent="0.25">
      <c r="A235">
        <v>333</v>
      </c>
    </row>
    <row r="236" spans="1:1" x14ac:dyDescent="0.25">
      <c r="A236">
        <v>334</v>
      </c>
    </row>
    <row r="237" spans="1:1" x14ac:dyDescent="0.25">
      <c r="A237">
        <v>335</v>
      </c>
    </row>
    <row r="238" spans="1:1" x14ac:dyDescent="0.25">
      <c r="A238">
        <v>336</v>
      </c>
    </row>
    <row r="239" spans="1:1" x14ac:dyDescent="0.25">
      <c r="A239">
        <v>337</v>
      </c>
    </row>
    <row r="240" spans="1:1" x14ac:dyDescent="0.25">
      <c r="A240">
        <v>338</v>
      </c>
    </row>
    <row r="241" spans="1:1" x14ac:dyDescent="0.25">
      <c r="A241">
        <v>339</v>
      </c>
    </row>
    <row r="242" spans="1:1" x14ac:dyDescent="0.25">
      <c r="A242">
        <v>340</v>
      </c>
    </row>
    <row r="243" spans="1:1" x14ac:dyDescent="0.25">
      <c r="A243">
        <v>341</v>
      </c>
    </row>
    <row r="244" spans="1:1" x14ac:dyDescent="0.25">
      <c r="A244">
        <v>342</v>
      </c>
    </row>
    <row r="245" spans="1:1" x14ac:dyDescent="0.25">
      <c r="A245">
        <v>343</v>
      </c>
    </row>
    <row r="246" spans="1:1" x14ac:dyDescent="0.25">
      <c r="A246">
        <v>344</v>
      </c>
    </row>
    <row r="247" spans="1:1" x14ac:dyDescent="0.25">
      <c r="A247">
        <v>345</v>
      </c>
    </row>
    <row r="248" spans="1:1" x14ac:dyDescent="0.25">
      <c r="A248">
        <v>346</v>
      </c>
    </row>
    <row r="249" spans="1:1" x14ac:dyDescent="0.25">
      <c r="A249">
        <v>347</v>
      </c>
    </row>
    <row r="250" spans="1:1" x14ac:dyDescent="0.25">
      <c r="A250">
        <v>348</v>
      </c>
    </row>
    <row r="251" spans="1:1" x14ac:dyDescent="0.25">
      <c r="A251">
        <v>349</v>
      </c>
    </row>
    <row r="252" spans="1:1" x14ac:dyDescent="0.25">
      <c r="A252">
        <v>350</v>
      </c>
    </row>
    <row r="253" spans="1:1" x14ac:dyDescent="0.25">
      <c r="A253">
        <v>351</v>
      </c>
    </row>
    <row r="254" spans="1:1" x14ac:dyDescent="0.25">
      <c r="A254">
        <v>352</v>
      </c>
    </row>
    <row r="255" spans="1:1" x14ac:dyDescent="0.25">
      <c r="A255">
        <v>353</v>
      </c>
    </row>
    <row r="256" spans="1:1" x14ac:dyDescent="0.25">
      <c r="A256">
        <v>354</v>
      </c>
    </row>
    <row r="257" spans="1:1" x14ac:dyDescent="0.25">
      <c r="A257">
        <v>355</v>
      </c>
    </row>
    <row r="258" spans="1:1" x14ac:dyDescent="0.25">
      <c r="A258">
        <v>356</v>
      </c>
    </row>
    <row r="259" spans="1:1" x14ac:dyDescent="0.25">
      <c r="A259">
        <v>357</v>
      </c>
    </row>
    <row r="260" spans="1:1" x14ac:dyDescent="0.25">
      <c r="A260">
        <v>358</v>
      </c>
    </row>
    <row r="261" spans="1:1" x14ac:dyDescent="0.25">
      <c r="A261">
        <v>359</v>
      </c>
    </row>
    <row r="262" spans="1:1" x14ac:dyDescent="0.25">
      <c r="A262">
        <v>360</v>
      </c>
    </row>
    <row r="263" spans="1:1" x14ac:dyDescent="0.25">
      <c r="A263">
        <v>361</v>
      </c>
    </row>
    <row r="264" spans="1:1" x14ac:dyDescent="0.25">
      <c r="A264">
        <v>362</v>
      </c>
    </row>
    <row r="265" spans="1:1" x14ac:dyDescent="0.25">
      <c r="A265">
        <v>363</v>
      </c>
    </row>
    <row r="266" spans="1:1" x14ac:dyDescent="0.25">
      <c r="A266">
        <v>364</v>
      </c>
    </row>
    <row r="267" spans="1:1" x14ac:dyDescent="0.25">
      <c r="A267">
        <v>365</v>
      </c>
    </row>
    <row r="268" spans="1:1" x14ac:dyDescent="0.25">
      <c r="A268">
        <v>366</v>
      </c>
    </row>
    <row r="269" spans="1:1" x14ac:dyDescent="0.25">
      <c r="A269">
        <v>367</v>
      </c>
    </row>
    <row r="270" spans="1:1" x14ac:dyDescent="0.25">
      <c r="A270">
        <v>368</v>
      </c>
    </row>
    <row r="271" spans="1:1" x14ac:dyDescent="0.25">
      <c r="A271">
        <v>369</v>
      </c>
    </row>
    <row r="272" spans="1:1" x14ac:dyDescent="0.25">
      <c r="A272">
        <v>370</v>
      </c>
    </row>
    <row r="273" spans="1:1" x14ac:dyDescent="0.25">
      <c r="A273">
        <v>371</v>
      </c>
    </row>
    <row r="274" spans="1:1" x14ac:dyDescent="0.25">
      <c r="A274">
        <v>372</v>
      </c>
    </row>
    <row r="275" spans="1:1" x14ac:dyDescent="0.25">
      <c r="A275">
        <v>373</v>
      </c>
    </row>
    <row r="276" spans="1:1" x14ac:dyDescent="0.25">
      <c r="A276">
        <v>374</v>
      </c>
    </row>
    <row r="277" spans="1:1" x14ac:dyDescent="0.25">
      <c r="A277">
        <v>375</v>
      </c>
    </row>
    <row r="278" spans="1:1" x14ac:dyDescent="0.25">
      <c r="A278">
        <v>376</v>
      </c>
    </row>
    <row r="279" spans="1:1" x14ac:dyDescent="0.25">
      <c r="A279">
        <v>377</v>
      </c>
    </row>
    <row r="280" spans="1:1" x14ac:dyDescent="0.25">
      <c r="A280">
        <v>378</v>
      </c>
    </row>
    <row r="281" spans="1:1" x14ac:dyDescent="0.25">
      <c r="A281">
        <v>379</v>
      </c>
    </row>
    <row r="282" spans="1:1" x14ac:dyDescent="0.25">
      <c r="A282">
        <v>380</v>
      </c>
    </row>
    <row r="283" spans="1:1" x14ac:dyDescent="0.25">
      <c r="A283">
        <v>381</v>
      </c>
    </row>
    <row r="284" spans="1:1" x14ac:dyDescent="0.25">
      <c r="A284">
        <v>382</v>
      </c>
    </row>
    <row r="285" spans="1:1" x14ac:dyDescent="0.25">
      <c r="A285">
        <v>383</v>
      </c>
    </row>
    <row r="286" spans="1:1" x14ac:dyDescent="0.25">
      <c r="A286">
        <v>384</v>
      </c>
    </row>
    <row r="287" spans="1:1" x14ac:dyDescent="0.25">
      <c r="A287">
        <v>385</v>
      </c>
    </row>
    <row r="288" spans="1:1" x14ac:dyDescent="0.25">
      <c r="A288">
        <v>386</v>
      </c>
    </row>
    <row r="289" spans="1:1" x14ac:dyDescent="0.25">
      <c r="A289">
        <v>387</v>
      </c>
    </row>
    <row r="290" spans="1:1" x14ac:dyDescent="0.25">
      <c r="A290">
        <v>388</v>
      </c>
    </row>
    <row r="291" spans="1:1" x14ac:dyDescent="0.25">
      <c r="A291">
        <v>389</v>
      </c>
    </row>
    <row r="292" spans="1:1" x14ac:dyDescent="0.25">
      <c r="A292">
        <v>390</v>
      </c>
    </row>
    <row r="293" spans="1:1" x14ac:dyDescent="0.25">
      <c r="A293">
        <v>391</v>
      </c>
    </row>
    <row r="294" spans="1:1" x14ac:dyDescent="0.25">
      <c r="A294">
        <v>392</v>
      </c>
    </row>
    <row r="295" spans="1:1" x14ac:dyDescent="0.25">
      <c r="A295">
        <v>393</v>
      </c>
    </row>
    <row r="296" spans="1:1" x14ac:dyDescent="0.25">
      <c r="A296">
        <v>394</v>
      </c>
    </row>
    <row r="297" spans="1:1" x14ac:dyDescent="0.25">
      <c r="A297">
        <v>395</v>
      </c>
    </row>
    <row r="298" spans="1:1" x14ac:dyDescent="0.25">
      <c r="A298">
        <v>396</v>
      </c>
    </row>
    <row r="299" spans="1:1" x14ac:dyDescent="0.25">
      <c r="A299">
        <v>397</v>
      </c>
    </row>
    <row r="300" spans="1:1" x14ac:dyDescent="0.25">
      <c r="A300">
        <v>398</v>
      </c>
    </row>
    <row r="301" spans="1:1" x14ac:dyDescent="0.25">
      <c r="A301">
        <v>399</v>
      </c>
    </row>
    <row r="302" spans="1:1" x14ac:dyDescent="0.25">
      <c r="A302">
        <v>400</v>
      </c>
    </row>
    <row r="303" spans="1:1" x14ac:dyDescent="0.25">
      <c r="A303">
        <v>401</v>
      </c>
    </row>
    <row r="304" spans="1:1" x14ac:dyDescent="0.25">
      <c r="A304">
        <v>402</v>
      </c>
    </row>
    <row r="305" spans="1:1" x14ac:dyDescent="0.25">
      <c r="A305">
        <v>403</v>
      </c>
    </row>
    <row r="306" spans="1:1" x14ac:dyDescent="0.25">
      <c r="A306">
        <v>404</v>
      </c>
    </row>
    <row r="307" spans="1:1" x14ac:dyDescent="0.25">
      <c r="A307">
        <v>405</v>
      </c>
    </row>
    <row r="308" spans="1:1" x14ac:dyDescent="0.25">
      <c r="A308">
        <v>406</v>
      </c>
    </row>
    <row r="309" spans="1:1" x14ac:dyDescent="0.25">
      <c r="A309">
        <v>407</v>
      </c>
    </row>
    <row r="310" spans="1:1" x14ac:dyDescent="0.25">
      <c r="A310">
        <v>408</v>
      </c>
    </row>
    <row r="311" spans="1:1" x14ac:dyDescent="0.25">
      <c r="A311">
        <v>409</v>
      </c>
    </row>
    <row r="312" spans="1:1" x14ac:dyDescent="0.25">
      <c r="A312">
        <v>410</v>
      </c>
    </row>
    <row r="313" spans="1:1" x14ac:dyDescent="0.25">
      <c r="A313">
        <v>411</v>
      </c>
    </row>
    <row r="314" spans="1:1" x14ac:dyDescent="0.25">
      <c r="A314">
        <v>412</v>
      </c>
    </row>
    <row r="315" spans="1:1" x14ac:dyDescent="0.25">
      <c r="A315">
        <v>413</v>
      </c>
    </row>
    <row r="316" spans="1:1" x14ac:dyDescent="0.25">
      <c r="A316">
        <v>414</v>
      </c>
    </row>
    <row r="317" spans="1:1" x14ac:dyDescent="0.25">
      <c r="A317">
        <v>415</v>
      </c>
    </row>
    <row r="318" spans="1:1" x14ac:dyDescent="0.25">
      <c r="A318">
        <v>416</v>
      </c>
    </row>
    <row r="319" spans="1:1" x14ac:dyDescent="0.25">
      <c r="A319">
        <v>417</v>
      </c>
    </row>
    <row r="320" spans="1:1" x14ac:dyDescent="0.25">
      <c r="A320">
        <v>418</v>
      </c>
    </row>
    <row r="321" spans="1:1" x14ac:dyDescent="0.25">
      <c r="A321">
        <v>419</v>
      </c>
    </row>
    <row r="322" spans="1:1" x14ac:dyDescent="0.25">
      <c r="A322">
        <v>420</v>
      </c>
    </row>
    <row r="323" spans="1:1" x14ac:dyDescent="0.25">
      <c r="A323">
        <v>421</v>
      </c>
    </row>
    <row r="324" spans="1:1" x14ac:dyDescent="0.25">
      <c r="A324">
        <v>422</v>
      </c>
    </row>
    <row r="325" spans="1:1" x14ac:dyDescent="0.25">
      <c r="A325">
        <v>423</v>
      </c>
    </row>
    <row r="326" spans="1:1" x14ac:dyDescent="0.25">
      <c r="A326">
        <v>424</v>
      </c>
    </row>
    <row r="327" spans="1:1" x14ac:dyDescent="0.25">
      <c r="A327">
        <v>425</v>
      </c>
    </row>
    <row r="328" spans="1:1" x14ac:dyDescent="0.25">
      <c r="A328">
        <v>426</v>
      </c>
    </row>
    <row r="329" spans="1:1" x14ac:dyDescent="0.25">
      <c r="A329">
        <v>427</v>
      </c>
    </row>
    <row r="330" spans="1:1" x14ac:dyDescent="0.25">
      <c r="A330">
        <v>428</v>
      </c>
    </row>
    <row r="331" spans="1:1" x14ac:dyDescent="0.25">
      <c r="A331">
        <v>429</v>
      </c>
    </row>
    <row r="332" spans="1:1" x14ac:dyDescent="0.25">
      <c r="A332">
        <v>430</v>
      </c>
    </row>
    <row r="333" spans="1:1" x14ac:dyDescent="0.25">
      <c r="A333">
        <v>431</v>
      </c>
    </row>
    <row r="334" spans="1:1" x14ac:dyDescent="0.25">
      <c r="A334">
        <v>432</v>
      </c>
    </row>
    <row r="335" spans="1:1" x14ac:dyDescent="0.25">
      <c r="A335">
        <v>433</v>
      </c>
    </row>
    <row r="336" spans="1:1" x14ac:dyDescent="0.25">
      <c r="A336">
        <v>434</v>
      </c>
    </row>
    <row r="337" spans="1:1" x14ac:dyDescent="0.25">
      <c r="A337">
        <v>435</v>
      </c>
    </row>
    <row r="338" spans="1:1" x14ac:dyDescent="0.25">
      <c r="A338">
        <v>436</v>
      </c>
    </row>
    <row r="339" spans="1:1" x14ac:dyDescent="0.25">
      <c r="A339">
        <v>437</v>
      </c>
    </row>
    <row r="340" spans="1:1" x14ac:dyDescent="0.25">
      <c r="A340">
        <v>438</v>
      </c>
    </row>
    <row r="341" spans="1:1" x14ac:dyDescent="0.25">
      <c r="A341">
        <v>439</v>
      </c>
    </row>
    <row r="342" spans="1:1" x14ac:dyDescent="0.25">
      <c r="A342">
        <v>440</v>
      </c>
    </row>
    <row r="343" spans="1:1" x14ac:dyDescent="0.25">
      <c r="A343">
        <v>441</v>
      </c>
    </row>
    <row r="344" spans="1:1" x14ac:dyDescent="0.25">
      <c r="A344">
        <v>442</v>
      </c>
    </row>
    <row r="345" spans="1:1" x14ac:dyDescent="0.25">
      <c r="A345">
        <v>443</v>
      </c>
    </row>
    <row r="346" spans="1:1" x14ac:dyDescent="0.25">
      <c r="A346">
        <v>444</v>
      </c>
    </row>
    <row r="347" spans="1:1" x14ac:dyDescent="0.25">
      <c r="A347">
        <v>445</v>
      </c>
    </row>
    <row r="348" spans="1:1" x14ac:dyDescent="0.25">
      <c r="A348">
        <v>446</v>
      </c>
    </row>
    <row r="349" spans="1:1" x14ac:dyDescent="0.25">
      <c r="A349">
        <v>447</v>
      </c>
    </row>
    <row r="350" spans="1:1" x14ac:dyDescent="0.25">
      <c r="A350">
        <v>448</v>
      </c>
    </row>
    <row r="351" spans="1:1" x14ac:dyDescent="0.25">
      <c r="A351">
        <v>449</v>
      </c>
    </row>
    <row r="352" spans="1:1" x14ac:dyDescent="0.25">
      <c r="A352">
        <v>450</v>
      </c>
    </row>
    <row r="353" spans="1:1" x14ac:dyDescent="0.25">
      <c r="A353">
        <v>451</v>
      </c>
    </row>
    <row r="354" spans="1:1" x14ac:dyDescent="0.25">
      <c r="A354">
        <v>452</v>
      </c>
    </row>
    <row r="355" spans="1:1" x14ac:dyDescent="0.25">
      <c r="A355">
        <v>453</v>
      </c>
    </row>
    <row r="356" spans="1:1" x14ac:dyDescent="0.25">
      <c r="A356">
        <v>454</v>
      </c>
    </row>
    <row r="357" spans="1:1" x14ac:dyDescent="0.25">
      <c r="A357">
        <v>455</v>
      </c>
    </row>
    <row r="358" spans="1:1" x14ac:dyDescent="0.25">
      <c r="A358">
        <v>456</v>
      </c>
    </row>
    <row r="359" spans="1:1" x14ac:dyDescent="0.25">
      <c r="A359">
        <v>457</v>
      </c>
    </row>
    <row r="360" spans="1:1" x14ac:dyDescent="0.25">
      <c r="A360">
        <v>458</v>
      </c>
    </row>
    <row r="361" spans="1:1" x14ac:dyDescent="0.25">
      <c r="A361">
        <v>459</v>
      </c>
    </row>
    <row r="362" spans="1:1" x14ac:dyDescent="0.25">
      <c r="A362">
        <v>460</v>
      </c>
    </row>
    <row r="363" spans="1:1" x14ac:dyDescent="0.25">
      <c r="A363">
        <v>461</v>
      </c>
    </row>
    <row r="364" spans="1:1" x14ac:dyDescent="0.25">
      <c r="A364">
        <v>462</v>
      </c>
    </row>
    <row r="365" spans="1:1" x14ac:dyDescent="0.25">
      <c r="A365">
        <v>463</v>
      </c>
    </row>
    <row r="366" spans="1:1" x14ac:dyDescent="0.25">
      <c r="A366">
        <v>464</v>
      </c>
    </row>
    <row r="367" spans="1:1" x14ac:dyDescent="0.25">
      <c r="A367">
        <v>465</v>
      </c>
    </row>
    <row r="368" spans="1:1" x14ac:dyDescent="0.25">
      <c r="A368">
        <v>466</v>
      </c>
    </row>
    <row r="369" spans="1:1" x14ac:dyDescent="0.25">
      <c r="A369">
        <v>467</v>
      </c>
    </row>
    <row r="370" spans="1:1" x14ac:dyDescent="0.25">
      <c r="A370">
        <v>468</v>
      </c>
    </row>
    <row r="371" spans="1:1" x14ac:dyDescent="0.25">
      <c r="A371">
        <v>469</v>
      </c>
    </row>
    <row r="372" spans="1:1" x14ac:dyDescent="0.25">
      <c r="A372">
        <v>470</v>
      </c>
    </row>
    <row r="373" spans="1:1" x14ac:dyDescent="0.25">
      <c r="A373">
        <v>471</v>
      </c>
    </row>
    <row r="374" spans="1:1" x14ac:dyDescent="0.25">
      <c r="A374">
        <v>472</v>
      </c>
    </row>
    <row r="375" spans="1:1" x14ac:dyDescent="0.25">
      <c r="A375">
        <v>473</v>
      </c>
    </row>
    <row r="376" spans="1:1" x14ac:dyDescent="0.25">
      <c r="A376">
        <v>474</v>
      </c>
    </row>
    <row r="377" spans="1:1" x14ac:dyDescent="0.25">
      <c r="A377">
        <v>475</v>
      </c>
    </row>
    <row r="378" spans="1:1" x14ac:dyDescent="0.25">
      <c r="A378">
        <v>476</v>
      </c>
    </row>
    <row r="379" spans="1:1" x14ac:dyDescent="0.25">
      <c r="A379">
        <v>477</v>
      </c>
    </row>
    <row r="380" spans="1:1" x14ac:dyDescent="0.25">
      <c r="A380">
        <v>478</v>
      </c>
    </row>
    <row r="381" spans="1:1" x14ac:dyDescent="0.25">
      <c r="A381">
        <v>479</v>
      </c>
    </row>
    <row r="382" spans="1:1" x14ac:dyDescent="0.25">
      <c r="A382">
        <v>480</v>
      </c>
    </row>
    <row r="383" spans="1:1" x14ac:dyDescent="0.25">
      <c r="A383">
        <v>481</v>
      </c>
    </row>
    <row r="384" spans="1:1" x14ac:dyDescent="0.25">
      <c r="A384">
        <v>482</v>
      </c>
    </row>
    <row r="385" spans="1:1" x14ac:dyDescent="0.25">
      <c r="A385">
        <v>483</v>
      </c>
    </row>
    <row r="386" spans="1:1" x14ac:dyDescent="0.25">
      <c r="A386">
        <v>484</v>
      </c>
    </row>
    <row r="387" spans="1:1" x14ac:dyDescent="0.25">
      <c r="A387">
        <v>485</v>
      </c>
    </row>
    <row r="388" spans="1:1" x14ac:dyDescent="0.25">
      <c r="A388">
        <v>486</v>
      </c>
    </row>
    <row r="389" spans="1:1" x14ac:dyDescent="0.25">
      <c r="A389">
        <v>487</v>
      </c>
    </row>
    <row r="390" spans="1:1" x14ac:dyDescent="0.25">
      <c r="A390">
        <v>488</v>
      </c>
    </row>
    <row r="391" spans="1:1" x14ac:dyDescent="0.25">
      <c r="A391">
        <v>489</v>
      </c>
    </row>
    <row r="392" spans="1:1" x14ac:dyDescent="0.25">
      <c r="A392">
        <v>490</v>
      </c>
    </row>
    <row r="393" spans="1:1" x14ac:dyDescent="0.25">
      <c r="A393">
        <v>491</v>
      </c>
    </row>
    <row r="394" spans="1:1" x14ac:dyDescent="0.25">
      <c r="A394">
        <v>492</v>
      </c>
    </row>
    <row r="395" spans="1:1" x14ac:dyDescent="0.25">
      <c r="A395">
        <v>493</v>
      </c>
    </row>
    <row r="396" spans="1:1" x14ac:dyDescent="0.25">
      <c r="A396">
        <v>494</v>
      </c>
    </row>
    <row r="397" spans="1:1" x14ac:dyDescent="0.25">
      <c r="A397">
        <v>495</v>
      </c>
    </row>
    <row r="398" spans="1:1" x14ac:dyDescent="0.25">
      <c r="A398">
        <v>496</v>
      </c>
    </row>
    <row r="399" spans="1:1" x14ac:dyDescent="0.25">
      <c r="A399">
        <v>497</v>
      </c>
    </row>
    <row r="400" spans="1:1" x14ac:dyDescent="0.25">
      <c r="A400">
        <v>498</v>
      </c>
    </row>
    <row r="401" spans="1:1" x14ac:dyDescent="0.25">
      <c r="A401">
        <v>499</v>
      </c>
    </row>
    <row r="402" spans="1:1" x14ac:dyDescent="0.25">
      <c r="A402">
        <v>500</v>
      </c>
    </row>
    <row r="403" spans="1:1" x14ac:dyDescent="0.25">
      <c r="A403">
        <v>501</v>
      </c>
    </row>
    <row r="404" spans="1:1" x14ac:dyDescent="0.25">
      <c r="A404">
        <v>502</v>
      </c>
    </row>
    <row r="405" spans="1:1" x14ac:dyDescent="0.25">
      <c r="A405">
        <v>503</v>
      </c>
    </row>
    <row r="406" spans="1:1" x14ac:dyDescent="0.25">
      <c r="A406">
        <v>504</v>
      </c>
    </row>
    <row r="407" spans="1:1" x14ac:dyDescent="0.25">
      <c r="A407">
        <v>505</v>
      </c>
    </row>
    <row r="408" spans="1:1" x14ac:dyDescent="0.25">
      <c r="A408">
        <v>506</v>
      </c>
    </row>
    <row r="409" spans="1:1" x14ac:dyDescent="0.25">
      <c r="A409">
        <v>507</v>
      </c>
    </row>
    <row r="410" spans="1:1" x14ac:dyDescent="0.25">
      <c r="A410">
        <v>508</v>
      </c>
    </row>
    <row r="411" spans="1:1" x14ac:dyDescent="0.25">
      <c r="A411">
        <v>509</v>
      </c>
    </row>
    <row r="412" spans="1:1" x14ac:dyDescent="0.25">
      <c r="A412">
        <v>510</v>
      </c>
    </row>
    <row r="413" spans="1:1" x14ac:dyDescent="0.25">
      <c r="A413">
        <v>511</v>
      </c>
    </row>
    <row r="414" spans="1:1" x14ac:dyDescent="0.25">
      <c r="A414">
        <v>512</v>
      </c>
    </row>
    <row r="415" spans="1:1" x14ac:dyDescent="0.25">
      <c r="A415">
        <v>513</v>
      </c>
    </row>
    <row r="416" spans="1:1" x14ac:dyDescent="0.25">
      <c r="A416">
        <v>514</v>
      </c>
    </row>
    <row r="417" spans="1:1" x14ac:dyDescent="0.25">
      <c r="A417">
        <v>515</v>
      </c>
    </row>
    <row r="418" spans="1:1" x14ac:dyDescent="0.25">
      <c r="A418">
        <v>516</v>
      </c>
    </row>
    <row r="419" spans="1:1" x14ac:dyDescent="0.25">
      <c r="A419">
        <v>517</v>
      </c>
    </row>
    <row r="420" spans="1:1" x14ac:dyDescent="0.25">
      <c r="A420">
        <v>518</v>
      </c>
    </row>
    <row r="421" spans="1:1" x14ac:dyDescent="0.25">
      <c r="A421">
        <v>519</v>
      </c>
    </row>
    <row r="422" spans="1:1" x14ac:dyDescent="0.25">
      <c r="A422">
        <v>520</v>
      </c>
    </row>
    <row r="423" spans="1:1" x14ac:dyDescent="0.25">
      <c r="A423">
        <v>521</v>
      </c>
    </row>
    <row r="424" spans="1:1" x14ac:dyDescent="0.25">
      <c r="A424">
        <v>522</v>
      </c>
    </row>
    <row r="425" spans="1:1" x14ac:dyDescent="0.25">
      <c r="A425">
        <v>523</v>
      </c>
    </row>
    <row r="426" spans="1:1" x14ac:dyDescent="0.25">
      <c r="A426">
        <v>524</v>
      </c>
    </row>
    <row r="427" spans="1:1" x14ac:dyDescent="0.25">
      <c r="A427">
        <v>525</v>
      </c>
    </row>
    <row r="428" spans="1:1" x14ac:dyDescent="0.25">
      <c r="A428">
        <v>526</v>
      </c>
    </row>
    <row r="429" spans="1:1" x14ac:dyDescent="0.25">
      <c r="A429">
        <v>527</v>
      </c>
    </row>
    <row r="430" spans="1:1" x14ac:dyDescent="0.25">
      <c r="A430">
        <v>528</v>
      </c>
    </row>
    <row r="431" spans="1:1" x14ac:dyDescent="0.25">
      <c r="A431">
        <v>529</v>
      </c>
    </row>
    <row r="432" spans="1:1" x14ac:dyDescent="0.25">
      <c r="A432">
        <v>530</v>
      </c>
    </row>
    <row r="433" spans="1:1" x14ac:dyDescent="0.25">
      <c r="A433">
        <v>531</v>
      </c>
    </row>
    <row r="434" spans="1:1" x14ac:dyDescent="0.25">
      <c r="A434">
        <v>532</v>
      </c>
    </row>
    <row r="435" spans="1:1" x14ac:dyDescent="0.25">
      <c r="A435">
        <v>533</v>
      </c>
    </row>
    <row r="436" spans="1:1" x14ac:dyDescent="0.25">
      <c r="A436">
        <v>534</v>
      </c>
    </row>
    <row r="437" spans="1:1" x14ac:dyDescent="0.25">
      <c r="A437">
        <v>535</v>
      </c>
    </row>
    <row r="438" spans="1:1" x14ac:dyDescent="0.25">
      <c r="A438">
        <v>536</v>
      </c>
    </row>
    <row r="439" spans="1:1" x14ac:dyDescent="0.25">
      <c r="A439">
        <v>537</v>
      </c>
    </row>
    <row r="440" spans="1:1" x14ac:dyDescent="0.25">
      <c r="A440">
        <v>538</v>
      </c>
    </row>
    <row r="441" spans="1:1" x14ac:dyDescent="0.25">
      <c r="A441">
        <v>539</v>
      </c>
    </row>
    <row r="442" spans="1:1" x14ac:dyDescent="0.25">
      <c r="A442">
        <v>540</v>
      </c>
    </row>
    <row r="443" spans="1:1" x14ac:dyDescent="0.25">
      <c r="A443">
        <v>541</v>
      </c>
    </row>
    <row r="444" spans="1:1" x14ac:dyDescent="0.25">
      <c r="A444">
        <v>542</v>
      </c>
    </row>
    <row r="445" spans="1:1" x14ac:dyDescent="0.25">
      <c r="A445">
        <v>543</v>
      </c>
    </row>
    <row r="446" spans="1:1" x14ac:dyDescent="0.25">
      <c r="A446">
        <v>544</v>
      </c>
    </row>
    <row r="447" spans="1:1" x14ac:dyDescent="0.25">
      <c r="A447">
        <v>545</v>
      </c>
    </row>
    <row r="448" spans="1:1" x14ac:dyDescent="0.25">
      <c r="A448">
        <v>546</v>
      </c>
    </row>
    <row r="449" spans="1:1" x14ac:dyDescent="0.25">
      <c r="A449">
        <v>547</v>
      </c>
    </row>
    <row r="450" spans="1:1" x14ac:dyDescent="0.25">
      <c r="A450">
        <v>548</v>
      </c>
    </row>
    <row r="451" spans="1:1" x14ac:dyDescent="0.25">
      <c r="A451">
        <v>549</v>
      </c>
    </row>
    <row r="452" spans="1:1" x14ac:dyDescent="0.25">
      <c r="A452">
        <v>550</v>
      </c>
    </row>
    <row r="453" spans="1:1" x14ac:dyDescent="0.25">
      <c r="A453">
        <v>551</v>
      </c>
    </row>
    <row r="454" spans="1:1" x14ac:dyDescent="0.25">
      <c r="A454">
        <v>552</v>
      </c>
    </row>
    <row r="455" spans="1:1" x14ac:dyDescent="0.25">
      <c r="A455">
        <v>553</v>
      </c>
    </row>
    <row r="456" spans="1:1" x14ac:dyDescent="0.25">
      <c r="A456">
        <v>554</v>
      </c>
    </row>
    <row r="457" spans="1:1" x14ac:dyDescent="0.25">
      <c r="A457">
        <v>555</v>
      </c>
    </row>
    <row r="458" spans="1:1" x14ac:dyDescent="0.25">
      <c r="A458">
        <v>556</v>
      </c>
    </row>
    <row r="459" spans="1:1" x14ac:dyDescent="0.25">
      <c r="A459">
        <v>557</v>
      </c>
    </row>
    <row r="460" spans="1:1" x14ac:dyDescent="0.25">
      <c r="A460">
        <v>558</v>
      </c>
    </row>
    <row r="461" spans="1:1" x14ac:dyDescent="0.25">
      <c r="A461">
        <v>559</v>
      </c>
    </row>
    <row r="462" spans="1:1" x14ac:dyDescent="0.25">
      <c r="A462">
        <v>560</v>
      </c>
    </row>
    <row r="463" spans="1:1" x14ac:dyDescent="0.25">
      <c r="A463">
        <v>561</v>
      </c>
    </row>
    <row r="464" spans="1:1" x14ac:dyDescent="0.25">
      <c r="A464">
        <v>562</v>
      </c>
    </row>
    <row r="465" spans="1:1" x14ac:dyDescent="0.25">
      <c r="A465">
        <v>563</v>
      </c>
    </row>
    <row r="466" spans="1:1" x14ac:dyDescent="0.25">
      <c r="A466">
        <v>564</v>
      </c>
    </row>
    <row r="467" spans="1:1" x14ac:dyDescent="0.25">
      <c r="A467">
        <v>565</v>
      </c>
    </row>
    <row r="468" spans="1:1" x14ac:dyDescent="0.25">
      <c r="A468">
        <v>566</v>
      </c>
    </row>
    <row r="469" spans="1:1" x14ac:dyDescent="0.25">
      <c r="A469">
        <v>567</v>
      </c>
    </row>
    <row r="470" spans="1:1" x14ac:dyDescent="0.25">
      <c r="A470">
        <v>568</v>
      </c>
    </row>
    <row r="471" spans="1:1" x14ac:dyDescent="0.25">
      <c r="A471">
        <v>569</v>
      </c>
    </row>
    <row r="472" spans="1:1" x14ac:dyDescent="0.25">
      <c r="A472">
        <v>570</v>
      </c>
    </row>
    <row r="473" spans="1:1" x14ac:dyDescent="0.25">
      <c r="A473">
        <v>571</v>
      </c>
    </row>
    <row r="474" spans="1:1" x14ac:dyDescent="0.25">
      <c r="A474">
        <v>572</v>
      </c>
    </row>
    <row r="475" spans="1:1" x14ac:dyDescent="0.25">
      <c r="A475">
        <v>573</v>
      </c>
    </row>
    <row r="476" spans="1:1" x14ac:dyDescent="0.25">
      <c r="A476">
        <v>574</v>
      </c>
    </row>
    <row r="477" spans="1:1" x14ac:dyDescent="0.25">
      <c r="A477">
        <v>575</v>
      </c>
    </row>
    <row r="478" spans="1:1" x14ac:dyDescent="0.25">
      <c r="A478">
        <v>576</v>
      </c>
    </row>
    <row r="479" spans="1:1" x14ac:dyDescent="0.25">
      <c r="A479">
        <v>577</v>
      </c>
    </row>
    <row r="480" spans="1:1" x14ac:dyDescent="0.25">
      <c r="A480">
        <v>578</v>
      </c>
    </row>
    <row r="481" spans="1:1" x14ac:dyDescent="0.25">
      <c r="A481">
        <v>579</v>
      </c>
    </row>
    <row r="482" spans="1:1" x14ac:dyDescent="0.25">
      <c r="A482">
        <v>580</v>
      </c>
    </row>
    <row r="483" spans="1:1" x14ac:dyDescent="0.25">
      <c r="A483">
        <v>581</v>
      </c>
    </row>
    <row r="484" spans="1:1" x14ac:dyDescent="0.25">
      <c r="A484">
        <v>582</v>
      </c>
    </row>
    <row r="485" spans="1:1" x14ac:dyDescent="0.25">
      <c r="A485">
        <v>583</v>
      </c>
    </row>
    <row r="486" spans="1:1" x14ac:dyDescent="0.25">
      <c r="A486">
        <v>584</v>
      </c>
    </row>
    <row r="487" spans="1:1" x14ac:dyDescent="0.25">
      <c r="A487">
        <v>585</v>
      </c>
    </row>
    <row r="488" spans="1:1" x14ac:dyDescent="0.25">
      <c r="A488">
        <v>586</v>
      </c>
    </row>
    <row r="489" spans="1:1" x14ac:dyDescent="0.25">
      <c r="A489">
        <v>587</v>
      </c>
    </row>
    <row r="490" spans="1:1" x14ac:dyDescent="0.25">
      <c r="A490">
        <v>588</v>
      </c>
    </row>
    <row r="491" spans="1:1" x14ac:dyDescent="0.25">
      <c r="A491">
        <v>589</v>
      </c>
    </row>
    <row r="492" spans="1:1" x14ac:dyDescent="0.25">
      <c r="A492">
        <v>590</v>
      </c>
    </row>
    <row r="493" spans="1:1" x14ac:dyDescent="0.25">
      <c r="A493">
        <v>591</v>
      </c>
    </row>
    <row r="494" spans="1:1" x14ac:dyDescent="0.25">
      <c r="A494">
        <v>592</v>
      </c>
    </row>
    <row r="495" spans="1:1" x14ac:dyDescent="0.25">
      <c r="A495">
        <v>593</v>
      </c>
    </row>
    <row r="496" spans="1:1" x14ac:dyDescent="0.25">
      <c r="A496">
        <v>594</v>
      </c>
    </row>
    <row r="497" spans="1:1" x14ac:dyDescent="0.25">
      <c r="A497">
        <v>595</v>
      </c>
    </row>
    <row r="498" spans="1:1" x14ac:dyDescent="0.25">
      <c r="A498">
        <v>596</v>
      </c>
    </row>
    <row r="499" spans="1:1" x14ac:dyDescent="0.25">
      <c r="A499">
        <v>597</v>
      </c>
    </row>
    <row r="500" spans="1:1" x14ac:dyDescent="0.25">
      <c r="A500">
        <v>598</v>
      </c>
    </row>
    <row r="501" spans="1:1" x14ac:dyDescent="0.25">
      <c r="A501">
        <v>599</v>
      </c>
    </row>
    <row r="502" spans="1:1" x14ac:dyDescent="0.25">
      <c r="A502">
        <v>600</v>
      </c>
    </row>
    <row r="503" spans="1:1" x14ac:dyDescent="0.25">
      <c r="A503">
        <v>601</v>
      </c>
    </row>
    <row r="504" spans="1:1" x14ac:dyDescent="0.25">
      <c r="A504">
        <v>602</v>
      </c>
    </row>
    <row r="505" spans="1:1" x14ac:dyDescent="0.25">
      <c r="A505">
        <v>603</v>
      </c>
    </row>
    <row r="506" spans="1:1" x14ac:dyDescent="0.25">
      <c r="A506">
        <v>604</v>
      </c>
    </row>
    <row r="507" spans="1:1" x14ac:dyDescent="0.25">
      <c r="A507">
        <v>605</v>
      </c>
    </row>
    <row r="508" spans="1:1" x14ac:dyDescent="0.25">
      <c r="A508">
        <v>606</v>
      </c>
    </row>
    <row r="509" spans="1:1" x14ac:dyDescent="0.25">
      <c r="A509">
        <v>607</v>
      </c>
    </row>
    <row r="510" spans="1:1" x14ac:dyDescent="0.25">
      <c r="A510">
        <v>608</v>
      </c>
    </row>
    <row r="511" spans="1:1" x14ac:dyDescent="0.25">
      <c r="A511">
        <v>609</v>
      </c>
    </row>
    <row r="512" spans="1:1" x14ac:dyDescent="0.25">
      <c r="A512">
        <v>610</v>
      </c>
    </row>
    <row r="513" spans="1:1" x14ac:dyDescent="0.25">
      <c r="A513">
        <v>611</v>
      </c>
    </row>
    <row r="514" spans="1:1" x14ac:dyDescent="0.25">
      <c r="A514">
        <v>612</v>
      </c>
    </row>
    <row r="515" spans="1:1" x14ac:dyDescent="0.25">
      <c r="A515">
        <v>613</v>
      </c>
    </row>
    <row r="516" spans="1:1" x14ac:dyDescent="0.25">
      <c r="A516">
        <v>614</v>
      </c>
    </row>
    <row r="517" spans="1:1" x14ac:dyDescent="0.25">
      <c r="A517">
        <v>615</v>
      </c>
    </row>
    <row r="518" spans="1:1" x14ac:dyDescent="0.25">
      <c r="A518">
        <v>616</v>
      </c>
    </row>
    <row r="519" spans="1:1" x14ac:dyDescent="0.25">
      <c r="A519">
        <v>617</v>
      </c>
    </row>
    <row r="520" spans="1:1" x14ac:dyDescent="0.25">
      <c r="A520">
        <v>618</v>
      </c>
    </row>
    <row r="521" spans="1:1" x14ac:dyDescent="0.25">
      <c r="A521">
        <v>619</v>
      </c>
    </row>
    <row r="522" spans="1:1" x14ac:dyDescent="0.25">
      <c r="A522">
        <v>620</v>
      </c>
    </row>
    <row r="523" spans="1:1" x14ac:dyDescent="0.25">
      <c r="A523">
        <v>621</v>
      </c>
    </row>
    <row r="524" spans="1:1" x14ac:dyDescent="0.25">
      <c r="A524">
        <v>622</v>
      </c>
    </row>
    <row r="525" spans="1:1" x14ac:dyDescent="0.25">
      <c r="A525">
        <v>623</v>
      </c>
    </row>
    <row r="526" spans="1:1" x14ac:dyDescent="0.25">
      <c r="A526">
        <v>624</v>
      </c>
    </row>
    <row r="527" spans="1:1" x14ac:dyDescent="0.25">
      <c r="A527">
        <v>625</v>
      </c>
    </row>
    <row r="528" spans="1:1" x14ac:dyDescent="0.25">
      <c r="A528">
        <v>626</v>
      </c>
    </row>
    <row r="529" spans="1:1" x14ac:dyDescent="0.25">
      <c r="A529">
        <v>627</v>
      </c>
    </row>
    <row r="530" spans="1:1" x14ac:dyDescent="0.25">
      <c r="A530">
        <v>628</v>
      </c>
    </row>
    <row r="531" spans="1:1" x14ac:dyDescent="0.25">
      <c r="A531">
        <v>629</v>
      </c>
    </row>
    <row r="532" spans="1:1" x14ac:dyDescent="0.25">
      <c r="A532">
        <v>630</v>
      </c>
    </row>
    <row r="533" spans="1:1" x14ac:dyDescent="0.25">
      <c r="A533">
        <v>631</v>
      </c>
    </row>
    <row r="534" spans="1:1" x14ac:dyDescent="0.25">
      <c r="A534">
        <v>632</v>
      </c>
    </row>
    <row r="535" spans="1:1" x14ac:dyDescent="0.25">
      <c r="A535">
        <v>633</v>
      </c>
    </row>
    <row r="536" spans="1:1" x14ac:dyDescent="0.25">
      <c r="A536">
        <v>634</v>
      </c>
    </row>
    <row r="537" spans="1:1" x14ac:dyDescent="0.25">
      <c r="A537">
        <v>635</v>
      </c>
    </row>
    <row r="538" spans="1:1" x14ac:dyDescent="0.25">
      <c r="A538">
        <v>636</v>
      </c>
    </row>
    <row r="539" spans="1:1" x14ac:dyDescent="0.25">
      <c r="A539">
        <v>637</v>
      </c>
    </row>
    <row r="540" spans="1:1" x14ac:dyDescent="0.25">
      <c r="A540">
        <v>638</v>
      </c>
    </row>
    <row r="541" spans="1:1" x14ac:dyDescent="0.25">
      <c r="A541">
        <v>639</v>
      </c>
    </row>
    <row r="542" spans="1:1" x14ac:dyDescent="0.25">
      <c r="A542">
        <v>640</v>
      </c>
    </row>
    <row r="543" spans="1:1" x14ac:dyDescent="0.25">
      <c r="A543">
        <v>641</v>
      </c>
    </row>
    <row r="544" spans="1:1" x14ac:dyDescent="0.25">
      <c r="A544">
        <v>642</v>
      </c>
    </row>
    <row r="545" spans="1:1" x14ac:dyDescent="0.25">
      <c r="A545">
        <v>643</v>
      </c>
    </row>
    <row r="546" spans="1:1" x14ac:dyDescent="0.25">
      <c r="A546">
        <v>644</v>
      </c>
    </row>
    <row r="547" spans="1:1" x14ac:dyDescent="0.25">
      <c r="A547">
        <v>645</v>
      </c>
    </row>
    <row r="548" spans="1:1" x14ac:dyDescent="0.25">
      <c r="A548">
        <v>646</v>
      </c>
    </row>
    <row r="549" spans="1:1" x14ac:dyDescent="0.25">
      <c r="A549">
        <v>647</v>
      </c>
    </row>
    <row r="550" spans="1:1" x14ac:dyDescent="0.25">
      <c r="A550">
        <v>648</v>
      </c>
    </row>
    <row r="551" spans="1:1" x14ac:dyDescent="0.25">
      <c r="A551">
        <v>649</v>
      </c>
    </row>
    <row r="552" spans="1:1" x14ac:dyDescent="0.25">
      <c r="A552">
        <v>650</v>
      </c>
    </row>
    <row r="553" spans="1:1" x14ac:dyDescent="0.25">
      <c r="A553">
        <v>651</v>
      </c>
    </row>
    <row r="554" spans="1:1" x14ac:dyDescent="0.25">
      <c r="A554">
        <v>652</v>
      </c>
    </row>
    <row r="555" spans="1:1" x14ac:dyDescent="0.25">
      <c r="A555">
        <v>653</v>
      </c>
    </row>
    <row r="556" spans="1:1" x14ac:dyDescent="0.25">
      <c r="A556">
        <v>654</v>
      </c>
    </row>
    <row r="557" spans="1:1" x14ac:dyDescent="0.25">
      <c r="A557">
        <v>655</v>
      </c>
    </row>
    <row r="558" spans="1:1" x14ac:dyDescent="0.25">
      <c r="A558">
        <v>656</v>
      </c>
    </row>
    <row r="559" spans="1:1" x14ac:dyDescent="0.25">
      <c r="A559">
        <v>657</v>
      </c>
    </row>
    <row r="560" spans="1:1" x14ac:dyDescent="0.25">
      <c r="A560">
        <v>658</v>
      </c>
    </row>
    <row r="561" spans="1:1" x14ac:dyDescent="0.25">
      <c r="A561">
        <v>659</v>
      </c>
    </row>
    <row r="562" spans="1:1" x14ac:dyDescent="0.25">
      <c r="A562">
        <v>660</v>
      </c>
    </row>
    <row r="563" spans="1:1" x14ac:dyDescent="0.25">
      <c r="A563">
        <v>661</v>
      </c>
    </row>
    <row r="564" spans="1:1" x14ac:dyDescent="0.25">
      <c r="A564">
        <v>662</v>
      </c>
    </row>
    <row r="565" spans="1:1" x14ac:dyDescent="0.25">
      <c r="A565">
        <v>663</v>
      </c>
    </row>
    <row r="566" spans="1:1" x14ac:dyDescent="0.25">
      <c r="A566">
        <v>664</v>
      </c>
    </row>
    <row r="567" spans="1:1" x14ac:dyDescent="0.25">
      <c r="A567">
        <v>665</v>
      </c>
    </row>
    <row r="568" spans="1:1" x14ac:dyDescent="0.25">
      <c r="A568">
        <v>666</v>
      </c>
    </row>
    <row r="569" spans="1:1" x14ac:dyDescent="0.25">
      <c r="A569">
        <v>667</v>
      </c>
    </row>
    <row r="570" spans="1:1" x14ac:dyDescent="0.25">
      <c r="A570">
        <v>668</v>
      </c>
    </row>
    <row r="571" spans="1:1" x14ac:dyDescent="0.25">
      <c r="A571">
        <v>669</v>
      </c>
    </row>
    <row r="572" spans="1:1" x14ac:dyDescent="0.25">
      <c r="A572">
        <v>670</v>
      </c>
    </row>
    <row r="573" spans="1:1" x14ac:dyDescent="0.25">
      <c r="A573">
        <v>671</v>
      </c>
    </row>
    <row r="574" spans="1:1" x14ac:dyDescent="0.25">
      <c r="A574">
        <v>672</v>
      </c>
    </row>
    <row r="575" spans="1:1" x14ac:dyDescent="0.25">
      <c r="A575">
        <v>673</v>
      </c>
    </row>
    <row r="576" spans="1:1" x14ac:dyDescent="0.25">
      <c r="A576">
        <v>674</v>
      </c>
    </row>
    <row r="577" spans="1:1" x14ac:dyDescent="0.25">
      <c r="A577">
        <v>675</v>
      </c>
    </row>
    <row r="578" spans="1:1" x14ac:dyDescent="0.25">
      <c r="A578">
        <v>676</v>
      </c>
    </row>
    <row r="579" spans="1:1" x14ac:dyDescent="0.25">
      <c r="A579">
        <v>677</v>
      </c>
    </row>
    <row r="580" spans="1:1" x14ac:dyDescent="0.25">
      <c r="A580">
        <v>678</v>
      </c>
    </row>
    <row r="581" spans="1:1" x14ac:dyDescent="0.25">
      <c r="A581">
        <v>679</v>
      </c>
    </row>
    <row r="582" spans="1:1" x14ac:dyDescent="0.25">
      <c r="A582">
        <v>680</v>
      </c>
    </row>
    <row r="583" spans="1:1" x14ac:dyDescent="0.25">
      <c r="A583">
        <v>681</v>
      </c>
    </row>
    <row r="584" spans="1:1" x14ac:dyDescent="0.25">
      <c r="A584">
        <v>682</v>
      </c>
    </row>
    <row r="585" spans="1:1" x14ac:dyDescent="0.25">
      <c r="A585">
        <v>683</v>
      </c>
    </row>
    <row r="586" spans="1:1" x14ac:dyDescent="0.25">
      <c r="A586">
        <v>684</v>
      </c>
    </row>
    <row r="587" spans="1:1" x14ac:dyDescent="0.25">
      <c r="A587">
        <v>685</v>
      </c>
    </row>
    <row r="588" spans="1:1" x14ac:dyDescent="0.25">
      <c r="A588">
        <v>686</v>
      </c>
    </row>
    <row r="589" spans="1:1" x14ac:dyDescent="0.25">
      <c r="A589">
        <v>687</v>
      </c>
    </row>
    <row r="590" spans="1:1" x14ac:dyDescent="0.25">
      <c r="A590">
        <v>688</v>
      </c>
    </row>
    <row r="591" spans="1:1" x14ac:dyDescent="0.25">
      <c r="A591">
        <v>689</v>
      </c>
    </row>
    <row r="592" spans="1:1" x14ac:dyDescent="0.25">
      <c r="A592">
        <v>690</v>
      </c>
    </row>
    <row r="593" spans="1:1" x14ac:dyDescent="0.25">
      <c r="A593">
        <v>691</v>
      </c>
    </row>
    <row r="594" spans="1:1" x14ac:dyDescent="0.25">
      <c r="A594">
        <v>692</v>
      </c>
    </row>
    <row r="595" spans="1:1" x14ac:dyDescent="0.25">
      <c r="A595">
        <v>693</v>
      </c>
    </row>
    <row r="596" spans="1:1" x14ac:dyDescent="0.25">
      <c r="A596">
        <v>694</v>
      </c>
    </row>
    <row r="597" spans="1:1" x14ac:dyDescent="0.25">
      <c r="A597">
        <v>695</v>
      </c>
    </row>
    <row r="598" spans="1:1" x14ac:dyDescent="0.25">
      <c r="A598">
        <v>696</v>
      </c>
    </row>
    <row r="599" spans="1:1" x14ac:dyDescent="0.25">
      <c r="A599">
        <v>697</v>
      </c>
    </row>
    <row r="600" spans="1:1" x14ac:dyDescent="0.25">
      <c r="A600">
        <v>698</v>
      </c>
    </row>
    <row r="601" spans="1:1" x14ac:dyDescent="0.25">
      <c r="A601">
        <v>699</v>
      </c>
    </row>
    <row r="602" spans="1:1" x14ac:dyDescent="0.25">
      <c r="A602">
        <v>700</v>
      </c>
    </row>
    <row r="603" spans="1:1" x14ac:dyDescent="0.25">
      <c r="A603">
        <v>701</v>
      </c>
    </row>
    <row r="604" spans="1:1" x14ac:dyDescent="0.25">
      <c r="A604">
        <v>702</v>
      </c>
    </row>
    <row r="605" spans="1:1" x14ac:dyDescent="0.25">
      <c r="A605">
        <v>703</v>
      </c>
    </row>
    <row r="606" spans="1:1" x14ac:dyDescent="0.25">
      <c r="A606">
        <v>704</v>
      </c>
    </row>
    <row r="607" spans="1:1" x14ac:dyDescent="0.25">
      <c r="A607">
        <v>705</v>
      </c>
    </row>
    <row r="608" spans="1:1" x14ac:dyDescent="0.25">
      <c r="A608">
        <v>706</v>
      </c>
    </row>
    <row r="609" spans="1:1" x14ac:dyDescent="0.25">
      <c r="A609">
        <v>707</v>
      </c>
    </row>
    <row r="610" spans="1:1" x14ac:dyDescent="0.25">
      <c r="A610">
        <v>708</v>
      </c>
    </row>
    <row r="611" spans="1:1" x14ac:dyDescent="0.25">
      <c r="A611">
        <v>709</v>
      </c>
    </row>
    <row r="612" spans="1:1" x14ac:dyDescent="0.25">
      <c r="A612">
        <v>710</v>
      </c>
    </row>
    <row r="613" spans="1:1" x14ac:dyDescent="0.25">
      <c r="A613">
        <v>711</v>
      </c>
    </row>
    <row r="614" spans="1:1" x14ac:dyDescent="0.25">
      <c r="A614">
        <v>712</v>
      </c>
    </row>
    <row r="615" spans="1:1" x14ac:dyDescent="0.25">
      <c r="A615">
        <v>713</v>
      </c>
    </row>
    <row r="616" spans="1:1" x14ac:dyDescent="0.25">
      <c r="A616">
        <v>714</v>
      </c>
    </row>
    <row r="617" spans="1:1" x14ac:dyDescent="0.25">
      <c r="A617">
        <v>715</v>
      </c>
    </row>
    <row r="618" spans="1:1" x14ac:dyDescent="0.25">
      <c r="A618">
        <v>716</v>
      </c>
    </row>
    <row r="619" spans="1:1" x14ac:dyDescent="0.25">
      <c r="A619">
        <v>717</v>
      </c>
    </row>
    <row r="620" spans="1:1" x14ac:dyDescent="0.25">
      <c r="A620">
        <v>718</v>
      </c>
    </row>
    <row r="621" spans="1:1" x14ac:dyDescent="0.25">
      <c r="A621">
        <v>719</v>
      </c>
    </row>
    <row r="622" spans="1:1" x14ac:dyDescent="0.25">
      <c r="A622">
        <v>720</v>
      </c>
    </row>
    <row r="623" spans="1:1" x14ac:dyDescent="0.25">
      <c r="A623">
        <v>721</v>
      </c>
    </row>
    <row r="624" spans="1:1" x14ac:dyDescent="0.25">
      <c r="A624">
        <v>722</v>
      </c>
    </row>
    <row r="625" spans="1:1" x14ac:dyDescent="0.25">
      <c r="A625">
        <v>723</v>
      </c>
    </row>
    <row r="626" spans="1:1" x14ac:dyDescent="0.25">
      <c r="A626">
        <v>724</v>
      </c>
    </row>
    <row r="627" spans="1:1" x14ac:dyDescent="0.25">
      <c r="A627">
        <v>725</v>
      </c>
    </row>
    <row r="628" spans="1:1" x14ac:dyDescent="0.25">
      <c r="A628">
        <v>726</v>
      </c>
    </row>
    <row r="629" spans="1:1" x14ac:dyDescent="0.25">
      <c r="A629">
        <v>727</v>
      </c>
    </row>
    <row r="630" spans="1:1" x14ac:dyDescent="0.25">
      <c r="A630">
        <v>728</v>
      </c>
    </row>
    <row r="631" spans="1:1" x14ac:dyDescent="0.25">
      <c r="A631">
        <v>729</v>
      </c>
    </row>
    <row r="632" spans="1:1" x14ac:dyDescent="0.25">
      <c r="A632">
        <v>730</v>
      </c>
    </row>
    <row r="633" spans="1:1" x14ac:dyDescent="0.25">
      <c r="A633">
        <v>731</v>
      </c>
    </row>
    <row r="634" spans="1:1" x14ac:dyDescent="0.25">
      <c r="A634">
        <v>732</v>
      </c>
    </row>
    <row r="635" spans="1:1" x14ac:dyDescent="0.25">
      <c r="A635">
        <v>733</v>
      </c>
    </row>
    <row r="636" spans="1:1" x14ac:dyDescent="0.25">
      <c r="A636">
        <v>734</v>
      </c>
    </row>
    <row r="637" spans="1:1" x14ac:dyDescent="0.25">
      <c r="A637">
        <v>735</v>
      </c>
    </row>
    <row r="638" spans="1:1" x14ac:dyDescent="0.25">
      <c r="A638">
        <v>736</v>
      </c>
    </row>
    <row r="639" spans="1:1" x14ac:dyDescent="0.25">
      <c r="A639">
        <v>737</v>
      </c>
    </row>
    <row r="640" spans="1:1" x14ac:dyDescent="0.25">
      <c r="A640">
        <v>738</v>
      </c>
    </row>
    <row r="641" spans="1:1" x14ac:dyDescent="0.25">
      <c r="A641">
        <v>739</v>
      </c>
    </row>
    <row r="642" spans="1:1" x14ac:dyDescent="0.25">
      <c r="A642">
        <v>740</v>
      </c>
    </row>
    <row r="643" spans="1:1" x14ac:dyDescent="0.25">
      <c r="A643">
        <v>741</v>
      </c>
    </row>
    <row r="644" spans="1:1" x14ac:dyDescent="0.25">
      <c r="A644">
        <v>742</v>
      </c>
    </row>
    <row r="645" spans="1:1" x14ac:dyDescent="0.25">
      <c r="A645">
        <v>743</v>
      </c>
    </row>
    <row r="646" spans="1:1" x14ac:dyDescent="0.25">
      <c r="A646">
        <v>744</v>
      </c>
    </row>
    <row r="647" spans="1:1" x14ac:dyDescent="0.25">
      <c r="A647">
        <v>745</v>
      </c>
    </row>
    <row r="648" spans="1:1" x14ac:dyDescent="0.25">
      <c r="A648">
        <v>746</v>
      </c>
    </row>
    <row r="649" spans="1:1" x14ac:dyDescent="0.25">
      <c r="A649">
        <v>747</v>
      </c>
    </row>
    <row r="650" spans="1:1" x14ac:dyDescent="0.25">
      <c r="A650">
        <v>748</v>
      </c>
    </row>
    <row r="651" spans="1:1" x14ac:dyDescent="0.25">
      <c r="A651">
        <v>749</v>
      </c>
    </row>
    <row r="652" spans="1:1" x14ac:dyDescent="0.25">
      <c r="A652">
        <v>750</v>
      </c>
    </row>
    <row r="653" spans="1:1" x14ac:dyDescent="0.25">
      <c r="A653">
        <v>751</v>
      </c>
    </row>
    <row r="654" spans="1:1" x14ac:dyDescent="0.25">
      <c r="A654">
        <v>752</v>
      </c>
    </row>
    <row r="655" spans="1:1" x14ac:dyDescent="0.25">
      <c r="A655">
        <v>753</v>
      </c>
    </row>
    <row r="656" spans="1:1" x14ac:dyDescent="0.25">
      <c r="A656">
        <v>754</v>
      </c>
    </row>
    <row r="657" spans="1:1" x14ac:dyDescent="0.25">
      <c r="A657">
        <v>755</v>
      </c>
    </row>
    <row r="658" spans="1:1" x14ac:dyDescent="0.25">
      <c r="A658">
        <v>756</v>
      </c>
    </row>
    <row r="659" spans="1:1" x14ac:dyDescent="0.25">
      <c r="A659">
        <v>757</v>
      </c>
    </row>
    <row r="660" spans="1:1" x14ac:dyDescent="0.25">
      <c r="A660">
        <v>758</v>
      </c>
    </row>
    <row r="661" spans="1:1" x14ac:dyDescent="0.25">
      <c r="A661">
        <v>759</v>
      </c>
    </row>
    <row r="662" spans="1:1" x14ac:dyDescent="0.25">
      <c r="A662">
        <v>760</v>
      </c>
    </row>
    <row r="663" spans="1:1" x14ac:dyDescent="0.25">
      <c r="A663">
        <v>761</v>
      </c>
    </row>
    <row r="664" spans="1:1" x14ac:dyDescent="0.25">
      <c r="A664">
        <v>762</v>
      </c>
    </row>
    <row r="665" spans="1:1" x14ac:dyDescent="0.25">
      <c r="A665">
        <v>763</v>
      </c>
    </row>
    <row r="666" spans="1:1" x14ac:dyDescent="0.25">
      <c r="A666">
        <v>764</v>
      </c>
    </row>
    <row r="667" spans="1:1" x14ac:dyDescent="0.25">
      <c r="A667">
        <v>765</v>
      </c>
    </row>
    <row r="668" spans="1:1" x14ac:dyDescent="0.25">
      <c r="A668">
        <v>766</v>
      </c>
    </row>
    <row r="669" spans="1:1" x14ac:dyDescent="0.25">
      <c r="A669">
        <v>767</v>
      </c>
    </row>
    <row r="670" spans="1:1" x14ac:dyDescent="0.25">
      <c r="A670">
        <v>768</v>
      </c>
    </row>
    <row r="671" spans="1:1" x14ac:dyDescent="0.25">
      <c r="A671">
        <v>769</v>
      </c>
    </row>
    <row r="672" spans="1:1" x14ac:dyDescent="0.25">
      <c r="A672">
        <v>770</v>
      </c>
    </row>
    <row r="673" spans="1:1" x14ac:dyDescent="0.25">
      <c r="A673">
        <v>771</v>
      </c>
    </row>
    <row r="674" spans="1:1" x14ac:dyDescent="0.25">
      <c r="A674">
        <v>772</v>
      </c>
    </row>
    <row r="675" spans="1:1" x14ac:dyDescent="0.25">
      <c r="A675">
        <v>773</v>
      </c>
    </row>
    <row r="676" spans="1:1" x14ac:dyDescent="0.25">
      <c r="A676">
        <v>774</v>
      </c>
    </row>
    <row r="677" spans="1:1" x14ac:dyDescent="0.25">
      <c r="A677">
        <v>775</v>
      </c>
    </row>
    <row r="678" spans="1:1" x14ac:dyDescent="0.25">
      <c r="A678">
        <v>776</v>
      </c>
    </row>
    <row r="679" spans="1:1" x14ac:dyDescent="0.25">
      <c r="A679">
        <v>777</v>
      </c>
    </row>
    <row r="680" spans="1:1" x14ac:dyDescent="0.25">
      <c r="A680">
        <v>778</v>
      </c>
    </row>
    <row r="681" spans="1:1" x14ac:dyDescent="0.25">
      <c r="A681">
        <v>779</v>
      </c>
    </row>
    <row r="682" spans="1:1" x14ac:dyDescent="0.25">
      <c r="A682">
        <v>780</v>
      </c>
    </row>
    <row r="683" spans="1:1" x14ac:dyDescent="0.25">
      <c r="A683">
        <v>781</v>
      </c>
    </row>
    <row r="684" spans="1:1" x14ac:dyDescent="0.25">
      <c r="A684">
        <v>782</v>
      </c>
    </row>
    <row r="685" spans="1:1" x14ac:dyDescent="0.25">
      <c r="A685">
        <v>783</v>
      </c>
    </row>
    <row r="686" spans="1:1" x14ac:dyDescent="0.25">
      <c r="A686">
        <v>784</v>
      </c>
    </row>
    <row r="687" spans="1:1" x14ac:dyDescent="0.25">
      <c r="A687">
        <v>785</v>
      </c>
    </row>
    <row r="688" spans="1:1" x14ac:dyDescent="0.25">
      <c r="A688">
        <v>786</v>
      </c>
    </row>
    <row r="689" spans="1:1" x14ac:dyDescent="0.25">
      <c r="A689">
        <v>787</v>
      </c>
    </row>
    <row r="690" spans="1:1" x14ac:dyDescent="0.25">
      <c r="A690">
        <v>788</v>
      </c>
    </row>
    <row r="691" spans="1:1" x14ac:dyDescent="0.25">
      <c r="A691">
        <v>789</v>
      </c>
    </row>
    <row r="692" spans="1:1" x14ac:dyDescent="0.25">
      <c r="A692">
        <v>790</v>
      </c>
    </row>
    <row r="693" spans="1:1" x14ac:dyDescent="0.25">
      <c r="A693">
        <v>791</v>
      </c>
    </row>
    <row r="694" spans="1:1" x14ac:dyDescent="0.25">
      <c r="A694">
        <v>792</v>
      </c>
    </row>
    <row r="695" spans="1:1" x14ac:dyDescent="0.25">
      <c r="A695">
        <v>793</v>
      </c>
    </row>
    <row r="696" spans="1:1" x14ac:dyDescent="0.25">
      <c r="A696">
        <v>794</v>
      </c>
    </row>
    <row r="697" spans="1:1" x14ac:dyDescent="0.25">
      <c r="A697">
        <v>795</v>
      </c>
    </row>
    <row r="698" spans="1:1" x14ac:dyDescent="0.25">
      <c r="A698">
        <v>796</v>
      </c>
    </row>
    <row r="699" spans="1:1" x14ac:dyDescent="0.25">
      <c r="A699">
        <v>797</v>
      </c>
    </row>
    <row r="700" spans="1:1" x14ac:dyDescent="0.25">
      <c r="A700">
        <v>798</v>
      </c>
    </row>
    <row r="701" spans="1:1" x14ac:dyDescent="0.25">
      <c r="A701">
        <v>799</v>
      </c>
    </row>
    <row r="702" spans="1:1" x14ac:dyDescent="0.25">
      <c r="A702">
        <v>800</v>
      </c>
    </row>
    <row r="703" spans="1:1" x14ac:dyDescent="0.25">
      <c r="A703">
        <v>801</v>
      </c>
    </row>
    <row r="704" spans="1:1" x14ac:dyDescent="0.25">
      <c r="A704">
        <v>802</v>
      </c>
    </row>
    <row r="705" spans="1:1" x14ac:dyDescent="0.25">
      <c r="A705">
        <v>803</v>
      </c>
    </row>
    <row r="706" spans="1:1" x14ac:dyDescent="0.25">
      <c r="A706">
        <v>804</v>
      </c>
    </row>
    <row r="707" spans="1:1" x14ac:dyDescent="0.25">
      <c r="A707">
        <v>805</v>
      </c>
    </row>
    <row r="708" spans="1:1" x14ac:dyDescent="0.25">
      <c r="A708">
        <v>806</v>
      </c>
    </row>
    <row r="709" spans="1:1" x14ac:dyDescent="0.25">
      <c r="A709">
        <v>807</v>
      </c>
    </row>
    <row r="710" spans="1:1" x14ac:dyDescent="0.25">
      <c r="A710">
        <v>808</v>
      </c>
    </row>
    <row r="711" spans="1:1" x14ac:dyDescent="0.25">
      <c r="A711">
        <v>809</v>
      </c>
    </row>
    <row r="712" spans="1:1" x14ac:dyDescent="0.25">
      <c r="A712">
        <v>810</v>
      </c>
    </row>
    <row r="713" spans="1:1" x14ac:dyDescent="0.25">
      <c r="A713">
        <v>811</v>
      </c>
    </row>
    <row r="714" spans="1:1" x14ac:dyDescent="0.25">
      <c r="A714">
        <v>812</v>
      </c>
    </row>
    <row r="715" spans="1:1" x14ac:dyDescent="0.25">
      <c r="A715">
        <v>813</v>
      </c>
    </row>
    <row r="716" spans="1:1" x14ac:dyDescent="0.25">
      <c r="A716">
        <v>814</v>
      </c>
    </row>
    <row r="717" spans="1:1" x14ac:dyDescent="0.25">
      <c r="A717">
        <v>815</v>
      </c>
    </row>
    <row r="718" spans="1:1" x14ac:dyDescent="0.25">
      <c r="A718">
        <v>816</v>
      </c>
    </row>
    <row r="719" spans="1:1" x14ac:dyDescent="0.25">
      <c r="A719">
        <v>817</v>
      </c>
    </row>
    <row r="720" spans="1:1" x14ac:dyDescent="0.25">
      <c r="A720">
        <v>818</v>
      </c>
    </row>
    <row r="721" spans="1:1" x14ac:dyDescent="0.25">
      <c r="A721">
        <v>819</v>
      </c>
    </row>
    <row r="722" spans="1:1" x14ac:dyDescent="0.25">
      <c r="A722">
        <v>820</v>
      </c>
    </row>
    <row r="723" spans="1:1" x14ac:dyDescent="0.25">
      <c r="A723">
        <v>821</v>
      </c>
    </row>
    <row r="724" spans="1:1" x14ac:dyDescent="0.25">
      <c r="A724">
        <v>822</v>
      </c>
    </row>
    <row r="725" spans="1:1" x14ac:dyDescent="0.25">
      <c r="A725">
        <v>823</v>
      </c>
    </row>
    <row r="726" spans="1:1" x14ac:dyDescent="0.25">
      <c r="A726">
        <v>824</v>
      </c>
    </row>
    <row r="727" spans="1:1" x14ac:dyDescent="0.25">
      <c r="A727">
        <v>825</v>
      </c>
    </row>
    <row r="728" spans="1:1" x14ac:dyDescent="0.25">
      <c r="A728">
        <v>826</v>
      </c>
    </row>
    <row r="729" spans="1:1" x14ac:dyDescent="0.25">
      <c r="A729">
        <v>827</v>
      </c>
    </row>
    <row r="730" spans="1:1" x14ac:dyDescent="0.25">
      <c r="A730">
        <v>828</v>
      </c>
    </row>
    <row r="731" spans="1:1" x14ac:dyDescent="0.25">
      <c r="A731">
        <v>829</v>
      </c>
    </row>
    <row r="732" spans="1:1" x14ac:dyDescent="0.25">
      <c r="A732">
        <v>830</v>
      </c>
    </row>
    <row r="733" spans="1:1" x14ac:dyDescent="0.25">
      <c r="A733">
        <v>831</v>
      </c>
    </row>
    <row r="734" spans="1:1" x14ac:dyDescent="0.25">
      <c r="A734">
        <v>832</v>
      </c>
    </row>
    <row r="735" spans="1:1" x14ac:dyDescent="0.25">
      <c r="A735">
        <v>833</v>
      </c>
    </row>
    <row r="736" spans="1:1" x14ac:dyDescent="0.25">
      <c r="A736">
        <v>834</v>
      </c>
    </row>
    <row r="737" spans="1:1" x14ac:dyDescent="0.25">
      <c r="A737">
        <v>835</v>
      </c>
    </row>
    <row r="738" spans="1:1" x14ac:dyDescent="0.25">
      <c r="A738">
        <v>836</v>
      </c>
    </row>
    <row r="739" spans="1:1" x14ac:dyDescent="0.25">
      <c r="A739">
        <v>837</v>
      </c>
    </row>
    <row r="740" spans="1:1" x14ac:dyDescent="0.25">
      <c r="A740">
        <v>838</v>
      </c>
    </row>
    <row r="741" spans="1:1" x14ac:dyDescent="0.25">
      <c r="A741">
        <v>839</v>
      </c>
    </row>
    <row r="742" spans="1:1" x14ac:dyDescent="0.25">
      <c r="A742">
        <v>840</v>
      </c>
    </row>
    <row r="743" spans="1:1" x14ac:dyDescent="0.25">
      <c r="A743">
        <v>841</v>
      </c>
    </row>
    <row r="744" spans="1:1" x14ac:dyDescent="0.25">
      <c r="A744">
        <v>842</v>
      </c>
    </row>
    <row r="745" spans="1:1" x14ac:dyDescent="0.25">
      <c r="A745">
        <v>843</v>
      </c>
    </row>
    <row r="746" spans="1:1" x14ac:dyDescent="0.25">
      <c r="A746">
        <v>844</v>
      </c>
    </row>
    <row r="747" spans="1:1" x14ac:dyDescent="0.25">
      <c r="A747">
        <v>845</v>
      </c>
    </row>
    <row r="748" spans="1:1" x14ac:dyDescent="0.25">
      <c r="A748">
        <v>846</v>
      </c>
    </row>
    <row r="749" spans="1:1" x14ac:dyDescent="0.25">
      <c r="A749">
        <v>847</v>
      </c>
    </row>
    <row r="750" spans="1:1" x14ac:dyDescent="0.25">
      <c r="A750">
        <v>848</v>
      </c>
    </row>
    <row r="751" spans="1:1" x14ac:dyDescent="0.25">
      <c r="A751">
        <v>849</v>
      </c>
    </row>
    <row r="752" spans="1:1" x14ac:dyDescent="0.25">
      <c r="A752">
        <v>850</v>
      </c>
    </row>
    <row r="753" spans="1:1" x14ac:dyDescent="0.25">
      <c r="A753">
        <v>851</v>
      </c>
    </row>
    <row r="754" spans="1:1" x14ac:dyDescent="0.25">
      <c r="A754">
        <v>852</v>
      </c>
    </row>
    <row r="755" spans="1:1" x14ac:dyDescent="0.25">
      <c r="A755">
        <v>853</v>
      </c>
    </row>
    <row r="756" spans="1:1" x14ac:dyDescent="0.25">
      <c r="A756">
        <v>854</v>
      </c>
    </row>
    <row r="757" spans="1:1" x14ac:dyDescent="0.25">
      <c r="A757">
        <v>855</v>
      </c>
    </row>
    <row r="758" spans="1:1" x14ac:dyDescent="0.25">
      <c r="A758">
        <v>856</v>
      </c>
    </row>
    <row r="759" spans="1:1" x14ac:dyDescent="0.25">
      <c r="A759">
        <v>857</v>
      </c>
    </row>
    <row r="760" spans="1:1" x14ac:dyDescent="0.25">
      <c r="A760">
        <v>858</v>
      </c>
    </row>
    <row r="761" spans="1:1" x14ac:dyDescent="0.25">
      <c r="A761">
        <v>859</v>
      </c>
    </row>
    <row r="762" spans="1:1" x14ac:dyDescent="0.25">
      <c r="A762">
        <v>860</v>
      </c>
    </row>
    <row r="763" spans="1:1" x14ac:dyDescent="0.25">
      <c r="A763">
        <v>861</v>
      </c>
    </row>
    <row r="764" spans="1:1" x14ac:dyDescent="0.25">
      <c r="A764">
        <v>862</v>
      </c>
    </row>
    <row r="765" spans="1:1" x14ac:dyDescent="0.25">
      <c r="A765">
        <v>863</v>
      </c>
    </row>
    <row r="766" spans="1:1" x14ac:dyDescent="0.25">
      <c r="A766">
        <v>864</v>
      </c>
    </row>
    <row r="767" spans="1:1" x14ac:dyDescent="0.25">
      <c r="A767">
        <v>865</v>
      </c>
    </row>
    <row r="768" spans="1:1" x14ac:dyDescent="0.25">
      <c r="A768">
        <v>866</v>
      </c>
    </row>
    <row r="769" spans="1:1" x14ac:dyDescent="0.25">
      <c r="A769">
        <v>867</v>
      </c>
    </row>
    <row r="770" spans="1:1" x14ac:dyDescent="0.25">
      <c r="A770">
        <v>868</v>
      </c>
    </row>
    <row r="771" spans="1:1" x14ac:dyDescent="0.25">
      <c r="A771">
        <v>869</v>
      </c>
    </row>
    <row r="772" spans="1:1" x14ac:dyDescent="0.25">
      <c r="A772">
        <v>870</v>
      </c>
    </row>
    <row r="773" spans="1:1" x14ac:dyDescent="0.25">
      <c r="A773">
        <v>871</v>
      </c>
    </row>
    <row r="774" spans="1:1" x14ac:dyDescent="0.25">
      <c r="A774">
        <v>872</v>
      </c>
    </row>
    <row r="775" spans="1:1" x14ac:dyDescent="0.25">
      <c r="A775">
        <v>873</v>
      </c>
    </row>
    <row r="776" spans="1:1" x14ac:dyDescent="0.25">
      <c r="A776">
        <v>874</v>
      </c>
    </row>
    <row r="777" spans="1:1" x14ac:dyDescent="0.25">
      <c r="A777">
        <v>875</v>
      </c>
    </row>
    <row r="778" spans="1:1" x14ac:dyDescent="0.25">
      <c r="A778">
        <v>876</v>
      </c>
    </row>
    <row r="779" spans="1:1" x14ac:dyDescent="0.25">
      <c r="A779">
        <v>877</v>
      </c>
    </row>
    <row r="780" spans="1:1" x14ac:dyDescent="0.25">
      <c r="A780">
        <v>878</v>
      </c>
    </row>
    <row r="781" spans="1:1" x14ac:dyDescent="0.25">
      <c r="A781">
        <v>879</v>
      </c>
    </row>
    <row r="782" spans="1:1" x14ac:dyDescent="0.25">
      <c r="A782">
        <v>880</v>
      </c>
    </row>
    <row r="783" spans="1:1" x14ac:dyDescent="0.25">
      <c r="A783">
        <v>881</v>
      </c>
    </row>
    <row r="784" spans="1:1" x14ac:dyDescent="0.25">
      <c r="A784">
        <v>882</v>
      </c>
    </row>
    <row r="785" spans="1:1" x14ac:dyDescent="0.25">
      <c r="A785">
        <v>883</v>
      </c>
    </row>
    <row r="786" spans="1:1" x14ac:dyDescent="0.25">
      <c r="A786">
        <v>884</v>
      </c>
    </row>
    <row r="787" spans="1:1" x14ac:dyDescent="0.25">
      <c r="A787">
        <v>885</v>
      </c>
    </row>
    <row r="788" spans="1:1" x14ac:dyDescent="0.25">
      <c r="A788">
        <v>886</v>
      </c>
    </row>
    <row r="789" spans="1:1" x14ac:dyDescent="0.25">
      <c r="A789">
        <v>887</v>
      </c>
    </row>
    <row r="790" spans="1:1" x14ac:dyDescent="0.25">
      <c r="A790">
        <v>888</v>
      </c>
    </row>
    <row r="791" spans="1:1" x14ac:dyDescent="0.25">
      <c r="A791">
        <v>889</v>
      </c>
    </row>
    <row r="792" spans="1:1" x14ac:dyDescent="0.25">
      <c r="A792">
        <v>890</v>
      </c>
    </row>
    <row r="793" spans="1:1" x14ac:dyDescent="0.25">
      <c r="A793">
        <v>891</v>
      </c>
    </row>
    <row r="794" spans="1:1" x14ac:dyDescent="0.25">
      <c r="A794">
        <v>892</v>
      </c>
    </row>
    <row r="795" spans="1:1" x14ac:dyDescent="0.25">
      <c r="A795">
        <v>893</v>
      </c>
    </row>
    <row r="796" spans="1:1" x14ac:dyDescent="0.25">
      <c r="A796">
        <v>894</v>
      </c>
    </row>
    <row r="797" spans="1:1" x14ac:dyDescent="0.25">
      <c r="A797">
        <v>895</v>
      </c>
    </row>
    <row r="798" spans="1:1" x14ac:dyDescent="0.25">
      <c r="A798">
        <v>896</v>
      </c>
    </row>
    <row r="799" spans="1:1" x14ac:dyDescent="0.25">
      <c r="A799">
        <v>897</v>
      </c>
    </row>
    <row r="800" spans="1:1" x14ac:dyDescent="0.25">
      <c r="A800">
        <v>898</v>
      </c>
    </row>
    <row r="801" spans="1:1" x14ac:dyDescent="0.25">
      <c r="A801">
        <v>899</v>
      </c>
    </row>
    <row r="802" spans="1:1" x14ac:dyDescent="0.25">
      <c r="A802">
        <v>900</v>
      </c>
    </row>
    <row r="803" spans="1:1" x14ac:dyDescent="0.25">
      <c r="A803">
        <v>901</v>
      </c>
    </row>
    <row r="804" spans="1:1" x14ac:dyDescent="0.25">
      <c r="A804">
        <v>902</v>
      </c>
    </row>
    <row r="805" spans="1:1" x14ac:dyDescent="0.25">
      <c r="A805">
        <v>903</v>
      </c>
    </row>
    <row r="806" spans="1:1" x14ac:dyDescent="0.25">
      <c r="A806">
        <v>904</v>
      </c>
    </row>
    <row r="807" spans="1:1" x14ac:dyDescent="0.25">
      <c r="A807">
        <v>905</v>
      </c>
    </row>
    <row r="808" spans="1:1" x14ac:dyDescent="0.25">
      <c r="A808">
        <v>906</v>
      </c>
    </row>
    <row r="809" spans="1:1" x14ac:dyDescent="0.25">
      <c r="A809">
        <v>907</v>
      </c>
    </row>
    <row r="810" spans="1:1" x14ac:dyDescent="0.25">
      <c r="A810">
        <v>908</v>
      </c>
    </row>
    <row r="811" spans="1:1" x14ac:dyDescent="0.25">
      <c r="A811">
        <v>909</v>
      </c>
    </row>
    <row r="812" spans="1:1" x14ac:dyDescent="0.25">
      <c r="A812">
        <v>910</v>
      </c>
    </row>
    <row r="813" spans="1:1" x14ac:dyDescent="0.25">
      <c r="A813">
        <v>911</v>
      </c>
    </row>
    <row r="814" spans="1:1" x14ac:dyDescent="0.25">
      <c r="A814">
        <v>912</v>
      </c>
    </row>
    <row r="815" spans="1:1" x14ac:dyDescent="0.25">
      <c r="A815">
        <v>913</v>
      </c>
    </row>
    <row r="816" spans="1:1" x14ac:dyDescent="0.25">
      <c r="A816">
        <v>914</v>
      </c>
    </row>
    <row r="817" spans="1:1" x14ac:dyDescent="0.25">
      <c r="A817">
        <v>915</v>
      </c>
    </row>
    <row r="818" spans="1:1" x14ac:dyDescent="0.25">
      <c r="A818">
        <v>916</v>
      </c>
    </row>
    <row r="819" spans="1:1" x14ac:dyDescent="0.25">
      <c r="A819">
        <v>917</v>
      </c>
    </row>
    <row r="820" spans="1:1" x14ac:dyDescent="0.25">
      <c r="A820">
        <v>918</v>
      </c>
    </row>
    <row r="821" spans="1:1" x14ac:dyDescent="0.25">
      <c r="A821">
        <v>919</v>
      </c>
    </row>
    <row r="822" spans="1:1" x14ac:dyDescent="0.25">
      <c r="A822">
        <v>920</v>
      </c>
    </row>
    <row r="823" spans="1:1" x14ac:dyDescent="0.25">
      <c r="A823">
        <v>921</v>
      </c>
    </row>
    <row r="824" spans="1:1" x14ac:dyDescent="0.25">
      <c r="A824">
        <v>922</v>
      </c>
    </row>
    <row r="825" spans="1:1" x14ac:dyDescent="0.25">
      <c r="A825">
        <v>923</v>
      </c>
    </row>
    <row r="826" spans="1:1" x14ac:dyDescent="0.25">
      <c r="A826">
        <v>924</v>
      </c>
    </row>
    <row r="827" spans="1:1" x14ac:dyDescent="0.25">
      <c r="A827">
        <v>925</v>
      </c>
    </row>
    <row r="828" spans="1:1" x14ac:dyDescent="0.25">
      <c r="A828">
        <v>926</v>
      </c>
    </row>
    <row r="829" spans="1:1" x14ac:dyDescent="0.25">
      <c r="A829">
        <v>927</v>
      </c>
    </row>
    <row r="830" spans="1:1" x14ac:dyDescent="0.25">
      <c r="A830">
        <v>928</v>
      </c>
    </row>
    <row r="831" spans="1:1" x14ac:dyDescent="0.25">
      <c r="A831">
        <v>929</v>
      </c>
    </row>
    <row r="832" spans="1:1" x14ac:dyDescent="0.25">
      <c r="A832">
        <v>930</v>
      </c>
    </row>
    <row r="833" spans="1:1" x14ac:dyDescent="0.25">
      <c r="A833">
        <v>931</v>
      </c>
    </row>
    <row r="834" spans="1:1" x14ac:dyDescent="0.25">
      <c r="A834">
        <v>932</v>
      </c>
    </row>
    <row r="835" spans="1:1" x14ac:dyDescent="0.25">
      <c r="A835">
        <v>933</v>
      </c>
    </row>
    <row r="836" spans="1:1" x14ac:dyDescent="0.25">
      <c r="A836">
        <v>934</v>
      </c>
    </row>
    <row r="837" spans="1:1" x14ac:dyDescent="0.25">
      <c r="A837">
        <v>935</v>
      </c>
    </row>
    <row r="838" spans="1:1" x14ac:dyDescent="0.25">
      <c r="A838">
        <v>936</v>
      </c>
    </row>
    <row r="839" spans="1:1" x14ac:dyDescent="0.25">
      <c r="A839">
        <v>937</v>
      </c>
    </row>
    <row r="840" spans="1:1" x14ac:dyDescent="0.25">
      <c r="A840">
        <v>938</v>
      </c>
    </row>
    <row r="841" spans="1:1" x14ac:dyDescent="0.25">
      <c r="A841">
        <v>939</v>
      </c>
    </row>
    <row r="842" spans="1:1" x14ac:dyDescent="0.25">
      <c r="A842">
        <v>940</v>
      </c>
    </row>
    <row r="843" spans="1:1" x14ac:dyDescent="0.25">
      <c r="A843">
        <v>941</v>
      </c>
    </row>
    <row r="844" spans="1:1" x14ac:dyDescent="0.25">
      <c r="A844">
        <v>942</v>
      </c>
    </row>
    <row r="845" spans="1:1" x14ac:dyDescent="0.25">
      <c r="A845">
        <v>943</v>
      </c>
    </row>
    <row r="846" spans="1:1" x14ac:dyDescent="0.25">
      <c r="A846">
        <v>944</v>
      </c>
    </row>
    <row r="847" spans="1:1" x14ac:dyDescent="0.25">
      <c r="A847">
        <v>945</v>
      </c>
    </row>
    <row r="848" spans="1:1" x14ac:dyDescent="0.25">
      <c r="A848">
        <v>946</v>
      </c>
    </row>
    <row r="849" spans="1:1" x14ac:dyDescent="0.25">
      <c r="A849">
        <v>947</v>
      </c>
    </row>
    <row r="850" spans="1:1" x14ac:dyDescent="0.25">
      <c r="A850">
        <v>948</v>
      </c>
    </row>
    <row r="851" spans="1:1" x14ac:dyDescent="0.25">
      <c r="A851">
        <v>949</v>
      </c>
    </row>
    <row r="852" spans="1:1" x14ac:dyDescent="0.25">
      <c r="A852">
        <v>950</v>
      </c>
    </row>
    <row r="853" spans="1:1" x14ac:dyDescent="0.25">
      <c r="A853">
        <v>951</v>
      </c>
    </row>
    <row r="854" spans="1:1" x14ac:dyDescent="0.25">
      <c r="A854">
        <v>952</v>
      </c>
    </row>
    <row r="855" spans="1:1" x14ac:dyDescent="0.25">
      <c r="A855">
        <v>953</v>
      </c>
    </row>
    <row r="856" spans="1:1" x14ac:dyDescent="0.25">
      <c r="A856">
        <v>954</v>
      </c>
    </row>
    <row r="857" spans="1:1" x14ac:dyDescent="0.25">
      <c r="A857">
        <v>955</v>
      </c>
    </row>
    <row r="858" spans="1:1" x14ac:dyDescent="0.25">
      <c r="A858">
        <v>956</v>
      </c>
    </row>
    <row r="859" spans="1:1" x14ac:dyDescent="0.25">
      <c r="A859">
        <v>957</v>
      </c>
    </row>
    <row r="860" spans="1:1" x14ac:dyDescent="0.25">
      <c r="A860">
        <v>958</v>
      </c>
    </row>
    <row r="861" spans="1:1" x14ac:dyDescent="0.25">
      <c r="A861">
        <v>959</v>
      </c>
    </row>
    <row r="862" spans="1:1" x14ac:dyDescent="0.25">
      <c r="A862">
        <v>960</v>
      </c>
    </row>
    <row r="863" spans="1:1" x14ac:dyDescent="0.25">
      <c r="A863">
        <v>961</v>
      </c>
    </row>
    <row r="864" spans="1:1" x14ac:dyDescent="0.25">
      <c r="A864">
        <v>962</v>
      </c>
    </row>
    <row r="865" spans="1:1" x14ac:dyDescent="0.25">
      <c r="A865">
        <v>963</v>
      </c>
    </row>
    <row r="866" spans="1:1" x14ac:dyDescent="0.25">
      <c r="A866">
        <v>964</v>
      </c>
    </row>
    <row r="867" spans="1:1" x14ac:dyDescent="0.25">
      <c r="A867">
        <v>965</v>
      </c>
    </row>
    <row r="868" spans="1:1" x14ac:dyDescent="0.25">
      <c r="A868">
        <v>966</v>
      </c>
    </row>
    <row r="869" spans="1:1" x14ac:dyDescent="0.25">
      <c r="A869">
        <v>967</v>
      </c>
    </row>
    <row r="870" spans="1:1" x14ac:dyDescent="0.25">
      <c r="A870">
        <v>968</v>
      </c>
    </row>
    <row r="871" spans="1:1" x14ac:dyDescent="0.25">
      <c r="A871">
        <v>969</v>
      </c>
    </row>
    <row r="872" spans="1:1" x14ac:dyDescent="0.25">
      <c r="A872">
        <v>970</v>
      </c>
    </row>
    <row r="873" spans="1:1" x14ac:dyDescent="0.25">
      <c r="A873">
        <v>971</v>
      </c>
    </row>
    <row r="874" spans="1:1" x14ac:dyDescent="0.25">
      <c r="A874">
        <v>972</v>
      </c>
    </row>
    <row r="875" spans="1:1" x14ac:dyDescent="0.25">
      <c r="A875">
        <v>973</v>
      </c>
    </row>
    <row r="876" spans="1:1" x14ac:dyDescent="0.25">
      <c r="A876">
        <v>974</v>
      </c>
    </row>
    <row r="877" spans="1:1" x14ac:dyDescent="0.25">
      <c r="A877">
        <v>975</v>
      </c>
    </row>
    <row r="878" spans="1:1" x14ac:dyDescent="0.25">
      <c r="A878">
        <v>976</v>
      </c>
    </row>
    <row r="879" spans="1:1" x14ac:dyDescent="0.25">
      <c r="A879">
        <v>977</v>
      </c>
    </row>
    <row r="880" spans="1:1" x14ac:dyDescent="0.25">
      <c r="A880">
        <v>978</v>
      </c>
    </row>
    <row r="881" spans="1:1" x14ac:dyDescent="0.25">
      <c r="A881">
        <v>979</v>
      </c>
    </row>
    <row r="882" spans="1:1" x14ac:dyDescent="0.25">
      <c r="A882">
        <v>980</v>
      </c>
    </row>
    <row r="883" spans="1:1" x14ac:dyDescent="0.25">
      <c r="A883">
        <v>981</v>
      </c>
    </row>
    <row r="884" spans="1:1" x14ac:dyDescent="0.25">
      <c r="A884">
        <v>982</v>
      </c>
    </row>
    <row r="885" spans="1:1" x14ac:dyDescent="0.25">
      <c r="A885">
        <v>983</v>
      </c>
    </row>
    <row r="886" spans="1:1" x14ac:dyDescent="0.25">
      <c r="A886">
        <v>984</v>
      </c>
    </row>
    <row r="887" spans="1:1" x14ac:dyDescent="0.25">
      <c r="A887">
        <v>985</v>
      </c>
    </row>
    <row r="888" spans="1:1" x14ac:dyDescent="0.25">
      <c r="A888">
        <v>986</v>
      </c>
    </row>
    <row r="889" spans="1:1" x14ac:dyDescent="0.25">
      <c r="A889">
        <v>987</v>
      </c>
    </row>
    <row r="890" spans="1:1" x14ac:dyDescent="0.25">
      <c r="A890">
        <v>988</v>
      </c>
    </row>
    <row r="891" spans="1:1" x14ac:dyDescent="0.25">
      <c r="A891">
        <v>989</v>
      </c>
    </row>
    <row r="892" spans="1:1" x14ac:dyDescent="0.25">
      <c r="A892">
        <v>990</v>
      </c>
    </row>
    <row r="893" spans="1:1" x14ac:dyDescent="0.25">
      <c r="A893">
        <v>991</v>
      </c>
    </row>
    <row r="894" spans="1:1" x14ac:dyDescent="0.25">
      <c r="A894">
        <v>992</v>
      </c>
    </row>
    <row r="895" spans="1:1" x14ac:dyDescent="0.25">
      <c r="A895">
        <v>993</v>
      </c>
    </row>
    <row r="896" spans="1:1" x14ac:dyDescent="0.25">
      <c r="A896">
        <v>994</v>
      </c>
    </row>
    <row r="897" spans="1:1" x14ac:dyDescent="0.25">
      <c r="A897">
        <v>995</v>
      </c>
    </row>
    <row r="898" spans="1:1" x14ac:dyDescent="0.25">
      <c r="A898">
        <v>996</v>
      </c>
    </row>
    <row r="899" spans="1:1" x14ac:dyDescent="0.25">
      <c r="A899">
        <v>997</v>
      </c>
    </row>
    <row r="900" spans="1:1" x14ac:dyDescent="0.25">
      <c r="A900">
        <v>998</v>
      </c>
    </row>
    <row r="901" spans="1:1" x14ac:dyDescent="0.25">
      <c r="A901">
        <v>999</v>
      </c>
    </row>
    <row r="902" spans="1:1" x14ac:dyDescent="0.25">
      <c r="A902">
        <v>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2:A902"/>
  <sheetViews>
    <sheetView workbookViewId="0"/>
  </sheetViews>
  <sheetFormatPr defaultColWidth="9.140625" defaultRowHeight="15" x14ac:dyDescent="0.25"/>
  <cols>
    <col min="1" max="16384" width="9.140625" style="24"/>
  </cols>
  <sheetData>
    <row r="2" spans="1:1" x14ac:dyDescent="0.25">
      <c r="A2" s="24">
        <v>100</v>
      </c>
    </row>
    <row r="3" spans="1:1" x14ac:dyDescent="0.25">
      <c r="A3" s="24">
        <v>101</v>
      </c>
    </row>
    <row r="4" spans="1:1" x14ac:dyDescent="0.25">
      <c r="A4" s="24">
        <v>102</v>
      </c>
    </row>
    <row r="5" spans="1:1" x14ac:dyDescent="0.25">
      <c r="A5" s="24">
        <v>103</v>
      </c>
    </row>
    <row r="6" spans="1:1" x14ac:dyDescent="0.25">
      <c r="A6" s="24">
        <v>104</v>
      </c>
    </row>
    <row r="7" spans="1:1" x14ac:dyDescent="0.25">
      <c r="A7" s="24">
        <v>105</v>
      </c>
    </row>
    <row r="8" spans="1:1" x14ac:dyDescent="0.25">
      <c r="A8" s="24">
        <v>106</v>
      </c>
    </row>
    <row r="9" spans="1:1" x14ac:dyDescent="0.25">
      <c r="A9" s="24">
        <v>107</v>
      </c>
    </row>
    <row r="10" spans="1:1" x14ac:dyDescent="0.25">
      <c r="A10" s="24">
        <v>108</v>
      </c>
    </row>
    <row r="11" spans="1:1" x14ac:dyDescent="0.25">
      <c r="A11" s="24">
        <v>109</v>
      </c>
    </row>
    <row r="12" spans="1:1" x14ac:dyDescent="0.25">
      <c r="A12" s="24">
        <v>110</v>
      </c>
    </row>
    <row r="13" spans="1:1" x14ac:dyDescent="0.25">
      <c r="A13" s="24">
        <v>111</v>
      </c>
    </row>
    <row r="14" spans="1:1" x14ac:dyDescent="0.25">
      <c r="A14" s="24">
        <v>112</v>
      </c>
    </row>
    <row r="15" spans="1:1" x14ac:dyDescent="0.25">
      <c r="A15" s="24">
        <v>113</v>
      </c>
    </row>
    <row r="16" spans="1:1" x14ac:dyDescent="0.25">
      <c r="A16" s="24">
        <v>114</v>
      </c>
    </row>
    <row r="17" spans="1:1" x14ac:dyDescent="0.25">
      <c r="A17" s="24">
        <v>115</v>
      </c>
    </row>
    <row r="18" spans="1:1" x14ac:dyDescent="0.25">
      <c r="A18" s="24">
        <v>116</v>
      </c>
    </row>
    <row r="19" spans="1:1" x14ac:dyDescent="0.25">
      <c r="A19" s="24">
        <v>117</v>
      </c>
    </row>
    <row r="20" spans="1:1" x14ac:dyDescent="0.25">
      <c r="A20" s="24">
        <v>118</v>
      </c>
    </row>
    <row r="21" spans="1:1" x14ac:dyDescent="0.25">
      <c r="A21" s="24">
        <v>119</v>
      </c>
    </row>
    <row r="22" spans="1:1" x14ac:dyDescent="0.25">
      <c r="A22" s="24">
        <v>120</v>
      </c>
    </row>
    <row r="23" spans="1:1" x14ac:dyDescent="0.25">
      <c r="A23" s="24">
        <v>121</v>
      </c>
    </row>
    <row r="24" spans="1:1" x14ac:dyDescent="0.25">
      <c r="A24" s="24">
        <v>122</v>
      </c>
    </row>
    <row r="25" spans="1:1" x14ac:dyDescent="0.25">
      <c r="A25" s="24">
        <v>123</v>
      </c>
    </row>
    <row r="26" spans="1:1" x14ac:dyDescent="0.25">
      <c r="A26" s="24">
        <v>124</v>
      </c>
    </row>
    <row r="27" spans="1:1" x14ac:dyDescent="0.25">
      <c r="A27" s="24">
        <v>125</v>
      </c>
    </row>
    <row r="28" spans="1:1" x14ac:dyDescent="0.25">
      <c r="A28" s="24">
        <v>126</v>
      </c>
    </row>
    <row r="29" spans="1:1" x14ac:dyDescent="0.25">
      <c r="A29" s="24">
        <v>127</v>
      </c>
    </row>
    <row r="30" spans="1:1" x14ac:dyDescent="0.25">
      <c r="A30" s="24">
        <v>128</v>
      </c>
    </row>
    <row r="31" spans="1:1" x14ac:dyDescent="0.25">
      <c r="A31" s="24">
        <v>129</v>
      </c>
    </row>
    <row r="32" spans="1:1" x14ac:dyDescent="0.25">
      <c r="A32" s="24">
        <v>130</v>
      </c>
    </row>
    <row r="33" spans="1:1" x14ac:dyDescent="0.25">
      <c r="A33" s="24">
        <v>131</v>
      </c>
    </row>
    <row r="34" spans="1:1" x14ac:dyDescent="0.25">
      <c r="A34" s="24">
        <v>132</v>
      </c>
    </row>
    <row r="35" spans="1:1" x14ac:dyDescent="0.25">
      <c r="A35" s="24">
        <v>133</v>
      </c>
    </row>
    <row r="36" spans="1:1" x14ac:dyDescent="0.25">
      <c r="A36" s="24">
        <v>134</v>
      </c>
    </row>
    <row r="37" spans="1:1" x14ac:dyDescent="0.25">
      <c r="A37" s="24">
        <v>135</v>
      </c>
    </row>
    <row r="38" spans="1:1" x14ac:dyDescent="0.25">
      <c r="A38" s="24">
        <v>136</v>
      </c>
    </row>
    <row r="39" spans="1:1" x14ac:dyDescent="0.25">
      <c r="A39" s="24">
        <v>137</v>
      </c>
    </row>
    <row r="40" spans="1:1" x14ac:dyDescent="0.25">
      <c r="A40" s="24">
        <v>138</v>
      </c>
    </row>
    <row r="41" spans="1:1" x14ac:dyDescent="0.25">
      <c r="A41" s="24">
        <v>139</v>
      </c>
    </row>
    <row r="42" spans="1:1" x14ac:dyDescent="0.25">
      <c r="A42" s="24">
        <v>140</v>
      </c>
    </row>
    <row r="43" spans="1:1" x14ac:dyDescent="0.25">
      <c r="A43" s="24">
        <v>141</v>
      </c>
    </row>
    <row r="44" spans="1:1" x14ac:dyDescent="0.25">
      <c r="A44" s="24">
        <v>142</v>
      </c>
    </row>
    <row r="45" spans="1:1" x14ac:dyDescent="0.25">
      <c r="A45" s="24">
        <v>143</v>
      </c>
    </row>
    <row r="46" spans="1:1" x14ac:dyDescent="0.25">
      <c r="A46" s="24">
        <v>144</v>
      </c>
    </row>
    <row r="47" spans="1:1" x14ac:dyDescent="0.25">
      <c r="A47" s="24">
        <v>145</v>
      </c>
    </row>
    <row r="48" spans="1:1" x14ac:dyDescent="0.25">
      <c r="A48" s="24">
        <v>146</v>
      </c>
    </row>
    <row r="49" spans="1:1" x14ac:dyDescent="0.25">
      <c r="A49" s="24">
        <v>147</v>
      </c>
    </row>
    <row r="50" spans="1:1" x14ac:dyDescent="0.25">
      <c r="A50" s="24">
        <v>148</v>
      </c>
    </row>
    <row r="51" spans="1:1" x14ac:dyDescent="0.25">
      <c r="A51" s="24">
        <v>149</v>
      </c>
    </row>
    <row r="52" spans="1:1" x14ac:dyDescent="0.25">
      <c r="A52" s="24">
        <v>150</v>
      </c>
    </row>
    <row r="53" spans="1:1" x14ac:dyDescent="0.25">
      <c r="A53" s="24">
        <v>151</v>
      </c>
    </row>
    <row r="54" spans="1:1" x14ac:dyDescent="0.25">
      <c r="A54" s="24">
        <v>152</v>
      </c>
    </row>
    <row r="55" spans="1:1" x14ac:dyDescent="0.25">
      <c r="A55" s="24">
        <v>153</v>
      </c>
    </row>
    <row r="56" spans="1:1" x14ac:dyDescent="0.25">
      <c r="A56" s="24">
        <v>154</v>
      </c>
    </row>
    <row r="57" spans="1:1" x14ac:dyDescent="0.25">
      <c r="A57" s="24">
        <v>155</v>
      </c>
    </row>
    <row r="58" spans="1:1" x14ac:dyDescent="0.25">
      <c r="A58" s="24">
        <v>156</v>
      </c>
    </row>
    <row r="59" spans="1:1" x14ac:dyDescent="0.25">
      <c r="A59" s="24">
        <v>157</v>
      </c>
    </row>
    <row r="60" spans="1:1" x14ac:dyDescent="0.25">
      <c r="A60" s="24">
        <v>158</v>
      </c>
    </row>
    <row r="61" spans="1:1" x14ac:dyDescent="0.25">
      <c r="A61" s="24">
        <v>159</v>
      </c>
    </row>
    <row r="62" spans="1:1" x14ac:dyDescent="0.25">
      <c r="A62" s="24">
        <v>160</v>
      </c>
    </row>
    <row r="63" spans="1:1" x14ac:dyDescent="0.25">
      <c r="A63" s="24">
        <v>161</v>
      </c>
    </row>
    <row r="64" spans="1:1" x14ac:dyDescent="0.25">
      <c r="A64" s="24">
        <v>162</v>
      </c>
    </row>
    <row r="65" spans="1:1" x14ac:dyDescent="0.25">
      <c r="A65" s="24">
        <v>163</v>
      </c>
    </row>
    <row r="66" spans="1:1" x14ac:dyDescent="0.25">
      <c r="A66" s="24">
        <v>164</v>
      </c>
    </row>
    <row r="67" spans="1:1" x14ac:dyDescent="0.25">
      <c r="A67" s="24">
        <v>165</v>
      </c>
    </row>
    <row r="68" spans="1:1" x14ac:dyDescent="0.25">
      <c r="A68" s="24">
        <v>166</v>
      </c>
    </row>
    <row r="69" spans="1:1" x14ac:dyDescent="0.25">
      <c r="A69" s="24">
        <v>167</v>
      </c>
    </row>
    <row r="70" spans="1:1" x14ac:dyDescent="0.25">
      <c r="A70" s="24">
        <v>168</v>
      </c>
    </row>
    <row r="71" spans="1:1" x14ac:dyDescent="0.25">
      <c r="A71" s="24">
        <v>169</v>
      </c>
    </row>
    <row r="72" spans="1:1" x14ac:dyDescent="0.25">
      <c r="A72" s="24">
        <v>170</v>
      </c>
    </row>
    <row r="73" spans="1:1" x14ac:dyDescent="0.25">
      <c r="A73" s="24">
        <v>171</v>
      </c>
    </row>
    <row r="74" spans="1:1" x14ac:dyDescent="0.25">
      <c r="A74" s="24">
        <v>172</v>
      </c>
    </row>
    <row r="75" spans="1:1" x14ac:dyDescent="0.25">
      <c r="A75" s="24">
        <v>173</v>
      </c>
    </row>
    <row r="76" spans="1:1" x14ac:dyDescent="0.25">
      <c r="A76" s="24">
        <v>174</v>
      </c>
    </row>
    <row r="77" spans="1:1" x14ac:dyDescent="0.25">
      <c r="A77" s="24">
        <v>175</v>
      </c>
    </row>
    <row r="78" spans="1:1" x14ac:dyDescent="0.25">
      <c r="A78" s="24">
        <v>176</v>
      </c>
    </row>
    <row r="79" spans="1:1" x14ac:dyDescent="0.25">
      <c r="A79" s="24">
        <v>177</v>
      </c>
    </row>
    <row r="80" spans="1:1" x14ac:dyDescent="0.25">
      <c r="A80" s="24">
        <v>178</v>
      </c>
    </row>
    <row r="81" spans="1:1" x14ac:dyDescent="0.25">
      <c r="A81" s="24">
        <v>179</v>
      </c>
    </row>
    <row r="82" spans="1:1" x14ac:dyDescent="0.25">
      <c r="A82" s="24">
        <v>180</v>
      </c>
    </row>
    <row r="83" spans="1:1" x14ac:dyDescent="0.25">
      <c r="A83" s="24">
        <v>181</v>
      </c>
    </row>
    <row r="84" spans="1:1" x14ac:dyDescent="0.25">
      <c r="A84" s="24">
        <v>182</v>
      </c>
    </row>
    <row r="85" spans="1:1" x14ac:dyDescent="0.25">
      <c r="A85" s="24">
        <v>183</v>
      </c>
    </row>
    <row r="86" spans="1:1" x14ac:dyDescent="0.25">
      <c r="A86" s="24">
        <v>184</v>
      </c>
    </row>
    <row r="87" spans="1:1" x14ac:dyDescent="0.25">
      <c r="A87" s="24">
        <v>185</v>
      </c>
    </row>
    <row r="88" spans="1:1" x14ac:dyDescent="0.25">
      <c r="A88" s="24">
        <v>186</v>
      </c>
    </row>
    <row r="89" spans="1:1" x14ac:dyDescent="0.25">
      <c r="A89" s="24">
        <v>187</v>
      </c>
    </row>
    <row r="90" spans="1:1" x14ac:dyDescent="0.25">
      <c r="A90" s="24">
        <v>188</v>
      </c>
    </row>
    <row r="91" spans="1:1" x14ac:dyDescent="0.25">
      <c r="A91" s="24">
        <v>189</v>
      </c>
    </row>
    <row r="92" spans="1:1" x14ac:dyDescent="0.25">
      <c r="A92" s="24">
        <v>190</v>
      </c>
    </row>
    <row r="93" spans="1:1" x14ac:dyDescent="0.25">
      <c r="A93" s="24">
        <v>191</v>
      </c>
    </row>
    <row r="94" spans="1:1" x14ac:dyDescent="0.25">
      <c r="A94" s="24">
        <v>192</v>
      </c>
    </row>
    <row r="95" spans="1:1" x14ac:dyDescent="0.25">
      <c r="A95" s="24">
        <v>193</v>
      </c>
    </row>
    <row r="96" spans="1:1" x14ac:dyDescent="0.25">
      <c r="A96" s="24">
        <v>194</v>
      </c>
    </row>
    <row r="97" spans="1:1" x14ac:dyDescent="0.25">
      <c r="A97" s="24">
        <v>195</v>
      </c>
    </row>
    <row r="98" spans="1:1" x14ac:dyDescent="0.25">
      <c r="A98" s="24">
        <v>196</v>
      </c>
    </row>
    <row r="99" spans="1:1" x14ac:dyDescent="0.25">
      <c r="A99" s="24">
        <v>197</v>
      </c>
    </row>
    <row r="100" spans="1:1" x14ac:dyDescent="0.25">
      <c r="A100" s="24">
        <v>198</v>
      </c>
    </row>
    <row r="101" spans="1:1" x14ac:dyDescent="0.25">
      <c r="A101" s="24">
        <v>199</v>
      </c>
    </row>
    <row r="102" spans="1:1" x14ac:dyDescent="0.25">
      <c r="A102" s="24">
        <v>200</v>
      </c>
    </row>
    <row r="103" spans="1:1" x14ac:dyDescent="0.25">
      <c r="A103" s="24">
        <v>201</v>
      </c>
    </row>
    <row r="104" spans="1:1" x14ac:dyDescent="0.25">
      <c r="A104" s="24">
        <v>202</v>
      </c>
    </row>
    <row r="105" spans="1:1" x14ac:dyDescent="0.25">
      <c r="A105" s="24">
        <v>203</v>
      </c>
    </row>
    <row r="106" spans="1:1" x14ac:dyDescent="0.25">
      <c r="A106" s="24">
        <v>204</v>
      </c>
    </row>
    <row r="107" spans="1:1" x14ac:dyDescent="0.25">
      <c r="A107" s="24">
        <v>205</v>
      </c>
    </row>
    <row r="108" spans="1:1" x14ac:dyDescent="0.25">
      <c r="A108" s="24">
        <v>206</v>
      </c>
    </row>
    <row r="109" spans="1:1" x14ac:dyDescent="0.25">
      <c r="A109" s="24">
        <v>207</v>
      </c>
    </row>
    <row r="110" spans="1:1" x14ac:dyDescent="0.25">
      <c r="A110" s="24">
        <v>208</v>
      </c>
    </row>
    <row r="111" spans="1:1" x14ac:dyDescent="0.25">
      <c r="A111" s="24">
        <v>209</v>
      </c>
    </row>
    <row r="112" spans="1:1" x14ac:dyDescent="0.25">
      <c r="A112" s="24">
        <v>210</v>
      </c>
    </row>
    <row r="113" spans="1:1" x14ac:dyDescent="0.25">
      <c r="A113" s="24">
        <v>211</v>
      </c>
    </row>
    <row r="114" spans="1:1" x14ac:dyDescent="0.25">
      <c r="A114" s="24">
        <v>212</v>
      </c>
    </row>
    <row r="115" spans="1:1" x14ac:dyDescent="0.25">
      <c r="A115" s="24">
        <v>213</v>
      </c>
    </row>
    <row r="116" spans="1:1" x14ac:dyDescent="0.25">
      <c r="A116" s="24">
        <v>214</v>
      </c>
    </row>
    <row r="117" spans="1:1" x14ac:dyDescent="0.25">
      <c r="A117" s="24">
        <v>215</v>
      </c>
    </row>
    <row r="118" spans="1:1" x14ac:dyDescent="0.25">
      <c r="A118" s="24">
        <v>216</v>
      </c>
    </row>
    <row r="119" spans="1:1" x14ac:dyDescent="0.25">
      <c r="A119" s="24">
        <v>217</v>
      </c>
    </row>
    <row r="120" spans="1:1" x14ac:dyDescent="0.25">
      <c r="A120" s="24">
        <v>218</v>
      </c>
    </row>
    <row r="121" spans="1:1" x14ac:dyDescent="0.25">
      <c r="A121" s="24">
        <v>219</v>
      </c>
    </row>
    <row r="122" spans="1:1" x14ac:dyDescent="0.25">
      <c r="A122" s="24">
        <v>220</v>
      </c>
    </row>
    <row r="123" spans="1:1" x14ac:dyDescent="0.25">
      <c r="A123" s="24">
        <v>221</v>
      </c>
    </row>
    <row r="124" spans="1:1" x14ac:dyDescent="0.25">
      <c r="A124" s="24">
        <v>222</v>
      </c>
    </row>
    <row r="125" spans="1:1" x14ac:dyDescent="0.25">
      <c r="A125" s="24">
        <v>223</v>
      </c>
    </row>
    <row r="126" spans="1:1" x14ac:dyDescent="0.25">
      <c r="A126" s="24">
        <v>224</v>
      </c>
    </row>
    <row r="127" spans="1:1" x14ac:dyDescent="0.25">
      <c r="A127" s="24">
        <v>225</v>
      </c>
    </row>
    <row r="128" spans="1:1" x14ac:dyDescent="0.25">
      <c r="A128" s="24">
        <v>226</v>
      </c>
    </row>
    <row r="129" spans="1:1" x14ac:dyDescent="0.25">
      <c r="A129" s="24">
        <v>227</v>
      </c>
    </row>
    <row r="130" spans="1:1" x14ac:dyDescent="0.25">
      <c r="A130" s="24">
        <v>228</v>
      </c>
    </row>
    <row r="131" spans="1:1" x14ac:dyDescent="0.25">
      <c r="A131" s="24">
        <v>229</v>
      </c>
    </row>
    <row r="132" spans="1:1" x14ac:dyDescent="0.25">
      <c r="A132" s="24">
        <v>230</v>
      </c>
    </row>
    <row r="133" spans="1:1" x14ac:dyDescent="0.25">
      <c r="A133" s="24">
        <v>231</v>
      </c>
    </row>
    <row r="134" spans="1:1" x14ac:dyDescent="0.25">
      <c r="A134" s="24">
        <v>232</v>
      </c>
    </row>
    <row r="135" spans="1:1" x14ac:dyDescent="0.25">
      <c r="A135" s="24">
        <v>233</v>
      </c>
    </row>
    <row r="136" spans="1:1" x14ac:dyDescent="0.25">
      <c r="A136" s="24">
        <v>234</v>
      </c>
    </row>
    <row r="137" spans="1:1" x14ac:dyDescent="0.25">
      <c r="A137" s="24">
        <v>235</v>
      </c>
    </row>
    <row r="138" spans="1:1" x14ac:dyDescent="0.25">
      <c r="A138" s="24">
        <v>236</v>
      </c>
    </row>
    <row r="139" spans="1:1" x14ac:dyDescent="0.25">
      <c r="A139" s="24">
        <v>237</v>
      </c>
    </row>
    <row r="140" spans="1:1" x14ac:dyDescent="0.25">
      <c r="A140" s="24">
        <v>238</v>
      </c>
    </row>
    <row r="141" spans="1:1" x14ac:dyDescent="0.25">
      <c r="A141" s="24">
        <v>239</v>
      </c>
    </row>
    <row r="142" spans="1:1" x14ac:dyDescent="0.25">
      <c r="A142" s="24">
        <v>240</v>
      </c>
    </row>
    <row r="143" spans="1:1" x14ac:dyDescent="0.25">
      <c r="A143" s="24">
        <v>241</v>
      </c>
    </row>
    <row r="144" spans="1:1" x14ac:dyDescent="0.25">
      <c r="A144" s="24">
        <v>242</v>
      </c>
    </row>
    <row r="145" spans="1:1" x14ac:dyDescent="0.25">
      <c r="A145" s="24">
        <v>243</v>
      </c>
    </row>
    <row r="146" spans="1:1" x14ac:dyDescent="0.25">
      <c r="A146" s="24">
        <v>244</v>
      </c>
    </row>
    <row r="147" spans="1:1" x14ac:dyDescent="0.25">
      <c r="A147" s="24">
        <v>245</v>
      </c>
    </row>
    <row r="148" spans="1:1" x14ac:dyDescent="0.25">
      <c r="A148" s="24">
        <v>246</v>
      </c>
    </row>
    <row r="149" spans="1:1" x14ac:dyDescent="0.25">
      <c r="A149" s="24">
        <v>247</v>
      </c>
    </row>
    <row r="150" spans="1:1" x14ac:dyDescent="0.25">
      <c r="A150" s="24">
        <v>248</v>
      </c>
    </row>
    <row r="151" spans="1:1" x14ac:dyDescent="0.25">
      <c r="A151" s="24">
        <v>249</v>
      </c>
    </row>
    <row r="152" spans="1:1" x14ac:dyDescent="0.25">
      <c r="A152" s="24">
        <v>250</v>
      </c>
    </row>
    <row r="153" spans="1:1" x14ac:dyDescent="0.25">
      <c r="A153" s="24">
        <v>251</v>
      </c>
    </row>
    <row r="154" spans="1:1" x14ac:dyDescent="0.25">
      <c r="A154" s="24">
        <v>252</v>
      </c>
    </row>
    <row r="155" spans="1:1" x14ac:dyDescent="0.25">
      <c r="A155" s="24">
        <v>253</v>
      </c>
    </row>
    <row r="156" spans="1:1" x14ac:dyDescent="0.25">
      <c r="A156" s="24">
        <v>254</v>
      </c>
    </row>
    <row r="157" spans="1:1" x14ac:dyDescent="0.25">
      <c r="A157" s="24">
        <v>255</v>
      </c>
    </row>
    <row r="158" spans="1:1" x14ac:dyDescent="0.25">
      <c r="A158" s="24">
        <v>256</v>
      </c>
    </row>
    <row r="159" spans="1:1" x14ac:dyDescent="0.25">
      <c r="A159" s="24">
        <v>257</v>
      </c>
    </row>
    <row r="160" spans="1:1" x14ac:dyDescent="0.25">
      <c r="A160" s="24">
        <v>258</v>
      </c>
    </row>
    <row r="161" spans="1:1" x14ac:dyDescent="0.25">
      <c r="A161" s="24">
        <v>259</v>
      </c>
    </row>
    <row r="162" spans="1:1" x14ac:dyDescent="0.25">
      <c r="A162" s="24">
        <v>260</v>
      </c>
    </row>
    <row r="163" spans="1:1" x14ac:dyDescent="0.25">
      <c r="A163" s="24">
        <v>261</v>
      </c>
    </row>
    <row r="164" spans="1:1" x14ac:dyDescent="0.25">
      <c r="A164" s="24">
        <v>262</v>
      </c>
    </row>
    <row r="165" spans="1:1" x14ac:dyDescent="0.25">
      <c r="A165" s="24">
        <v>263</v>
      </c>
    </row>
    <row r="166" spans="1:1" x14ac:dyDescent="0.25">
      <c r="A166" s="24">
        <v>264</v>
      </c>
    </row>
    <row r="167" spans="1:1" x14ac:dyDescent="0.25">
      <c r="A167" s="24">
        <v>265</v>
      </c>
    </row>
    <row r="168" spans="1:1" x14ac:dyDescent="0.25">
      <c r="A168" s="24">
        <v>266</v>
      </c>
    </row>
    <row r="169" spans="1:1" x14ac:dyDescent="0.25">
      <c r="A169" s="24">
        <v>267</v>
      </c>
    </row>
    <row r="170" spans="1:1" x14ac:dyDescent="0.25">
      <c r="A170" s="24">
        <v>268</v>
      </c>
    </row>
    <row r="171" spans="1:1" x14ac:dyDescent="0.25">
      <c r="A171" s="24">
        <v>269</v>
      </c>
    </row>
    <row r="172" spans="1:1" x14ac:dyDescent="0.25">
      <c r="A172" s="24">
        <v>270</v>
      </c>
    </row>
    <row r="173" spans="1:1" x14ac:dyDescent="0.25">
      <c r="A173" s="24">
        <v>271</v>
      </c>
    </row>
    <row r="174" spans="1:1" x14ac:dyDescent="0.25">
      <c r="A174" s="24">
        <v>272</v>
      </c>
    </row>
    <row r="175" spans="1:1" x14ac:dyDescent="0.25">
      <c r="A175" s="24">
        <v>273</v>
      </c>
    </row>
    <row r="176" spans="1:1" x14ac:dyDescent="0.25">
      <c r="A176" s="24">
        <v>274</v>
      </c>
    </row>
    <row r="177" spans="1:1" x14ac:dyDescent="0.25">
      <c r="A177" s="24">
        <v>275</v>
      </c>
    </row>
    <row r="178" spans="1:1" x14ac:dyDescent="0.25">
      <c r="A178" s="24">
        <v>276</v>
      </c>
    </row>
    <row r="179" spans="1:1" x14ac:dyDescent="0.25">
      <c r="A179" s="24">
        <v>277</v>
      </c>
    </row>
    <row r="180" spans="1:1" x14ac:dyDescent="0.25">
      <c r="A180" s="24">
        <v>278</v>
      </c>
    </row>
    <row r="181" spans="1:1" x14ac:dyDescent="0.25">
      <c r="A181" s="24">
        <v>279</v>
      </c>
    </row>
    <row r="182" spans="1:1" x14ac:dyDescent="0.25">
      <c r="A182" s="24">
        <v>280</v>
      </c>
    </row>
    <row r="183" spans="1:1" x14ac:dyDescent="0.25">
      <c r="A183" s="24">
        <v>281</v>
      </c>
    </row>
    <row r="184" spans="1:1" x14ac:dyDescent="0.25">
      <c r="A184" s="24">
        <v>282</v>
      </c>
    </row>
    <row r="185" spans="1:1" x14ac:dyDescent="0.25">
      <c r="A185" s="24">
        <v>283</v>
      </c>
    </row>
    <row r="186" spans="1:1" x14ac:dyDescent="0.25">
      <c r="A186" s="24">
        <v>284</v>
      </c>
    </row>
    <row r="187" spans="1:1" x14ac:dyDescent="0.25">
      <c r="A187" s="24">
        <v>285</v>
      </c>
    </row>
    <row r="188" spans="1:1" x14ac:dyDescent="0.25">
      <c r="A188" s="24">
        <v>286</v>
      </c>
    </row>
    <row r="189" spans="1:1" x14ac:dyDescent="0.25">
      <c r="A189" s="24">
        <v>287</v>
      </c>
    </row>
    <row r="190" spans="1:1" x14ac:dyDescent="0.25">
      <c r="A190" s="24">
        <v>288</v>
      </c>
    </row>
    <row r="191" spans="1:1" x14ac:dyDescent="0.25">
      <c r="A191" s="24">
        <v>289</v>
      </c>
    </row>
    <row r="192" spans="1:1" x14ac:dyDescent="0.25">
      <c r="A192" s="24">
        <v>290</v>
      </c>
    </row>
    <row r="193" spans="1:1" x14ac:dyDescent="0.25">
      <c r="A193" s="24">
        <v>291</v>
      </c>
    </row>
    <row r="194" spans="1:1" x14ac:dyDescent="0.25">
      <c r="A194" s="24">
        <v>292</v>
      </c>
    </row>
    <row r="195" spans="1:1" x14ac:dyDescent="0.25">
      <c r="A195" s="24">
        <v>293</v>
      </c>
    </row>
    <row r="196" spans="1:1" x14ac:dyDescent="0.25">
      <c r="A196" s="24">
        <v>294</v>
      </c>
    </row>
    <row r="197" spans="1:1" x14ac:dyDescent="0.25">
      <c r="A197" s="24">
        <v>295</v>
      </c>
    </row>
    <row r="198" spans="1:1" x14ac:dyDescent="0.25">
      <c r="A198" s="24">
        <v>296</v>
      </c>
    </row>
    <row r="199" spans="1:1" x14ac:dyDescent="0.25">
      <c r="A199" s="24">
        <v>297</v>
      </c>
    </row>
    <row r="200" spans="1:1" x14ac:dyDescent="0.25">
      <c r="A200" s="24">
        <v>298</v>
      </c>
    </row>
    <row r="201" spans="1:1" x14ac:dyDescent="0.25">
      <c r="A201" s="24">
        <v>299</v>
      </c>
    </row>
    <row r="202" spans="1:1" x14ac:dyDescent="0.25">
      <c r="A202" s="24">
        <v>300</v>
      </c>
    </row>
    <row r="203" spans="1:1" x14ac:dyDescent="0.25">
      <c r="A203" s="24">
        <v>301</v>
      </c>
    </row>
    <row r="204" spans="1:1" x14ac:dyDescent="0.25">
      <c r="A204" s="24">
        <v>302</v>
      </c>
    </row>
    <row r="205" spans="1:1" x14ac:dyDescent="0.25">
      <c r="A205" s="24">
        <v>303</v>
      </c>
    </row>
    <row r="206" spans="1:1" x14ac:dyDescent="0.25">
      <c r="A206" s="24">
        <v>304</v>
      </c>
    </row>
    <row r="207" spans="1:1" x14ac:dyDescent="0.25">
      <c r="A207" s="24">
        <v>305</v>
      </c>
    </row>
    <row r="208" spans="1:1" x14ac:dyDescent="0.25">
      <c r="A208" s="24">
        <v>306</v>
      </c>
    </row>
    <row r="209" spans="1:1" x14ac:dyDescent="0.25">
      <c r="A209" s="24">
        <v>307</v>
      </c>
    </row>
    <row r="210" spans="1:1" x14ac:dyDescent="0.25">
      <c r="A210" s="24">
        <v>308</v>
      </c>
    </row>
    <row r="211" spans="1:1" x14ac:dyDescent="0.25">
      <c r="A211" s="24">
        <v>309</v>
      </c>
    </row>
    <row r="212" spans="1:1" x14ac:dyDescent="0.25">
      <c r="A212" s="24">
        <v>310</v>
      </c>
    </row>
    <row r="213" spans="1:1" x14ac:dyDescent="0.25">
      <c r="A213" s="24">
        <v>311</v>
      </c>
    </row>
    <row r="214" spans="1:1" x14ac:dyDescent="0.25">
      <c r="A214" s="24">
        <v>312</v>
      </c>
    </row>
    <row r="215" spans="1:1" x14ac:dyDescent="0.25">
      <c r="A215" s="24">
        <v>313</v>
      </c>
    </row>
    <row r="216" spans="1:1" x14ac:dyDescent="0.25">
      <c r="A216" s="24">
        <v>314</v>
      </c>
    </row>
    <row r="217" spans="1:1" x14ac:dyDescent="0.25">
      <c r="A217" s="24">
        <v>315</v>
      </c>
    </row>
    <row r="218" spans="1:1" x14ac:dyDescent="0.25">
      <c r="A218" s="24">
        <v>316</v>
      </c>
    </row>
    <row r="219" spans="1:1" x14ac:dyDescent="0.25">
      <c r="A219" s="24">
        <v>317</v>
      </c>
    </row>
    <row r="220" spans="1:1" x14ac:dyDescent="0.25">
      <c r="A220" s="24">
        <v>318</v>
      </c>
    </row>
    <row r="221" spans="1:1" x14ac:dyDescent="0.25">
      <c r="A221" s="24">
        <v>319</v>
      </c>
    </row>
    <row r="222" spans="1:1" x14ac:dyDescent="0.25">
      <c r="A222" s="24">
        <v>320</v>
      </c>
    </row>
    <row r="223" spans="1:1" x14ac:dyDescent="0.25">
      <c r="A223" s="24">
        <v>321</v>
      </c>
    </row>
    <row r="224" spans="1:1" x14ac:dyDescent="0.25">
      <c r="A224" s="24">
        <v>322</v>
      </c>
    </row>
    <row r="225" spans="1:1" x14ac:dyDescent="0.25">
      <c r="A225" s="24">
        <v>323</v>
      </c>
    </row>
    <row r="226" spans="1:1" x14ac:dyDescent="0.25">
      <c r="A226" s="24">
        <v>324</v>
      </c>
    </row>
    <row r="227" spans="1:1" x14ac:dyDescent="0.25">
      <c r="A227" s="24">
        <v>325</v>
      </c>
    </row>
    <row r="228" spans="1:1" x14ac:dyDescent="0.25">
      <c r="A228" s="24">
        <v>326</v>
      </c>
    </row>
    <row r="229" spans="1:1" x14ac:dyDescent="0.25">
      <c r="A229" s="24">
        <v>327</v>
      </c>
    </row>
    <row r="230" spans="1:1" x14ac:dyDescent="0.25">
      <c r="A230" s="24">
        <v>328</v>
      </c>
    </row>
    <row r="231" spans="1:1" x14ac:dyDescent="0.25">
      <c r="A231" s="24">
        <v>329</v>
      </c>
    </row>
    <row r="232" spans="1:1" x14ac:dyDescent="0.25">
      <c r="A232" s="24">
        <v>330</v>
      </c>
    </row>
    <row r="233" spans="1:1" x14ac:dyDescent="0.25">
      <c r="A233" s="24">
        <v>331</v>
      </c>
    </row>
    <row r="234" spans="1:1" x14ac:dyDescent="0.25">
      <c r="A234" s="24">
        <v>332</v>
      </c>
    </row>
    <row r="235" spans="1:1" x14ac:dyDescent="0.25">
      <c r="A235" s="24">
        <v>333</v>
      </c>
    </row>
    <row r="236" spans="1:1" x14ac:dyDescent="0.25">
      <c r="A236" s="24">
        <v>334</v>
      </c>
    </row>
    <row r="237" spans="1:1" x14ac:dyDescent="0.25">
      <c r="A237" s="24">
        <v>335</v>
      </c>
    </row>
    <row r="238" spans="1:1" x14ac:dyDescent="0.25">
      <c r="A238" s="24">
        <v>336</v>
      </c>
    </row>
    <row r="239" spans="1:1" x14ac:dyDescent="0.25">
      <c r="A239" s="24">
        <v>337</v>
      </c>
    </row>
    <row r="240" spans="1:1" x14ac:dyDescent="0.25">
      <c r="A240" s="24">
        <v>338</v>
      </c>
    </row>
    <row r="241" spans="1:1" x14ac:dyDescent="0.25">
      <c r="A241" s="24">
        <v>339</v>
      </c>
    </row>
    <row r="242" spans="1:1" x14ac:dyDescent="0.25">
      <c r="A242" s="24">
        <v>340</v>
      </c>
    </row>
    <row r="243" spans="1:1" x14ac:dyDescent="0.25">
      <c r="A243" s="24">
        <v>341</v>
      </c>
    </row>
    <row r="244" spans="1:1" x14ac:dyDescent="0.25">
      <c r="A244" s="24">
        <v>342</v>
      </c>
    </row>
    <row r="245" spans="1:1" x14ac:dyDescent="0.25">
      <c r="A245" s="24">
        <v>343</v>
      </c>
    </row>
    <row r="246" spans="1:1" x14ac:dyDescent="0.25">
      <c r="A246" s="24">
        <v>344</v>
      </c>
    </row>
    <row r="247" spans="1:1" x14ac:dyDescent="0.25">
      <c r="A247" s="24">
        <v>345</v>
      </c>
    </row>
    <row r="248" spans="1:1" x14ac:dyDescent="0.25">
      <c r="A248" s="24">
        <v>346</v>
      </c>
    </row>
    <row r="249" spans="1:1" x14ac:dyDescent="0.25">
      <c r="A249" s="24">
        <v>347</v>
      </c>
    </row>
    <row r="250" spans="1:1" x14ac:dyDescent="0.25">
      <c r="A250" s="24">
        <v>348</v>
      </c>
    </row>
    <row r="251" spans="1:1" x14ac:dyDescent="0.25">
      <c r="A251" s="24">
        <v>349</v>
      </c>
    </row>
    <row r="252" spans="1:1" x14ac:dyDescent="0.25">
      <c r="A252" s="24">
        <v>350</v>
      </c>
    </row>
    <row r="253" spans="1:1" x14ac:dyDescent="0.25">
      <c r="A253" s="24">
        <v>351</v>
      </c>
    </row>
    <row r="254" spans="1:1" x14ac:dyDescent="0.25">
      <c r="A254" s="24">
        <v>352</v>
      </c>
    </row>
    <row r="255" spans="1:1" x14ac:dyDescent="0.25">
      <c r="A255" s="24">
        <v>353</v>
      </c>
    </row>
    <row r="256" spans="1:1" x14ac:dyDescent="0.25">
      <c r="A256" s="24">
        <v>354</v>
      </c>
    </row>
    <row r="257" spans="1:1" x14ac:dyDescent="0.25">
      <c r="A257" s="24">
        <v>355</v>
      </c>
    </row>
    <row r="258" spans="1:1" x14ac:dyDescent="0.25">
      <c r="A258" s="24">
        <v>356</v>
      </c>
    </row>
    <row r="259" spans="1:1" x14ac:dyDescent="0.25">
      <c r="A259" s="24">
        <v>357</v>
      </c>
    </row>
    <row r="260" spans="1:1" x14ac:dyDescent="0.25">
      <c r="A260" s="24">
        <v>358</v>
      </c>
    </row>
    <row r="261" spans="1:1" x14ac:dyDescent="0.25">
      <c r="A261" s="24">
        <v>359</v>
      </c>
    </row>
    <row r="262" spans="1:1" x14ac:dyDescent="0.25">
      <c r="A262" s="24">
        <v>360</v>
      </c>
    </row>
    <row r="263" spans="1:1" x14ac:dyDescent="0.25">
      <c r="A263" s="24">
        <v>361</v>
      </c>
    </row>
    <row r="264" spans="1:1" x14ac:dyDescent="0.25">
      <c r="A264" s="24">
        <v>362</v>
      </c>
    </row>
    <row r="265" spans="1:1" x14ac:dyDescent="0.25">
      <c r="A265" s="24">
        <v>363</v>
      </c>
    </row>
    <row r="266" spans="1:1" x14ac:dyDescent="0.25">
      <c r="A266" s="24">
        <v>364</v>
      </c>
    </row>
    <row r="267" spans="1:1" x14ac:dyDescent="0.25">
      <c r="A267" s="24">
        <v>365</v>
      </c>
    </row>
    <row r="268" spans="1:1" x14ac:dyDescent="0.25">
      <c r="A268" s="24">
        <v>366</v>
      </c>
    </row>
    <row r="269" spans="1:1" x14ac:dyDescent="0.25">
      <c r="A269" s="24">
        <v>367</v>
      </c>
    </row>
    <row r="270" spans="1:1" x14ac:dyDescent="0.25">
      <c r="A270" s="24">
        <v>368</v>
      </c>
    </row>
    <row r="271" spans="1:1" x14ac:dyDescent="0.25">
      <c r="A271" s="24">
        <v>369</v>
      </c>
    </row>
    <row r="272" spans="1:1" x14ac:dyDescent="0.25">
      <c r="A272" s="24">
        <v>370</v>
      </c>
    </row>
    <row r="273" spans="1:1" x14ac:dyDescent="0.25">
      <c r="A273" s="24">
        <v>371</v>
      </c>
    </row>
    <row r="274" spans="1:1" x14ac:dyDescent="0.25">
      <c r="A274" s="24">
        <v>372</v>
      </c>
    </row>
    <row r="275" spans="1:1" x14ac:dyDescent="0.25">
      <c r="A275" s="24">
        <v>373</v>
      </c>
    </row>
    <row r="276" spans="1:1" x14ac:dyDescent="0.25">
      <c r="A276" s="24">
        <v>374</v>
      </c>
    </row>
    <row r="277" spans="1:1" x14ac:dyDescent="0.25">
      <c r="A277" s="24">
        <v>375</v>
      </c>
    </row>
    <row r="278" spans="1:1" x14ac:dyDescent="0.25">
      <c r="A278" s="24">
        <v>376</v>
      </c>
    </row>
    <row r="279" spans="1:1" x14ac:dyDescent="0.25">
      <c r="A279" s="24">
        <v>377</v>
      </c>
    </row>
    <row r="280" spans="1:1" x14ac:dyDescent="0.25">
      <c r="A280" s="24">
        <v>378</v>
      </c>
    </row>
    <row r="281" spans="1:1" x14ac:dyDescent="0.25">
      <c r="A281" s="24">
        <v>379</v>
      </c>
    </row>
    <row r="282" spans="1:1" x14ac:dyDescent="0.25">
      <c r="A282" s="24">
        <v>380</v>
      </c>
    </row>
    <row r="283" spans="1:1" x14ac:dyDescent="0.25">
      <c r="A283" s="24">
        <v>381</v>
      </c>
    </row>
    <row r="284" spans="1:1" x14ac:dyDescent="0.25">
      <c r="A284" s="24">
        <v>382</v>
      </c>
    </row>
    <row r="285" spans="1:1" x14ac:dyDescent="0.25">
      <c r="A285" s="24">
        <v>383</v>
      </c>
    </row>
    <row r="286" spans="1:1" x14ac:dyDescent="0.25">
      <c r="A286" s="24">
        <v>384</v>
      </c>
    </row>
    <row r="287" spans="1:1" x14ac:dyDescent="0.25">
      <c r="A287" s="24">
        <v>385</v>
      </c>
    </row>
    <row r="288" spans="1:1" x14ac:dyDescent="0.25">
      <c r="A288" s="24">
        <v>386</v>
      </c>
    </row>
    <row r="289" spans="1:1" x14ac:dyDescent="0.25">
      <c r="A289" s="24">
        <v>387</v>
      </c>
    </row>
    <row r="290" spans="1:1" x14ac:dyDescent="0.25">
      <c r="A290" s="24">
        <v>388</v>
      </c>
    </row>
    <row r="291" spans="1:1" x14ac:dyDescent="0.25">
      <c r="A291" s="24">
        <v>389</v>
      </c>
    </row>
    <row r="292" spans="1:1" x14ac:dyDescent="0.25">
      <c r="A292" s="24">
        <v>390</v>
      </c>
    </row>
    <row r="293" spans="1:1" x14ac:dyDescent="0.25">
      <c r="A293" s="24">
        <v>391</v>
      </c>
    </row>
    <row r="294" spans="1:1" x14ac:dyDescent="0.25">
      <c r="A294" s="24">
        <v>392</v>
      </c>
    </row>
    <row r="295" spans="1:1" x14ac:dyDescent="0.25">
      <c r="A295" s="24">
        <v>393</v>
      </c>
    </row>
    <row r="296" spans="1:1" x14ac:dyDescent="0.25">
      <c r="A296" s="24">
        <v>394</v>
      </c>
    </row>
    <row r="297" spans="1:1" x14ac:dyDescent="0.25">
      <c r="A297" s="24">
        <v>395</v>
      </c>
    </row>
    <row r="298" spans="1:1" x14ac:dyDescent="0.25">
      <c r="A298" s="24">
        <v>396</v>
      </c>
    </row>
    <row r="299" spans="1:1" x14ac:dyDescent="0.25">
      <c r="A299" s="24">
        <v>397</v>
      </c>
    </row>
    <row r="300" spans="1:1" x14ac:dyDescent="0.25">
      <c r="A300" s="24">
        <v>398</v>
      </c>
    </row>
    <row r="301" spans="1:1" x14ac:dyDescent="0.25">
      <c r="A301" s="24">
        <v>399</v>
      </c>
    </row>
    <row r="302" spans="1:1" x14ac:dyDescent="0.25">
      <c r="A302" s="24">
        <v>400</v>
      </c>
    </row>
    <row r="303" spans="1:1" x14ac:dyDescent="0.25">
      <c r="A303" s="24">
        <v>401</v>
      </c>
    </row>
    <row r="304" spans="1:1" x14ac:dyDescent="0.25">
      <c r="A304" s="24">
        <v>402</v>
      </c>
    </row>
    <row r="305" spans="1:1" x14ac:dyDescent="0.25">
      <c r="A305" s="24">
        <v>403</v>
      </c>
    </row>
    <row r="306" spans="1:1" x14ac:dyDescent="0.25">
      <c r="A306" s="24">
        <v>404</v>
      </c>
    </row>
    <row r="307" spans="1:1" x14ac:dyDescent="0.25">
      <c r="A307" s="24">
        <v>405</v>
      </c>
    </row>
    <row r="308" spans="1:1" x14ac:dyDescent="0.25">
      <c r="A308" s="24">
        <v>406</v>
      </c>
    </row>
    <row r="309" spans="1:1" x14ac:dyDescent="0.25">
      <c r="A309" s="24">
        <v>407</v>
      </c>
    </row>
    <row r="310" spans="1:1" x14ac:dyDescent="0.25">
      <c r="A310" s="24">
        <v>408</v>
      </c>
    </row>
    <row r="311" spans="1:1" x14ac:dyDescent="0.25">
      <c r="A311" s="24">
        <v>409</v>
      </c>
    </row>
    <row r="312" spans="1:1" x14ac:dyDescent="0.25">
      <c r="A312" s="24">
        <v>410</v>
      </c>
    </row>
    <row r="313" spans="1:1" x14ac:dyDescent="0.25">
      <c r="A313" s="24">
        <v>411</v>
      </c>
    </row>
    <row r="314" spans="1:1" x14ac:dyDescent="0.25">
      <c r="A314" s="24">
        <v>412</v>
      </c>
    </row>
    <row r="315" spans="1:1" x14ac:dyDescent="0.25">
      <c r="A315" s="24">
        <v>413</v>
      </c>
    </row>
    <row r="316" spans="1:1" x14ac:dyDescent="0.25">
      <c r="A316" s="24">
        <v>414</v>
      </c>
    </row>
    <row r="317" spans="1:1" x14ac:dyDescent="0.25">
      <c r="A317" s="24">
        <v>415</v>
      </c>
    </row>
    <row r="318" spans="1:1" x14ac:dyDescent="0.25">
      <c r="A318" s="24">
        <v>416</v>
      </c>
    </row>
    <row r="319" spans="1:1" x14ac:dyDescent="0.25">
      <c r="A319" s="24">
        <v>417</v>
      </c>
    </row>
    <row r="320" spans="1:1" x14ac:dyDescent="0.25">
      <c r="A320" s="24">
        <v>418</v>
      </c>
    </row>
    <row r="321" spans="1:1" x14ac:dyDescent="0.25">
      <c r="A321" s="24">
        <v>419</v>
      </c>
    </row>
    <row r="322" spans="1:1" x14ac:dyDescent="0.25">
      <c r="A322" s="24">
        <v>420</v>
      </c>
    </row>
    <row r="323" spans="1:1" x14ac:dyDescent="0.25">
      <c r="A323" s="24">
        <v>421</v>
      </c>
    </row>
    <row r="324" spans="1:1" x14ac:dyDescent="0.25">
      <c r="A324" s="24">
        <v>422</v>
      </c>
    </row>
    <row r="325" spans="1:1" x14ac:dyDescent="0.25">
      <c r="A325" s="24">
        <v>423</v>
      </c>
    </row>
    <row r="326" spans="1:1" x14ac:dyDescent="0.25">
      <c r="A326" s="24">
        <v>424</v>
      </c>
    </row>
    <row r="327" spans="1:1" x14ac:dyDescent="0.25">
      <c r="A327" s="24">
        <v>425</v>
      </c>
    </row>
    <row r="328" spans="1:1" x14ac:dyDescent="0.25">
      <c r="A328" s="24">
        <v>426</v>
      </c>
    </row>
    <row r="329" spans="1:1" x14ac:dyDescent="0.25">
      <c r="A329" s="24">
        <v>427</v>
      </c>
    </row>
    <row r="330" spans="1:1" x14ac:dyDescent="0.25">
      <c r="A330" s="24">
        <v>428</v>
      </c>
    </row>
    <row r="331" spans="1:1" x14ac:dyDescent="0.25">
      <c r="A331" s="24">
        <v>429</v>
      </c>
    </row>
    <row r="332" spans="1:1" x14ac:dyDescent="0.25">
      <c r="A332" s="24">
        <v>430</v>
      </c>
    </row>
    <row r="333" spans="1:1" x14ac:dyDescent="0.25">
      <c r="A333" s="24">
        <v>431</v>
      </c>
    </row>
    <row r="334" spans="1:1" x14ac:dyDescent="0.25">
      <c r="A334" s="24">
        <v>432</v>
      </c>
    </row>
    <row r="335" spans="1:1" x14ac:dyDescent="0.25">
      <c r="A335" s="24">
        <v>433</v>
      </c>
    </row>
    <row r="336" spans="1:1" x14ac:dyDescent="0.25">
      <c r="A336" s="24">
        <v>434</v>
      </c>
    </row>
    <row r="337" spans="1:1" x14ac:dyDescent="0.25">
      <c r="A337" s="24">
        <v>435</v>
      </c>
    </row>
    <row r="338" spans="1:1" x14ac:dyDescent="0.25">
      <c r="A338" s="24">
        <v>436</v>
      </c>
    </row>
    <row r="339" spans="1:1" x14ac:dyDescent="0.25">
      <c r="A339" s="24">
        <v>437</v>
      </c>
    </row>
    <row r="340" spans="1:1" x14ac:dyDescent="0.25">
      <c r="A340" s="24">
        <v>438</v>
      </c>
    </row>
    <row r="341" spans="1:1" x14ac:dyDescent="0.25">
      <c r="A341" s="24">
        <v>439</v>
      </c>
    </row>
    <row r="342" spans="1:1" x14ac:dyDescent="0.25">
      <c r="A342" s="24">
        <v>440</v>
      </c>
    </row>
    <row r="343" spans="1:1" x14ac:dyDescent="0.25">
      <c r="A343" s="24">
        <v>441</v>
      </c>
    </row>
    <row r="344" spans="1:1" x14ac:dyDescent="0.25">
      <c r="A344" s="24">
        <v>442</v>
      </c>
    </row>
    <row r="345" spans="1:1" x14ac:dyDescent="0.25">
      <c r="A345" s="24">
        <v>443</v>
      </c>
    </row>
    <row r="346" spans="1:1" x14ac:dyDescent="0.25">
      <c r="A346" s="24">
        <v>444</v>
      </c>
    </row>
    <row r="347" spans="1:1" x14ac:dyDescent="0.25">
      <c r="A347" s="24">
        <v>445</v>
      </c>
    </row>
    <row r="348" spans="1:1" x14ac:dyDescent="0.25">
      <c r="A348" s="24">
        <v>446</v>
      </c>
    </row>
    <row r="349" spans="1:1" x14ac:dyDescent="0.25">
      <c r="A349" s="24">
        <v>447</v>
      </c>
    </row>
    <row r="350" spans="1:1" x14ac:dyDescent="0.25">
      <c r="A350" s="24">
        <v>448</v>
      </c>
    </row>
    <row r="351" spans="1:1" x14ac:dyDescent="0.25">
      <c r="A351" s="24">
        <v>449</v>
      </c>
    </row>
    <row r="352" spans="1:1" x14ac:dyDescent="0.25">
      <c r="A352" s="24">
        <v>450</v>
      </c>
    </row>
    <row r="353" spans="1:1" x14ac:dyDescent="0.25">
      <c r="A353" s="24">
        <v>451</v>
      </c>
    </row>
    <row r="354" spans="1:1" x14ac:dyDescent="0.25">
      <c r="A354" s="24">
        <v>452</v>
      </c>
    </row>
    <row r="355" spans="1:1" x14ac:dyDescent="0.25">
      <c r="A355" s="24">
        <v>453</v>
      </c>
    </row>
    <row r="356" spans="1:1" x14ac:dyDescent="0.25">
      <c r="A356" s="24">
        <v>454</v>
      </c>
    </row>
    <row r="357" spans="1:1" x14ac:dyDescent="0.25">
      <c r="A357" s="24">
        <v>455</v>
      </c>
    </row>
    <row r="358" spans="1:1" x14ac:dyDescent="0.25">
      <c r="A358" s="24">
        <v>456</v>
      </c>
    </row>
    <row r="359" spans="1:1" x14ac:dyDescent="0.25">
      <c r="A359" s="24">
        <v>457</v>
      </c>
    </row>
    <row r="360" spans="1:1" x14ac:dyDescent="0.25">
      <c r="A360" s="24">
        <v>458</v>
      </c>
    </row>
    <row r="361" spans="1:1" x14ac:dyDescent="0.25">
      <c r="A361" s="24">
        <v>459</v>
      </c>
    </row>
    <row r="362" spans="1:1" x14ac:dyDescent="0.25">
      <c r="A362" s="24">
        <v>460</v>
      </c>
    </row>
    <row r="363" spans="1:1" x14ac:dyDescent="0.25">
      <c r="A363" s="24">
        <v>461</v>
      </c>
    </row>
    <row r="364" spans="1:1" x14ac:dyDescent="0.25">
      <c r="A364" s="24">
        <v>462</v>
      </c>
    </row>
    <row r="365" spans="1:1" x14ac:dyDescent="0.25">
      <c r="A365" s="24">
        <v>463</v>
      </c>
    </row>
    <row r="366" spans="1:1" x14ac:dyDescent="0.25">
      <c r="A366" s="24">
        <v>464</v>
      </c>
    </row>
    <row r="367" spans="1:1" x14ac:dyDescent="0.25">
      <c r="A367" s="24">
        <v>465</v>
      </c>
    </row>
    <row r="368" spans="1:1" x14ac:dyDescent="0.25">
      <c r="A368" s="24">
        <v>466</v>
      </c>
    </row>
    <row r="369" spans="1:1" x14ac:dyDescent="0.25">
      <c r="A369" s="24">
        <v>467</v>
      </c>
    </row>
    <row r="370" spans="1:1" x14ac:dyDescent="0.25">
      <c r="A370" s="24">
        <v>468</v>
      </c>
    </row>
    <row r="371" spans="1:1" x14ac:dyDescent="0.25">
      <c r="A371" s="24">
        <v>469</v>
      </c>
    </row>
    <row r="372" spans="1:1" x14ac:dyDescent="0.25">
      <c r="A372" s="24">
        <v>470</v>
      </c>
    </row>
    <row r="373" spans="1:1" x14ac:dyDescent="0.25">
      <c r="A373" s="24">
        <v>471</v>
      </c>
    </row>
    <row r="374" spans="1:1" x14ac:dyDescent="0.25">
      <c r="A374" s="24">
        <v>472</v>
      </c>
    </row>
    <row r="375" spans="1:1" x14ac:dyDescent="0.25">
      <c r="A375" s="24">
        <v>473</v>
      </c>
    </row>
    <row r="376" spans="1:1" x14ac:dyDescent="0.25">
      <c r="A376" s="24">
        <v>474</v>
      </c>
    </row>
    <row r="377" spans="1:1" x14ac:dyDescent="0.25">
      <c r="A377" s="24">
        <v>475</v>
      </c>
    </row>
    <row r="378" spans="1:1" x14ac:dyDescent="0.25">
      <c r="A378" s="24">
        <v>476</v>
      </c>
    </row>
    <row r="379" spans="1:1" x14ac:dyDescent="0.25">
      <c r="A379" s="24">
        <v>477</v>
      </c>
    </row>
    <row r="380" spans="1:1" x14ac:dyDescent="0.25">
      <c r="A380" s="24">
        <v>478</v>
      </c>
    </row>
    <row r="381" spans="1:1" x14ac:dyDescent="0.25">
      <c r="A381" s="24">
        <v>479</v>
      </c>
    </row>
    <row r="382" spans="1:1" x14ac:dyDescent="0.25">
      <c r="A382" s="24">
        <v>480</v>
      </c>
    </row>
    <row r="383" spans="1:1" x14ac:dyDescent="0.25">
      <c r="A383" s="24">
        <v>481</v>
      </c>
    </row>
    <row r="384" spans="1:1" x14ac:dyDescent="0.25">
      <c r="A384" s="24">
        <v>482</v>
      </c>
    </row>
    <row r="385" spans="1:1" x14ac:dyDescent="0.25">
      <c r="A385" s="24">
        <v>483</v>
      </c>
    </row>
    <row r="386" spans="1:1" x14ac:dyDescent="0.25">
      <c r="A386" s="24">
        <v>484</v>
      </c>
    </row>
    <row r="387" spans="1:1" x14ac:dyDescent="0.25">
      <c r="A387" s="24">
        <v>485</v>
      </c>
    </row>
    <row r="388" spans="1:1" x14ac:dyDescent="0.25">
      <c r="A388" s="24">
        <v>486</v>
      </c>
    </row>
    <row r="389" spans="1:1" x14ac:dyDescent="0.25">
      <c r="A389" s="24">
        <v>487</v>
      </c>
    </row>
    <row r="390" spans="1:1" x14ac:dyDescent="0.25">
      <c r="A390" s="24">
        <v>488</v>
      </c>
    </row>
    <row r="391" spans="1:1" x14ac:dyDescent="0.25">
      <c r="A391" s="24">
        <v>489</v>
      </c>
    </row>
    <row r="392" spans="1:1" x14ac:dyDescent="0.25">
      <c r="A392" s="24">
        <v>490</v>
      </c>
    </row>
    <row r="393" spans="1:1" x14ac:dyDescent="0.25">
      <c r="A393" s="24">
        <v>491</v>
      </c>
    </row>
    <row r="394" spans="1:1" x14ac:dyDescent="0.25">
      <c r="A394" s="24">
        <v>492</v>
      </c>
    </row>
    <row r="395" spans="1:1" x14ac:dyDescent="0.25">
      <c r="A395" s="24">
        <v>493</v>
      </c>
    </row>
    <row r="396" spans="1:1" x14ac:dyDescent="0.25">
      <c r="A396" s="24">
        <v>494</v>
      </c>
    </row>
    <row r="397" spans="1:1" x14ac:dyDescent="0.25">
      <c r="A397" s="24">
        <v>495</v>
      </c>
    </row>
    <row r="398" spans="1:1" x14ac:dyDescent="0.25">
      <c r="A398" s="24">
        <v>496</v>
      </c>
    </row>
    <row r="399" spans="1:1" x14ac:dyDescent="0.25">
      <c r="A399" s="24">
        <v>497</v>
      </c>
    </row>
    <row r="400" spans="1:1" x14ac:dyDescent="0.25">
      <c r="A400" s="24">
        <v>498</v>
      </c>
    </row>
    <row r="401" spans="1:1" x14ac:dyDescent="0.25">
      <c r="A401" s="24">
        <v>499</v>
      </c>
    </row>
    <row r="402" spans="1:1" x14ac:dyDescent="0.25">
      <c r="A402" s="24">
        <v>500</v>
      </c>
    </row>
    <row r="403" spans="1:1" x14ac:dyDescent="0.25">
      <c r="A403" s="24">
        <v>501</v>
      </c>
    </row>
    <row r="404" spans="1:1" x14ac:dyDescent="0.25">
      <c r="A404" s="24">
        <v>502</v>
      </c>
    </row>
    <row r="405" spans="1:1" x14ac:dyDescent="0.25">
      <c r="A405" s="24">
        <v>503</v>
      </c>
    </row>
    <row r="406" spans="1:1" x14ac:dyDescent="0.25">
      <c r="A406" s="24">
        <v>504</v>
      </c>
    </row>
    <row r="407" spans="1:1" x14ac:dyDescent="0.25">
      <c r="A407" s="24">
        <v>505</v>
      </c>
    </row>
    <row r="408" spans="1:1" x14ac:dyDescent="0.25">
      <c r="A408" s="24">
        <v>506</v>
      </c>
    </row>
    <row r="409" spans="1:1" x14ac:dyDescent="0.25">
      <c r="A409" s="24">
        <v>507</v>
      </c>
    </row>
    <row r="410" spans="1:1" x14ac:dyDescent="0.25">
      <c r="A410" s="24">
        <v>508</v>
      </c>
    </row>
    <row r="411" spans="1:1" x14ac:dyDescent="0.25">
      <c r="A411" s="24">
        <v>509</v>
      </c>
    </row>
    <row r="412" spans="1:1" x14ac:dyDescent="0.25">
      <c r="A412" s="24">
        <v>510</v>
      </c>
    </row>
    <row r="413" spans="1:1" x14ac:dyDescent="0.25">
      <c r="A413" s="24">
        <v>511</v>
      </c>
    </row>
    <row r="414" spans="1:1" x14ac:dyDescent="0.25">
      <c r="A414" s="24">
        <v>512</v>
      </c>
    </row>
    <row r="415" spans="1:1" x14ac:dyDescent="0.25">
      <c r="A415" s="24">
        <v>513</v>
      </c>
    </row>
    <row r="416" spans="1:1" x14ac:dyDescent="0.25">
      <c r="A416" s="24">
        <v>514</v>
      </c>
    </row>
    <row r="417" spans="1:1" x14ac:dyDescent="0.25">
      <c r="A417" s="24">
        <v>515</v>
      </c>
    </row>
    <row r="418" spans="1:1" x14ac:dyDescent="0.25">
      <c r="A418" s="24">
        <v>516</v>
      </c>
    </row>
    <row r="419" spans="1:1" x14ac:dyDescent="0.25">
      <c r="A419" s="24">
        <v>517</v>
      </c>
    </row>
    <row r="420" spans="1:1" x14ac:dyDescent="0.25">
      <c r="A420" s="24">
        <v>518</v>
      </c>
    </row>
    <row r="421" spans="1:1" x14ac:dyDescent="0.25">
      <c r="A421" s="24">
        <v>519</v>
      </c>
    </row>
    <row r="422" spans="1:1" x14ac:dyDescent="0.25">
      <c r="A422" s="24">
        <v>520</v>
      </c>
    </row>
    <row r="423" spans="1:1" x14ac:dyDescent="0.25">
      <c r="A423" s="24">
        <v>521</v>
      </c>
    </row>
    <row r="424" spans="1:1" x14ac:dyDescent="0.25">
      <c r="A424" s="24">
        <v>522</v>
      </c>
    </row>
    <row r="425" spans="1:1" x14ac:dyDescent="0.25">
      <c r="A425" s="24">
        <v>523</v>
      </c>
    </row>
    <row r="426" spans="1:1" x14ac:dyDescent="0.25">
      <c r="A426" s="24">
        <v>524</v>
      </c>
    </row>
    <row r="427" spans="1:1" x14ac:dyDescent="0.25">
      <c r="A427" s="24">
        <v>525</v>
      </c>
    </row>
    <row r="428" spans="1:1" x14ac:dyDescent="0.25">
      <c r="A428" s="24">
        <v>526</v>
      </c>
    </row>
    <row r="429" spans="1:1" x14ac:dyDescent="0.25">
      <c r="A429" s="24">
        <v>527</v>
      </c>
    </row>
    <row r="430" spans="1:1" x14ac:dyDescent="0.25">
      <c r="A430" s="24">
        <v>528</v>
      </c>
    </row>
    <row r="431" spans="1:1" x14ac:dyDescent="0.25">
      <c r="A431" s="24">
        <v>529</v>
      </c>
    </row>
    <row r="432" spans="1:1" x14ac:dyDescent="0.25">
      <c r="A432" s="24">
        <v>530</v>
      </c>
    </row>
    <row r="433" spans="1:1" x14ac:dyDescent="0.25">
      <c r="A433" s="24">
        <v>531</v>
      </c>
    </row>
    <row r="434" spans="1:1" x14ac:dyDescent="0.25">
      <c r="A434" s="24">
        <v>532</v>
      </c>
    </row>
    <row r="435" spans="1:1" x14ac:dyDescent="0.25">
      <c r="A435" s="24">
        <v>533</v>
      </c>
    </row>
    <row r="436" spans="1:1" x14ac:dyDescent="0.25">
      <c r="A436" s="24">
        <v>534</v>
      </c>
    </row>
    <row r="437" spans="1:1" x14ac:dyDescent="0.25">
      <c r="A437" s="24">
        <v>535</v>
      </c>
    </row>
    <row r="438" spans="1:1" x14ac:dyDescent="0.25">
      <c r="A438" s="24">
        <v>536</v>
      </c>
    </row>
    <row r="439" spans="1:1" x14ac:dyDescent="0.25">
      <c r="A439" s="24">
        <v>537</v>
      </c>
    </row>
    <row r="440" spans="1:1" x14ac:dyDescent="0.25">
      <c r="A440" s="24">
        <v>538</v>
      </c>
    </row>
    <row r="441" spans="1:1" x14ac:dyDescent="0.25">
      <c r="A441" s="24">
        <v>539</v>
      </c>
    </row>
    <row r="442" spans="1:1" x14ac:dyDescent="0.25">
      <c r="A442" s="24">
        <v>540</v>
      </c>
    </row>
    <row r="443" spans="1:1" x14ac:dyDescent="0.25">
      <c r="A443" s="24">
        <v>541</v>
      </c>
    </row>
    <row r="444" spans="1:1" x14ac:dyDescent="0.25">
      <c r="A444" s="24">
        <v>542</v>
      </c>
    </row>
    <row r="445" spans="1:1" x14ac:dyDescent="0.25">
      <c r="A445" s="24">
        <v>543</v>
      </c>
    </row>
    <row r="446" spans="1:1" x14ac:dyDescent="0.25">
      <c r="A446" s="24">
        <v>544</v>
      </c>
    </row>
    <row r="447" spans="1:1" x14ac:dyDescent="0.25">
      <c r="A447" s="24">
        <v>545</v>
      </c>
    </row>
    <row r="448" spans="1:1" x14ac:dyDescent="0.25">
      <c r="A448" s="24">
        <v>546</v>
      </c>
    </row>
    <row r="449" spans="1:1" x14ac:dyDescent="0.25">
      <c r="A449" s="24">
        <v>547</v>
      </c>
    </row>
    <row r="450" spans="1:1" x14ac:dyDescent="0.25">
      <c r="A450" s="24">
        <v>548</v>
      </c>
    </row>
    <row r="451" spans="1:1" x14ac:dyDescent="0.25">
      <c r="A451" s="24">
        <v>549</v>
      </c>
    </row>
    <row r="452" spans="1:1" x14ac:dyDescent="0.25">
      <c r="A452" s="24">
        <v>550</v>
      </c>
    </row>
    <row r="453" spans="1:1" x14ac:dyDescent="0.25">
      <c r="A453" s="24">
        <v>551</v>
      </c>
    </row>
    <row r="454" spans="1:1" x14ac:dyDescent="0.25">
      <c r="A454" s="24">
        <v>552</v>
      </c>
    </row>
    <row r="455" spans="1:1" x14ac:dyDescent="0.25">
      <c r="A455" s="24">
        <v>553</v>
      </c>
    </row>
    <row r="456" spans="1:1" x14ac:dyDescent="0.25">
      <c r="A456" s="24">
        <v>554</v>
      </c>
    </row>
    <row r="457" spans="1:1" x14ac:dyDescent="0.25">
      <c r="A457" s="24">
        <v>555</v>
      </c>
    </row>
    <row r="458" spans="1:1" x14ac:dyDescent="0.25">
      <c r="A458" s="24">
        <v>556</v>
      </c>
    </row>
    <row r="459" spans="1:1" x14ac:dyDescent="0.25">
      <c r="A459" s="24">
        <v>557</v>
      </c>
    </row>
    <row r="460" spans="1:1" x14ac:dyDescent="0.25">
      <c r="A460" s="24">
        <v>558</v>
      </c>
    </row>
    <row r="461" spans="1:1" x14ac:dyDescent="0.25">
      <c r="A461" s="24">
        <v>559</v>
      </c>
    </row>
    <row r="462" spans="1:1" x14ac:dyDescent="0.25">
      <c r="A462" s="24">
        <v>560</v>
      </c>
    </row>
    <row r="463" spans="1:1" x14ac:dyDescent="0.25">
      <c r="A463" s="24">
        <v>561</v>
      </c>
    </row>
    <row r="464" spans="1:1" x14ac:dyDescent="0.25">
      <c r="A464" s="24">
        <v>562</v>
      </c>
    </row>
    <row r="465" spans="1:1" x14ac:dyDescent="0.25">
      <c r="A465" s="24">
        <v>563</v>
      </c>
    </row>
    <row r="466" spans="1:1" x14ac:dyDescent="0.25">
      <c r="A466" s="24">
        <v>564</v>
      </c>
    </row>
    <row r="467" spans="1:1" x14ac:dyDescent="0.25">
      <c r="A467" s="24">
        <v>565</v>
      </c>
    </row>
    <row r="468" spans="1:1" x14ac:dyDescent="0.25">
      <c r="A468" s="24">
        <v>566</v>
      </c>
    </row>
    <row r="469" spans="1:1" x14ac:dyDescent="0.25">
      <c r="A469" s="24">
        <v>567</v>
      </c>
    </row>
    <row r="470" spans="1:1" x14ac:dyDescent="0.25">
      <c r="A470" s="24">
        <v>568</v>
      </c>
    </row>
    <row r="471" spans="1:1" x14ac:dyDescent="0.25">
      <c r="A471" s="24">
        <v>569</v>
      </c>
    </row>
    <row r="472" spans="1:1" x14ac:dyDescent="0.25">
      <c r="A472" s="24">
        <v>570</v>
      </c>
    </row>
    <row r="473" spans="1:1" x14ac:dyDescent="0.25">
      <c r="A473" s="24">
        <v>571</v>
      </c>
    </row>
    <row r="474" spans="1:1" x14ac:dyDescent="0.25">
      <c r="A474" s="24">
        <v>572</v>
      </c>
    </row>
    <row r="475" spans="1:1" x14ac:dyDescent="0.25">
      <c r="A475" s="24">
        <v>573</v>
      </c>
    </row>
    <row r="476" spans="1:1" x14ac:dyDescent="0.25">
      <c r="A476" s="24">
        <v>574</v>
      </c>
    </row>
    <row r="477" spans="1:1" x14ac:dyDescent="0.25">
      <c r="A477" s="24">
        <v>575</v>
      </c>
    </row>
    <row r="478" spans="1:1" x14ac:dyDescent="0.25">
      <c r="A478" s="24">
        <v>576</v>
      </c>
    </row>
    <row r="479" spans="1:1" x14ac:dyDescent="0.25">
      <c r="A479" s="24">
        <v>577</v>
      </c>
    </row>
    <row r="480" spans="1:1" x14ac:dyDescent="0.25">
      <c r="A480" s="24">
        <v>578</v>
      </c>
    </row>
    <row r="481" spans="1:1" x14ac:dyDescent="0.25">
      <c r="A481" s="24">
        <v>579</v>
      </c>
    </row>
    <row r="482" spans="1:1" x14ac:dyDescent="0.25">
      <c r="A482" s="24">
        <v>580</v>
      </c>
    </row>
    <row r="483" spans="1:1" x14ac:dyDescent="0.25">
      <c r="A483" s="24">
        <v>581</v>
      </c>
    </row>
    <row r="484" spans="1:1" x14ac:dyDescent="0.25">
      <c r="A484" s="24">
        <v>582</v>
      </c>
    </row>
    <row r="485" spans="1:1" x14ac:dyDescent="0.25">
      <c r="A485" s="24">
        <v>583</v>
      </c>
    </row>
    <row r="486" spans="1:1" x14ac:dyDescent="0.25">
      <c r="A486" s="24">
        <v>584</v>
      </c>
    </row>
    <row r="487" spans="1:1" x14ac:dyDescent="0.25">
      <c r="A487" s="24">
        <v>585</v>
      </c>
    </row>
    <row r="488" spans="1:1" x14ac:dyDescent="0.25">
      <c r="A488" s="24">
        <v>586</v>
      </c>
    </row>
    <row r="489" spans="1:1" x14ac:dyDescent="0.25">
      <c r="A489" s="24">
        <v>587</v>
      </c>
    </row>
    <row r="490" spans="1:1" x14ac:dyDescent="0.25">
      <c r="A490" s="24">
        <v>588</v>
      </c>
    </row>
    <row r="491" spans="1:1" x14ac:dyDescent="0.25">
      <c r="A491" s="24">
        <v>589</v>
      </c>
    </row>
    <row r="492" spans="1:1" x14ac:dyDescent="0.25">
      <c r="A492" s="24">
        <v>590</v>
      </c>
    </row>
    <row r="493" spans="1:1" x14ac:dyDescent="0.25">
      <c r="A493" s="24">
        <v>591</v>
      </c>
    </row>
    <row r="494" spans="1:1" x14ac:dyDescent="0.25">
      <c r="A494" s="24">
        <v>592</v>
      </c>
    </row>
    <row r="495" spans="1:1" x14ac:dyDescent="0.25">
      <c r="A495" s="24">
        <v>593</v>
      </c>
    </row>
    <row r="496" spans="1:1" x14ac:dyDescent="0.25">
      <c r="A496" s="24">
        <v>594</v>
      </c>
    </row>
    <row r="497" spans="1:1" x14ac:dyDescent="0.25">
      <c r="A497" s="24">
        <v>595</v>
      </c>
    </row>
    <row r="498" spans="1:1" x14ac:dyDescent="0.25">
      <c r="A498" s="24">
        <v>596</v>
      </c>
    </row>
    <row r="499" spans="1:1" x14ac:dyDescent="0.25">
      <c r="A499" s="24">
        <v>597</v>
      </c>
    </row>
    <row r="500" spans="1:1" x14ac:dyDescent="0.25">
      <c r="A500" s="24">
        <v>598</v>
      </c>
    </row>
    <row r="501" spans="1:1" x14ac:dyDescent="0.25">
      <c r="A501" s="24">
        <v>599</v>
      </c>
    </row>
    <row r="502" spans="1:1" x14ac:dyDescent="0.25">
      <c r="A502" s="24">
        <v>600</v>
      </c>
    </row>
    <row r="503" spans="1:1" x14ac:dyDescent="0.25">
      <c r="A503" s="24">
        <v>601</v>
      </c>
    </row>
    <row r="504" spans="1:1" x14ac:dyDescent="0.25">
      <c r="A504" s="24">
        <v>602</v>
      </c>
    </row>
    <row r="505" spans="1:1" x14ac:dyDescent="0.25">
      <c r="A505" s="24">
        <v>603</v>
      </c>
    </row>
    <row r="506" spans="1:1" x14ac:dyDescent="0.25">
      <c r="A506" s="24">
        <v>604</v>
      </c>
    </row>
    <row r="507" spans="1:1" x14ac:dyDescent="0.25">
      <c r="A507" s="24">
        <v>605</v>
      </c>
    </row>
    <row r="508" spans="1:1" x14ac:dyDescent="0.25">
      <c r="A508" s="24">
        <v>606</v>
      </c>
    </row>
    <row r="509" spans="1:1" x14ac:dyDescent="0.25">
      <c r="A509" s="24">
        <v>607</v>
      </c>
    </row>
    <row r="510" spans="1:1" x14ac:dyDescent="0.25">
      <c r="A510" s="24">
        <v>608</v>
      </c>
    </row>
    <row r="511" spans="1:1" x14ac:dyDescent="0.25">
      <c r="A511" s="24">
        <v>609</v>
      </c>
    </row>
    <row r="512" spans="1:1" x14ac:dyDescent="0.25">
      <c r="A512" s="24">
        <v>610</v>
      </c>
    </row>
    <row r="513" spans="1:1" x14ac:dyDescent="0.25">
      <c r="A513" s="24">
        <v>611</v>
      </c>
    </row>
    <row r="514" spans="1:1" x14ac:dyDescent="0.25">
      <c r="A514" s="24">
        <v>612</v>
      </c>
    </row>
    <row r="515" spans="1:1" x14ac:dyDescent="0.25">
      <c r="A515" s="24">
        <v>613</v>
      </c>
    </row>
    <row r="516" spans="1:1" x14ac:dyDescent="0.25">
      <c r="A516" s="24">
        <v>614</v>
      </c>
    </row>
    <row r="517" spans="1:1" x14ac:dyDescent="0.25">
      <c r="A517" s="24">
        <v>615</v>
      </c>
    </row>
    <row r="518" spans="1:1" x14ac:dyDescent="0.25">
      <c r="A518" s="24">
        <v>616</v>
      </c>
    </row>
    <row r="519" spans="1:1" x14ac:dyDescent="0.25">
      <c r="A519" s="24">
        <v>617</v>
      </c>
    </row>
    <row r="520" spans="1:1" x14ac:dyDescent="0.25">
      <c r="A520" s="24">
        <v>618</v>
      </c>
    </row>
    <row r="521" spans="1:1" x14ac:dyDescent="0.25">
      <c r="A521" s="24">
        <v>619</v>
      </c>
    </row>
    <row r="522" spans="1:1" x14ac:dyDescent="0.25">
      <c r="A522" s="24">
        <v>620</v>
      </c>
    </row>
    <row r="523" spans="1:1" x14ac:dyDescent="0.25">
      <c r="A523" s="24">
        <v>621</v>
      </c>
    </row>
    <row r="524" spans="1:1" x14ac:dyDescent="0.25">
      <c r="A524" s="24">
        <v>622</v>
      </c>
    </row>
    <row r="525" spans="1:1" x14ac:dyDescent="0.25">
      <c r="A525" s="24">
        <v>623</v>
      </c>
    </row>
    <row r="526" spans="1:1" x14ac:dyDescent="0.25">
      <c r="A526" s="24">
        <v>624</v>
      </c>
    </row>
    <row r="527" spans="1:1" x14ac:dyDescent="0.25">
      <c r="A527" s="24">
        <v>625</v>
      </c>
    </row>
    <row r="528" spans="1:1" x14ac:dyDescent="0.25">
      <c r="A528" s="24">
        <v>626</v>
      </c>
    </row>
    <row r="529" spans="1:1" x14ac:dyDescent="0.25">
      <c r="A529" s="24">
        <v>627</v>
      </c>
    </row>
    <row r="530" spans="1:1" x14ac:dyDescent="0.25">
      <c r="A530" s="24">
        <v>628</v>
      </c>
    </row>
    <row r="531" spans="1:1" x14ac:dyDescent="0.25">
      <c r="A531" s="24">
        <v>629</v>
      </c>
    </row>
    <row r="532" spans="1:1" x14ac:dyDescent="0.25">
      <c r="A532" s="24">
        <v>630</v>
      </c>
    </row>
    <row r="533" spans="1:1" x14ac:dyDescent="0.25">
      <c r="A533" s="24">
        <v>631</v>
      </c>
    </row>
    <row r="534" spans="1:1" x14ac:dyDescent="0.25">
      <c r="A534" s="24">
        <v>632</v>
      </c>
    </row>
    <row r="535" spans="1:1" x14ac:dyDescent="0.25">
      <c r="A535" s="24">
        <v>633</v>
      </c>
    </row>
    <row r="536" spans="1:1" x14ac:dyDescent="0.25">
      <c r="A536" s="24">
        <v>634</v>
      </c>
    </row>
    <row r="537" spans="1:1" x14ac:dyDescent="0.25">
      <c r="A537" s="24">
        <v>635</v>
      </c>
    </row>
    <row r="538" spans="1:1" x14ac:dyDescent="0.25">
      <c r="A538" s="24">
        <v>636</v>
      </c>
    </row>
    <row r="539" spans="1:1" x14ac:dyDescent="0.25">
      <c r="A539" s="24">
        <v>637</v>
      </c>
    </row>
    <row r="540" spans="1:1" x14ac:dyDescent="0.25">
      <c r="A540" s="24">
        <v>638</v>
      </c>
    </row>
    <row r="541" spans="1:1" x14ac:dyDescent="0.25">
      <c r="A541" s="24">
        <v>639</v>
      </c>
    </row>
    <row r="542" spans="1:1" x14ac:dyDescent="0.25">
      <c r="A542" s="24">
        <v>640</v>
      </c>
    </row>
    <row r="543" spans="1:1" x14ac:dyDescent="0.25">
      <c r="A543" s="24">
        <v>641</v>
      </c>
    </row>
    <row r="544" spans="1:1" x14ac:dyDescent="0.25">
      <c r="A544" s="24">
        <v>642</v>
      </c>
    </row>
    <row r="545" spans="1:1" x14ac:dyDescent="0.25">
      <c r="A545" s="24">
        <v>643</v>
      </c>
    </row>
    <row r="546" spans="1:1" x14ac:dyDescent="0.25">
      <c r="A546" s="24">
        <v>644</v>
      </c>
    </row>
    <row r="547" spans="1:1" x14ac:dyDescent="0.25">
      <c r="A547" s="24">
        <v>645</v>
      </c>
    </row>
    <row r="548" spans="1:1" x14ac:dyDescent="0.25">
      <c r="A548" s="24">
        <v>646</v>
      </c>
    </row>
    <row r="549" spans="1:1" x14ac:dyDescent="0.25">
      <c r="A549" s="24">
        <v>647</v>
      </c>
    </row>
    <row r="550" spans="1:1" x14ac:dyDescent="0.25">
      <c r="A550" s="24">
        <v>648</v>
      </c>
    </row>
    <row r="551" spans="1:1" x14ac:dyDescent="0.25">
      <c r="A551" s="24">
        <v>649</v>
      </c>
    </row>
    <row r="552" spans="1:1" x14ac:dyDescent="0.25">
      <c r="A552" s="24">
        <v>650</v>
      </c>
    </row>
    <row r="553" spans="1:1" x14ac:dyDescent="0.25">
      <c r="A553" s="24">
        <v>651</v>
      </c>
    </row>
    <row r="554" spans="1:1" x14ac:dyDescent="0.25">
      <c r="A554" s="24">
        <v>652</v>
      </c>
    </row>
    <row r="555" spans="1:1" x14ac:dyDescent="0.25">
      <c r="A555" s="24">
        <v>653</v>
      </c>
    </row>
    <row r="556" spans="1:1" x14ac:dyDescent="0.25">
      <c r="A556" s="24">
        <v>654</v>
      </c>
    </row>
    <row r="557" spans="1:1" x14ac:dyDescent="0.25">
      <c r="A557" s="24">
        <v>655</v>
      </c>
    </row>
    <row r="558" spans="1:1" x14ac:dyDescent="0.25">
      <c r="A558" s="24">
        <v>656</v>
      </c>
    </row>
    <row r="559" spans="1:1" x14ac:dyDescent="0.25">
      <c r="A559" s="24">
        <v>657</v>
      </c>
    </row>
    <row r="560" spans="1:1" x14ac:dyDescent="0.25">
      <c r="A560" s="24">
        <v>658</v>
      </c>
    </row>
    <row r="561" spans="1:1" x14ac:dyDescent="0.25">
      <c r="A561" s="24">
        <v>659</v>
      </c>
    </row>
    <row r="562" spans="1:1" x14ac:dyDescent="0.25">
      <c r="A562" s="24">
        <v>660</v>
      </c>
    </row>
    <row r="563" spans="1:1" x14ac:dyDescent="0.25">
      <c r="A563" s="24">
        <v>661</v>
      </c>
    </row>
    <row r="564" spans="1:1" x14ac:dyDescent="0.25">
      <c r="A564" s="24">
        <v>662</v>
      </c>
    </row>
    <row r="565" spans="1:1" x14ac:dyDescent="0.25">
      <c r="A565" s="24">
        <v>663</v>
      </c>
    </row>
    <row r="566" spans="1:1" x14ac:dyDescent="0.25">
      <c r="A566" s="24">
        <v>664</v>
      </c>
    </row>
    <row r="567" spans="1:1" x14ac:dyDescent="0.25">
      <c r="A567" s="24">
        <v>665</v>
      </c>
    </row>
    <row r="568" spans="1:1" x14ac:dyDescent="0.25">
      <c r="A568" s="24">
        <v>666</v>
      </c>
    </row>
    <row r="569" spans="1:1" x14ac:dyDescent="0.25">
      <c r="A569" s="24">
        <v>667</v>
      </c>
    </row>
    <row r="570" spans="1:1" x14ac:dyDescent="0.25">
      <c r="A570" s="24">
        <v>668</v>
      </c>
    </row>
    <row r="571" spans="1:1" x14ac:dyDescent="0.25">
      <c r="A571" s="24">
        <v>669</v>
      </c>
    </row>
    <row r="572" spans="1:1" x14ac:dyDescent="0.25">
      <c r="A572" s="24">
        <v>670</v>
      </c>
    </row>
    <row r="573" spans="1:1" x14ac:dyDescent="0.25">
      <c r="A573" s="24">
        <v>671</v>
      </c>
    </row>
    <row r="574" spans="1:1" x14ac:dyDescent="0.25">
      <c r="A574" s="24">
        <v>672</v>
      </c>
    </row>
    <row r="575" spans="1:1" x14ac:dyDescent="0.25">
      <c r="A575" s="24">
        <v>673</v>
      </c>
    </row>
    <row r="576" spans="1:1" x14ac:dyDescent="0.25">
      <c r="A576" s="24">
        <v>674</v>
      </c>
    </row>
    <row r="577" spans="1:1" x14ac:dyDescent="0.25">
      <c r="A577" s="24">
        <v>675</v>
      </c>
    </row>
    <row r="578" spans="1:1" x14ac:dyDescent="0.25">
      <c r="A578" s="24">
        <v>676</v>
      </c>
    </row>
    <row r="579" spans="1:1" x14ac:dyDescent="0.25">
      <c r="A579" s="24">
        <v>677</v>
      </c>
    </row>
    <row r="580" spans="1:1" x14ac:dyDescent="0.25">
      <c r="A580" s="24">
        <v>678</v>
      </c>
    </row>
    <row r="581" spans="1:1" x14ac:dyDescent="0.25">
      <c r="A581" s="24">
        <v>679</v>
      </c>
    </row>
    <row r="582" spans="1:1" x14ac:dyDescent="0.25">
      <c r="A582" s="24">
        <v>680</v>
      </c>
    </row>
    <row r="583" spans="1:1" x14ac:dyDescent="0.25">
      <c r="A583" s="24">
        <v>681</v>
      </c>
    </row>
    <row r="584" spans="1:1" x14ac:dyDescent="0.25">
      <c r="A584" s="24">
        <v>682</v>
      </c>
    </row>
    <row r="585" spans="1:1" x14ac:dyDescent="0.25">
      <c r="A585" s="24">
        <v>683</v>
      </c>
    </row>
    <row r="586" spans="1:1" x14ac:dyDescent="0.25">
      <c r="A586" s="24">
        <v>684</v>
      </c>
    </row>
    <row r="587" spans="1:1" x14ac:dyDescent="0.25">
      <c r="A587" s="24">
        <v>685</v>
      </c>
    </row>
    <row r="588" spans="1:1" x14ac:dyDescent="0.25">
      <c r="A588" s="24">
        <v>686</v>
      </c>
    </row>
    <row r="589" spans="1:1" x14ac:dyDescent="0.25">
      <c r="A589" s="24">
        <v>687</v>
      </c>
    </row>
    <row r="590" spans="1:1" x14ac:dyDescent="0.25">
      <c r="A590" s="24">
        <v>688</v>
      </c>
    </row>
    <row r="591" spans="1:1" x14ac:dyDescent="0.25">
      <c r="A591" s="24">
        <v>689</v>
      </c>
    </row>
    <row r="592" spans="1:1" x14ac:dyDescent="0.25">
      <c r="A592" s="24">
        <v>690</v>
      </c>
    </row>
    <row r="593" spans="1:1" x14ac:dyDescent="0.25">
      <c r="A593" s="24">
        <v>691</v>
      </c>
    </row>
    <row r="594" spans="1:1" x14ac:dyDescent="0.25">
      <c r="A594" s="24">
        <v>692</v>
      </c>
    </row>
    <row r="595" spans="1:1" x14ac:dyDescent="0.25">
      <c r="A595" s="24">
        <v>693</v>
      </c>
    </row>
    <row r="596" spans="1:1" x14ac:dyDescent="0.25">
      <c r="A596" s="24">
        <v>694</v>
      </c>
    </row>
    <row r="597" spans="1:1" x14ac:dyDescent="0.25">
      <c r="A597" s="24">
        <v>695</v>
      </c>
    </row>
    <row r="598" spans="1:1" x14ac:dyDescent="0.25">
      <c r="A598" s="24">
        <v>696</v>
      </c>
    </row>
    <row r="599" spans="1:1" x14ac:dyDescent="0.25">
      <c r="A599" s="24">
        <v>697</v>
      </c>
    </row>
    <row r="600" spans="1:1" x14ac:dyDescent="0.25">
      <c r="A600" s="24">
        <v>698</v>
      </c>
    </row>
    <row r="601" spans="1:1" x14ac:dyDescent="0.25">
      <c r="A601" s="24">
        <v>699</v>
      </c>
    </row>
    <row r="602" spans="1:1" x14ac:dyDescent="0.25">
      <c r="A602" s="24">
        <v>700</v>
      </c>
    </row>
    <row r="603" spans="1:1" x14ac:dyDescent="0.25">
      <c r="A603" s="24">
        <v>701</v>
      </c>
    </row>
    <row r="604" spans="1:1" x14ac:dyDescent="0.25">
      <c r="A604" s="24">
        <v>702</v>
      </c>
    </row>
    <row r="605" spans="1:1" x14ac:dyDescent="0.25">
      <c r="A605" s="24">
        <v>703</v>
      </c>
    </row>
    <row r="606" spans="1:1" x14ac:dyDescent="0.25">
      <c r="A606" s="24">
        <v>704</v>
      </c>
    </row>
    <row r="607" spans="1:1" x14ac:dyDescent="0.25">
      <c r="A607" s="24">
        <v>705</v>
      </c>
    </row>
    <row r="608" spans="1:1" x14ac:dyDescent="0.25">
      <c r="A608" s="24">
        <v>706</v>
      </c>
    </row>
    <row r="609" spans="1:1" x14ac:dyDescent="0.25">
      <c r="A609" s="24">
        <v>707</v>
      </c>
    </row>
    <row r="610" spans="1:1" x14ac:dyDescent="0.25">
      <c r="A610" s="24">
        <v>708</v>
      </c>
    </row>
    <row r="611" spans="1:1" x14ac:dyDescent="0.25">
      <c r="A611" s="24">
        <v>709</v>
      </c>
    </row>
    <row r="612" spans="1:1" x14ac:dyDescent="0.25">
      <c r="A612" s="24">
        <v>710</v>
      </c>
    </row>
    <row r="613" spans="1:1" x14ac:dyDescent="0.25">
      <c r="A613" s="24">
        <v>711</v>
      </c>
    </row>
    <row r="614" spans="1:1" x14ac:dyDescent="0.25">
      <c r="A614" s="24">
        <v>712</v>
      </c>
    </row>
    <row r="615" spans="1:1" x14ac:dyDescent="0.25">
      <c r="A615" s="24">
        <v>713</v>
      </c>
    </row>
    <row r="616" spans="1:1" x14ac:dyDescent="0.25">
      <c r="A616" s="24">
        <v>714</v>
      </c>
    </row>
    <row r="617" spans="1:1" x14ac:dyDescent="0.25">
      <c r="A617" s="24">
        <v>715</v>
      </c>
    </row>
    <row r="618" spans="1:1" x14ac:dyDescent="0.25">
      <c r="A618" s="24">
        <v>716</v>
      </c>
    </row>
    <row r="619" spans="1:1" x14ac:dyDescent="0.25">
      <c r="A619" s="24">
        <v>717</v>
      </c>
    </row>
    <row r="620" spans="1:1" x14ac:dyDescent="0.25">
      <c r="A620" s="24">
        <v>718</v>
      </c>
    </row>
    <row r="621" spans="1:1" x14ac:dyDescent="0.25">
      <c r="A621" s="24">
        <v>719</v>
      </c>
    </row>
    <row r="622" spans="1:1" x14ac:dyDescent="0.25">
      <c r="A622" s="24">
        <v>720</v>
      </c>
    </row>
    <row r="623" spans="1:1" x14ac:dyDescent="0.25">
      <c r="A623" s="24">
        <v>721</v>
      </c>
    </row>
    <row r="624" spans="1:1" x14ac:dyDescent="0.25">
      <c r="A624" s="24">
        <v>722</v>
      </c>
    </row>
    <row r="625" spans="1:1" x14ac:dyDescent="0.25">
      <c r="A625" s="24">
        <v>723</v>
      </c>
    </row>
    <row r="626" spans="1:1" x14ac:dyDescent="0.25">
      <c r="A626" s="24">
        <v>724</v>
      </c>
    </row>
    <row r="627" spans="1:1" x14ac:dyDescent="0.25">
      <c r="A627" s="24">
        <v>725</v>
      </c>
    </row>
    <row r="628" spans="1:1" x14ac:dyDescent="0.25">
      <c r="A628" s="24">
        <v>726</v>
      </c>
    </row>
    <row r="629" spans="1:1" x14ac:dyDescent="0.25">
      <c r="A629" s="24">
        <v>727</v>
      </c>
    </row>
    <row r="630" spans="1:1" x14ac:dyDescent="0.25">
      <c r="A630" s="24">
        <v>728</v>
      </c>
    </row>
    <row r="631" spans="1:1" x14ac:dyDescent="0.25">
      <c r="A631" s="24">
        <v>729</v>
      </c>
    </row>
    <row r="632" spans="1:1" x14ac:dyDescent="0.25">
      <c r="A632" s="24">
        <v>730</v>
      </c>
    </row>
    <row r="633" spans="1:1" x14ac:dyDescent="0.25">
      <c r="A633" s="24">
        <v>731</v>
      </c>
    </row>
    <row r="634" spans="1:1" x14ac:dyDescent="0.25">
      <c r="A634" s="24">
        <v>732</v>
      </c>
    </row>
    <row r="635" spans="1:1" x14ac:dyDescent="0.25">
      <c r="A635" s="24">
        <v>733</v>
      </c>
    </row>
    <row r="636" spans="1:1" x14ac:dyDescent="0.25">
      <c r="A636" s="24">
        <v>734</v>
      </c>
    </row>
    <row r="637" spans="1:1" x14ac:dyDescent="0.25">
      <c r="A637" s="24">
        <v>735</v>
      </c>
    </row>
    <row r="638" spans="1:1" x14ac:dyDescent="0.25">
      <c r="A638" s="24">
        <v>736</v>
      </c>
    </row>
    <row r="639" spans="1:1" x14ac:dyDescent="0.25">
      <c r="A639" s="24">
        <v>737</v>
      </c>
    </row>
    <row r="640" spans="1:1" x14ac:dyDescent="0.25">
      <c r="A640" s="24">
        <v>738</v>
      </c>
    </row>
    <row r="641" spans="1:1" x14ac:dyDescent="0.25">
      <c r="A641" s="24">
        <v>739</v>
      </c>
    </row>
    <row r="642" spans="1:1" x14ac:dyDescent="0.25">
      <c r="A642" s="24">
        <v>740</v>
      </c>
    </row>
    <row r="643" spans="1:1" x14ac:dyDescent="0.25">
      <c r="A643" s="24">
        <v>741</v>
      </c>
    </row>
    <row r="644" spans="1:1" x14ac:dyDescent="0.25">
      <c r="A644" s="24">
        <v>742</v>
      </c>
    </row>
    <row r="645" spans="1:1" x14ac:dyDescent="0.25">
      <c r="A645" s="24">
        <v>743</v>
      </c>
    </row>
    <row r="646" spans="1:1" x14ac:dyDescent="0.25">
      <c r="A646" s="24">
        <v>744</v>
      </c>
    </row>
    <row r="647" spans="1:1" x14ac:dyDescent="0.25">
      <c r="A647" s="24">
        <v>745</v>
      </c>
    </row>
    <row r="648" spans="1:1" x14ac:dyDescent="0.25">
      <c r="A648" s="24">
        <v>746</v>
      </c>
    </row>
    <row r="649" spans="1:1" x14ac:dyDescent="0.25">
      <c r="A649" s="24">
        <v>747</v>
      </c>
    </row>
    <row r="650" spans="1:1" x14ac:dyDescent="0.25">
      <c r="A650" s="24">
        <v>748</v>
      </c>
    </row>
    <row r="651" spans="1:1" x14ac:dyDescent="0.25">
      <c r="A651" s="24">
        <v>749</v>
      </c>
    </row>
    <row r="652" spans="1:1" x14ac:dyDescent="0.25">
      <c r="A652" s="24">
        <v>750</v>
      </c>
    </row>
    <row r="653" spans="1:1" x14ac:dyDescent="0.25">
      <c r="A653" s="24">
        <v>751</v>
      </c>
    </row>
    <row r="654" spans="1:1" x14ac:dyDescent="0.25">
      <c r="A654" s="24">
        <v>752</v>
      </c>
    </row>
    <row r="655" spans="1:1" x14ac:dyDescent="0.25">
      <c r="A655" s="24">
        <v>753</v>
      </c>
    </row>
    <row r="656" spans="1:1" x14ac:dyDescent="0.25">
      <c r="A656" s="24">
        <v>754</v>
      </c>
    </row>
    <row r="657" spans="1:1" x14ac:dyDescent="0.25">
      <c r="A657" s="24">
        <v>755</v>
      </c>
    </row>
    <row r="658" spans="1:1" x14ac:dyDescent="0.25">
      <c r="A658" s="24">
        <v>756</v>
      </c>
    </row>
    <row r="659" spans="1:1" x14ac:dyDescent="0.25">
      <c r="A659" s="24">
        <v>757</v>
      </c>
    </row>
    <row r="660" spans="1:1" x14ac:dyDescent="0.25">
      <c r="A660" s="24">
        <v>758</v>
      </c>
    </row>
    <row r="661" spans="1:1" x14ac:dyDescent="0.25">
      <c r="A661" s="24">
        <v>759</v>
      </c>
    </row>
    <row r="662" spans="1:1" x14ac:dyDescent="0.25">
      <c r="A662" s="24">
        <v>760</v>
      </c>
    </row>
    <row r="663" spans="1:1" x14ac:dyDescent="0.25">
      <c r="A663" s="24">
        <v>761</v>
      </c>
    </row>
    <row r="664" spans="1:1" x14ac:dyDescent="0.25">
      <c r="A664" s="24">
        <v>762</v>
      </c>
    </row>
    <row r="665" spans="1:1" x14ac:dyDescent="0.25">
      <c r="A665" s="24">
        <v>763</v>
      </c>
    </row>
    <row r="666" spans="1:1" x14ac:dyDescent="0.25">
      <c r="A666" s="24">
        <v>764</v>
      </c>
    </row>
    <row r="667" spans="1:1" x14ac:dyDescent="0.25">
      <c r="A667" s="24">
        <v>765</v>
      </c>
    </row>
    <row r="668" spans="1:1" x14ac:dyDescent="0.25">
      <c r="A668" s="24">
        <v>766</v>
      </c>
    </row>
    <row r="669" spans="1:1" x14ac:dyDescent="0.25">
      <c r="A669" s="24">
        <v>767</v>
      </c>
    </row>
    <row r="670" spans="1:1" x14ac:dyDescent="0.25">
      <c r="A670" s="24">
        <v>768</v>
      </c>
    </row>
    <row r="671" spans="1:1" x14ac:dyDescent="0.25">
      <c r="A671" s="24">
        <v>769</v>
      </c>
    </row>
    <row r="672" spans="1:1" x14ac:dyDescent="0.25">
      <c r="A672" s="24">
        <v>770</v>
      </c>
    </row>
    <row r="673" spans="1:1" x14ac:dyDescent="0.25">
      <c r="A673" s="24">
        <v>771</v>
      </c>
    </row>
    <row r="674" spans="1:1" x14ac:dyDescent="0.25">
      <c r="A674" s="24">
        <v>772</v>
      </c>
    </row>
    <row r="675" spans="1:1" x14ac:dyDescent="0.25">
      <c r="A675" s="24">
        <v>773</v>
      </c>
    </row>
    <row r="676" spans="1:1" x14ac:dyDescent="0.25">
      <c r="A676" s="24">
        <v>774</v>
      </c>
    </row>
    <row r="677" spans="1:1" x14ac:dyDescent="0.25">
      <c r="A677" s="24">
        <v>775</v>
      </c>
    </row>
    <row r="678" spans="1:1" x14ac:dyDescent="0.25">
      <c r="A678" s="24">
        <v>776</v>
      </c>
    </row>
    <row r="679" spans="1:1" x14ac:dyDescent="0.25">
      <c r="A679" s="24">
        <v>777</v>
      </c>
    </row>
    <row r="680" spans="1:1" x14ac:dyDescent="0.25">
      <c r="A680" s="24">
        <v>778</v>
      </c>
    </row>
    <row r="681" spans="1:1" x14ac:dyDescent="0.25">
      <c r="A681" s="24">
        <v>779</v>
      </c>
    </row>
    <row r="682" spans="1:1" x14ac:dyDescent="0.25">
      <c r="A682" s="24">
        <v>780</v>
      </c>
    </row>
    <row r="683" spans="1:1" x14ac:dyDescent="0.25">
      <c r="A683" s="24">
        <v>781</v>
      </c>
    </row>
    <row r="684" spans="1:1" x14ac:dyDescent="0.25">
      <c r="A684" s="24">
        <v>782</v>
      </c>
    </row>
    <row r="685" spans="1:1" x14ac:dyDescent="0.25">
      <c r="A685" s="24">
        <v>783</v>
      </c>
    </row>
    <row r="686" spans="1:1" x14ac:dyDescent="0.25">
      <c r="A686" s="24">
        <v>784</v>
      </c>
    </row>
    <row r="687" spans="1:1" x14ac:dyDescent="0.25">
      <c r="A687" s="24">
        <v>785</v>
      </c>
    </row>
    <row r="688" spans="1:1" x14ac:dyDescent="0.25">
      <c r="A688" s="24">
        <v>786</v>
      </c>
    </row>
    <row r="689" spans="1:1" x14ac:dyDescent="0.25">
      <c r="A689" s="24">
        <v>787</v>
      </c>
    </row>
    <row r="690" spans="1:1" x14ac:dyDescent="0.25">
      <c r="A690" s="24">
        <v>788</v>
      </c>
    </row>
    <row r="691" spans="1:1" x14ac:dyDescent="0.25">
      <c r="A691" s="24">
        <v>789</v>
      </c>
    </row>
    <row r="692" spans="1:1" x14ac:dyDescent="0.25">
      <c r="A692" s="24">
        <v>790</v>
      </c>
    </row>
    <row r="693" spans="1:1" x14ac:dyDescent="0.25">
      <c r="A693" s="24">
        <v>791</v>
      </c>
    </row>
    <row r="694" spans="1:1" x14ac:dyDescent="0.25">
      <c r="A694" s="24">
        <v>792</v>
      </c>
    </row>
    <row r="695" spans="1:1" x14ac:dyDescent="0.25">
      <c r="A695" s="24">
        <v>793</v>
      </c>
    </row>
    <row r="696" spans="1:1" x14ac:dyDescent="0.25">
      <c r="A696" s="24">
        <v>794</v>
      </c>
    </row>
    <row r="697" spans="1:1" x14ac:dyDescent="0.25">
      <c r="A697" s="24">
        <v>795</v>
      </c>
    </row>
    <row r="698" spans="1:1" x14ac:dyDescent="0.25">
      <c r="A698" s="24">
        <v>796</v>
      </c>
    </row>
    <row r="699" spans="1:1" x14ac:dyDescent="0.25">
      <c r="A699" s="24">
        <v>797</v>
      </c>
    </row>
    <row r="700" spans="1:1" x14ac:dyDescent="0.25">
      <c r="A700" s="24">
        <v>798</v>
      </c>
    </row>
    <row r="701" spans="1:1" x14ac:dyDescent="0.25">
      <c r="A701" s="24">
        <v>799</v>
      </c>
    </row>
    <row r="702" spans="1:1" x14ac:dyDescent="0.25">
      <c r="A702" s="24">
        <v>800</v>
      </c>
    </row>
    <row r="703" spans="1:1" x14ac:dyDescent="0.25">
      <c r="A703" s="24">
        <v>801</v>
      </c>
    </row>
    <row r="704" spans="1:1" x14ac:dyDescent="0.25">
      <c r="A704" s="24">
        <v>802</v>
      </c>
    </row>
    <row r="705" spans="1:1" x14ac:dyDescent="0.25">
      <c r="A705" s="24">
        <v>803</v>
      </c>
    </row>
    <row r="706" spans="1:1" x14ac:dyDescent="0.25">
      <c r="A706" s="24">
        <v>804</v>
      </c>
    </row>
    <row r="707" spans="1:1" x14ac:dyDescent="0.25">
      <c r="A707" s="24">
        <v>805</v>
      </c>
    </row>
    <row r="708" spans="1:1" x14ac:dyDescent="0.25">
      <c r="A708" s="24">
        <v>806</v>
      </c>
    </row>
    <row r="709" spans="1:1" x14ac:dyDescent="0.25">
      <c r="A709" s="24">
        <v>807</v>
      </c>
    </row>
    <row r="710" spans="1:1" x14ac:dyDescent="0.25">
      <c r="A710" s="24">
        <v>808</v>
      </c>
    </row>
    <row r="711" spans="1:1" x14ac:dyDescent="0.25">
      <c r="A711" s="24">
        <v>809</v>
      </c>
    </row>
    <row r="712" spans="1:1" x14ac:dyDescent="0.25">
      <c r="A712" s="24">
        <v>810</v>
      </c>
    </row>
    <row r="713" spans="1:1" x14ac:dyDescent="0.25">
      <c r="A713" s="24">
        <v>811</v>
      </c>
    </row>
    <row r="714" spans="1:1" x14ac:dyDescent="0.25">
      <c r="A714" s="24">
        <v>812</v>
      </c>
    </row>
    <row r="715" spans="1:1" x14ac:dyDescent="0.25">
      <c r="A715" s="24">
        <v>813</v>
      </c>
    </row>
    <row r="716" spans="1:1" x14ac:dyDescent="0.25">
      <c r="A716" s="24">
        <v>814</v>
      </c>
    </row>
    <row r="717" spans="1:1" x14ac:dyDescent="0.25">
      <c r="A717" s="24">
        <v>815</v>
      </c>
    </row>
    <row r="718" spans="1:1" x14ac:dyDescent="0.25">
      <c r="A718" s="24">
        <v>816</v>
      </c>
    </row>
    <row r="719" spans="1:1" x14ac:dyDescent="0.25">
      <c r="A719" s="24">
        <v>817</v>
      </c>
    </row>
    <row r="720" spans="1:1" x14ac:dyDescent="0.25">
      <c r="A720" s="24">
        <v>818</v>
      </c>
    </row>
    <row r="721" spans="1:1" x14ac:dyDescent="0.25">
      <c r="A721" s="24">
        <v>819</v>
      </c>
    </row>
    <row r="722" spans="1:1" x14ac:dyDescent="0.25">
      <c r="A722" s="24">
        <v>820</v>
      </c>
    </row>
    <row r="723" spans="1:1" x14ac:dyDescent="0.25">
      <c r="A723" s="24">
        <v>821</v>
      </c>
    </row>
    <row r="724" spans="1:1" x14ac:dyDescent="0.25">
      <c r="A724" s="24">
        <v>822</v>
      </c>
    </row>
    <row r="725" spans="1:1" x14ac:dyDescent="0.25">
      <c r="A725" s="24">
        <v>823</v>
      </c>
    </row>
    <row r="726" spans="1:1" x14ac:dyDescent="0.25">
      <c r="A726" s="24">
        <v>824</v>
      </c>
    </row>
    <row r="727" spans="1:1" x14ac:dyDescent="0.25">
      <c r="A727" s="24">
        <v>825</v>
      </c>
    </row>
    <row r="728" spans="1:1" x14ac:dyDescent="0.25">
      <c r="A728" s="24">
        <v>826</v>
      </c>
    </row>
    <row r="729" spans="1:1" x14ac:dyDescent="0.25">
      <c r="A729" s="24">
        <v>827</v>
      </c>
    </row>
    <row r="730" spans="1:1" x14ac:dyDescent="0.25">
      <c r="A730" s="24">
        <v>828</v>
      </c>
    </row>
    <row r="731" spans="1:1" x14ac:dyDescent="0.25">
      <c r="A731" s="24">
        <v>829</v>
      </c>
    </row>
    <row r="732" spans="1:1" x14ac:dyDescent="0.25">
      <c r="A732" s="24">
        <v>830</v>
      </c>
    </row>
    <row r="733" spans="1:1" x14ac:dyDescent="0.25">
      <c r="A733" s="24">
        <v>831</v>
      </c>
    </row>
    <row r="734" spans="1:1" x14ac:dyDescent="0.25">
      <c r="A734" s="24">
        <v>832</v>
      </c>
    </row>
    <row r="735" spans="1:1" x14ac:dyDescent="0.25">
      <c r="A735" s="24">
        <v>833</v>
      </c>
    </row>
    <row r="736" spans="1:1" x14ac:dyDescent="0.25">
      <c r="A736" s="24">
        <v>834</v>
      </c>
    </row>
    <row r="737" spans="1:1" x14ac:dyDescent="0.25">
      <c r="A737" s="24">
        <v>835</v>
      </c>
    </row>
    <row r="738" spans="1:1" x14ac:dyDescent="0.25">
      <c r="A738" s="24">
        <v>836</v>
      </c>
    </row>
    <row r="739" spans="1:1" x14ac:dyDescent="0.25">
      <c r="A739" s="24">
        <v>837</v>
      </c>
    </row>
    <row r="740" spans="1:1" x14ac:dyDescent="0.25">
      <c r="A740" s="24">
        <v>838</v>
      </c>
    </row>
    <row r="741" spans="1:1" x14ac:dyDescent="0.25">
      <c r="A741" s="24">
        <v>839</v>
      </c>
    </row>
    <row r="742" spans="1:1" x14ac:dyDescent="0.25">
      <c r="A742" s="24">
        <v>840</v>
      </c>
    </row>
    <row r="743" spans="1:1" x14ac:dyDescent="0.25">
      <c r="A743" s="24">
        <v>841</v>
      </c>
    </row>
    <row r="744" spans="1:1" x14ac:dyDescent="0.25">
      <c r="A744" s="24">
        <v>842</v>
      </c>
    </row>
    <row r="745" spans="1:1" x14ac:dyDescent="0.25">
      <c r="A745" s="24">
        <v>843</v>
      </c>
    </row>
    <row r="746" spans="1:1" x14ac:dyDescent="0.25">
      <c r="A746" s="24">
        <v>844</v>
      </c>
    </row>
    <row r="747" spans="1:1" x14ac:dyDescent="0.25">
      <c r="A747" s="24">
        <v>845</v>
      </c>
    </row>
    <row r="748" spans="1:1" x14ac:dyDescent="0.25">
      <c r="A748" s="24">
        <v>846</v>
      </c>
    </row>
    <row r="749" spans="1:1" x14ac:dyDescent="0.25">
      <c r="A749" s="24">
        <v>847</v>
      </c>
    </row>
    <row r="750" spans="1:1" x14ac:dyDescent="0.25">
      <c r="A750" s="24">
        <v>848</v>
      </c>
    </row>
    <row r="751" spans="1:1" x14ac:dyDescent="0.25">
      <c r="A751" s="24">
        <v>849</v>
      </c>
    </row>
    <row r="752" spans="1:1" x14ac:dyDescent="0.25">
      <c r="A752" s="24">
        <v>850</v>
      </c>
    </row>
    <row r="753" spans="1:1" x14ac:dyDescent="0.25">
      <c r="A753" s="24">
        <v>851</v>
      </c>
    </row>
    <row r="754" spans="1:1" x14ac:dyDescent="0.25">
      <c r="A754" s="24">
        <v>852</v>
      </c>
    </row>
    <row r="755" spans="1:1" x14ac:dyDescent="0.25">
      <c r="A755" s="24">
        <v>853</v>
      </c>
    </row>
    <row r="756" spans="1:1" x14ac:dyDescent="0.25">
      <c r="A756" s="24">
        <v>854</v>
      </c>
    </row>
    <row r="757" spans="1:1" x14ac:dyDescent="0.25">
      <c r="A757" s="24">
        <v>855</v>
      </c>
    </row>
    <row r="758" spans="1:1" x14ac:dyDescent="0.25">
      <c r="A758" s="24">
        <v>856</v>
      </c>
    </row>
    <row r="759" spans="1:1" x14ac:dyDescent="0.25">
      <c r="A759" s="24">
        <v>857</v>
      </c>
    </row>
    <row r="760" spans="1:1" x14ac:dyDescent="0.25">
      <c r="A760" s="24">
        <v>858</v>
      </c>
    </row>
    <row r="761" spans="1:1" x14ac:dyDescent="0.25">
      <c r="A761" s="24">
        <v>859</v>
      </c>
    </row>
    <row r="762" spans="1:1" x14ac:dyDescent="0.25">
      <c r="A762" s="24">
        <v>860</v>
      </c>
    </row>
    <row r="763" spans="1:1" x14ac:dyDescent="0.25">
      <c r="A763" s="24">
        <v>861</v>
      </c>
    </row>
    <row r="764" spans="1:1" x14ac:dyDescent="0.25">
      <c r="A764" s="24">
        <v>862</v>
      </c>
    </row>
    <row r="765" spans="1:1" x14ac:dyDescent="0.25">
      <c r="A765" s="24">
        <v>863</v>
      </c>
    </row>
    <row r="766" spans="1:1" x14ac:dyDescent="0.25">
      <c r="A766" s="24">
        <v>864</v>
      </c>
    </row>
    <row r="767" spans="1:1" x14ac:dyDescent="0.25">
      <c r="A767" s="24">
        <v>865</v>
      </c>
    </row>
    <row r="768" spans="1:1" x14ac:dyDescent="0.25">
      <c r="A768" s="24">
        <v>866</v>
      </c>
    </row>
    <row r="769" spans="1:1" x14ac:dyDescent="0.25">
      <c r="A769" s="24">
        <v>867</v>
      </c>
    </row>
    <row r="770" spans="1:1" x14ac:dyDescent="0.25">
      <c r="A770" s="24">
        <v>868</v>
      </c>
    </row>
    <row r="771" spans="1:1" x14ac:dyDescent="0.25">
      <c r="A771" s="24">
        <v>869</v>
      </c>
    </row>
    <row r="772" spans="1:1" x14ac:dyDescent="0.25">
      <c r="A772" s="24">
        <v>870</v>
      </c>
    </row>
    <row r="773" spans="1:1" x14ac:dyDescent="0.25">
      <c r="A773" s="24">
        <v>871</v>
      </c>
    </row>
    <row r="774" spans="1:1" x14ac:dyDescent="0.25">
      <c r="A774" s="24">
        <v>872</v>
      </c>
    </row>
    <row r="775" spans="1:1" x14ac:dyDescent="0.25">
      <c r="A775" s="24">
        <v>873</v>
      </c>
    </row>
    <row r="776" spans="1:1" x14ac:dyDescent="0.25">
      <c r="A776" s="24">
        <v>874</v>
      </c>
    </row>
    <row r="777" spans="1:1" x14ac:dyDescent="0.25">
      <c r="A777" s="24">
        <v>875</v>
      </c>
    </row>
    <row r="778" spans="1:1" x14ac:dyDescent="0.25">
      <c r="A778" s="24">
        <v>876</v>
      </c>
    </row>
    <row r="779" spans="1:1" x14ac:dyDescent="0.25">
      <c r="A779" s="24">
        <v>877</v>
      </c>
    </row>
    <row r="780" spans="1:1" x14ac:dyDescent="0.25">
      <c r="A780" s="24">
        <v>878</v>
      </c>
    </row>
    <row r="781" spans="1:1" x14ac:dyDescent="0.25">
      <c r="A781" s="24">
        <v>879</v>
      </c>
    </row>
    <row r="782" spans="1:1" x14ac:dyDescent="0.25">
      <c r="A782" s="24">
        <v>880</v>
      </c>
    </row>
    <row r="783" spans="1:1" x14ac:dyDescent="0.25">
      <c r="A783" s="24">
        <v>881</v>
      </c>
    </row>
    <row r="784" spans="1:1" x14ac:dyDescent="0.25">
      <c r="A784" s="24">
        <v>882</v>
      </c>
    </row>
    <row r="785" spans="1:1" x14ac:dyDescent="0.25">
      <c r="A785" s="24">
        <v>883</v>
      </c>
    </row>
    <row r="786" spans="1:1" x14ac:dyDescent="0.25">
      <c r="A786" s="24">
        <v>884</v>
      </c>
    </row>
    <row r="787" spans="1:1" x14ac:dyDescent="0.25">
      <c r="A787" s="24">
        <v>885</v>
      </c>
    </row>
    <row r="788" spans="1:1" x14ac:dyDescent="0.25">
      <c r="A788" s="24">
        <v>886</v>
      </c>
    </row>
    <row r="789" spans="1:1" x14ac:dyDescent="0.25">
      <c r="A789" s="24">
        <v>887</v>
      </c>
    </row>
    <row r="790" spans="1:1" x14ac:dyDescent="0.25">
      <c r="A790" s="24">
        <v>888</v>
      </c>
    </row>
    <row r="791" spans="1:1" x14ac:dyDescent="0.25">
      <c r="A791" s="24">
        <v>889</v>
      </c>
    </row>
    <row r="792" spans="1:1" x14ac:dyDescent="0.25">
      <c r="A792" s="24">
        <v>890</v>
      </c>
    </row>
    <row r="793" spans="1:1" x14ac:dyDescent="0.25">
      <c r="A793" s="24">
        <v>891</v>
      </c>
    </row>
    <row r="794" spans="1:1" x14ac:dyDescent="0.25">
      <c r="A794" s="24">
        <v>892</v>
      </c>
    </row>
    <row r="795" spans="1:1" x14ac:dyDescent="0.25">
      <c r="A795" s="24">
        <v>893</v>
      </c>
    </row>
    <row r="796" spans="1:1" x14ac:dyDescent="0.25">
      <c r="A796" s="24">
        <v>894</v>
      </c>
    </row>
    <row r="797" spans="1:1" x14ac:dyDescent="0.25">
      <c r="A797" s="24">
        <v>895</v>
      </c>
    </row>
    <row r="798" spans="1:1" x14ac:dyDescent="0.25">
      <c r="A798" s="24">
        <v>896</v>
      </c>
    </row>
    <row r="799" spans="1:1" x14ac:dyDescent="0.25">
      <c r="A799" s="24">
        <v>897</v>
      </c>
    </row>
    <row r="800" spans="1:1" x14ac:dyDescent="0.25">
      <c r="A800" s="24">
        <v>898</v>
      </c>
    </row>
    <row r="801" spans="1:1" x14ac:dyDescent="0.25">
      <c r="A801" s="24">
        <v>899</v>
      </c>
    </row>
    <row r="802" spans="1:1" x14ac:dyDescent="0.25">
      <c r="A802" s="24">
        <v>900</v>
      </c>
    </row>
    <row r="803" spans="1:1" x14ac:dyDescent="0.25">
      <c r="A803" s="24">
        <v>901</v>
      </c>
    </row>
    <row r="804" spans="1:1" x14ac:dyDescent="0.25">
      <c r="A804" s="24">
        <v>902</v>
      </c>
    </row>
    <row r="805" spans="1:1" x14ac:dyDescent="0.25">
      <c r="A805" s="24">
        <v>903</v>
      </c>
    </row>
    <row r="806" spans="1:1" x14ac:dyDescent="0.25">
      <c r="A806" s="24">
        <v>904</v>
      </c>
    </row>
    <row r="807" spans="1:1" x14ac:dyDescent="0.25">
      <c r="A807" s="24">
        <v>905</v>
      </c>
    </row>
    <row r="808" spans="1:1" x14ac:dyDescent="0.25">
      <c r="A808" s="24">
        <v>906</v>
      </c>
    </row>
    <row r="809" spans="1:1" x14ac:dyDescent="0.25">
      <c r="A809" s="24">
        <v>907</v>
      </c>
    </row>
    <row r="810" spans="1:1" x14ac:dyDescent="0.25">
      <c r="A810" s="24">
        <v>908</v>
      </c>
    </row>
    <row r="811" spans="1:1" x14ac:dyDescent="0.25">
      <c r="A811" s="24">
        <v>909</v>
      </c>
    </row>
    <row r="812" spans="1:1" x14ac:dyDescent="0.25">
      <c r="A812" s="24">
        <v>910</v>
      </c>
    </row>
    <row r="813" spans="1:1" x14ac:dyDescent="0.25">
      <c r="A813" s="24">
        <v>911</v>
      </c>
    </row>
    <row r="814" spans="1:1" x14ac:dyDescent="0.25">
      <c r="A814" s="24">
        <v>912</v>
      </c>
    </row>
    <row r="815" spans="1:1" x14ac:dyDescent="0.25">
      <c r="A815" s="24">
        <v>913</v>
      </c>
    </row>
    <row r="816" spans="1:1" x14ac:dyDescent="0.25">
      <c r="A816" s="24">
        <v>914</v>
      </c>
    </row>
    <row r="817" spans="1:1" x14ac:dyDescent="0.25">
      <c r="A817" s="24">
        <v>915</v>
      </c>
    </row>
    <row r="818" spans="1:1" x14ac:dyDescent="0.25">
      <c r="A818" s="24">
        <v>916</v>
      </c>
    </row>
    <row r="819" spans="1:1" x14ac:dyDescent="0.25">
      <c r="A819" s="24">
        <v>917</v>
      </c>
    </row>
    <row r="820" spans="1:1" x14ac:dyDescent="0.25">
      <c r="A820" s="24">
        <v>918</v>
      </c>
    </row>
    <row r="821" spans="1:1" x14ac:dyDescent="0.25">
      <c r="A821" s="24">
        <v>919</v>
      </c>
    </row>
    <row r="822" spans="1:1" x14ac:dyDescent="0.25">
      <c r="A822" s="24">
        <v>920</v>
      </c>
    </row>
    <row r="823" spans="1:1" x14ac:dyDescent="0.25">
      <c r="A823" s="24">
        <v>921</v>
      </c>
    </row>
    <row r="824" spans="1:1" x14ac:dyDescent="0.25">
      <c r="A824" s="24">
        <v>922</v>
      </c>
    </row>
    <row r="825" spans="1:1" x14ac:dyDescent="0.25">
      <c r="A825" s="24">
        <v>923</v>
      </c>
    </row>
    <row r="826" spans="1:1" x14ac:dyDescent="0.25">
      <c r="A826" s="24">
        <v>924</v>
      </c>
    </row>
    <row r="827" spans="1:1" x14ac:dyDescent="0.25">
      <c r="A827" s="24">
        <v>925</v>
      </c>
    </row>
    <row r="828" spans="1:1" x14ac:dyDescent="0.25">
      <c r="A828" s="24">
        <v>926</v>
      </c>
    </row>
    <row r="829" spans="1:1" x14ac:dyDescent="0.25">
      <c r="A829" s="24">
        <v>927</v>
      </c>
    </row>
    <row r="830" spans="1:1" x14ac:dyDescent="0.25">
      <c r="A830" s="24">
        <v>928</v>
      </c>
    </row>
    <row r="831" spans="1:1" x14ac:dyDescent="0.25">
      <c r="A831" s="24">
        <v>929</v>
      </c>
    </row>
    <row r="832" spans="1:1" x14ac:dyDescent="0.25">
      <c r="A832" s="24">
        <v>930</v>
      </c>
    </row>
    <row r="833" spans="1:1" x14ac:dyDescent="0.25">
      <c r="A833" s="24">
        <v>931</v>
      </c>
    </row>
    <row r="834" spans="1:1" x14ac:dyDescent="0.25">
      <c r="A834" s="24">
        <v>932</v>
      </c>
    </row>
    <row r="835" spans="1:1" x14ac:dyDescent="0.25">
      <c r="A835" s="24">
        <v>933</v>
      </c>
    </row>
    <row r="836" spans="1:1" x14ac:dyDescent="0.25">
      <c r="A836" s="24">
        <v>934</v>
      </c>
    </row>
    <row r="837" spans="1:1" x14ac:dyDescent="0.25">
      <c r="A837" s="24">
        <v>935</v>
      </c>
    </row>
    <row r="838" spans="1:1" x14ac:dyDescent="0.25">
      <c r="A838" s="24">
        <v>936</v>
      </c>
    </row>
    <row r="839" spans="1:1" x14ac:dyDescent="0.25">
      <c r="A839" s="24">
        <v>937</v>
      </c>
    </row>
    <row r="840" spans="1:1" x14ac:dyDescent="0.25">
      <c r="A840" s="24">
        <v>938</v>
      </c>
    </row>
    <row r="841" spans="1:1" x14ac:dyDescent="0.25">
      <c r="A841" s="24">
        <v>939</v>
      </c>
    </row>
    <row r="842" spans="1:1" x14ac:dyDescent="0.25">
      <c r="A842" s="24">
        <v>940</v>
      </c>
    </row>
    <row r="843" spans="1:1" x14ac:dyDescent="0.25">
      <c r="A843" s="24">
        <v>941</v>
      </c>
    </row>
    <row r="844" spans="1:1" x14ac:dyDescent="0.25">
      <c r="A844" s="24">
        <v>942</v>
      </c>
    </row>
    <row r="845" spans="1:1" x14ac:dyDescent="0.25">
      <c r="A845" s="24">
        <v>943</v>
      </c>
    </row>
    <row r="846" spans="1:1" x14ac:dyDescent="0.25">
      <c r="A846" s="24">
        <v>944</v>
      </c>
    </row>
    <row r="847" spans="1:1" x14ac:dyDescent="0.25">
      <c r="A847" s="24">
        <v>945</v>
      </c>
    </row>
    <row r="848" spans="1:1" x14ac:dyDescent="0.25">
      <c r="A848" s="24">
        <v>946</v>
      </c>
    </row>
    <row r="849" spans="1:1" x14ac:dyDescent="0.25">
      <c r="A849" s="24">
        <v>947</v>
      </c>
    </row>
    <row r="850" spans="1:1" x14ac:dyDescent="0.25">
      <c r="A850" s="24">
        <v>948</v>
      </c>
    </row>
    <row r="851" spans="1:1" x14ac:dyDescent="0.25">
      <c r="A851" s="24">
        <v>949</v>
      </c>
    </row>
    <row r="852" spans="1:1" x14ac:dyDescent="0.25">
      <c r="A852" s="24">
        <v>950</v>
      </c>
    </row>
    <row r="853" spans="1:1" x14ac:dyDescent="0.25">
      <c r="A853" s="24">
        <v>951</v>
      </c>
    </row>
    <row r="854" spans="1:1" x14ac:dyDescent="0.25">
      <c r="A854" s="24">
        <v>952</v>
      </c>
    </row>
    <row r="855" spans="1:1" x14ac:dyDescent="0.25">
      <c r="A855" s="24">
        <v>953</v>
      </c>
    </row>
    <row r="856" spans="1:1" x14ac:dyDescent="0.25">
      <c r="A856" s="24">
        <v>954</v>
      </c>
    </row>
    <row r="857" spans="1:1" x14ac:dyDescent="0.25">
      <c r="A857" s="24">
        <v>955</v>
      </c>
    </row>
    <row r="858" spans="1:1" x14ac:dyDescent="0.25">
      <c r="A858" s="24">
        <v>956</v>
      </c>
    </row>
    <row r="859" spans="1:1" x14ac:dyDescent="0.25">
      <c r="A859" s="24">
        <v>957</v>
      </c>
    </row>
    <row r="860" spans="1:1" x14ac:dyDescent="0.25">
      <c r="A860" s="24">
        <v>958</v>
      </c>
    </row>
    <row r="861" spans="1:1" x14ac:dyDescent="0.25">
      <c r="A861" s="24">
        <v>959</v>
      </c>
    </row>
    <row r="862" spans="1:1" x14ac:dyDescent="0.25">
      <c r="A862" s="24">
        <v>960</v>
      </c>
    </row>
    <row r="863" spans="1:1" x14ac:dyDescent="0.25">
      <c r="A863" s="24">
        <v>961</v>
      </c>
    </row>
    <row r="864" spans="1:1" x14ac:dyDescent="0.25">
      <c r="A864" s="24">
        <v>962</v>
      </c>
    </row>
    <row r="865" spans="1:1" x14ac:dyDescent="0.25">
      <c r="A865" s="24">
        <v>963</v>
      </c>
    </row>
    <row r="866" spans="1:1" x14ac:dyDescent="0.25">
      <c r="A866" s="24">
        <v>964</v>
      </c>
    </row>
    <row r="867" spans="1:1" x14ac:dyDescent="0.25">
      <c r="A867" s="24">
        <v>965</v>
      </c>
    </row>
    <row r="868" spans="1:1" x14ac:dyDescent="0.25">
      <c r="A868" s="24">
        <v>966</v>
      </c>
    </row>
    <row r="869" spans="1:1" x14ac:dyDescent="0.25">
      <c r="A869" s="24">
        <v>967</v>
      </c>
    </row>
    <row r="870" spans="1:1" x14ac:dyDescent="0.25">
      <c r="A870" s="24">
        <v>968</v>
      </c>
    </row>
    <row r="871" spans="1:1" x14ac:dyDescent="0.25">
      <c r="A871" s="24">
        <v>969</v>
      </c>
    </row>
    <row r="872" spans="1:1" x14ac:dyDescent="0.25">
      <c r="A872" s="24">
        <v>970</v>
      </c>
    </row>
    <row r="873" spans="1:1" x14ac:dyDescent="0.25">
      <c r="A873" s="24">
        <v>971</v>
      </c>
    </row>
    <row r="874" spans="1:1" x14ac:dyDescent="0.25">
      <c r="A874" s="24">
        <v>972</v>
      </c>
    </row>
    <row r="875" spans="1:1" x14ac:dyDescent="0.25">
      <c r="A875" s="24">
        <v>973</v>
      </c>
    </row>
    <row r="876" spans="1:1" x14ac:dyDescent="0.25">
      <c r="A876" s="24">
        <v>974</v>
      </c>
    </row>
    <row r="877" spans="1:1" x14ac:dyDescent="0.25">
      <c r="A877" s="24">
        <v>975</v>
      </c>
    </row>
    <row r="878" spans="1:1" x14ac:dyDescent="0.25">
      <c r="A878" s="24">
        <v>976</v>
      </c>
    </row>
    <row r="879" spans="1:1" x14ac:dyDescent="0.25">
      <c r="A879" s="24">
        <v>977</v>
      </c>
    </row>
    <row r="880" spans="1:1" x14ac:dyDescent="0.25">
      <c r="A880" s="24">
        <v>978</v>
      </c>
    </row>
    <row r="881" spans="1:1" x14ac:dyDescent="0.25">
      <c r="A881" s="24">
        <v>979</v>
      </c>
    </row>
    <row r="882" spans="1:1" x14ac:dyDescent="0.25">
      <c r="A882" s="24">
        <v>980</v>
      </c>
    </row>
    <row r="883" spans="1:1" x14ac:dyDescent="0.25">
      <c r="A883" s="24">
        <v>981</v>
      </c>
    </row>
    <row r="884" spans="1:1" x14ac:dyDescent="0.25">
      <c r="A884" s="24">
        <v>982</v>
      </c>
    </row>
    <row r="885" spans="1:1" x14ac:dyDescent="0.25">
      <c r="A885" s="24">
        <v>983</v>
      </c>
    </row>
    <row r="886" spans="1:1" x14ac:dyDescent="0.25">
      <c r="A886" s="24">
        <v>984</v>
      </c>
    </row>
    <row r="887" spans="1:1" x14ac:dyDescent="0.25">
      <c r="A887" s="24">
        <v>985</v>
      </c>
    </row>
    <row r="888" spans="1:1" x14ac:dyDescent="0.25">
      <c r="A888" s="24">
        <v>986</v>
      </c>
    </row>
    <row r="889" spans="1:1" x14ac:dyDescent="0.25">
      <c r="A889" s="24">
        <v>987</v>
      </c>
    </row>
    <row r="890" spans="1:1" x14ac:dyDescent="0.25">
      <c r="A890" s="24">
        <v>988</v>
      </c>
    </row>
    <row r="891" spans="1:1" x14ac:dyDescent="0.25">
      <c r="A891" s="24">
        <v>989</v>
      </c>
    </row>
    <row r="892" spans="1:1" x14ac:dyDescent="0.25">
      <c r="A892" s="24">
        <v>990</v>
      </c>
    </row>
    <row r="893" spans="1:1" x14ac:dyDescent="0.25">
      <c r="A893" s="24">
        <v>991</v>
      </c>
    </row>
    <row r="894" spans="1:1" x14ac:dyDescent="0.25">
      <c r="A894" s="24">
        <v>992</v>
      </c>
    </row>
    <row r="895" spans="1:1" x14ac:dyDescent="0.25">
      <c r="A895" s="24">
        <v>993</v>
      </c>
    </row>
    <row r="896" spans="1:1" x14ac:dyDescent="0.25">
      <c r="A896" s="24">
        <v>994</v>
      </c>
    </row>
    <row r="897" spans="1:1" x14ac:dyDescent="0.25">
      <c r="A897" s="24">
        <v>995</v>
      </c>
    </row>
    <row r="898" spans="1:1" x14ac:dyDescent="0.25">
      <c r="A898" s="24">
        <v>996</v>
      </c>
    </row>
    <row r="899" spans="1:1" x14ac:dyDescent="0.25">
      <c r="A899" s="24">
        <v>997</v>
      </c>
    </row>
    <row r="900" spans="1:1" x14ac:dyDescent="0.25">
      <c r="A900" s="24">
        <v>998</v>
      </c>
    </row>
    <row r="901" spans="1:1" x14ac:dyDescent="0.25">
      <c r="A901" s="24">
        <v>999</v>
      </c>
    </row>
    <row r="902" spans="1:1" x14ac:dyDescent="0.25">
      <c r="A902" s="24">
        <v>1000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K358"/>
  <sheetViews>
    <sheetView workbookViewId="0"/>
  </sheetViews>
  <sheetFormatPr defaultRowHeight="15" x14ac:dyDescent="0.25"/>
  <sheetData>
    <row r="1" spans="1:11" x14ac:dyDescent="0.25">
      <c r="A1" s="5" t="s">
        <v>29</v>
      </c>
      <c r="B1" s="5" t="s">
        <v>33</v>
      </c>
      <c r="C1" s="5" t="s">
        <v>34</v>
      </c>
      <c r="D1" s="5" t="s">
        <v>29</v>
      </c>
      <c r="E1" s="5" t="s">
        <v>35</v>
      </c>
      <c r="F1" s="5" t="s">
        <v>36</v>
      </c>
      <c r="H1" s="5" t="s">
        <v>37</v>
      </c>
      <c r="I1" s="5" t="s">
        <v>38</v>
      </c>
      <c r="J1" s="5" t="s">
        <v>39</v>
      </c>
      <c r="K1" s="5" t="s">
        <v>40</v>
      </c>
    </row>
    <row r="2" spans="1:11" x14ac:dyDescent="0.25">
      <c r="A2">
        <v>0.50800000000000001</v>
      </c>
      <c r="B2">
        <v>75.977231239598467</v>
      </c>
      <c r="C2">
        <v>14.612825683489213</v>
      </c>
      <c r="H2">
        <v>6.6289999999999996</v>
      </c>
      <c r="I2">
        <v>3.1779999999999999</v>
      </c>
    </row>
    <row r="3" spans="1:11" x14ac:dyDescent="0.25">
      <c r="A3">
        <v>0.53500000000000003</v>
      </c>
      <c r="B3">
        <v>76.783510700186781</v>
      </c>
      <c r="C3">
        <v>11.217735414309272</v>
      </c>
      <c r="H3">
        <v>6.8140000000000001</v>
      </c>
      <c r="I3">
        <v>2.399</v>
      </c>
    </row>
    <row r="4" spans="1:11" x14ac:dyDescent="0.25">
      <c r="A4">
        <v>0.56100000000000005</v>
      </c>
      <c r="B4">
        <v>73.279463747143552</v>
      </c>
      <c r="C4">
        <v>8.1713065334918404</v>
      </c>
      <c r="H4">
        <v>6.01</v>
      </c>
      <c r="I4">
        <v>1.7</v>
      </c>
    </row>
    <row r="5" spans="1:11" x14ac:dyDescent="0.25">
      <c r="A5">
        <v>0.58799999999999997</v>
      </c>
      <c r="B5">
        <v>69.309082187165473</v>
      </c>
      <c r="C5">
        <v>7.3998932117397871</v>
      </c>
      <c r="H5">
        <v>5.0990000000000002</v>
      </c>
      <c r="I5">
        <v>1.5229999999999999</v>
      </c>
    </row>
    <row r="6" spans="1:11" x14ac:dyDescent="0.25">
      <c r="A6">
        <v>0.61499999999999999</v>
      </c>
      <c r="B6">
        <v>66.755137517410091</v>
      </c>
      <c r="C6">
        <v>7.8357199471929251</v>
      </c>
      <c r="H6">
        <v>4.5129999999999999</v>
      </c>
      <c r="I6">
        <v>1.623</v>
      </c>
    </row>
    <row r="7" spans="1:11" x14ac:dyDescent="0.25">
      <c r="A7">
        <v>0.64100000000000001</v>
      </c>
      <c r="B7">
        <v>64.615228246335192</v>
      </c>
      <c r="C7">
        <v>8.3325624256095026</v>
      </c>
      <c r="H7">
        <v>4.0220000000000002</v>
      </c>
      <c r="I7">
        <v>1.7370000000000001</v>
      </c>
    </row>
    <row r="8" spans="1:11" x14ac:dyDescent="0.25">
      <c r="A8">
        <v>0.66800000000000004</v>
      </c>
      <c r="B8">
        <v>62.213822933988396</v>
      </c>
      <c r="C8">
        <v>8.1538734640737154</v>
      </c>
      <c r="H8">
        <v>3.4710000000000001</v>
      </c>
      <c r="I8">
        <v>1.696</v>
      </c>
    </row>
    <row r="9" spans="1:11" x14ac:dyDescent="0.25">
      <c r="A9">
        <v>0.69499999999999995</v>
      </c>
      <c r="B9">
        <v>60.457441190112256</v>
      </c>
      <c r="C9">
        <v>7.7267632633296417</v>
      </c>
      <c r="H9">
        <v>3.0680000000000001</v>
      </c>
      <c r="I9">
        <v>1.5980000000000001</v>
      </c>
    </row>
    <row r="10" spans="1:11" x14ac:dyDescent="0.25">
      <c r="A10">
        <v>0.72099999999999997</v>
      </c>
      <c r="B10">
        <v>59.760118413387239</v>
      </c>
      <c r="C10">
        <v>7.6483144509480763</v>
      </c>
      <c r="H10">
        <v>2.9079999999999999</v>
      </c>
      <c r="I10">
        <v>1.58</v>
      </c>
    </row>
    <row r="11" spans="1:11" x14ac:dyDescent="0.25">
      <c r="A11">
        <v>0.748</v>
      </c>
      <c r="B11">
        <v>59.563996382433317</v>
      </c>
      <c r="C11">
        <v>7.5524325691483858</v>
      </c>
      <c r="H11">
        <v>2.863</v>
      </c>
      <c r="I11">
        <v>1.5580000000000001</v>
      </c>
    </row>
    <row r="12" spans="1:11" x14ac:dyDescent="0.25">
      <c r="A12">
        <v>0.77500000000000002</v>
      </c>
      <c r="B12">
        <v>59.363516084124882</v>
      </c>
      <c r="C12">
        <v>6.8769011291960229</v>
      </c>
      <c r="H12">
        <v>2.8170000000000002</v>
      </c>
      <c r="I12">
        <v>1.403</v>
      </c>
    </row>
    <row r="13" spans="1:11" x14ac:dyDescent="0.25">
      <c r="A13">
        <v>0.80100000000000005</v>
      </c>
      <c r="B13">
        <v>58.892823209835484</v>
      </c>
      <c r="C13">
        <v>5.7568264190814595</v>
      </c>
      <c r="H13">
        <v>2.7090000000000001</v>
      </c>
      <c r="I13">
        <v>1.1459999999999999</v>
      </c>
    </row>
    <row r="14" spans="1:11" x14ac:dyDescent="0.25">
      <c r="A14">
        <v>0.82799999999999996</v>
      </c>
      <c r="B14">
        <v>58.452638207027832</v>
      </c>
      <c r="C14">
        <v>5.0072044341020634</v>
      </c>
      <c r="H14">
        <v>2.6080000000000001</v>
      </c>
      <c r="I14">
        <v>0.97399999999999998</v>
      </c>
    </row>
    <row r="15" spans="1:11" x14ac:dyDescent="0.25">
      <c r="A15">
        <v>0.85499999999999998</v>
      </c>
      <c r="B15">
        <v>58.021169738929224</v>
      </c>
      <c r="C15">
        <v>5.0682201770655029</v>
      </c>
      <c r="H15">
        <v>2.5089999999999999</v>
      </c>
      <c r="I15">
        <v>0.98799999999999999</v>
      </c>
    </row>
    <row r="16" spans="1:11" x14ac:dyDescent="0.25">
      <c r="A16">
        <v>0.88100000000000001</v>
      </c>
      <c r="B16">
        <v>58.012453204220151</v>
      </c>
      <c r="C16">
        <v>6.2318775607253789</v>
      </c>
      <c r="H16">
        <v>2.5070000000000001</v>
      </c>
      <c r="I16">
        <v>1.2549999999999999</v>
      </c>
    </row>
    <row r="17" spans="1:9" x14ac:dyDescent="0.25">
      <c r="A17">
        <v>0.90800000000000003</v>
      </c>
      <c r="B17">
        <v>59.067153904016749</v>
      </c>
      <c r="C17">
        <v>8.6550742098448232</v>
      </c>
      <c r="H17">
        <v>2.7490000000000001</v>
      </c>
      <c r="I17">
        <v>1.8109999999999999</v>
      </c>
    </row>
    <row r="18" spans="1:9" x14ac:dyDescent="0.25">
      <c r="A18">
        <v>0.93500000000000005</v>
      </c>
      <c r="B18">
        <v>61.137330897419154</v>
      </c>
      <c r="C18">
        <v>11.771235368334754</v>
      </c>
      <c r="H18">
        <v>3.2240000000000002</v>
      </c>
      <c r="I18">
        <v>2.5259999999999998</v>
      </c>
    </row>
    <row r="19" spans="1:9" x14ac:dyDescent="0.25">
      <c r="A19">
        <v>0.96099999999999997</v>
      </c>
      <c r="B19">
        <v>63.081118137540138</v>
      </c>
      <c r="C19">
        <v>14.421061919889832</v>
      </c>
      <c r="H19">
        <v>3.67</v>
      </c>
      <c r="I19">
        <v>3.1339999999999999</v>
      </c>
    </row>
    <row r="20" spans="1:9" x14ac:dyDescent="0.25">
      <c r="A20">
        <v>0.98799999999999999</v>
      </c>
      <c r="B20">
        <v>64.427822750090343</v>
      </c>
      <c r="C20">
        <v>16.160010594347849</v>
      </c>
      <c r="H20">
        <v>3.9790000000000001</v>
      </c>
      <c r="I20">
        <v>3.5329999999999999</v>
      </c>
    </row>
    <row r="21" spans="1:9" x14ac:dyDescent="0.25">
      <c r="A21">
        <v>1.0149999999999999</v>
      </c>
      <c r="B21">
        <v>65.277684884223959</v>
      </c>
      <c r="C21">
        <v>17.280085304462411</v>
      </c>
      <c r="H21">
        <v>4.1740000000000004</v>
      </c>
      <c r="I21">
        <v>3.79</v>
      </c>
    </row>
    <row r="22" spans="1:9" x14ac:dyDescent="0.25">
      <c r="A22">
        <v>1.0409999999999999</v>
      </c>
      <c r="B22">
        <v>65.62634627258646</v>
      </c>
      <c r="C22">
        <v>17.91203407086946</v>
      </c>
      <c r="H22">
        <v>4.2539999999999996</v>
      </c>
      <c r="I22">
        <v>3.9350000000000001</v>
      </c>
    </row>
    <row r="23" spans="1:9" x14ac:dyDescent="0.25">
      <c r="A23">
        <v>1.0680000000000001</v>
      </c>
      <c r="B23">
        <v>65.098995922688175</v>
      </c>
      <c r="C23">
        <v>17.65489629695211</v>
      </c>
      <c r="H23">
        <v>4.133</v>
      </c>
      <c r="I23">
        <v>3.8759999999999999</v>
      </c>
    </row>
    <row r="24" spans="1:9" x14ac:dyDescent="0.25">
      <c r="A24">
        <v>1.095</v>
      </c>
      <c r="B24">
        <v>63.377480317648278</v>
      </c>
      <c r="C24">
        <v>16.046695643130036</v>
      </c>
      <c r="H24">
        <v>3.738</v>
      </c>
      <c r="I24">
        <v>3.5070000000000001</v>
      </c>
    </row>
    <row r="25" spans="1:9" x14ac:dyDescent="0.25">
      <c r="A25">
        <v>1.121</v>
      </c>
      <c r="B25">
        <v>60.627413616938981</v>
      </c>
      <c r="C25">
        <v>13.200747060621048</v>
      </c>
      <c r="H25">
        <v>3.1070000000000002</v>
      </c>
      <c r="I25">
        <v>2.8540000000000001</v>
      </c>
    </row>
    <row r="26" spans="1:9" x14ac:dyDescent="0.25">
      <c r="A26">
        <v>1.1479999999999999</v>
      </c>
      <c r="B26">
        <v>57.389220972522168</v>
      </c>
      <c r="C26">
        <v>9.6967001075778221</v>
      </c>
      <c r="H26">
        <v>2.3639999999999999</v>
      </c>
      <c r="I26">
        <v>2.0499999999999998</v>
      </c>
    </row>
    <row r="27" spans="1:9" x14ac:dyDescent="0.25">
      <c r="A27">
        <v>1.175</v>
      </c>
      <c r="B27">
        <v>54.486614914404271</v>
      </c>
      <c r="C27">
        <v>6.4672239978700734</v>
      </c>
      <c r="H27">
        <v>1.698</v>
      </c>
      <c r="I27">
        <v>1.3089999999999999</v>
      </c>
    </row>
    <row r="28" spans="1:9" x14ac:dyDescent="0.25">
      <c r="A28">
        <v>1.2010000000000001</v>
      </c>
      <c r="B28">
        <v>52.656142625501097</v>
      </c>
      <c r="C28">
        <v>4.3796139350495453</v>
      </c>
      <c r="H28">
        <v>1.278</v>
      </c>
      <c r="I28">
        <v>0.83</v>
      </c>
    </row>
    <row r="29" spans="1:9" x14ac:dyDescent="0.25">
      <c r="A29">
        <v>1.228</v>
      </c>
      <c r="B29">
        <v>51.780130887240297</v>
      </c>
      <c r="C29">
        <v>3.4120785823435806</v>
      </c>
      <c r="H29">
        <v>1.077</v>
      </c>
      <c r="I29">
        <v>0.60799999999999998</v>
      </c>
    </row>
    <row r="30" spans="1:9" x14ac:dyDescent="0.25">
      <c r="A30">
        <v>1.2549999999999999</v>
      </c>
      <c r="B30">
        <v>51.418394696814183</v>
      </c>
      <c r="C30">
        <v>3.0372675898538826</v>
      </c>
      <c r="H30">
        <v>0.99399999999999999</v>
      </c>
      <c r="I30">
        <v>0.52200000000000002</v>
      </c>
    </row>
    <row r="31" spans="1:9" x14ac:dyDescent="0.25">
      <c r="A31">
        <v>1.2809999999999999</v>
      </c>
      <c r="B31">
        <v>51.183048259669484</v>
      </c>
      <c r="C31">
        <v>2.8934447671543473</v>
      </c>
      <c r="H31">
        <v>0.94</v>
      </c>
      <c r="I31">
        <v>0.48899999999999999</v>
      </c>
    </row>
    <row r="32" spans="1:9" x14ac:dyDescent="0.25">
      <c r="A32">
        <v>1.3080000000000001</v>
      </c>
      <c r="B32">
        <v>50.947701822524792</v>
      </c>
      <c r="C32">
        <v>2.7975628853546572</v>
      </c>
      <c r="H32">
        <v>0.88600000000000001</v>
      </c>
      <c r="I32">
        <v>0.46700000000000003</v>
      </c>
    </row>
    <row r="33" spans="1:9" x14ac:dyDescent="0.25">
      <c r="A33">
        <v>1.335</v>
      </c>
      <c r="B33">
        <v>50.734146722152765</v>
      </c>
      <c r="C33">
        <v>2.6929644688459042</v>
      </c>
      <c r="H33">
        <v>0.83699999999999997</v>
      </c>
      <c r="I33">
        <v>0.443</v>
      </c>
    </row>
    <row r="34" spans="1:9" x14ac:dyDescent="0.25">
      <c r="A34">
        <v>1.361</v>
      </c>
      <c r="B34">
        <v>50.468292413526342</v>
      </c>
      <c r="C34">
        <v>2.5796495176280883</v>
      </c>
      <c r="H34">
        <v>0.77600000000000002</v>
      </c>
      <c r="I34">
        <v>0.41699999999999998</v>
      </c>
    </row>
    <row r="35" spans="1:9" x14ac:dyDescent="0.25">
      <c r="A35">
        <v>1.3879999999999999</v>
      </c>
      <c r="B35">
        <v>50.219871174318058</v>
      </c>
      <c r="C35">
        <v>2.4881259031829295</v>
      </c>
      <c r="H35">
        <v>0.71899999999999997</v>
      </c>
      <c r="I35">
        <v>0.39600000000000002</v>
      </c>
    </row>
    <row r="36" spans="1:9" x14ac:dyDescent="0.25">
      <c r="A36">
        <v>1.415</v>
      </c>
      <c r="B36">
        <v>50.054257014845874</v>
      </c>
      <c r="C36">
        <v>2.4053188234468332</v>
      </c>
      <c r="H36">
        <v>0.68100000000000005</v>
      </c>
      <c r="I36">
        <v>0.377</v>
      </c>
    </row>
    <row r="37" spans="1:9" x14ac:dyDescent="0.25">
      <c r="A37">
        <v>1.4410000000000001</v>
      </c>
      <c r="B37">
        <v>49.897359390082734</v>
      </c>
      <c r="C37">
        <v>2.3007204069380802</v>
      </c>
      <c r="H37">
        <v>0.64500000000000002</v>
      </c>
      <c r="I37">
        <v>0.35299999999999998</v>
      </c>
    </row>
    <row r="38" spans="1:9" x14ac:dyDescent="0.25">
      <c r="A38">
        <v>1.468</v>
      </c>
      <c r="B38">
        <v>49.757894834737733</v>
      </c>
      <c r="C38">
        <v>2.2266298619110469</v>
      </c>
      <c r="H38">
        <v>0.61299999999999999</v>
      </c>
      <c r="I38">
        <v>0.33600000000000002</v>
      </c>
    </row>
    <row r="39" spans="1:9" x14ac:dyDescent="0.25">
      <c r="A39">
        <v>1.4950000000000001</v>
      </c>
      <c r="B39">
        <v>49.605355477329134</v>
      </c>
      <c r="C39">
        <v>2.1568975842385449</v>
      </c>
      <c r="H39">
        <v>0.57799999999999996</v>
      </c>
      <c r="I39">
        <v>0.32</v>
      </c>
    </row>
    <row r="40" spans="1:9" x14ac:dyDescent="0.25">
      <c r="A40">
        <v>1.5209999999999999</v>
      </c>
      <c r="B40">
        <v>49.513831862883983</v>
      </c>
      <c r="C40">
        <v>2.0915235739205742</v>
      </c>
      <c r="H40">
        <v>0.55700000000000005</v>
      </c>
      <c r="I40">
        <v>0.30499999999999999</v>
      </c>
    </row>
    <row r="41" spans="1:9" x14ac:dyDescent="0.25">
      <c r="A41">
        <v>1.548</v>
      </c>
      <c r="B41">
        <v>49.465890921984133</v>
      </c>
      <c r="C41">
        <v>2.0566574350843232</v>
      </c>
      <c r="H41">
        <v>0.54600000000000004</v>
      </c>
      <c r="I41">
        <v>0.29699999999999999</v>
      </c>
    </row>
    <row r="42" spans="1:9" x14ac:dyDescent="0.25">
      <c r="A42">
        <v>1.575</v>
      </c>
      <c r="B42">
        <v>49.492040526111317</v>
      </c>
      <c r="C42">
        <v>2.0174330288935409</v>
      </c>
      <c r="H42">
        <v>0.55200000000000005</v>
      </c>
      <c r="I42">
        <v>0.28799999999999998</v>
      </c>
    </row>
    <row r="43" spans="1:9" x14ac:dyDescent="0.25">
      <c r="A43">
        <v>1.601</v>
      </c>
      <c r="B43">
        <v>49.561772803783818</v>
      </c>
      <c r="C43">
        <v>1.9999999594754154</v>
      </c>
      <c r="H43">
        <v>0.56799999999999995</v>
      </c>
      <c r="I43">
        <v>0.28399999999999997</v>
      </c>
    </row>
    <row r="44" spans="1:9" x14ac:dyDescent="0.25">
      <c r="A44">
        <v>1.6279999999999999</v>
      </c>
      <c r="B44">
        <v>49.670729487647108</v>
      </c>
      <c r="C44">
        <v>2.008716494184478</v>
      </c>
      <c r="H44">
        <v>0.59299999999999997</v>
      </c>
      <c r="I44">
        <v>0.28599999999999998</v>
      </c>
    </row>
    <row r="45" spans="1:9" x14ac:dyDescent="0.25">
      <c r="A45">
        <v>1.655</v>
      </c>
      <c r="B45">
        <v>49.818910577701175</v>
      </c>
      <c r="C45">
        <v>2.0305078309571352</v>
      </c>
      <c r="H45">
        <v>0.627</v>
      </c>
      <c r="I45">
        <v>0.29099999999999998</v>
      </c>
    </row>
    <row r="46" spans="1:9" x14ac:dyDescent="0.25">
      <c r="A46">
        <v>1.681</v>
      </c>
      <c r="B46">
        <v>50.028107410718683</v>
      </c>
      <c r="C46">
        <v>2.0740905045024487</v>
      </c>
      <c r="H46">
        <v>0.67500000000000004</v>
      </c>
      <c r="I46">
        <v>0.30099999999999999</v>
      </c>
    </row>
    <row r="47" spans="1:9" x14ac:dyDescent="0.25">
      <c r="A47">
        <v>1.708</v>
      </c>
      <c r="B47">
        <v>50.250379045799775</v>
      </c>
      <c r="C47">
        <v>2.1176731780477627</v>
      </c>
      <c r="H47">
        <v>0.72599999999999998</v>
      </c>
      <c r="I47">
        <v>0.311</v>
      </c>
    </row>
    <row r="48" spans="1:9" x14ac:dyDescent="0.25">
      <c r="A48">
        <v>1.7350000000000001</v>
      </c>
      <c r="B48">
        <v>50.477008948235408</v>
      </c>
      <c r="C48">
        <v>2.1612558515930762</v>
      </c>
      <c r="H48">
        <v>0.77800000000000002</v>
      </c>
      <c r="I48">
        <v>0.32100000000000001</v>
      </c>
    </row>
    <row r="49" spans="1:9" x14ac:dyDescent="0.25">
      <c r="A49">
        <v>1.7609999999999999</v>
      </c>
      <c r="B49">
        <v>50.712355385380107</v>
      </c>
      <c r="C49">
        <v>2.2179133272019844</v>
      </c>
      <c r="H49">
        <v>0.83199999999999996</v>
      </c>
      <c r="I49">
        <v>0.33400000000000002</v>
      </c>
    </row>
    <row r="50" spans="1:9" x14ac:dyDescent="0.25">
      <c r="A50">
        <v>1.788</v>
      </c>
      <c r="B50">
        <v>50.969493159297457</v>
      </c>
      <c r="C50">
        <v>2.2745708028108922</v>
      </c>
      <c r="H50">
        <v>0.89100000000000001</v>
      </c>
      <c r="I50">
        <v>0.34699999999999998</v>
      </c>
    </row>
    <row r="51" spans="1:9" x14ac:dyDescent="0.25">
      <c r="A51">
        <v>1.8149999999999999</v>
      </c>
      <c r="B51">
        <v>51.331229349723557</v>
      </c>
      <c r="C51">
        <v>2.3617361499015193</v>
      </c>
      <c r="H51">
        <v>0.97399999999999998</v>
      </c>
      <c r="I51">
        <v>0.36699999999999999</v>
      </c>
    </row>
    <row r="52" spans="1:9" x14ac:dyDescent="0.25">
      <c r="A52">
        <v>1.841</v>
      </c>
      <c r="B52">
        <v>51.749623015758566</v>
      </c>
      <c r="C52">
        <v>2.4576180317012097</v>
      </c>
      <c r="H52">
        <v>1.07</v>
      </c>
      <c r="I52">
        <v>0.38900000000000001</v>
      </c>
    </row>
    <row r="53" spans="1:9" x14ac:dyDescent="0.25">
      <c r="A53">
        <v>1.8680000000000001</v>
      </c>
      <c r="B53">
        <v>52.272615098302332</v>
      </c>
      <c r="C53">
        <v>2.5752912502735565</v>
      </c>
      <c r="H53">
        <v>1.19</v>
      </c>
      <c r="I53">
        <v>0.41599999999999998</v>
      </c>
    </row>
    <row r="54" spans="1:9" x14ac:dyDescent="0.25">
      <c r="A54">
        <v>1.895</v>
      </c>
      <c r="B54">
        <v>52.865339458518598</v>
      </c>
      <c r="C54">
        <v>2.7147558056185606</v>
      </c>
      <c r="H54">
        <v>1.3260000000000001</v>
      </c>
      <c r="I54">
        <v>0.44800000000000001</v>
      </c>
    </row>
    <row r="55" spans="1:9" x14ac:dyDescent="0.25">
      <c r="A55">
        <v>1.921</v>
      </c>
      <c r="B55">
        <v>53.453705551380338</v>
      </c>
      <c r="C55">
        <v>2.8716534303816901</v>
      </c>
      <c r="H55">
        <v>1.4610000000000001</v>
      </c>
      <c r="I55">
        <v>0.48399999999999999</v>
      </c>
    </row>
    <row r="56" spans="1:9" x14ac:dyDescent="0.25">
      <c r="A56">
        <v>1.948</v>
      </c>
      <c r="B56">
        <v>54.159744862814414</v>
      </c>
      <c r="C56">
        <v>3.0459841245629455</v>
      </c>
      <c r="H56">
        <v>1.623</v>
      </c>
      <c r="I56">
        <v>0.52400000000000002</v>
      </c>
    </row>
    <row r="57" spans="1:9" x14ac:dyDescent="0.25">
      <c r="A57">
        <v>1.9750000000000001</v>
      </c>
      <c r="B57">
        <v>54.878858976312102</v>
      </c>
      <c r="C57">
        <v>3.2508226902259194</v>
      </c>
      <c r="H57">
        <v>1.788</v>
      </c>
      <c r="I57">
        <v>0.57099999999999995</v>
      </c>
    </row>
    <row r="58" spans="1:9" x14ac:dyDescent="0.25">
      <c r="A58">
        <v>2.0009999999999999</v>
      </c>
      <c r="B58">
        <v>55.497732940655553</v>
      </c>
      <c r="C58">
        <v>3.4643777905979571</v>
      </c>
      <c r="H58">
        <v>1.93</v>
      </c>
      <c r="I58">
        <v>0.62</v>
      </c>
    </row>
    <row r="59" spans="1:9" x14ac:dyDescent="0.25">
      <c r="A59">
        <v>2.028</v>
      </c>
      <c r="B59">
        <v>56.086099033517293</v>
      </c>
      <c r="C59">
        <v>3.6692163562609315</v>
      </c>
      <c r="H59">
        <v>2.0649999999999999</v>
      </c>
      <c r="I59">
        <v>0.66700000000000004</v>
      </c>
    </row>
    <row r="60" spans="1:9" x14ac:dyDescent="0.25">
      <c r="A60">
        <v>2.0550000000000002</v>
      </c>
      <c r="B60">
        <v>56.718047799924349</v>
      </c>
      <c r="C60">
        <v>3.9263541301782823</v>
      </c>
      <c r="H60">
        <v>2.21</v>
      </c>
      <c r="I60">
        <v>0.72599999999999998</v>
      </c>
    </row>
    <row r="61" spans="1:9" x14ac:dyDescent="0.25">
      <c r="A61">
        <v>2.081</v>
      </c>
      <c r="B61">
        <v>57.411012309294826</v>
      </c>
      <c r="C61">
        <v>4.1747753693865715</v>
      </c>
      <c r="H61">
        <v>2.3690000000000002</v>
      </c>
      <c r="I61">
        <v>0.78300000000000003</v>
      </c>
    </row>
    <row r="62" spans="1:9" x14ac:dyDescent="0.25">
      <c r="A62">
        <v>2.1080000000000001</v>
      </c>
      <c r="B62">
        <v>58.125768155437967</v>
      </c>
      <c r="C62">
        <v>4.3796139350495453</v>
      </c>
      <c r="H62">
        <v>2.5329999999999999</v>
      </c>
      <c r="I62">
        <v>0.83</v>
      </c>
    </row>
    <row r="63" spans="1:9" x14ac:dyDescent="0.25">
      <c r="A63">
        <v>2.1349999999999998</v>
      </c>
      <c r="B63">
        <v>58.814374397453918</v>
      </c>
      <c r="C63">
        <v>4.5626611639398629</v>
      </c>
      <c r="H63">
        <v>2.6909999999999998</v>
      </c>
      <c r="I63">
        <v>0.872</v>
      </c>
    </row>
    <row r="64" spans="1:9" x14ac:dyDescent="0.25">
      <c r="A64">
        <v>2.161</v>
      </c>
      <c r="B64">
        <v>59.507338906824415</v>
      </c>
      <c r="C64">
        <v>4.7369918581211188</v>
      </c>
      <c r="H64">
        <v>2.85</v>
      </c>
      <c r="I64">
        <v>0.91200000000000003</v>
      </c>
    </row>
    <row r="65" spans="1:9" x14ac:dyDescent="0.25">
      <c r="A65">
        <v>2.1880000000000002</v>
      </c>
      <c r="B65">
        <v>60.108779801749748</v>
      </c>
      <c r="C65">
        <v>4.8677398787570594</v>
      </c>
      <c r="H65">
        <v>2.988</v>
      </c>
      <c r="I65">
        <v>0.94199999999999995</v>
      </c>
    </row>
    <row r="66" spans="1:9" x14ac:dyDescent="0.25">
      <c r="A66">
        <v>2.2149999999999999</v>
      </c>
      <c r="B66">
        <v>60.836610449956481</v>
      </c>
      <c r="C66">
        <v>5.0202792361656581</v>
      </c>
      <c r="H66">
        <v>3.1549999999999998</v>
      </c>
      <c r="I66">
        <v>0.97699999999999998</v>
      </c>
    </row>
    <row r="67" spans="1:9" x14ac:dyDescent="0.25">
      <c r="A67">
        <v>2.2410000000000001</v>
      </c>
      <c r="B67">
        <v>61.682114316735571</v>
      </c>
      <c r="C67">
        <v>5.2512674059558204</v>
      </c>
      <c r="H67">
        <v>3.3490000000000002</v>
      </c>
      <c r="I67">
        <v>1.03</v>
      </c>
    </row>
    <row r="68" spans="1:9" x14ac:dyDescent="0.25">
      <c r="A68">
        <v>2.2679999999999998</v>
      </c>
      <c r="B68">
        <v>62.671441006214195</v>
      </c>
      <c r="C68">
        <v>5.5301965166458285</v>
      </c>
      <c r="H68">
        <v>3.5760000000000001</v>
      </c>
      <c r="I68">
        <v>1.0940000000000001</v>
      </c>
    </row>
    <row r="69" spans="1:9" x14ac:dyDescent="0.25">
      <c r="A69">
        <v>2.2949999999999999</v>
      </c>
      <c r="B69">
        <v>63.787157448974227</v>
      </c>
      <c r="C69">
        <v>5.8614248355902117</v>
      </c>
      <c r="H69">
        <v>3.8319999999999999</v>
      </c>
      <c r="I69">
        <v>1.17</v>
      </c>
    </row>
    <row r="70" spans="1:9" x14ac:dyDescent="0.25">
      <c r="A70">
        <v>2.3210000000000002</v>
      </c>
      <c r="B70">
        <v>65.103354190042694</v>
      </c>
      <c r="C70">
        <v>6.288535036334288</v>
      </c>
      <c r="H70">
        <v>4.1340000000000003</v>
      </c>
      <c r="I70">
        <v>1.268</v>
      </c>
    </row>
    <row r="71" spans="1:9" x14ac:dyDescent="0.25">
      <c r="A71">
        <v>2.3479999999999999</v>
      </c>
      <c r="B71">
        <v>66.689763507092124</v>
      </c>
      <c r="C71">
        <v>6.7810192473963324</v>
      </c>
      <c r="H71">
        <v>4.4980000000000002</v>
      </c>
      <c r="I71">
        <v>1.381</v>
      </c>
    </row>
    <row r="72" spans="1:9" x14ac:dyDescent="0.25">
      <c r="A72">
        <v>2.375</v>
      </c>
      <c r="B72">
        <v>68.520235795995305</v>
      </c>
      <c r="C72">
        <v>7.3432357361308798</v>
      </c>
      <c r="H72">
        <v>4.9180000000000001</v>
      </c>
      <c r="I72">
        <v>1.51</v>
      </c>
    </row>
    <row r="73" spans="1:9" x14ac:dyDescent="0.25">
      <c r="A73">
        <v>2.4009999999999998</v>
      </c>
      <c r="B73">
        <v>70.398649025798321</v>
      </c>
      <c r="C73">
        <v>7.9185270269290209</v>
      </c>
      <c r="H73">
        <v>5.3490000000000002</v>
      </c>
      <c r="I73">
        <v>1.6419999999999999</v>
      </c>
    </row>
    <row r="74" spans="1:9" x14ac:dyDescent="0.25">
      <c r="A74">
        <v>2.4279999999999999</v>
      </c>
      <c r="B74">
        <v>72.303211859728535</v>
      </c>
      <c r="C74">
        <v>8.5243261892088817</v>
      </c>
      <c r="H74">
        <v>5.7859999999999996</v>
      </c>
      <c r="I74">
        <v>1.7809999999999999</v>
      </c>
    </row>
    <row r="75" spans="1:9" x14ac:dyDescent="0.25">
      <c r="A75">
        <v>2.4550000000000001</v>
      </c>
      <c r="B75">
        <v>74.1467589506953</v>
      </c>
      <c r="C75">
        <v>9.1257670841342104</v>
      </c>
      <c r="H75">
        <v>6.2089999999999996</v>
      </c>
      <c r="I75">
        <v>1.919</v>
      </c>
    </row>
    <row r="76" spans="1:9" x14ac:dyDescent="0.25">
      <c r="A76">
        <v>2.4809999999999999</v>
      </c>
      <c r="B76">
        <v>76.216935944097699</v>
      </c>
      <c r="C76">
        <v>9.8012985240865742</v>
      </c>
      <c r="H76">
        <v>6.6840000000000002</v>
      </c>
      <c r="I76">
        <v>2.0739999999999998</v>
      </c>
    </row>
    <row r="77" spans="1:9" x14ac:dyDescent="0.25">
      <c r="A77">
        <v>2.508</v>
      </c>
      <c r="B77">
        <v>78.474518433744947</v>
      </c>
      <c r="C77">
        <v>10.507337835520659</v>
      </c>
      <c r="H77">
        <v>7.202</v>
      </c>
      <c r="I77">
        <v>2.2360000000000002</v>
      </c>
    </row>
    <row r="78" spans="1:9" x14ac:dyDescent="0.25">
      <c r="A78">
        <v>2.5350000000000001</v>
      </c>
      <c r="B78">
        <v>80.618785972174393</v>
      </c>
      <c r="C78">
        <v>11.126211799864112</v>
      </c>
      <c r="H78">
        <v>7.694</v>
      </c>
      <c r="I78">
        <v>2.3780000000000001</v>
      </c>
    </row>
    <row r="79" spans="1:9" x14ac:dyDescent="0.25">
      <c r="A79">
        <v>2.5609999999999999</v>
      </c>
      <c r="B79">
        <v>82.257494497478191</v>
      </c>
      <c r="C79">
        <v>11.601262941508033</v>
      </c>
      <c r="H79">
        <v>8.07</v>
      </c>
      <c r="I79">
        <v>2.4870000000000001</v>
      </c>
    </row>
    <row r="80" spans="1:9" x14ac:dyDescent="0.25">
      <c r="A80">
        <v>2.5880000000000001</v>
      </c>
      <c r="B80">
        <v>83.155297572511657</v>
      </c>
      <c r="C80">
        <v>11.910699923679759</v>
      </c>
      <c r="H80">
        <v>8.2759999999999998</v>
      </c>
      <c r="I80">
        <v>2.5579999999999998</v>
      </c>
    </row>
    <row r="81" spans="1:9" x14ac:dyDescent="0.25">
      <c r="A81">
        <v>2.6150000000000002</v>
      </c>
      <c r="B81">
        <v>83.787246338918692</v>
      </c>
      <c r="C81">
        <v>12.111180221988203</v>
      </c>
      <c r="H81">
        <v>8.4209999999999994</v>
      </c>
      <c r="I81">
        <v>2.6040000000000001</v>
      </c>
    </row>
    <row r="82" spans="1:9" x14ac:dyDescent="0.25">
      <c r="A82">
        <v>2.641</v>
      </c>
      <c r="B82">
        <v>83.887486488072923</v>
      </c>
      <c r="C82">
        <v>12.080672350506482</v>
      </c>
      <c r="H82">
        <v>8.4440000000000008</v>
      </c>
      <c r="I82">
        <v>2.597</v>
      </c>
    </row>
    <row r="83" spans="1:9" x14ac:dyDescent="0.25">
      <c r="A83">
        <v>2.6680000000000001</v>
      </c>
      <c r="B83">
        <v>82.919951135366972</v>
      </c>
      <c r="C83">
        <v>11.736369229498504</v>
      </c>
      <c r="H83">
        <v>8.2219999999999995</v>
      </c>
      <c r="I83">
        <v>2.5179999999999998</v>
      </c>
    </row>
    <row r="84" spans="1:9" x14ac:dyDescent="0.25">
      <c r="A84">
        <v>2.6949999999999998</v>
      </c>
      <c r="B84">
        <v>80.810549735773762</v>
      </c>
      <c r="C84">
        <v>11.265676355209116</v>
      </c>
      <c r="H84">
        <v>7.7380000000000004</v>
      </c>
      <c r="I84">
        <v>2.41</v>
      </c>
    </row>
    <row r="85" spans="1:9" x14ac:dyDescent="0.25">
      <c r="A85">
        <v>2.7210000000000001</v>
      </c>
      <c r="B85">
        <v>78.23481372924573</v>
      </c>
      <c r="C85">
        <v>10.777550411501602</v>
      </c>
      <c r="H85">
        <v>7.1470000000000002</v>
      </c>
      <c r="I85">
        <v>2.298</v>
      </c>
    </row>
    <row r="86" spans="1:9" x14ac:dyDescent="0.25">
      <c r="A86">
        <v>2.7480000000000002</v>
      </c>
      <c r="B86">
        <v>75.990306041662066</v>
      </c>
      <c r="C86">
        <v>10.258916596312368</v>
      </c>
      <c r="H86">
        <v>6.6319999999999997</v>
      </c>
      <c r="I86">
        <v>2.1789999999999998</v>
      </c>
    </row>
    <row r="87" spans="1:9" x14ac:dyDescent="0.25">
      <c r="A87">
        <v>2.7749999999999999</v>
      </c>
      <c r="B87">
        <v>74.251357367204051</v>
      </c>
      <c r="C87">
        <v>9.7664323852503223</v>
      </c>
      <c r="H87">
        <v>6.2329999999999997</v>
      </c>
      <c r="I87">
        <v>2.0659999999999998</v>
      </c>
    </row>
    <row r="88" spans="1:9" x14ac:dyDescent="0.25">
      <c r="A88">
        <v>2.8010000000000002</v>
      </c>
      <c r="B88">
        <v>72.795696070790584</v>
      </c>
      <c r="C88">
        <v>9.2129324312248393</v>
      </c>
      <c r="H88">
        <v>5.899</v>
      </c>
      <c r="I88">
        <v>1.9390000000000001</v>
      </c>
    </row>
    <row r="89" spans="1:9" x14ac:dyDescent="0.25">
      <c r="A89">
        <v>2.8279999999999998</v>
      </c>
      <c r="B89">
        <v>71.597172548294438</v>
      </c>
      <c r="C89">
        <v>8.7988970325443603</v>
      </c>
      <c r="H89">
        <v>5.6239999999999997</v>
      </c>
      <c r="I89">
        <v>1.8440000000000001</v>
      </c>
    </row>
    <row r="90" spans="1:9" x14ac:dyDescent="0.25">
      <c r="A90">
        <v>2.855</v>
      </c>
      <c r="B90">
        <v>71.048030861623502</v>
      </c>
      <c r="C90">
        <v>8.7945387651898272</v>
      </c>
      <c r="H90">
        <v>5.4980000000000002</v>
      </c>
      <c r="I90">
        <v>1.843</v>
      </c>
    </row>
    <row r="91" spans="1:9" x14ac:dyDescent="0.25">
      <c r="A91">
        <v>2.8809999999999998</v>
      </c>
      <c r="B91">
        <v>70.943432445114738</v>
      </c>
      <c r="C91">
        <v>9.2477985700610912</v>
      </c>
      <c r="H91">
        <v>5.4740000000000002</v>
      </c>
      <c r="I91">
        <v>1.9470000000000001</v>
      </c>
    </row>
    <row r="92" spans="1:9" x14ac:dyDescent="0.25">
      <c r="A92">
        <v>2.9079999999999999</v>
      </c>
      <c r="B92">
        <v>70.899849771569436</v>
      </c>
      <c r="C92">
        <v>9.4090544621787515</v>
      </c>
      <c r="H92">
        <v>5.4640000000000004</v>
      </c>
      <c r="I92">
        <v>1.984</v>
      </c>
    </row>
    <row r="93" spans="1:9" x14ac:dyDescent="0.25">
      <c r="A93">
        <v>2.9350000000000001</v>
      </c>
      <c r="B93">
        <v>70.629637195588487</v>
      </c>
      <c r="C93">
        <v>9.1780662923885892</v>
      </c>
      <c r="H93">
        <v>5.4020000000000001</v>
      </c>
      <c r="I93">
        <v>1.931</v>
      </c>
    </row>
    <row r="94" spans="1:9" x14ac:dyDescent="0.25">
      <c r="A94">
        <v>2.9609999999999999</v>
      </c>
      <c r="B94">
        <v>70.202526994844419</v>
      </c>
      <c r="C94">
        <v>8.5504757933360693</v>
      </c>
      <c r="H94">
        <v>5.3040000000000003</v>
      </c>
      <c r="I94">
        <v>1.7869999999999999</v>
      </c>
    </row>
    <row r="95" spans="1:9" x14ac:dyDescent="0.25">
      <c r="A95">
        <v>2.988</v>
      </c>
      <c r="B95">
        <v>69.827716002354705</v>
      </c>
      <c r="C95">
        <v>7.9708262351833969</v>
      </c>
      <c r="H95">
        <v>5.218</v>
      </c>
      <c r="I95">
        <v>1.6539999999999999</v>
      </c>
    </row>
    <row r="96" spans="1:9" x14ac:dyDescent="0.25">
      <c r="A96">
        <v>3.0150000000000001</v>
      </c>
      <c r="B96">
        <v>69.614160901982672</v>
      </c>
      <c r="C96">
        <v>7.6788223224297951</v>
      </c>
      <c r="H96">
        <v>5.1689999999999996</v>
      </c>
      <c r="I96">
        <v>1.587</v>
      </c>
    </row>
    <row r="97" spans="1:9" x14ac:dyDescent="0.25">
      <c r="A97">
        <v>3.0409999999999999</v>
      </c>
      <c r="B97">
        <v>69.422397138383289</v>
      </c>
      <c r="C97">
        <v>7.4827002914758838</v>
      </c>
      <c r="H97">
        <v>5.125</v>
      </c>
      <c r="I97">
        <v>1.542</v>
      </c>
    </row>
    <row r="98" spans="1:9" x14ac:dyDescent="0.25">
      <c r="A98">
        <v>3.0680000000000001</v>
      </c>
      <c r="B98">
        <v>69.348306593356256</v>
      </c>
      <c r="C98">
        <v>7.4827002914758838</v>
      </c>
      <c r="H98">
        <v>5.1079999999999997</v>
      </c>
      <c r="I98">
        <v>1.542</v>
      </c>
    </row>
    <row r="99" spans="1:9" x14ac:dyDescent="0.25">
      <c r="A99">
        <v>3.0950000000000002</v>
      </c>
      <c r="B99">
        <v>69.496487683410322</v>
      </c>
      <c r="C99">
        <v>7.6831805897843273</v>
      </c>
      <c r="H99">
        <v>5.1420000000000003</v>
      </c>
      <c r="I99">
        <v>1.5880000000000001</v>
      </c>
    </row>
    <row r="100" spans="1:9" x14ac:dyDescent="0.25">
      <c r="A100">
        <v>3.121</v>
      </c>
      <c r="B100">
        <v>69.871298675900022</v>
      </c>
      <c r="C100">
        <v>8.0667081169830865</v>
      </c>
      <c r="H100">
        <v>5.2279999999999998</v>
      </c>
      <c r="I100">
        <v>1.6759999999999999</v>
      </c>
    </row>
    <row r="101" spans="1:9" x14ac:dyDescent="0.25">
      <c r="A101">
        <v>3.1480000000000001</v>
      </c>
      <c r="B101">
        <v>70.154586053944556</v>
      </c>
      <c r="C101">
        <v>8.3674285644457527</v>
      </c>
      <c r="H101">
        <v>5.2930000000000001</v>
      </c>
      <c r="I101">
        <v>1.7450000000000001</v>
      </c>
    </row>
    <row r="102" spans="1:9" x14ac:dyDescent="0.25">
      <c r="A102">
        <v>3.1749999999999998</v>
      </c>
      <c r="B102">
        <v>70.280975807225971</v>
      </c>
      <c r="C102">
        <v>8.4763852483090378</v>
      </c>
      <c r="H102">
        <v>5.3220000000000001</v>
      </c>
      <c r="I102">
        <v>1.77</v>
      </c>
    </row>
    <row r="103" spans="1:9" x14ac:dyDescent="0.25">
      <c r="A103">
        <v>3.2010000000000001</v>
      </c>
      <c r="B103">
        <v>70.141511251880971</v>
      </c>
      <c r="C103">
        <v>8.3717868318002839</v>
      </c>
      <c r="H103">
        <v>5.29</v>
      </c>
      <c r="I103">
        <v>1.746</v>
      </c>
    </row>
    <row r="104" spans="1:9" x14ac:dyDescent="0.25">
      <c r="A104">
        <v>3.2280000000000002</v>
      </c>
      <c r="B104">
        <v>69.96718055769972</v>
      </c>
      <c r="C104">
        <v>8.2061726723280906</v>
      </c>
      <c r="H104">
        <v>5.25</v>
      </c>
      <c r="I104">
        <v>1.708</v>
      </c>
    </row>
    <row r="105" spans="1:9" x14ac:dyDescent="0.25">
      <c r="A105">
        <v>3.2549999999999999</v>
      </c>
      <c r="B105">
        <v>69.980255359763305</v>
      </c>
      <c r="C105">
        <v>8.180023068200903</v>
      </c>
      <c r="H105">
        <v>5.2530000000000001</v>
      </c>
      <c r="I105">
        <v>1.702</v>
      </c>
    </row>
    <row r="106" spans="1:9" x14ac:dyDescent="0.25">
      <c r="A106">
        <v>3.2810000000000001</v>
      </c>
      <c r="B106">
        <v>70.577337987334104</v>
      </c>
      <c r="C106">
        <v>8.8163301019624853</v>
      </c>
      <c r="H106">
        <v>5.39</v>
      </c>
      <c r="I106">
        <v>1.8480000000000001</v>
      </c>
    </row>
    <row r="107" spans="1:9" x14ac:dyDescent="0.25">
      <c r="A107">
        <v>3.3079999999999998</v>
      </c>
      <c r="B107">
        <v>70.864983632733171</v>
      </c>
      <c r="C107">
        <v>9.1649914903249936</v>
      </c>
      <c r="H107">
        <v>5.4560000000000004</v>
      </c>
      <c r="I107">
        <v>1.9279999999999999</v>
      </c>
    </row>
    <row r="108" spans="1:9" x14ac:dyDescent="0.25">
      <c r="A108">
        <v>3.335</v>
      </c>
      <c r="B108">
        <v>70.882416702151303</v>
      </c>
      <c r="C108">
        <v>8.7858222304807647</v>
      </c>
      <c r="H108">
        <v>5.46</v>
      </c>
      <c r="I108">
        <v>1.841</v>
      </c>
    </row>
    <row r="109" spans="1:9" x14ac:dyDescent="0.25">
      <c r="A109">
        <v>3.3610000000000002</v>
      </c>
      <c r="B109">
        <v>70.869341900087718</v>
      </c>
      <c r="C109">
        <v>8.32384589090044</v>
      </c>
      <c r="H109">
        <v>5.4569999999999999</v>
      </c>
      <c r="I109">
        <v>1.7350000000000001</v>
      </c>
    </row>
    <row r="110" spans="1:9" x14ac:dyDescent="0.25">
      <c r="A110">
        <v>3.3879999999999999</v>
      </c>
      <c r="B110">
        <v>71.396692249986003</v>
      </c>
      <c r="C110">
        <v>8.6463576751357607</v>
      </c>
      <c r="H110">
        <v>5.5780000000000003</v>
      </c>
      <c r="I110">
        <v>1.8089999999999999</v>
      </c>
    </row>
    <row r="111" spans="1:9" x14ac:dyDescent="0.25">
      <c r="A111">
        <v>3.415</v>
      </c>
      <c r="B111">
        <v>71.932759134593368</v>
      </c>
      <c r="C111">
        <v>8.8555545081532667</v>
      </c>
      <c r="H111">
        <v>5.7009999999999996</v>
      </c>
      <c r="I111">
        <v>1.857</v>
      </c>
    </row>
    <row r="112" spans="1:9" x14ac:dyDescent="0.25">
      <c r="A112">
        <v>3.4409999999999998</v>
      </c>
      <c r="B112">
        <v>72.089656759356501</v>
      </c>
      <c r="C112">
        <v>8.6855820813265439</v>
      </c>
      <c r="H112">
        <v>5.7370000000000001</v>
      </c>
      <c r="I112">
        <v>1.8180000000000001</v>
      </c>
    </row>
    <row r="113" spans="1:9" x14ac:dyDescent="0.25">
      <c r="A113">
        <v>3.468</v>
      </c>
      <c r="B113">
        <v>71.954550471366019</v>
      </c>
      <c r="C113">
        <v>8.4415191094727859</v>
      </c>
      <c r="H113">
        <v>5.7060000000000004</v>
      </c>
      <c r="I113">
        <v>1.762</v>
      </c>
    </row>
    <row r="114" spans="1:9" x14ac:dyDescent="0.25">
      <c r="A114">
        <v>3.4950000000000001</v>
      </c>
      <c r="B114">
        <v>71.623322152421636</v>
      </c>
      <c r="C114">
        <v>8.3979364359274733</v>
      </c>
      <c r="H114">
        <v>5.63</v>
      </c>
      <c r="I114">
        <v>1.752</v>
      </c>
    </row>
    <row r="115" spans="1:9" x14ac:dyDescent="0.25">
      <c r="A115">
        <v>3.5209999999999999</v>
      </c>
      <c r="B115">
        <v>71.244152892577404</v>
      </c>
      <c r="C115">
        <v>8.4676687135999735</v>
      </c>
      <c r="H115">
        <v>5.5430000000000001</v>
      </c>
      <c r="I115">
        <v>1.768</v>
      </c>
    </row>
    <row r="116" spans="1:9" x14ac:dyDescent="0.25">
      <c r="A116">
        <v>3.548</v>
      </c>
      <c r="B116">
        <v>71.906609530466184</v>
      </c>
      <c r="C116">
        <v>9.7054166422868846</v>
      </c>
      <c r="H116">
        <v>5.6950000000000003</v>
      </c>
      <c r="I116">
        <v>2.052</v>
      </c>
    </row>
    <row r="117" spans="1:9" x14ac:dyDescent="0.25">
      <c r="A117">
        <v>3.5750000000000002</v>
      </c>
      <c r="B117">
        <v>72.23347958205602</v>
      </c>
      <c r="C117">
        <v>10.550920509065971</v>
      </c>
      <c r="H117">
        <v>5.77</v>
      </c>
      <c r="I117">
        <v>2.246</v>
      </c>
    </row>
    <row r="118" spans="1:9" x14ac:dyDescent="0.25">
      <c r="A118">
        <v>3.601</v>
      </c>
      <c r="B118">
        <v>71.910967797820703</v>
      </c>
      <c r="C118">
        <v>10.38530634959378</v>
      </c>
      <c r="H118">
        <v>5.6959999999999997</v>
      </c>
      <c r="I118">
        <v>2.2080000000000002</v>
      </c>
    </row>
    <row r="119" spans="1:9" x14ac:dyDescent="0.25">
      <c r="A119">
        <v>3.6280000000000001</v>
      </c>
      <c r="B119">
        <v>72.124522898192737</v>
      </c>
      <c r="C119">
        <v>10.681668529701911</v>
      </c>
      <c r="H119">
        <v>5.7450000000000001</v>
      </c>
      <c r="I119">
        <v>2.2759999999999998</v>
      </c>
    </row>
    <row r="120" spans="1:9" x14ac:dyDescent="0.25">
      <c r="A120">
        <v>3.6549999999999998</v>
      </c>
      <c r="B120">
        <v>74.10317627714997</v>
      </c>
      <c r="C120">
        <v>13.043849435857917</v>
      </c>
      <c r="H120">
        <v>6.1989999999999998</v>
      </c>
      <c r="I120">
        <v>2.8180000000000001</v>
      </c>
    </row>
    <row r="121" spans="1:9" x14ac:dyDescent="0.25">
      <c r="A121">
        <v>3.681</v>
      </c>
      <c r="B121">
        <v>76.848884710504748</v>
      </c>
      <c r="C121">
        <v>16.282042080274728</v>
      </c>
      <c r="H121">
        <v>6.8289999999999997</v>
      </c>
      <c r="I121">
        <v>3.5609999999999999</v>
      </c>
    </row>
    <row r="122" spans="1:9" x14ac:dyDescent="0.25">
      <c r="A122">
        <v>3.7080000000000002</v>
      </c>
      <c r="B122">
        <v>76.356400499442714</v>
      </c>
      <c r="C122">
        <v>15.554211432067989</v>
      </c>
      <c r="H122">
        <v>6.7160000000000002</v>
      </c>
      <c r="I122">
        <v>3.3940000000000001</v>
      </c>
    </row>
    <row r="123" spans="1:9" x14ac:dyDescent="0.25">
      <c r="A123">
        <v>3.7349999999999999</v>
      </c>
      <c r="B123">
        <v>75.397581681445814</v>
      </c>
      <c r="C123">
        <v>12.987191960249008</v>
      </c>
      <c r="H123">
        <v>6.4960000000000004</v>
      </c>
      <c r="I123">
        <v>2.8050000000000002</v>
      </c>
    </row>
    <row r="124" spans="1:9" x14ac:dyDescent="0.25">
      <c r="A124">
        <v>3.7610000000000001</v>
      </c>
      <c r="B124">
        <v>75.275550195518932</v>
      </c>
      <c r="C124">
        <v>11.213377146954739</v>
      </c>
      <c r="H124">
        <v>6.468</v>
      </c>
      <c r="I124">
        <v>2.3980000000000001</v>
      </c>
    </row>
    <row r="125" spans="1:9" x14ac:dyDescent="0.25">
      <c r="A125">
        <v>3.7879999999999998</v>
      </c>
      <c r="B125">
        <v>75.205817917846417</v>
      </c>
      <c r="C125">
        <v>10.590144915256753</v>
      </c>
      <c r="H125">
        <v>6.452</v>
      </c>
      <c r="I125">
        <v>2.2549999999999999</v>
      </c>
    </row>
    <row r="126" spans="1:9" x14ac:dyDescent="0.25">
      <c r="A126">
        <v>3.8149999999999999</v>
      </c>
      <c r="B126">
        <v>73.981144791223102</v>
      </c>
      <c r="C126">
        <v>9.9058969405953263</v>
      </c>
      <c r="H126">
        <v>6.1710000000000003</v>
      </c>
      <c r="I126">
        <v>2.0979999999999999</v>
      </c>
    </row>
    <row r="127" spans="1:9" x14ac:dyDescent="0.25">
      <c r="A127">
        <v>3.8410000000000002</v>
      </c>
      <c r="B127">
        <v>72.067865422583836</v>
      </c>
      <c r="C127">
        <v>9.0037355982073333</v>
      </c>
      <c r="H127">
        <v>5.7320000000000002</v>
      </c>
      <c r="I127">
        <v>1.891</v>
      </c>
    </row>
    <row r="128" spans="1:9" x14ac:dyDescent="0.25">
      <c r="A128">
        <v>3.8679999999999999</v>
      </c>
      <c r="B128">
        <v>71.387975715276951</v>
      </c>
      <c r="C128">
        <v>8.7291647548718565</v>
      </c>
      <c r="H128">
        <v>5.5759999999999996</v>
      </c>
      <c r="I128">
        <v>1.8280000000000001</v>
      </c>
    </row>
    <row r="129" spans="1:9" x14ac:dyDescent="0.25">
      <c r="A129">
        <v>3.895</v>
      </c>
      <c r="B129">
        <v>71.091613535168804</v>
      </c>
      <c r="C129">
        <v>8.6376411404266982</v>
      </c>
      <c r="H129">
        <v>5.508</v>
      </c>
      <c r="I129">
        <v>1.8069999999999999</v>
      </c>
    </row>
    <row r="130" spans="1:9" x14ac:dyDescent="0.25">
      <c r="A130">
        <v>3.9209999999999998</v>
      </c>
      <c r="B130">
        <v>70.847550563315053</v>
      </c>
      <c r="C130">
        <v>8.5766253974632587</v>
      </c>
      <c r="H130">
        <v>5.452</v>
      </c>
      <c r="I130">
        <v>1.7929999999999999</v>
      </c>
    </row>
    <row r="131" spans="1:9" x14ac:dyDescent="0.25">
      <c r="A131">
        <v>3.948</v>
      </c>
      <c r="B131">
        <v>70.647070265006604</v>
      </c>
      <c r="C131">
        <v>8.4763852483090378</v>
      </c>
      <c r="H131">
        <v>5.4059999999999997</v>
      </c>
      <c r="I131">
        <v>1.77</v>
      </c>
    </row>
    <row r="132" spans="1:9" x14ac:dyDescent="0.25">
      <c r="A132">
        <v>3.9750000000000001</v>
      </c>
      <c r="B132">
        <v>70.690652938551921</v>
      </c>
      <c r="C132">
        <v>8.4458773768273154</v>
      </c>
      <c r="H132">
        <v>5.4160000000000004</v>
      </c>
      <c r="I132">
        <v>1.7629999999999999</v>
      </c>
    </row>
    <row r="133" spans="1:9" x14ac:dyDescent="0.25">
      <c r="A133">
        <v>4.0010000000000003</v>
      </c>
      <c r="B133">
        <v>71.863026856920854</v>
      </c>
      <c r="C133">
        <v>8.7553143589990459</v>
      </c>
      <c r="H133">
        <v>5.6849999999999996</v>
      </c>
      <c r="I133">
        <v>1.8340000000000001</v>
      </c>
    </row>
    <row r="134" spans="1:9" x14ac:dyDescent="0.25">
      <c r="A134">
        <v>4.0279999999999996</v>
      </c>
      <c r="B134">
        <v>72.917727556717452</v>
      </c>
      <c r="C134">
        <v>9.2390820353520269</v>
      </c>
      <c r="H134">
        <v>5.9269999999999996</v>
      </c>
      <c r="I134">
        <v>1.9450000000000001</v>
      </c>
    </row>
    <row r="135" spans="1:9" x14ac:dyDescent="0.25">
      <c r="A135">
        <v>4.0549999999999997</v>
      </c>
      <c r="B135">
        <v>73.192298400052934</v>
      </c>
      <c r="C135">
        <v>9.6008182257781325</v>
      </c>
      <c r="H135">
        <v>5.99</v>
      </c>
      <c r="I135">
        <v>2.028</v>
      </c>
    </row>
    <row r="136" spans="1:9" x14ac:dyDescent="0.25">
      <c r="A136">
        <v>4.0810000000000004</v>
      </c>
      <c r="B136">
        <v>72.185538641156185</v>
      </c>
      <c r="C136">
        <v>9.3785465906970309</v>
      </c>
      <c r="H136">
        <v>5.7590000000000003</v>
      </c>
      <c r="I136">
        <v>1.9770000000000001</v>
      </c>
    </row>
    <row r="137" spans="1:9" x14ac:dyDescent="0.25">
      <c r="A137">
        <v>4.1079999999999997</v>
      </c>
      <c r="B137">
        <v>70.424798629925505</v>
      </c>
      <c r="C137">
        <v>8.6245663383631026</v>
      </c>
      <c r="H137">
        <v>5.3550000000000004</v>
      </c>
      <c r="I137">
        <v>1.804</v>
      </c>
    </row>
    <row r="138" spans="1:9" x14ac:dyDescent="0.25">
      <c r="A138">
        <v>4.1349999999999998</v>
      </c>
      <c r="B138">
        <v>69.461621544574072</v>
      </c>
      <c r="C138">
        <v>7.9882593046015229</v>
      </c>
      <c r="H138">
        <v>5.1340000000000003</v>
      </c>
      <c r="I138">
        <v>1.6579999999999999</v>
      </c>
    </row>
    <row r="139" spans="1:9" x14ac:dyDescent="0.25">
      <c r="A139">
        <v>4.1609999999999996</v>
      </c>
      <c r="B139">
        <v>69.313440454520006</v>
      </c>
      <c r="C139">
        <v>7.7659876695204231</v>
      </c>
      <c r="H139">
        <v>5.0999999999999996</v>
      </c>
      <c r="I139">
        <v>1.607</v>
      </c>
    </row>
    <row r="140" spans="1:9" x14ac:dyDescent="0.25">
      <c r="A140">
        <v>4.1879999999999997</v>
      </c>
      <c r="B140">
        <v>69.644668773464389</v>
      </c>
      <c r="C140">
        <v>7.8400782145474572</v>
      </c>
      <c r="H140">
        <v>5.1760000000000002</v>
      </c>
      <c r="I140">
        <v>1.6240000000000001</v>
      </c>
    </row>
    <row r="141" spans="1:9" x14ac:dyDescent="0.25">
      <c r="A141">
        <v>4.2149999999999999</v>
      </c>
      <c r="B141">
        <v>70.280975807225971</v>
      </c>
      <c r="C141">
        <v>8.040558512855899</v>
      </c>
      <c r="H141">
        <v>5.3220000000000001</v>
      </c>
      <c r="I141">
        <v>1.67</v>
      </c>
    </row>
    <row r="142" spans="1:9" x14ac:dyDescent="0.25">
      <c r="A142">
        <v>4.2409999999999997</v>
      </c>
      <c r="B142">
        <v>70.394290758443773</v>
      </c>
      <c r="C142">
        <v>8.0928577211102759</v>
      </c>
      <c r="H142">
        <v>5.3479999999999999</v>
      </c>
      <c r="I142">
        <v>1.6819999999999999</v>
      </c>
    </row>
    <row r="143" spans="1:9" x14ac:dyDescent="0.25">
      <c r="A143">
        <v>4.2679999999999998</v>
      </c>
      <c r="B143">
        <v>70.590412789397703</v>
      </c>
      <c r="C143">
        <v>8.2366805438098112</v>
      </c>
      <c r="H143">
        <v>5.3929999999999998</v>
      </c>
      <c r="I143">
        <v>1.7150000000000001</v>
      </c>
    </row>
    <row r="144" spans="1:9" x14ac:dyDescent="0.25">
      <c r="A144">
        <v>4.2949999999999999</v>
      </c>
      <c r="B144">
        <v>70.41172382786192</v>
      </c>
      <c r="C144">
        <v>8.4328025747637234</v>
      </c>
      <c r="H144">
        <v>5.3520000000000003</v>
      </c>
      <c r="I144">
        <v>1.76</v>
      </c>
    </row>
    <row r="145" spans="1:9" x14ac:dyDescent="0.25">
      <c r="A145">
        <v>4.3209999999999997</v>
      </c>
      <c r="B145">
        <v>69.936672686218003</v>
      </c>
      <c r="C145">
        <v>8.4328025747637234</v>
      </c>
      <c r="H145">
        <v>5.2430000000000003</v>
      </c>
      <c r="I145">
        <v>1.76</v>
      </c>
    </row>
    <row r="146" spans="1:9" x14ac:dyDescent="0.25">
      <c r="A146">
        <v>4.3479999999999999</v>
      </c>
      <c r="B146">
        <v>70.259184470453306</v>
      </c>
      <c r="C146">
        <v>8.7073734180991984</v>
      </c>
      <c r="H146">
        <v>5.3170000000000002</v>
      </c>
      <c r="I146">
        <v>1.823</v>
      </c>
    </row>
    <row r="147" spans="1:9" x14ac:dyDescent="0.25">
      <c r="A147">
        <v>4.375</v>
      </c>
      <c r="B147">
        <v>76.256160350288468</v>
      </c>
      <c r="C147">
        <v>18.513474965794792</v>
      </c>
      <c r="H147">
        <v>6.6929999999999996</v>
      </c>
      <c r="I147">
        <v>4.0730000000000004</v>
      </c>
    </row>
    <row r="148" spans="1:9" x14ac:dyDescent="0.25">
      <c r="A148">
        <v>4.4009999999999998</v>
      </c>
      <c r="B148">
        <v>87.478698788206771</v>
      </c>
      <c r="C148">
        <v>38.530996925157396</v>
      </c>
      <c r="H148">
        <v>9.2680000000000007</v>
      </c>
      <c r="I148">
        <v>8.6660000000000004</v>
      </c>
    </row>
    <row r="149" spans="1:9" x14ac:dyDescent="0.25">
      <c r="A149">
        <v>4.4279999999999999</v>
      </c>
      <c r="B149">
        <v>88.699013647475567</v>
      </c>
      <c r="C149">
        <v>40.980343178404027</v>
      </c>
      <c r="H149">
        <v>9.548</v>
      </c>
      <c r="I149">
        <v>9.2279999999999998</v>
      </c>
    </row>
    <row r="150" spans="1:9" x14ac:dyDescent="0.25">
      <c r="A150">
        <v>4.4550000000000001</v>
      </c>
      <c r="B150">
        <v>79.99555374047641</v>
      </c>
      <c r="C150">
        <v>25.826647586698439</v>
      </c>
      <c r="H150">
        <v>7.5510000000000002</v>
      </c>
      <c r="I150">
        <v>5.7510000000000003</v>
      </c>
    </row>
    <row r="151" spans="1:9" x14ac:dyDescent="0.25">
      <c r="A151">
        <v>4.4809999999999999</v>
      </c>
      <c r="B151">
        <v>72.826203942272286</v>
      </c>
      <c r="C151">
        <v>13.192030525911981</v>
      </c>
      <c r="H151">
        <v>5.9059999999999997</v>
      </c>
      <c r="I151">
        <v>2.8519999999999999</v>
      </c>
    </row>
    <row r="152" spans="1:9" x14ac:dyDescent="0.25">
      <c r="A152">
        <v>4.508</v>
      </c>
      <c r="B152">
        <v>71.061105663687087</v>
      </c>
      <c r="C152">
        <v>8.9950190634982707</v>
      </c>
      <c r="H152">
        <v>5.5010000000000003</v>
      </c>
      <c r="I152">
        <v>1.889</v>
      </c>
    </row>
    <row r="153" spans="1:9" x14ac:dyDescent="0.25">
      <c r="A153">
        <v>4.5350000000000001</v>
      </c>
      <c r="B153">
        <v>71.161345812841319</v>
      </c>
      <c r="C153">
        <v>8.528684456563413</v>
      </c>
      <c r="H153">
        <v>5.524</v>
      </c>
      <c r="I153">
        <v>1.782</v>
      </c>
    </row>
    <row r="154" spans="1:9" x14ac:dyDescent="0.25">
      <c r="A154">
        <v>4.5609999999999999</v>
      </c>
      <c r="B154">
        <v>70.991373386014587</v>
      </c>
      <c r="C154">
        <v>8.4415191094727859</v>
      </c>
      <c r="H154">
        <v>5.4850000000000003</v>
      </c>
      <c r="I154">
        <v>1.762</v>
      </c>
    </row>
    <row r="155" spans="1:9" x14ac:dyDescent="0.25">
      <c r="A155">
        <v>4.5880000000000001</v>
      </c>
      <c r="B155">
        <v>70.485814372888953</v>
      </c>
      <c r="C155">
        <v>8.2802632173551238</v>
      </c>
      <c r="H155">
        <v>5.3689999999999998</v>
      </c>
      <c r="I155">
        <v>1.7250000000000001</v>
      </c>
    </row>
    <row r="156" spans="1:9" x14ac:dyDescent="0.25">
      <c r="A156">
        <v>4.6150000000000002</v>
      </c>
      <c r="B156">
        <v>70.51632224437067</v>
      </c>
      <c r="C156">
        <v>8.306412821482315</v>
      </c>
      <c r="H156">
        <v>5.3760000000000003</v>
      </c>
      <c r="I156">
        <v>1.7310000000000001</v>
      </c>
    </row>
    <row r="157" spans="1:9" x14ac:dyDescent="0.25">
      <c r="A157">
        <v>4.641</v>
      </c>
      <c r="B157">
        <v>70.673219869133789</v>
      </c>
      <c r="C157">
        <v>8.2410388111643424</v>
      </c>
      <c r="H157">
        <v>5.4119999999999999</v>
      </c>
      <c r="I157">
        <v>1.716</v>
      </c>
    </row>
    <row r="158" spans="1:9" x14ac:dyDescent="0.25">
      <c r="A158">
        <v>4.6680000000000001</v>
      </c>
      <c r="B158">
        <v>71.13519620871412</v>
      </c>
      <c r="C158">
        <v>8.5417592586270068</v>
      </c>
      <c r="H158">
        <v>5.5179999999999998</v>
      </c>
      <c r="I158">
        <v>1.7849999999999999</v>
      </c>
    </row>
    <row r="159" spans="1:9" x14ac:dyDescent="0.25">
      <c r="A159">
        <v>4.6950000000000003</v>
      </c>
      <c r="B159">
        <v>71.370542645858819</v>
      </c>
      <c r="C159">
        <v>8.8860623796349856</v>
      </c>
      <c r="H159">
        <v>5.5720000000000001</v>
      </c>
      <c r="I159">
        <v>1.8640000000000001</v>
      </c>
    </row>
    <row r="160" spans="1:9" x14ac:dyDescent="0.25">
      <c r="A160">
        <v>4.7210000000000001</v>
      </c>
      <c r="B160">
        <v>71.122121406650535</v>
      </c>
      <c r="C160">
        <v>8.8817041122804543</v>
      </c>
      <c r="H160">
        <v>5.5149999999999997</v>
      </c>
      <c r="I160">
        <v>1.863</v>
      </c>
    </row>
    <row r="161" spans="1:9" x14ac:dyDescent="0.25">
      <c r="A161">
        <v>4.7480000000000002</v>
      </c>
      <c r="B161">
        <v>70.58605452204317</v>
      </c>
      <c r="C161">
        <v>8.4676687135999735</v>
      </c>
      <c r="H161">
        <v>5.3920000000000003</v>
      </c>
      <c r="I161">
        <v>1.768</v>
      </c>
    </row>
    <row r="162" spans="1:9" x14ac:dyDescent="0.25">
      <c r="A162">
        <v>4.7750000000000004</v>
      </c>
      <c r="B162">
        <v>70.080495508917522</v>
      </c>
      <c r="C162">
        <v>7.8618695513201127</v>
      </c>
      <c r="H162">
        <v>5.2759999999999998</v>
      </c>
      <c r="I162">
        <v>1.629</v>
      </c>
    </row>
    <row r="163" spans="1:9" x14ac:dyDescent="0.25">
      <c r="A163">
        <v>4.8010000000000002</v>
      </c>
      <c r="B163">
        <v>70.076137241563003</v>
      </c>
      <c r="C163">
        <v>7.5567908365029171</v>
      </c>
      <c r="H163">
        <v>5.2750000000000004</v>
      </c>
      <c r="I163">
        <v>1.5589999999999999</v>
      </c>
    </row>
    <row r="164" spans="1:9" x14ac:dyDescent="0.25">
      <c r="A164">
        <v>4.8280000000000003</v>
      </c>
      <c r="B164">
        <v>70.102286845690188</v>
      </c>
      <c r="C164">
        <v>7.5698656385665117</v>
      </c>
      <c r="H164">
        <v>5.2809999999999997</v>
      </c>
      <c r="I164">
        <v>1.5620000000000001</v>
      </c>
    </row>
    <row r="165" spans="1:9" x14ac:dyDescent="0.25">
      <c r="A165">
        <v>4.8550000000000004</v>
      </c>
      <c r="B165">
        <v>70.311483678707688</v>
      </c>
      <c r="C165">
        <v>8.2279640091007487</v>
      </c>
      <c r="H165">
        <v>5.3289999999999997</v>
      </c>
      <c r="I165">
        <v>1.7130000000000001</v>
      </c>
    </row>
    <row r="166" spans="1:9" x14ac:dyDescent="0.25">
      <c r="A166">
        <v>4.8810000000000002</v>
      </c>
      <c r="B166">
        <v>70.886774969505836</v>
      </c>
      <c r="C166">
        <v>9.0778261432343648</v>
      </c>
      <c r="H166">
        <v>5.4610000000000003</v>
      </c>
      <c r="I166">
        <v>1.9079999999999999</v>
      </c>
    </row>
    <row r="167" spans="1:9" x14ac:dyDescent="0.25">
      <c r="A167">
        <v>4.9080000000000004</v>
      </c>
      <c r="B167">
        <v>71.592814280939919</v>
      </c>
      <c r="C167">
        <v>9.2172906985793706</v>
      </c>
      <c r="H167">
        <v>5.6230000000000002</v>
      </c>
      <c r="I167">
        <v>1.94</v>
      </c>
    </row>
    <row r="168" spans="1:9" x14ac:dyDescent="0.25">
      <c r="A168">
        <v>4.9349999999999996</v>
      </c>
      <c r="B168">
        <v>71.76714497512117</v>
      </c>
      <c r="C168">
        <v>8.7422395569354503</v>
      </c>
      <c r="H168">
        <v>5.6630000000000003</v>
      </c>
      <c r="I168">
        <v>1.831</v>
      </c>
    </row>
    <row r="169" spans="1:9" x14ac:dyDescent="0.25">
      <c r="A169">
        <v>4.9610000000000003</v>
      </c>
      <c r="B169">
        <v>71.632038687130702</v>
      </c>
      <c r="C169">
        <v>8.2715466826460631</v>
      </c>
      <c r="H169">
        <v>5.6319999999999997</v>
      </c>
      <c r="I169">
        <v>1.7230000000000001</v>
      </c>
    </row>
    <row r="170" spans="1:9" x14ac:dyDescent="0.25">
      <c r="A170">
        <v>4.9880000000000004</v>
      </c>
      <c r="B170">
        <v>71.235436357868352</v>
      </c>
      <c r="C170">
        <v>8.0362002455013695</v>
      </c>
      <c r="H170">
        <v>5.5410000000000004</v>
      </c>
      <c r="I170">
        <v>1.669</v>
      </c>
    </row>
    <row r="171" spans="1:9" x14ac:dyDescent="0.25">
      <c r="A171">
        <v>5.0149999999999997</v>
      </c>
      <c r="B171">
        <v>71.344393041731621</v>
      </c>
      <c r="C171">
        <v>8.0884994537557446</v>
      </c>
      <c r="H171">
        <v>5.5659999999999998</v>
      </c>
      <c r="I171">
        <v>1.681</v>
      </c>
    </row>
    <row r="172" spans="1:9" x14ac:dyDescent="0.25">
      <c r="A172">
        <v>5.0410000000000004</v>
      </c>
      <c r="B172">
        <v>71.706129232157735</v>
      </c>
      <c r="C172">
        <v>8.180023068200903</v>
      </c>
      <c r="H172">
        <v>5.649</v>
      </c>
      <c r="I172">
        <v>1.702</v>
      </c>
    </row>
    <row r="173" spans="1:9" x14ac:dyDescent="0.25">
      <c r="A173">
        <v>5.0679999999999996</v>
      </c>
      <c r="B173">
        <v>71.924042599884288</v>
      </c>
      <c r="C173">
        <v>8.2802632173551238</v>
      </c>
      <c r="H173">
        <v>5.6989999999999998</v>
      </c>
      <c r="I173">
        <v>1.7250000000000001</v>
      </c>
    </row>
    <row r="174" spans="1:9" x14ac:dyDescent="0.25">
      <c r="A174">
        <v>5.0949999999999998</v>
      </c>
      <c r="B174">
        <v>72.499333890682436</v>
      </c>
      <c r="C174">
        <v>8.8511962407987355</v>
      </c>
      <c r="H174">
        <v>5.8310000000000004</v>
      </c>
      <c r="I174">
        <v>1.8560000000000001</v>
      </c>
    </row>
    <row r="175" spans="1:9" x14ac:dyDescent="0.25">
      <c r="A175">
        <v>5.1210000000000004</v>
      </c>
      <c r="B175">
        <v>73.588900729315284</v>
      </c>
      <c r="C175">
        <v>9.9146134753043906</v>
      </c>
      <c r="H175">
        <v>6.0810000000000004</v>
      </c>
      <c r="I175">
        <v>2.1</v>
      </c>
    </row>
    <row r="176" spans="1:9" x14ac:dyDescent="0.25">
      <c r="A176">
        <v>5.1479999999999997</v>
      </c>
      <c r="B176">
        <v>73.806814097041851</v>
      </c>
      <c r="C176">
        <v>10.049719763294862</v>
      </c>
      <c r="H176">
        <v>6.1310000000000002</v>
      </c>
      <c r="I176">
        <v>2.1309999999999998</v>
      </c>
    </row>
    <row r="177" spans="1:9" x14ac:dyDescent="0.25">
      <c r="A177">
        <v>5.1749999999999998</v>
      </c>
      <c r="B177">
        <v>73.584542461960737</v>
      </c>
      <c r="C177">
        <v>10.341723676048465</v>
      </c>
      <c r="H177">
        <v>6.08</v>
      </c>
      <c r="I177">
        <v>2.198</v>
      </c>
    </row>
    <row r="178" spans="1:9" x14ac:dyDescent="0.25">
      <c r="A178">
        <v>5.2009999999999996</v>
      </c>
      <c r="B178">
        <v>73.253314143016354</v>
      </c>
      <c r="C178">
        <v>10.681668529701911</v>
      </c>
      <c r="H178">
        <v>6.0039999999999996</v>
      </c>
      <c r="I178">
        <v>2.2759999999999998</v>
      </c>
    </row>
    <row r="179" spans="1:9" x14ac:dyDescent="0.25">
      <c r="A179">
        <v>5.2279999999999998</v>
      </c>
      <c r="B179">
        <v>72.595215772482135</v>
      </c>
      <c r="C179">
        <v>10.141243377740022</v>
      </c>
      <c r="H179">
        <v>5.8529999999999998</v>
      </c>
      <c r="I179">
        <v>2.1520000000000001</v>
      </c>
    </row>
    <row r="180" spans="1:9" x14ac:dyDescent="0.25">
      <c r="A180">
        <v>5.2549999999999999</v>
      </c>
      <c r="B180">
        <v>72.133239432901803</v>
      </c>
      <c r="C180">
        <v>9.4918615419148473</v>
      </c>
      <c r="H180">
        <v>5.7469999999999999</v>
      </c>
      <c r="I180">
        <v>2.0030000000000001</v>
      </c>
    </row>
    <row r="181" spans="1:9" x14ac:dyDescent="0.25">
      <c r="A181">
        <v>5.2809999999999997</v>
      </c>
      <c r="B181">
        <v>72.085298492001968</v>
      </c>
      <c r="C181">
        <v>9.4221292642423453</v>
      </c>
      <c r="H181">
        <v>5.7359999999999998</v>
      </c>
      <c r="I181">
        <v>1.9870000000000001</v>
      </c>
    </row>
    <row r="182" spans="1:9" x14ac:dyDescent="0.25">
      <c r="A182">
        <v>5.3079999999999998</v>
      </c>
      <c r="B182">
        <v>71.954550471366019</v>
      </c>
      <c r="C182">
        <v>9.1301253514887435</v>
      </c>
      <c r="H182">
        <v>5.7060000000000004</v>
      </c>
      <c r="I182">
        <v>1.92</v>
      </c>
    </row>
    <row r="183" spans="1:9" x14ac:dyDescent="0.25">
      <c r="A183">
        <v>5.335</v>
      </c>
      <c r="B183">
        <v>71.618963885067103</v>
      </c>
      <c r="C183">
        <v>8.5112513871452879</v>
      </c>
      <c r="H183">
        <v>5.6289999999999996</v>
      </c>
      <c r="I183">
        <v>1.778</v>
      </c>
    </row>
    <row r="184" spans="1:9" x14ac:dyDescent="0.25">
      <c r="A184">
        <v>5.3609999999999998</v>
      </c>
      <c r="B184">
        <v>71.714845766866787</v>
      </c>
      <c r="C184">
        <v>8.1059325231738697</v>
      </c>
      <c r="H184">
        <v>5.6509999999999998</v>
      </c>
      <c r="I184">
        <v>1.6850000000000001</v>
      </c>
    </row>
    <row r="185" spans="1:9" x14ac:dyDescent="0.25">
      <c r="A185">
        <v>5.3879999999999999</v>
      </c>
      <c r="B185">
        <v>72.320644929146653</v>
      </c>
      <c r="C185">
        <v>8.2671884152915318</v>
      </c>
      <c r="H185">
        <v>5.79</v>
      </c>
      <c r="I185">
        <v>1.722</v>
      </c>
    </row>
    <row r="186" spans="1:9" x14ac:dyDescent="0.25">
      <c r="A186">
        <v>5.415</v>
      </c>
      <c r="B186">
        <v>80.466246614765794</v>
      </c>
      <c r="C186">
        <v>24.083340644885887</v>
      </c>
      <c r="H186">
        <v>7.6589999999999998</v>
      </c>
      <c r="I186">
        <v>5.351</v>
      </c>
    </row>
    <row r="187" spans="1:9" x14ac:dyDescent="0.25">
      <c r="A187">
        <v>5.4409999999999998</v>
      </c>
      <c r="B187">
        <v>96.652851569495297</v>
      </c>
      <c r="C187">
        <v>56.55243243614462</v>
      </c>
      <c r="H187">
        <v>11.372999999999999</v>
      </c>
      <c r="I187">
        <v>12.801</v>
      </c>
    </row>
    <row r="188" spans="1:9" x14ac:dyDescent="0.25">
      <c r="A188">
        <v>5.468</v>
      </c>
      <c r="B188">
        <v>100.00000089777541</v>
      </c>
      <c r="C188">
        <v>63.521301936040295</v>
      </c>
      <c r="H188">
        <v>12.141</v>
      </c>
      <c r="I188">
        <v>14.4</v>
      </c>
    </row>
    <row r="189" spans="1:9" x14ac:dyDescent="0.25">
      <c r="A189">
        <v>5.4950000000000001</v>
      </c>
      <c r="B189">
        <v>90.677667026432815</v>
      </c>
      <c r="C189">
        <v>44.379791714938484</v>
      </c>
      <c r="H189">
        <v>10.002000000000001</v>
      </c>
      <c r="I189">
        <v>10.007999999999999</v>
      </c>
    </row>
    <row r="190" spans="1:9" x14ac:dyDescent="0.25">
      <c r="A190">
        <v>5.5209999999999999</v>
      </c>
      <c r="B190">
        <v>78.705506603535113</v>
      </c>
      <c r="C190">
        <v>20.160900025807649</v>
      </c>
      <c r="H190">
        <v>7.2549999999999999</v>
      </c>
      <c r="I190">
        <v>4.4509999999999996</v>
      </c>
    </row>
    <row r="191" spans="1:9" x14ac:dyDescent="0.25">
      <c r="A191">
        <v>5.548</v>
      </c>
      <c r="B191">
        <v>73.724007017305766</v>
      </c>
      <c r="C191">
        <v>10.319932339275809</v>
      </c>
      <c r="H191">
        <v>6.1120000000000001</v>
      </c>
      <c r="I191">
        <v>2.1930000000000001</v>
      </c>
    </row>
    <row r="192" spans="1:9" x14ac:dyDescent="0.25">
      <c r="A192">
        <v>5.5750000000000002</v>
      </c>
      <c r="B192">
        <v>72.490617355973384</v>
      </c>
      <c r="C192">
        <v>8.0492750475649615</v>
      </c>
      <c r="H192">
        <v>5.8289999999999997</v>
      </c>
      <c r="I192">
        <v>1.6719999999999999</v>
      </c>
    </row>
    <row r="193" spans="1:9" x14ac:dyDescent="0.25">
      <c r="A193">
        <v>5.601</v>
      </c>
      <c r="B193">
        <v>72.516766960100568</v>
      </c>
      <c r="C193">
        <v>8.0144089087287114</v>
      </c>
      <c r="H193">
        <v>5.835</v>
      </c>
      <c r="I193">
        <v>1.6639999999999999</v>
      </c>
    </row>
    <row r="194" spans="1:9" x14ac:dyDescent="0.25">
      <c r="A194">
        <v>5.6280000000000001</v>
      </c>
      <c r="B194">
        <v>72.564707901000418</v>
      </c>
      <c r="C194">
        <v>8.0362002455013695</v>
      </c>
      <c r="H194">
        <v>5.8460000000000001</v>
      </c>
      <c r="I194">
        <v>1.669</v>
      </c>
    </row>
    <row r="195" spans="1:9" x14ac:dyDescent="0.25">
      <c r="A195">
        <v>5.6550000000000002</v>
      </c>
      <c r="B195">
        <v>72.769546466663385</v>
      </c>
      <c r="C195">
        <v>8.0013341066651158</v>
      </c>
      <c r="H195">
        <v>5.8929999999999998</v>
      </c>
      <c r="I195">
        <v>1.661</v>
      </c>
    </row>
    <row r="196" spans="1:9" x14ac:dyDescent="0.25">
      <c r="A196">
        <v>5.681</v>
      </c>
      <c r="B196">
        <v>72.895936219944801</v>
      </c>
      <c r="C196">
        <v>7.9272435616380834</v>
      </c>
      <c r="H196">
        <v>5.9219999999999997</v>
      </c>
      <c r="I196">
        <v>1.6439999999999999</v>
      </c>
    </row>
    <row r="197" spans="1:9" x14ac:dyDescent="0.25">
      <c r="A197">
        <v>5.7080000000000002</v>
      </c>
      <c r="B197">
        <v>72.878503150526669</v>
      </c>
      <c r="C197">
        <v>7.8749443533837074</v>
      </c>
      <c r="H197">
        <v>5.9180000000000001</v>
      </c>
      <c r="I197">
        <v>1.6319999999999999</v>
      </c>
    </row>
    <row r="198" spans="1:9" x14ac:dyDescent="0.25">
      <c r="A198">
        <v>5.7350000000000003</v>
      </c>
      <c r="B198">
        <v>72.734680327827121</v>
      </c>
      <c r="C198">
        <v>7.9403183637016781</v>
      </c>
      <c r="H198">
        <v>5.8849999999999998</v>
      </c>
      <c r="I198">
        <v>1.647</v>
      </c>
    </row>
    <row r="199" spans="1:9" x14ac:dyDescent="0.25">
      <c r="A199">
        <v>5.7610000000000001</v>
      </c>
      <c r="B199">
        <v>72.664948050154635</v>
      </c>
      <c r="C199">
        <v>8.0797829190466821</v>
      </c>
      <c r="H199">
        <v>5.8689999999999998</v>
      </c>
      <c r="I199">
        <v>1.679</v>
      </c>
    </row>
    <row r="200" spans="1:9" x14ac:dyDescent="0.25">
      <c r="A200">
        <v>5.7880000000000003</v>
      </c>
      <c r="B200">
        <v>72.699814188990871</v>
      </c>
      <c r="C200">
        <v>8.1364403946555903</v>
      </c>
      <c r="H200">
        <v>5.8769999999999998</v>
      </c>
      <c r="I200">
        <v>1.6919999999999999</v>
      </c>
    </row>
    <row r="201" spans="1:9" x14ac:dyDescent="0.25">
      <c r="A201">
        <v>5.8150000000000004</v>
      </c>
      <c r="B201">
        <v>72.795696070790584</v>
      </c>
      <c r="C201">
        <v>8.0710663843376196</v>
      </c>
      <c r="H201">
        <v>5.899</v>
      </c>
      <c r="I201">
        <v>1.677</v>
      </c>
    </row>
    <row r="202" spans="1:9" x14ac:dyDescent="0.25">
      <c r="A202">
        <v>5.8410000000000002</v>
      </c>
      <c r="B202">
        <v>72.830562209626819</v>
      </c>
      <c r="C202">
        <v>7.9490348984107406</v>
      </c>
      <c r="H202">
        <v>5.907</v>
      </c>
      <c r="I202">
        <v>1.649</v>
      </c>
    </row>
    <row r="203" spans="1:9" x14ac:dyDescent="0.25">
      <c r="A203">
        <v>5.8680000000000003</v>
      </c>
      <c r="B203">
        <v>72.861070081108551</v>
      </c>
      <c r="C203">
        <v>7.8793026207382395</v>
      </c>
      <c r="H203">
        <v>5.9139999999999997</v>
      </c>
      <c r="I203">
        <v>1.633</v>
      </c>
    </row>
    <row r="204" spans="1:9" x14ac:dyDescent="0.25">
      <c r="A204">
        <v>5.8949999999999996</v>
      </c>
      <c r="B204">
        <v>72.861070081108551</v>
      </c>
      <c r="C204">
        <v>7.853153016611051</v>
      </c>
      <c r="H204">
        <v>5.9139999999999997</v>
      </c>
      <c r="I204">
        <v>1.627</v>
      </c>
    </row>
    <row r="205" spans="1:9" x14ac:dyDescent="0.25">
      <c r="A205">
        <v>5.9210000000000003</v>
      </c>
      <c r="B205">
        <v>72.861070081108551</v>
      </c>
      <c r="C205">
        <v>7.8400782145474572</v>
      </c>
      <c r="H205">
        <v>5.9139999999999997</v>
      </c>
      <c r="I205">
        <v>1.6240000000000001</v>
      </c>
    </row>
    <row r="206" spans="1:9" x14ac:dyDescent="0.25">
      <c r="A206">
        <v>5.9480000000000004</v>
      </c>
      <c r="B206">
        <v>72.987459834389938</v>
      </c>
      <c r="C206">
        <v>7.9533931657652719</v>
      </c>
      <c r="H206">
        <v>5.9429999999999996</v>
      </c>
      <c r="I206">
        <v>1.65</v>
      </c>
    </row>
    <row r="207" spans="1:9" x14ac:dyDescent="0.25">
      <c r="A207">
        <v>5.9749999999999996</v>
      </c>
      <c r="B207">
        <v>73.157432261216684</v>
      </c>
      <c r="C207">
        <v>8.1146490578829322</v>
      </c>
      <c r="H207">
        <v>5.9820000000000002</v>
      </c>
      <c r="I207">
        <v>1.6870000000000001</v>
      </c>
    </row>
    <row r="208" spans="1:9" x14ac:dyDescent="0.25">
      <c r="A208">
        <v>6.0010000000000003</v>
      </c>
      <c r="B208">
        <v>73.23588107359825</v>
      </c>
      <c r="C208">
        <v>8.0928577211102759</v>
      </c>
      <c r="H208">
        <v>6</v>
      </c>
      <c r="I208">
        <v>1.6819999999999999</v>
      </c>
    </row>
    <row r="209" spans="1:9" x14ac:dyDescent="0.25">
      <c r="A209">
        <v>6.0279999999999996</v>
      </c>
      <c r="B209">
        <v>73.275105479789033</v>
      </c>
      <c r="C209">
        <v>7.9446766310562085</v>
      </c>
      <c r="H209">
        <v>6.0090000000000003</v>
      </c>
      <c r="I209">
        <v>1.6479999999999999</v>
      </c>
    </row>
    <row r="210" spans="1:9" x14ac:dyDescent="0.25">
      <c r="A210">
        <v>6.0549999999999997</v>
      </c>
      <c r="B210">
        <v>73.370987361588703</v>
      </c>
      <c r="C210">
        <v>7.8662278186746439</v>
      </c>
      <c r="H210">
        <v>6.0309999999999997</v>
      </c>
      <c r="I210">
        <v>1.63</v>
      </c>
    </row>
    <row r="211" spans="1:9" x14ac:dyDescent="0.25">
      <c r="A211">
        <v>6.0810000000000004</v>
      </c>
      <c r="B211">
        <v>73.45815270867935</v>
      </c>
      <c r="C211">
        <v>7.8575112839655814</v>
      </c>
      <c r="H211">
        <v>6.0510000000000002</v>
      </c>
      <c r="I211">
        <v>1.6279999999999999</v>
      </c>
    </row>
    <row r="212" spans="1:9" x14ac:dyDescent="0.25">
      <c r="A212">
        <v>6.1079999999999997</v>
      </c>
      <c r="B212">
        <v>73.432003104552166</v>
      </c>
      <c r="C212">
        <v>7.8749443533837074</v>
      </c>
      <c r="H212">
        <v>6.0449999999999999</v>
      </c>
      <c r="I212">
        <v>1.6319999999999999</v>
      </c>
    </row>
    <row r="213" spans="1:9" x14ac:dyDescent="0.25">
      <c r="A213">
        <v>6.1349999999999998</v>
      </c>
      <c r="B213">
        <v>73.484302312806548</v>
      </c>
      <c r="C213">
        <v>7.9054522248654271</v>
      </c>
      <c r="H213">
        <v>6.0570000000000004</v>
      </c>
      <c r="I213">
        <v>1.639</v>
      </c>
    </row>
    <row r="214" spans="1:9" x14ac:dyDescent="0.25">
      <c r="A214">
        <v>6.1609999999999996</v>
      </c>
      <c r="B214">
        <v>73.554034590479034</v>
      </c>
      <c r="C214">
        <v>7.9185270269290209</v>
      </c>
      <c r="H214">
        <v>6.0730000000000004</v>
      </c>
      <c r="I214">
        <v>1.6419999999999999</v>
      </c>
    </row>
    <row r="215" spans="1:9" x14ac:dyDescent="0.25">
      <c r="A215">
        <v>6.1879999999999997</v>
      </c>
      <c r="B215">
        <v>74.704617172075316</v>
      </c>
      <c r="C215">
        <v>7.9751845025379291</v>
      </c>
      <c r="H215">
        <v>6.3369999999999997</v>
      </c>
      <c r="I215">
        <v>1.655</v>
      </c>
    </row>
    <row r="216" spans="1:9" x14ac:dyDescent="0.25">
      <c r="A216">
        <v>6.2149999999999999</v>
      </c>
      <c r="B216">
        <v>79.354888439360295</v>
      </c>
      <c r="C216">
        <v>8.2236057417462174</v>
      </c>
      <c r="H216">
        <v>7.4039999999999999</v>
      </c>
      <c r="I216">
        <v>1.712</v>
      </c>
    </row>
    <row r="217" spans="1:9" x14ac:dyDescent="0.25">
      <c r="A217">
        <v>6.2409999999999997</v>
      </c>
      <c r="B217">
        <v>81.063329242336593</v>
      </c>
      <c r="C217">
        <v>8.336920692964032</v>
      </c>
      <c r="H217">
        <v>7.7960000000000003</v>
      </c>
      <c r="I217">
        <v>1.738</v>
      </c>
    </row>
    <row r="218" spans="1:9" x14ac:dyDescent="0.25">
      <c r="A218">
        <v>6.2679999999999998</v>
      </c>
      <c r="B218">
        <v>81.324825283608476</v>
      </c>
      <c r="C218">
        <v>8.3979364359274733</v>
      </c>
      <c r="H218">
        <v>7.8559999999999999</v>
      </c>
      <c r="I218">
        <v>1.752</v>
      </c>
    </row>
    <row r="219" spans="1:9" x14ac:dyDescent="0.25">
      <c r="A219">
        <v>6.2949999999999999</v>
      </c>
      <c r="B219">
        <v>78.622699523799028</v>
      </c>
      <c r="C219">
        <v>8.2715466826460631</v>
      </c>
      <c r="H219">
        <v>7.2359999999999998</v>
      </c>
      <c r="I219">
        <v>1.7230000000000001</v>
      </c>
    </row>
    <row r="220" spans="1:9" x14ac:dyDescent="0.25">
      <c r="A220">
        <v>6.3209999999999997</v>
      </c>
      <c r="B220">
        <v>76.413057975051615</v>
      </c>
      <c r="C220">
        <v>8.1538734640737154</v>
      </c>
      <c r="H220">
        <v>6.7290000000000001</v>
      </c>
      <c r="I220">
        <v>1.696</v>
      </c>
    </row>
    <row r="221" spans="1:9" x14ac:dyDescent="0.25">
      <c r="A221">
        <v>6.3479999999999999</v>
      </c>
      <c r="B221">
        <v>75.336565938482366</v>
      </c>
      <c r="C221">
        <v>8.0797829190466821</v>
      </c>
      <c r="H221">
        <v>6.4820000000000002</v>
      </c>
      <c r="I221">
        <v>1.679</v>
      </c>
    </row>
    <row r="222" spans="1:9" x14ac:dyDescent="0.25">
      <c r="A222">
        <v>6.375</v>
      </c>
      <c r="B222">
        <v>75.136085640173917</v>
      </c>
      <c r="C222">
        <v>8.0710663843376196</v>
      </c>
      <c r="H222">
        <v>6.4359999999999999</v>
      </c>
      <c r="I222">
        <v>1.677</v>
      </c>
    </row>
    <row r="223" spans="1:9" x14ac:dyDescent="0.25">
      <c r="A223">
        <v>6.4009999999999998</v>
      </c>
      <c r="B223">
        <v>75.188384848428299</v>
      </c>
      <c r="C223">
        <v>8.0797829190466821</v>
      </c>
      <c r="H223">
        <v>6.4480000000000004</v>
      </c>
      <c r="I223">
        <v>1.679</v>
      </c>
    </row>
    <row r="224" spans="1:9" x14ac:dyDescent="0.25">
      <c r="A224">
        <v>6.4279999999999999</v>
      </c>
      <c r="B224">
        <v>75.2581171261008</v>
      </c>
      <c r="C224">
        <v>8.0754246516921508</v>
      </c>
      <c r="H224">
        <v>6.4640000000000004</v>
      </c>
      <c r="I224">
        <v>1.6779999999999999</v>
      </c>
    </row>
    <row r="225" spans="1:9" x14ac:dyDescent="0.25">
      <c r="A225">
        <v>6.4550000000000001</v>
      </c>
      <c r="B225">
        <v>75.153518709592049</v>
      </c>
      <c r="C225">
        <v>8.0710663843376196</v>
      </c>
      <c r="H225">
        <v>6.44</v>
      </c>
      <c r="I225">
        <v>1.677</v>
      </c>
    </row>
    <row r="226" spans="1:9" x14ac:dyDescent="0.25">
      <c r="A226">
        <v>6.4809999999999999</v>
      </c>
      <c r="B226">
        <v>74.844081727420317</v>
      </c>
      <c r="C226">
        <v>8.0536333149194945</v>
      </c>
      <c r="H226">
        <v>6.3689999999999998</v>
      </c>
      <c r="I226">
        <v>1.673</v>
      </c>
    </row>
    <row r="227" spans="1:9" x14ac:dyDescent="0.25">
      <c r="A227">
        <v>6.508</v>
      </c>
      <c r="B227">
        <v>74.66103449853</v>
      </c>
      <c r="C227">
        <v>8.0972159884648072</v>
      </c>
      <c r="H227">
        <v>6.327</v>
      </c>
      <c r="I227">
        <v>1.6830000000000001</v>
      </c>
    </row>
    <row r="228" spans="1:9" x14ac:dyDescent="0.25">
      <c r="A228">
        <v>6.5350000000000001</v>
      </c>
      <c r="B228">
        <v>74.647959696466401</v>
      </c>
      <c r="C228">
        <v>8.2148892070371549</v>
      </c>
      <c r="H228">
        <v>6.3239999999999998</v>
      </c>
      <c r="I228">
        <v>1.71</v>
      </c>
    </row>
    <row r="229" spans="1:9" x14ac:dyDescent="0.25">
      <c r="A229">
        <v>6.5609999999999999</v>
      </c>
      <c r="B229">
        <v>74.713333706784383</v>
      </c>
      <c r="C229">
        <v>8.319487623545907</v>
      </c>
      <c r="H229">
        <v>6.3390000000000004</v>
      </c>
      <c r="I229">
        <v>1.734</v>
      </c>
    </row>
    <row r="230" spans="1:9" x14ac:dyDescent="0.25">
      <c r="A230">
        <v>6.5880000000000001</v>
      </c>
      <c r="B230">
        <v>74.769991182393284</v>
      </c>
      <c r="C230">
        <v>8.3674285644457527</v>
      </c>
      <c r="H230">
        <v>6.3520000000000003</v>
      </c>
      <c r="I230">
        <v>1.7450000000000001</v>
      </c>
    </row>
    <row r="231" spans="1:9" x14ac:dyDescent="0.25">
      <c r="A231">
        <v>6.6150000000000002</v>
      </c>
      <c r="B231">
        <v>74.857156529483916</v>
      </c>
      <c r="C231">
        <v>8.2802632173551238</v>
      </c>
      <c r="H231">
        <v>6.3719999999999999</v>
      </c>
      <c r="I231">
        <v>1.7250000000000001</v>
      </c>
    </row>
    <row r="232" spans="1:9" x14ac:dyDescent="0.25">
      <c r="A232">
        <v>6.641</v>
      </c>
      <c r="B232">
        <v>74.896380935674699</v>
      </c>
      <c r="C232">
        <v>8.2061726723280906</v>
      </c>
      <c r="H232">
        <v>6.3810000000000002</v>
      </c>
      <c r="I232">
        <v>1.708</v>
      </c>
    </row>
    <row r="233" spans="1:9" x14ac:dyDescent="0.25">
      <c r="A233">
        <v>6.6680000000000001</v>
      </c>
      <c r="B233">
        <v>74.909455737738298</v>
      </c>
      <c r="C233">
        <v>8.1451569293646529</v>
      </c>
      <c r="H233">
        <v>6.3840000000000003</v>
      </c>
      <c r="I233">
        <v>1.694</v>
      </c>
    </row>
    <row r="234" spans="1:9" x14ac:dyDescent="0.25">
      <c r="A234">
        <v>6.6950000000000003</v>
      </c>
      <c r="B234">
        <v>74.935605341865482</v>
      </c>
      <c r="C234">
        <v>8.110290790528401</v>
      </c>
      <c r="H234">
        <v>6.39</v>
      </c>
      <c r="I234">
        <v>1.6859999999999999</v>
      </c>
    </row>
    <row r="235" spans="1:9" x14ac:dyDescent="0.25">
      <c r="A235">
        <v>6.7210000000000001</v>
      </c>
      <c r="B235">
        <v>74.996621084828931</v>
      </c>
      <c r="C235">
        <v>8.1190073252374653</v>
      </c>
      <c r="H235">
        <v>6.4039999999999999</v>
      </c>
      <c r="I235">
        <v>1.6879999999999999</v>
      </c>
    </row>
    <row r="236" spans="1:9" x14ac:dyDescent="0.25">
      <c r="A236">
        <v>6.7480000000000002</v>
      </c>
      <c r="B236">
        <v>75.114294303401266</v>
      </c>
      <c r="C236">
        <v>8.1364403946555903</v>
      </c>
      <c r="H236">
        <v>6.431</v>
      </c>
      <c r="I236">
        <v>1.6919999999999999</v>
      </c>
    </row>
    <row r="237" spans="1:9" x14ac:dyDescent="0.25">
      <c r="A237">
        <v>6.7750000000000004</v>
      </c>
      <c r="B237">
        <v>75.240684056682682</v>
      </c>
      <c r="C237">
        <v>8.1451569293646529</v>
      </c>
      <c r="H237">
        <v>6.46</v>
      </c>
      <c r="I237">
        <v>1.694</v>
      </c>
    </row>
    <row r="238" spans="1:9" x14ac:dyDescent="0.25">
      <c r="A238">
        <v>6.8010000000000002</v>
      </c>
      <c r="B238">
        <v>75.476030493827366</v>
      </c>
      <c r="C238">
        <v>8.180023068200903</v>
      </c>
      <c r="H238">
        <v>6.5140000000000002</v>
      </c>
      <c r="I238">
        <v>1.702</v>
      </c>
    </row>
    <row r="239" spans="1:9" x14ac:dyDescent="0.25">
      <c r="A239">
        <v>6.8280000000000003</v>
      </c>
      <c r="B239">
        <v>75.698302128908466</v>
      </c>
      <c r="C239">
        <v>8.2018144049735611</v>
      </c>
      <c r="H239">
        <v>6.5650000000000004</v>
      </c>
      <c r="I239">
        <v>1.7070000000000001</v>
      </c>
    </row>
    <row r="240" spans="1:9" x14ac:dyDescent="0.25">
      <c r="A240">
        <v>6.8550000000000004</v>
      </c>
      <c r="B240">
        <v>75.863916288380665</v>
      </c>
      <c r="C240">
        <v>8.249755345873405</v>
      </c>
      <c r="H240">
        <v>6.6029999999999998</v>
      </c>
      <c r="I240">
        <v>1.718</v>
      </c>
    </row>
    <row r="241" spans="1:9" x14ac:dyDescent="0.25">
      <c r="A241">
        <v>6.8810000000000002</v>
      </c>
      <c r="B241">
        <v>75.972872972243948</v>
      </c>
      <c r="C241">
        <v>8.3325624256095026</v>
      </c>
      <c r="H241">
        <v>6.6280000000000001</v>
      </c>
      <c r="I241">
        <v>1.7370000000000001</v>
      </c>
    </row>
    <row r="242" spans="1:9" x14ac:dyDescent="0.25">
      <c r="A242">
        <v>6.9080000000000004</v>
      </c>
      <c r="B242">
        <v>75.977231239598467</v>
      </c>
      <c r="C242">
        <v>8.3587120297366901</v>
      </c>
      <c r="H242">
        <v>6.6289999999999996</v>
      </c>
      <c r="I242">
        <v>1.7430000000000001</v>
      </c>
    </row>
    <row r="243" spans="1:9" x14ac:dyDescent="0.25">
      <c r="A243">
        <v>6.9349999999999996</v>
      </c>
      <c r="B243">
        <v>75.985947774307533</v>
      </c>
      <c r="C243">
        <v>8.4633104462454423</v>
      </c>
      <c r="H243">
        <v>6.6310000000000002</v>
      </c>
      <c r="I243">
        <v>1.7669999999999999</v>
      </c>
    </row>
    <row r="244" spans="1:9" x14ac:dyDescent="0.25">
      <c r="A244">
        <v>6.9610000000000003</v>
      </c>
      <c r="B244">
        <v>75.942365100762231</v>
      </c>
      <c r="C244">
        <v>8.5199679218543523</v>
      </c>
      <c r="H244">
        <v>6.6210000000000004</v>
      </c>
      <c r="I244">
        <v>1.78</v>
      </c>
    </row>
    <row r="245" spans="1:9" x14ac:dyDescent="0.25">
      <c r="A245">
        <v>6.9880000000000004</v>
      </c>
      <c r="B245">
        <v>75.911857229280514</v>
      </c>
      <c r="C245">
        <v>8.5635505953996649</v>
      </c>
      <c r="H245">
        <v>6.6139999999999999</v>
      </c>
      <c r="I245">
        <v>1.79</v>
      </c>
    </row>
    <row r="246" spans="1:9" x14ac:dyDescent="0.25">
      <c r="A246">
        <v>7.0149999999999997</v>
      </c>
      <c r="B246">
        <v>76.01645564578925</v>
      </c>
      <c r="C246">
        <v>8.5548340606906024</v>
      </c>
      <c r="H246">
        <v>6.6379999999999999</v>
      </c>
      <c r="I246">
        <v>1.788</v>
      </c>
    </row>
    <row r="247" spans="1:9" x14ac:dyDescent="0.25">
      <c r="A247">
        <v>7.0410000000000004</v>
      </c>
      <c r="B247">
        <v>76.060038319334581</v>
      </c>
      <c r="C247">
        <v>8.4981765850816942</v>
      </c>
      <c r="H247">
        <v>6.6479999999999997</v>
      </c>
      <c r="I247">
        <v>1.7749999999999999</v>
      </c>
    </row>
    <row r="248" spans="1:9" x14ac:dyDescent="0.25">
      <c r="A248">
        <v>7.0679999999999996</v>
      </c>
      <c r="B248">
        <v>76.14284539907068</v>
      </c>
      <c r="C248">
        <v>8.4720269809545066</v>
      </c>
      <c r="H248">
        <v>6.6669999999999998</v>
      </c>
      <c r="I248">
        <v>1.7689999999999999</v>
      </c>
    </row>
    <row r="249" spans="1:9" x14ac:dyDescent="0.25">
      <c r="A249">
        <v>7.0949999999999998</v>
      </c>
      <c r="B249">
        <v>75.990306041662066</v>
      </c>
      <c r="C249">
        <v>8.4197277727001278</v>
      </c>
      <c r="H249">
        <v>6.6319999999999997</v>
      </c>
      <c r="I249">
        <v>1.7569999999999999</v>
      </c>
    </row>
    <row r="250" spans="1:9" x14ac:dyDescent="0.25">
      <c r="A250">
        <v>7.1210000000000004</v>
      </c>
      <c r="B250">
        <v>75.833408416898934</v>
      </c>
      <c r="C250">
        <v>8.3848616338638777</v>
      </c>
      <c r="H250">
        <v>6.5960000000000001</v>
      </c>
      <c r="I250">
        <v>1.7490000000000001</v>
      </c>
    </row>
    <row r="251" spans="1:9" x14ac:dyDescent="0.25">
      <c r="A251">
        <v>7.1479999999999997</v>
      </c>
      <c r="B251">
        <v>75.733168267744716</v>
      </c>
      <c r="C251">
        <v>8.3717868318002839</v>
      </c>
      <c r="H251">
        <v>6.5730000000000004</v>
      </c>
      <c r="I251">
        <v>1.746</v>
      </c>
    </row>
    <row r="252" spans="1:9" x14ac:dyDescent="0.25">
      <c r="A252">
        <v>7.1749999999999998</v>
      </c>
      <c r="B252">
        <v>75.868274555735184</v>
      </c>
      <c r="C252">
        <v>8.4110112379910653</v>
      </c>
      <c r="H252">
        <v>6.6040000000000001</v>
      </c>
      <c r="I252">
        <v>1.7549999999999999</v>
      </c>
    </row>
    <row r="253" spans="1:9" x14ac:dyDescent="0.25">
      <c r="A253">
        <v>7.2009999999999996</v>
      </c>
      <c r="B253">
        <v>76.107979260234416</v>
      </c>
      <c r="C253">
        <v>8.4415191094727859</v>
      </c>
      <c r="H253">
        <v>6.6589999999999998</v>
      </c>
      <c r="I253">
        <v>1.762</v>
      </c>
    </row>
    <row r="254" spans="1:9" x14ac:dyDescent="0.25">
      <c r="A254">
        <v>7.2279999999999998</v>
      </c>
      <c r="B254">
        <v>76.304101291188331</v>
      </c>
      <c r="C254">
        <v>8.458952178890911</v>
      </c>
      <c r="H254">
        <v>6.7039999999999997</v>
      </c>
      <c r="I254">
        <v>1.766</v>
      </c>
    </row>
    <row r="255" spans="1:9" x14ac:dyDescent="0.25">
      <c r="A255">
        <v>7.2549999999999999</v>
      </c>
      <c r="B255">
        <v>76.243085548224897</v>
      </c>
      <c r="C255">
        <v>8.4502356441818485</v>
      </c>
      <c r="H255">
        <v>6.69</v>
      </c>
      <c r="I255">
        <v>1.764</v>
      </c>
    </row>
    <row r="256" spans="1:9" x14ac:dyDescent="0.25">
      <c r="A256">
        <v>7.2809999999999997</v>
      </c>
      <c r="B256">
        <v>76.094904458170816</v>
      </c>
      <c r="C256">
        <v>8.4676687135999735</v>
      </c>
      <c r="H256">
        <v>6.6559999999999997</v>
      </c>
      <c r="I256">
        <v>1.768</v>
      </c>
    </row>
    <row r="257" spans="1:9" x14ac:dyDescent="0.25">
      <c r="A257">
        <v>7.3079999999999998</v>
      </c>
      <c r="B257">
        <v>75.920573763989566</v>
      </c>
      <c r="C257">
        <v>8.4633104462454423</v>
      </c>
      <c r="H257">
        <v>6.6159999999999997</v>
      </c>
      <c r="I257">
        <v>1.7669999999999999</v>
      </c>
    </row>
    <row r="258" spans="1:9" x14ac:dyDescent="0.25">
      <c r="A258">
        <v>7.335</v>
      </c>
      <c r="B258">
        <v>75.837766684253481</v>
      </c>
      <c r="C258">
        <v>8.5025348524362254</v>
      </c>
      <c r="H258">
        <v>6.5970000000000004</v>
      </c>
      <c r="I258">
        <v>1.776</v>
      </c>
    </row>
    <row r="259" spans="1:9" x14ac:dyDescent="0.25">
      <c r="A259">
        <v>7.3609999999999998</v>
      </c>
      <c r="B259">
        <v>75.842124951608</v>
      </c>
      <c r="C259">
        <v>8.5591923280451319</v>
      </c>
      <c r="H259">
        <v>6.5979999999999999</v>
      </c>
      <c r="I259">
        <v>1.7889999999999999</v>
      </c>
    </row>
    <row r="260" spans="1:9" x14ac:dyDescent="0.25">
      <c r="A260">
        <v>7.3879999999999999</v>
      </c>
      <c r="B260">
        <v>75.903140694571448</v>
      </c>
      <c r="C260">
        <v>8.5679088627541962</v>
      </c>
      <c r="H260">
        <v>6.6120000000000001</v>
      </c>
      <c r="I260">
        <v>1.7909999999999999</v>
      </c>
    </row>
    <row r="261" spans="1:9" x14ac:dyDescent="0.25">
      <c r="A261">
        <v>7.415</v>
      </c>
      <c r="B261">
        <v>75.946723368116764</v>
      </c>
      <c r="C261">
        <v>8.5548340606906024</v>
      </c>
      <c r="H261">
        <v>6.6219999999999999</v>
      </c>
      <c r="I261">
        <v>1.788</v>
      </c>
    </row>
    <row r="262" spans="1:9" x14ac:dyDescent="0.25">
      <c r="A262">
        <v>7.4409999999999998</v>
      </c>
      <c r="B262">
        <v>75.981589506953014</v>
      </c>
      <c r="C262">
        <v>8.5679088627541962</v>
      </c>
      <c r="H262">
        <v>6.63</v>
      </c>
      <c r="I262">
        <v>1.7909999999999999</v>
      </c>
    </row>
    <row r="263" spans="1:9" x14ac:dyDescent="0.25">
      <c r="A263">
        <v>7.468</v>
      </c>
      <c r="B263">
        <v>76.012097378434731</v>
      </c>
      <c r="C263">
        <v>8.598416734235915</v>
      </c>
      <c r="H263">
        <v>6.6369999999999996</v>
      </c>
      <c r="I263">
        <v>1.798</v>
      </c>
    </row>
    <row r="264" spans="1:9" x14ac:dyDescent="0.25">
      <c r="A264">
        <v>7.4950000000000001</v>
      </c>
      <c r="B264">
        <v>76.090546190816298</v>
      </c>
      <c r="C264">
        <v>8.7073734180991984</v>
      </c>
      <c r="H264">
        <v>6.6550000000000002</v>
      </c>
      <c r="I264">
        <v>1.823</v>
      </c>
    </row>
    <row r="265" spans="1:9" x14ac:dyDescent="0.25">
      <c r="A265">
        <v>7.5209999999999999</v>
      </c>
      <c r="B265">
        <v>76.14284539907068</v>
      </c>
      <c r="C265">
        <v>8.7814639631262335</v>
      </c>
      <c r="H265">
        <v>6.6669999999999998</v>
      </c>
      <c r="I265">
        <v>1.84</v>
      </c>
    </row>
    <row r="266" spans="1:9" x14ac:dyDescent="0.25">
      <c r="A266">
        <v>7.548</v>
      </c>
      <c r="B266">
        <v>76.14284539907068</v>
      </c>
      <c r="C266">
        <v>8.7988970325443603</v>
      </c>
      <c r="H266">
        <v>6.6669999999999998</v>
      </c>
      <c r="I266">
        <v>1.8440000000000001</v>
      </c>
    </row>
    <row r="267" spans="1:9" x14ac:dyDescent="0.25">
      <c r="A267">
        <v>7.5750000000000002</v>
      </c>
      <c r="B267">
        <v>76.121054062298001</v>
      </c>
      <c r="C267">
        <v>8.8424797060896729</v>
      </c>
      <c r="H267">
        <v>6.6619999999999999</v>
      </c>
      <c r="I267">
        <v>1.8540000000000001</v>
      </c>
    </row>
    <row r="268" spans="1:9" x14ac:dyDescent="0.25">
      <c r="A268">
        <v>7.601</v>
      </c>
      <c r="B268">
        <v>75.990306041662066</v>
      </c>
      <c r="C268">
        <v>8.7814639631262335</v>
      </c>
      <c r="H268">
        <v>6.6319999999999997</v>
      </c>
      <c r="I268">
        <v>1.84</v>
      </c>
    </row>
    <row r="269" spans="1:9" x14ac:dyDescent="0.25">
      <c r="A269">
        <v>7.6280000000000001</v>
      </c>
      <c r="B269">
        <v>75.802900545417216</v>
      </c>
      <c r="C269">
        <v>8.7596726263535771</v>
      </c>
      <c r="H269">
        <v>6.5890000000000004</v>
      </c>
      <c r="I269">
        <v>1.835</v>
      </c>
    </row>
    <row r="270" spans="1:9" x14ac:dyDescent="0.25">
      <c r="A270">
        <v>7.6550000000000002</v>
      </c>
      <c r="B270">
        <v>75.567554108272532</v>
      </c>
      <c r="C270">
        <v>8.7248064875173252</v>
      </c>
      <c r="H270">
        <v>6.5350000000000001</v>
      </c>
      <c r="I270">
        <v>1.827</v>
      </c>
    </row>
    <row r="271" spans="1:9" x14ac:dyDescent="0.25">
      <c r="A271">
        <v>7.681</v>
      </c>
      <c r="B271">
        <v>75.336565938482366</v>
      </c>
      <c r="C271">
        <v>8.7030151507446689</v>
      </c>
      <c r="H271">
        <v>6.4820000000000002</v>
      </c>
      <c r="I271">
        <v>1.8220000000000001</v>
      </c>
    </row>
    <row r="272" spans="1:9" x14ac:dyDescent="0.25">
      <c r="A272">
        <v>7.7080000000000002</v>
      </c>
      <c r="B272">
        <v>75.149160442237516</v>
      </c>
      <c r="C272">
        <v>8.6855820813265439</v>
      </c>
      <c r="H272">
        <v>6.4390000000000001</v>
      </c>
      <c r="I272">
        <v>1.8180000000000001</v>
      </c>
    </row>
    <row r="273" spans="1:9" x14ac:dyDescent="0.25">
      <c r="A273">
        <v>7.7350000000000003</v>
      </c>
      <c r="B273">
        <v>75.018412421601568</v>
      </c>
      <c r="C273">
        <v>8.6812238139720108</v>
      </c>
      <c r="H273">
        <v>6.4089999999999998</v>
      </c>
      <c r="I273">
        <v>1.8169999999999999</v>
      </c>
    </row>
    <row r="274" spans="1:9" x14ac:dyDescent="0.25">
      <c r="A274">
        <v>7.7610000000000001</v>
      </c>
      <c r="B274">
        <v>75.018412421601568</v>
      </c>
      <c r="C274">
        <v>8.7030151507446689</v>
      </c>
      <c r="H274">
        <v>6.4089999999999998</v>
      </c>
      <c r="I274">
        <v>1.8220000000000001</v>
      </c>
    </row>
    <row r="275" spans="1:9" x14ac:dyDescent="0.25">
      <c r="A275">
        <v>7.7880000000000003</v>
      </c>
      <c r="B275">
        <v>75.153518709592049</v>
      </c>
      <c r="C275">
        <v>8.7465978242899816</v>
      </c>
      <c r="H275">
        <v>6.44</v>
      </c>
      <c r="I275">
        <v>1.8320000000000001</v>
      </c>
    </row>
    <row r="276" spans="1:9" x14ac:dyDescent="0.25">
      <c r="A276">
        <v>7.8150000000000004</v>
      </c>
      <c r="B276">
        <v>75.2450423240372</v>
      </c>
      <c r="C276">
        <v>8.790180497835296</v>
      </c>
      <c r="H276">
        <v>6.4610000000000003</v>
      </c>
      <c r="I276">
        <v>1.8420000000000001</v>
      </c>
    </row>
    <row r="277" spans="1:9" x14ac:dyDescent="0.25">
      <c r="A277">
        <v>7.8410000000000002</v>
      </c>
      <c r="B277">
        <v>75.275550195518932</v>
      </c>
      <c r="C277">
        <v>8.8119718346079523</v>
      </c>
      <c r="H277">
        <v>6.468</v>
      </c>
      <c r="I277">
        <v>1.847</v>
      </c>
    </row>
    <row r="278" spans="1:9" x14ac:dyDescent="0.25">
      <c r="A278">
        <v>7.8680000000000003</v>
      </c>
      <c r="B278">
        <v>75.131727372819384</v>
      </c>
      <c r="C278">
        <v>8.8119718346079523</v>
      </c>
      <c r="H278">
        <v>6.4349999999999996</v>
      </c>
      <c r="I278">
        <v>1.847</v>
      </c>
    </row>
    <row r="279" spans="1:9" x14ac:dyDescent="0.25">
      <c r="A279">
        <v>7.8949999999999996</v>
      </c>
      <c r="B279">
        <v>74.861514796838449</v>
      </c>
      <c r="C279">
        <v>8.8119718346079523</v>
      </c>
      <c r="H279">
        <v>6.3730000000000002</v>
      </c>
      <c r="I279">
        <v>1.847</v>
      </c>
    </row>
    <row r="280" spans="1:9" x14ac:dyDescent="0.25">
      <c r="A280">
        <v>7.9210000000000003</v>
      </c>
      <c r="B280">
        <v>74.578227418793915</v>
      </c>
      <c r="C280">
        <v>8.8381214387351399</v>
      </c>
      <c r="H280">
        <v>6.3079999999999998</v>
      </c>
      <c r="I280">
        <v>1.853</v>
      </c>
    </row>
    <row r="281" spans="1:9" x14ac:dyDescent="0.25">
      <c r="A281">
        <v>7.9480000000000004</v>
      </c>
      <c r="B281">
        <v>74.321089644876551</v>
      </c>
      <c r="C281">
        <v>8.8947789143440499</v>
      </c>
      <c r="H281">
        <v>6.2489999999999997</v>
      </c>
      <c r="I281">
        <v>1.8660000000000001</v>
      </c>
    </row>
    <row r="282" spans="1:9" x14ac:dyDescent="0.25">
      <c r="A282">
        <v>7.9749999999999996</v>
      </c>
      <c r="B282">
        <v>74.094459742440918</v>
      </c>
      <c r="C282">
        <v>8.9645111920165519</v>
      </c>
      <c r="H282">
        <v>6.1970000000000001</v>
      </c>
      <c r="I282">
        <v>1.8819999999999999</v>
      </c>
    </row>
    <row r="283" spans="1:9" x14ac:dyDescent="0.25">
      <c r="A283">
        <v>8.0009999999999994</v>
      </c>
      <c r="B283">
        <v>73.9375621176778</v>
      </c>
      <c r="C283">
        <v>9.0168104002709271</v>
      </c>
      <c r="H283">
        <v>6.1609999999999996</v>
      </c>
      <c r="I283">
        <v>1.8939999999999999</v>
      </c>
    </row>
    <row r="284" spans="1:9" x14ac:dyDescent="0.25">
      <c r="A284">
        <v>8.0280000000000005</v>
      </c>
      <c r="B284">
        <v>73.911412513550601</v>
      </c>
      <c r="C284">
        <v>9.0429600043981146</v>
      </c>
      <c r="H284">
        <v>6.1550000000000002</v>
      </c>
      <c r="I284">
        <v>1.9</v>
      </c>
    </row>
    <row r="285" spans="1:9" x14ac:dyDescent="0.25">
      <c r="A285">
        <v>8.0549999999999997</v>
      </c>
      <c r="B285">
        <v>74.04216053418655</v>
      </c>
      <c r="C285">
        <v>9.0429600043981146</v>
      </c>
      <c r="H285">
        <v>6.1849999999999996</v>
      </c>
      <c r="I285">
        <v>1.9</v>
      </c>
    </row>
    <row r="286" spans="1:9" x14ac:dyDescent="0.25">
      <c r="A286">
        <v>8.0809999999999995</v>
      </c>
      <c r="B286">
        <v>74.037802266832017</v>
      </c>
      <c r="C286">
        <v>9.0429600043981146</v>
      </c>
      <c r="H286">
        <v>6.1840000000000002</v>
      </c>
      <c r="I286">
        <v>1.9</v>
      </c>
    </row>
    <row r="287" spans="1:9" x14ac:dyDescent="0.25">
      <c r="A287">
        <v>8.1080000000000005</v>
      </c>
      <c r="B287">
        <v>74.077026673022786</v>
      </c>
      <c r="C287">
        <v>9.0429600043981146</v>
      </c>
      <c r="H287">
        <v>6.1929999999999996</v>
      </c>
      <c r="I287">
        <v>1.9</v>
      </c>
    </row>
    <row r="288" spans="1:9" x14ac:dyDescent="0.25">
      <c r="A288">
        <v>8.1349999999999998</v>
      </c>
      <c r="B288">
        <v>73.832963701169049</v>
      </c>
      <c r="C288">
        <v>9.0734678758798353</v>
      </c>
      <c r="H288">
        <v>6.1369999999999996</v>
      </c>
      <c r="I288">
        <v>1.907</v>
      </c>
    </row>
    <row r="289" spans="1:9" x14ac:dyDescent="0.25">
      <c r="A289">
        <v>8.1609999999999996</v>
      </c>
      <c r="B289">
        <v>73.532243253706369</v>
      </c>
      <c r="C289">
        <v>9.0865426779434291</v>
      </c>
      <c r="H289">
        <v>6.0679999999999996</v>
      </c>
      <c r="I289">
        <v>1.91</v>
      </c>
    </row>
    <row r="290" spans="1:9" x14ac:dyDescent="0.25">
      <c r="A290">
        <v>8.1880000000000006</v>
      </c>
      <c r="B290">
        <v>73.131282657089486</v>
      </c>
      <c r="C290">
        <v>9.0996174800070229</v>
      </c>
      <c r="H290">
        <v>5.976</v>
      </c>
      <c r="I290">
        <v>1.913</v>
      </c>
    </row>
    <row r="291" spans="1:9" x14ac:dyDescent="0.25">
      <c r="A291">
        <v>8.2149999999999999</v>
      </c>
      <c r="B291">
        <v>72.67802285221822</v>
      </c>
      <c r="C291">
        <v>9.1170505494251479</v>
      </c>
      <c r="H291">
        <v>5.8719999999999999</v>
      </c>
      <c r="I291">
        <v>1.917</v>
      </c>
    </row>
    <row r="292" spans="1:9" x14ac:dyDescent="0.25">
      <c r="A292">
        <v>8.2409999999999997</v>
      </c>
      <c r="B292">
        <v>72.285778790310403</v>
      </c>
      <c r="C292">
        <v>9.138841886197806</v>
      </c>
      <c r="H292">
        <v>5.782</v>
      </c>
      <c r="I292">
        <v>1.9219999999999999</v>
      </c>
    </row>
    <row r="293" spans="1:9" x14ac:dyDescent="0.25">
      <c r="A293">
        <v>8.2680000000000007</v>
      </c>
      <c r="B293">
        <v>72.011207946974935</v>
      </c>
      <c r="C293">
        <v>9.1475584209068685</v>
      </c>
      <c r="H293">
        <v>5.7190000000000003</v>
      </c>
      <c r="I293">
        <v>1.9239999999999999</v>
      </c>
    </row>
    <row r="294" spans="1:9" x14ac:dyDescent="0.25">
      <c r="A294">
        <v>8.2949999999999999</v>
      </c>
      <c r="B294">
        <v>71.889176461048052</v>
      </c>
      <c r="C294">
        <v>9.1824245597431187</v>
      </c>
      <c r="H294">
        <v>5.6909999999999998</v>
      </c>
      <c r="I294">
        <v>1.9319999999999999</v>
      </c>
    </row>
    <row r="295" spans="1:9" x14ac:dyDescent="0.25">
      <c r="A295">
        <v>8.3209999999999997</v>
      </c>
      <c r="B295">
        <v>71.83687725279367</v>
      </c>
      <c r="C295">
        <v>9.2913812436064056</v>
      </c>
      <c r="H295">
        <v>5.6790000000000003</v>
      </c>
      <c r="I295">
        <v>1.9570000000000001</v>
      </c>
    </row>
    <row r="296" spans="1:9" x14ac:dyDescent="0.25">
      <c r="A296">
        <v>8.3480000000000008</v>
      </c>
      <c r="B296">
        <v>71.706129232157735</v>
      </c>
      <c r="C296">
        <v>9.3785465906970309</v>
      </c>
      <c r="H296">
        <v>5.649</v>
      </c>
      <c r="I296">
        <v>1.9770000000000001</v>
      </c>
    </row>
    <row r="297" spans="1:9" x14ac:dyDescent="0.25">
      <c r="A297">
        <v>8.375</v>
      </c>
      <c r="B297">
        <v>71.405408784695069</v>
      </c>
      <c r="C297">
        <v>9.400337927469689</v>
      </c>
      <c r="H297">
        <v>5.58</v>
      </c>
      <c r="I297">
        <v>1.982</v>
      </c>
    </row>
    <row r="298" spans="1:9" x14ac:dyDescent="0.25">
      <c r="A298">
        <v>8.4009999999999998</v>
      </c>
      <c r="B298">
        <v>71.008806455432705</v>
      </c>
      <c r="C298">
        <v>9.4787867398512518</v>
      </c>
      <c r="H298">
        <v>5.4889999999999999</v>
      </c>
      <c r="I298">
        <v>2</v>
      </c>
    </row>
    <row r="299" spans="1:9" x14ac:dyDescent="0.25">
      <c r="A299">
        <v>8.4280000000000008</v>
      </c>
      <c r="B299">
        <v>70.459664768761755</v>
      </c>
      <c r="C299">
        <v>9.4352040663059391</v>
      </c>
      <c r="H299">
        <v>5.3630000000000004</v>
      </c>
      <c r="I299">
        <v>1.99</v>
      </c>
    </row>
    <row r="300" spans="1:9" x14ac:dyDescent="0.25">
      <c r="A300">
        <v>8.4550000000000001</v>
      </c>
      <c r="B300">
        <v>69.845149071772838</v>
      </c>
      <c r="C300">
        <v>9.3654717886334353</v>
      </c>
      <c r="H300">
        <v>5.2220000000000004</v>
      </c>
      <c r="I300">
        <v>1.974</v>
      </c>
    </row>
    <row r="301" spans="1:9" x14ac:dyDescent="0.25">
      <c r="A301">
        <v>8.4809999999999999</v>
      </c>
      <c r="B301">
        <v>72.037357551102133</v>
      </c>
      <c r="C301">
        <v>9.3349639171517182</v>
      </c>
      <c r="H301">
        <v>5.7249999999999996</v>
      </c>
      <c r="I301">
        <v>1.9670000000000001</v>
      </c>
    </row>
    <row r="302" spans="1:9" x14ac:dyDescent="0.25">
      <c r="A302">
        <v>8.5079999999999991</v>
      </c>
      <c r="B302">
        <v>81.564529988107708</v>
      </c>
      <c r="C302">
        <v>9.3306056497971852</v>
      </c>
      <c r="H302">
        <v>7.9109999999999996</v>
      </c>
      <c r="I302">
        <v>1.966</v>
      </c>
    </row>
    <row r="303" spans="1:9" x14ac:dyDescent="0.25">
      <c r="A303">
        <v>8.5350000000000001</v>
      </c>
      <c r="B303">
        <v>83.421151881138073</v>
      </c>
      <c r="C303">
        <v>9.3654717886334353</v>
      </c>
      <c r="H303">
        <v>8.3369999999999997</v>
      </c>
      <c r="I303">
        <v>1.974</v>
      </c>
    </row>
    <row r="304" spans="1:9" x14ac:dyDescent="0.25">
      <c r="A304">
        <v>8.5609999999999999</v>
      </c>
      <c r="B304">
        <v>85.787691054648619</v>
      </c>
      <c r="C304">
        <v>9.4221292642423453</v>
      </c>
      <c r="H304">
        <v>8.8800000000000008</v>
      </c>
      <c r="I304">
        <v>1.9870000000000001</v>
      </c>
    </row>
    <row r="305" spans="1:9" x14ac:dyDescent="0.25">
      <c r="A305">
        <v>8.5879999999999992</v>
      </c>
      <c r="B305">
        <v>78.67499873205341</v>
      </c>
      <c r="C305">
        <v>9.4962198092693786</v>
      </c>
      <c r="H305">
        <v>7.2480000000000002</v>
      </c>
      <c r="I305">
        <v>2.004</v>
      </c>
    </row>
    <row r="306" spans="1:9" x14ac:dyDescent="0.25">
      <c r="A306">
        <v>8.6150000000000002</v>
      </c>
      <c r="B306">
        <v>70.830117493896921</v>
      </c>
      <c r="C306">
        <v>9.5398024828146912</v>
      </c>
      <c r="H306">
        <v>5.4480000000000004</v>
      </c>
      <c r="I306">
        <v>2.0139999999999998</v>
      </c>
    </row>
    <row r="307" spans="1:9" x14ac:dyDescent="0.25">
      <c r="A307">
        <v>8.641</v>
      </c>
      <c r="B307">
        <v>67.552700443289339</v>
      </c>
      <c r="C307">
        <v>9.6051764931326638</v>
      </c>
      <c r="H307">
        <v>4.6959999999999997</v>
      </c>
      <c r="I307">
        <v>2.0289999999999999</v>
      </c>
    </row>
    <row r="308" spans="1:9" x14ac:dyDescent="0.25">
      <c r="A308">
        <v>8.6679999999999993</v>
      </c>
      <c r="B308">
        <v>66.611314694710558</v>
      </c>
      <c r="C308">
        <v>9.6836253055142283</v>
      </c>
      <c r="H308">
        <v>4.4800000000000004</v>
      </c>
      <c r="I308">
        <v>2.0470000000000002</v>
      </c>
    </row>
    <row r="309" spans="1:9" x14ac:dyDescent="0.25">
      <c r="A309">
        <v>8.6950000000000003</v>
      </c>
      <c r="B309">
        <v>66.236503702220858</v>
      </c>
      <c r="C309">
        <v>9.7446410484776678</v>
      </c>
      <c r="H309">
        <v>4.3940000000000001</v>
      </c>
      <c r="I309">
        <v>2.0609999999999999</v>
      </c>
    </row>
    <row r="310" spans="1:9" x14ac:dyDescent="0.25">
      <c r="A310">
        <v>8.7210000000000001</v>
      </c>
      <c r="B310">
        <v>65.73094468909521</v>
      </c>
      <c r="C310">
        <v>9.7707906526048554</v>
      </c>
      <c r="H310">
        <v>4.2779999999999996</v>
      </c>
      <c r="I310">
        <v>2.0670000000000002</v>
      </c>
    </row>
    <row r="311" spans="1:9" x14ac:dyDescent="0.25">
      <c r="A311">
        <v>8.7479999999999993</v>
      </c>
      <c r="B311">
        <v>64.998755773533958</v>
      </c>
      <c r="C311">
        <v>9.7751489199593866</v>
      </c>
      <c r="H311">
        <v>4.1100000000000003</v>
      </c>
      <c r="I311">
        <v>2.0680000000000001</v>
      </c>
    </row>
    <row r="312" spans="1:9" x14ac:dyDescent="0.25">
      <c r="A312">
        <v>8.7750000000000004</v>
      </c>
      <c r="B312">
        <v>64.135818837336728</v>
      </c>
      <c r="C312">
        <v>9.7838654546684474</v>
      </c>
      <c r="H312">
        <v>3.9119999999999999</v>
      </c>
      <c r="I312">
        <v>2.0699999999999998</v>
      </c>
    </row>
    <row r="313" spans="1:9" x14ac:dyDescent="0.25">
      <c r="A313">
        <v>8.8010000000000002</v>
      </c>
      <c r="B313">
        <v>63.229299227594204</v>
      </c>
      <c r="C313">
        <v>9.7925819893775135</v>
      </c>
      <c r="H313">
        <v>3.7040000000000002</v>
      </c>
      <c r="I313">
        <v>2.0720000000000001</v>
      </c>
    </row>
    <row r="314" spans="1:9" x14ac:dyDescent="0.25">
      <c r="A314">
        <v>8.8279999999999994</v>
      </c>
      <c r="B314">
        <v>62.405586697587786</v>
      </c>
      <c r="C314">
        <v>9.814373326150168</v>
      </c>
      <c r="H314">
        <v>3.5150000000000001</v>
      </c>
      <c r="I314">
        <v>2.077</v>
      </c>
    </row>
    <row r="315" spans="1:9" x14ac:dyDescent="0.25">
      <c r="A315">
        <v>8.8550000000000004</v>
      </c>
      <c r="B315">
        <v>61.603665504354005</v>
      </c>
      <c r="C315">
        <v>9.8928221385317343</v>
      </c>
      <c r="H315">
        <v>3.331</v>
      </c>
      <c r="I315">
        <v>2.0950000000000002</v>
      </c>
    </row>
    <row r="316" spans="1:9" x14ac:dyDescent="0.25">
      <c r="A316">
        <v>8.8810000000000002</v>
      </c>
      <c r="B316">
        <v>60.945567133819765</v>
      </c>
      <c r="C316">
        <v>9.9712709509132971</v>
      </c>
      <c r="H316">
        <v>3.18</v>
      </c>
      <c r="I316">
        <v>2.113</v>
      </c>
    </row>
    <row r="317" spans="1:9" x14ac:dyDescent="0.25">
      <c r="A317">
        <v>8.9079999999999995</v>
      </c>
      <c r="B317">
        <v>60.335409704185373</v>
      </c>
      <c r="C317">
        <v>10.023570159167674</v>
      </c>
      <c r="H317">
        <v>3.04</v>
      </c>
      <c r="I317">
        <v>2.125</v>
      </c>
    </row>
    <row r="318" spans="1:9" x14ac:dyDescent="0.25">
      <c r="A318">
        <v>8.9350000000000005</v>
      </c>
      <c r="B318">
        <v>59.625012125396765</v>
      </c>
      <c r="C318">
        <v>10.067152832712987</v>
      </c>
      <c r="H318">
        <v>2.8769999999999998</v>
      </c>
      <c r="I318">
        <v>2.1349999999999998</v>
      </c>
    </row>
    <row r="319" spans="1:9" x14ac:dyDescent="0.25">
      <c r="A319">
        <v>8.9610000000000003</v>
      </c>
      <c r="B319">
        <v>58.857957070999241</v>
      </c>
      <c r="C319">
        <v>10.080227634776582</v>
      </c>
      <c r="H319">
        <v>2.7010000000000001</v>
      </c>
      <c r="I319">
        <v>2.1379999999999999</v>
      </c>
    </row>
    <row r="320" spans="1:9" x14ac:dyDescent="0.25">
      <c r="A320">
        <v>8.9879999999999995</v>
      </c>
      <c r="B320">
        <v>57.886063450938749</v>
      </c>
      <c r="C320">
        <v>10.097660704194709</v>
      </c>
      <c r="H320">
        <v>2.4780000000000002</v>
      </c>
      <c r="I320">
        <v>2.1419999999999999</v>
      </c>
    </row>
    <row r="321" spans="1:9" x14ac:dyDescent="0.25">
      <c r="A321">
        <v>9.0150000000000006</v>
      </c>
      <c r="B321">
        <v>56.879303692041994</v>
      </c>
      <c r="C321">
        <v>10.13688511038549</v>
      </c>
      <c r="H321">
        <v>2.2469999999999999</v>
      </c>
      <c r="I321">
        <v>2.1509999999999998</v>
      </c>
    </row>
    <row r="322" spans="1:9" x14ac:dyDescent="0.25">
      <c r="A322">
        <v>9.0410000000000004</v>
      </c>
      <c r="B322">
        <v>55.885618735208851</v>
      </c>
      <c r="C322">
        <v>10.163034714512678</v>
      </c>
      <c r="H322">
        <v>2.0190000000000001</v>
      </c>
      <c r="I322">
        <v>2.157</v>
      </c>
    </row>
    <row r="323" spans="1:9" x14ac:dyDescent="0.25">
      <c r="A323">
        <v>9.0679999999999996</v>
      </c>
      <c r="B323">
        <v>54.626079469749278</v>
      </c>
      <c r="C323">
        <v>10.189184318639866</v>
      </c>
      <c r="H323">
        <v>1.73</v>
      </c>
      <c r="I323">
        <v>2.1629999999999998</v>
      </c>
    </row>
    <row r="324" spans="1:9" x14ac:dyDescent="0.25">
      <c r="A324">
        <v>9.0950000000000006</v>
      </c>
      <c r="B324">
        <v>53.46678035344393</v>
      </c>
      <c r="C324">
        <v>10.263274863666901</v>
      </c>
      <c r="H324">
        <v>1.464</v>
      </c>
      <c r="I324">
        <v>2.1800000000000002</v>
      </c>
    </row>
    <row r="325" spans="1:9" x14ac:dyDescent="0.25">
      <c r="A325">
        <v>9.1210000000000004</v>
      </c>
      <c r="B325">
        <v>52.04162692851218</v>
      </c>
      <c r="C325">
        <v>10.315574071921278</v>
      </c>
      <c r="H325">
        <v>1.137</v>
      </c>
      <c r="I325">
        <v>2.1920000000000002</v>
      </c>
    </row>
    <row r="326" spans="1:9" x14ac:dyDescent="0.25">
      <c r="A326">
        <v>9.1479999999999997</v>
      </c>
      <c r="B326">
        <v>50.755938058925423</v>
      </c>
      <c r="C326">
        <v>10.38530634959378</v>
      </c>
      <c r="H326">
        <v>0.84199999999999997</v>
      </c>
      <c r="I326">
        <v>2.2080000000000002</v>
      </c>
    </row>
    <row r="327" spans="1:9" x14ac:dyDescent="0.25">
      <c r="A327">
        <v>9.1750000000000007</v>
      </c>
      <c r="B327">
        <v>49.609713744683667</v>
      </c>
      <c r="C327">
        <v>10.472471696684408</v>
      </c>
      <c r="H327">
        <v>0.57899999999999996</v>
      </c>
      <c r="I327">
        <v>2.2280000000000002</v>
      </c>
    </row>
    <row r="328" spans="1:9" x14ac:dyDescent="0.25">
      <c r="A328">
        <v>9.2010000000000005</v>
      </c>
      <c r="B328">
        <v>48.450414628378326</v>
      </c>
      <c r="C328">
        <v>10.537845707002377</v>
      </c>
      <c r="H328">
        <v>0.313</v>
      </c>
      <c r="I328">
        <v>2.2429999999999999</v>
      </c>
    </row>
    <row r="329" spans="1:9" x14ac:dyDescent="0.25">
      <c r="A329">
        <v>9.2279999999999998</v>
      </c>
      <c r="B329">
        <v>47.073202144346403</v>
      </c>
      <c r="C329">
        <v>10.585786647902221</v>
      </c>
      <c r="H329">
        <v>-3.0000000000000001E-3</v>
      </c>
      <c r="I329">
        <v>2.254</v>
      </c>
    </row>
    <row r="330" spans="1:9" x14ac:dyDescent="0.25">
      <c r="A330">
        <v>9.2550000000000008</v>
      </c>
      <c r="B330">
        <v>45.443210153751671</v>
      </c>
      <c r="C330">
        <v>10.616294519383942</v>
      </c>
      <c r="H330">
        <v>-0.377</v>
      </c>
      <c r="I330">
        <v>2.2610000000000001</v>
      </c>
    </row>
    <row r="331" spans="1:9" x14ac:dyDescent="0.25">
      <c r="A331">
        <v>9.2810000000000006</v>
      </c>
      <c r="B331">
        <v>43.5865882607213</v>
      </c>
      <c r="C331">
        <v>10.651160658220194</v>
      </c>
      <c r="H331">
        <v>-0.80300000000000005</v>
      </c>
      <c r="I331">
        <v>2.2690000000000001</v>
      </c>
    </row>
    <row r="332" spans="1:9" x14ac:dyDescent="0.25">
      <c r="A332">
        <v>9.3079999999999998</v>
      </c>
      <c r="B332">
        <v>41.621009683827658</v>
      </c>
      <c r="C332">
        <v>10.694743331765505</v>
      </c>
      <c r="H332">
        <v>-1.254</v>
      </c>
      <c r="I332">
        <v>2.2789999999999999</v>
      </c>
    </row>
    <row r="333" spans="1:9" x14ac:dyDescent="0.25">
      <c r="A333">
        <v>9.3350000000000009</v>
      </c>
      <c r="B333">
        <v>39.607490166034168</v>
      </c>
      <c r="C333">
        <v>10.738326005310821</v>
      </c>
      <c r="H333">
        <v>-1.716</v>
      </c>
      <c r="I333">
        <v>2.2890000000000001</v>
      </c>
    </row>
    <row r="334" spans="1:9" x14ac:dyDescent="0.25">
      <c r="A334">
        <v>9.3610000000000007</v>
      </c>
      <c r="B334">
        <v>37.550387974695354</v>
      </c>
      <c r="C334">
        <v>10.808058282983323</v>
      </c>
      <c r="H334">
        <v>-2.1880000000000002</v>
      </c>
      <c r="I334">
        <v>2.3050000000000002</v>
      </c>
    </row>
    <row r="335" spans="1:9" x14ac:dyDescent="0.25">
      <c r="A335">
        <v>9.3879999999999999</v>
      </c>
      <c r="B335">
        <v>35.536868456901857</v>
      </c>
      <c r="C335">
        <v>10.873432293301292</v>
      </c>
      <c r="H335">
        <v>-2.65</v>
      </c>
      <c r="I335">
        <v>2.3199999999999998</v>
      </c>
    </row>
    <row r="336" spans="1:9" x14ac:dyDescent="0.25">
      <c r="A336">
        <v>9.4149999999999991</v>
      </c>
      <c r="B336">
        <v>33.518990671753834</v>
      </c>
      <c r="C336">
        <v>10.956239373037388</v>
      </c>
      <c r="H336">
        <v>-3.113</v>
      </c>
      <c r="I336">
        <v>2.339</v>
      </c>
    </row>
    <row r="337" spans="1:9" x14ac:dyDescent="0.25">
      <c r="A337">
        <v>9.4410000000000007</v>
      </c>
      <c r="B337">
        <v>31.501112886605803</v>
      </c>
      <c r="C337">
        <v>11.065196056900673</v>
      </c>
      <c r="H337">
        <v>-3.5760000000000001</v>
      </c>
      <c r="I337">
        <v>2.3639999999999999</v>
      </c>
    </row>
    <row r="338" spans="1:9" x14ac:dyDescent="0.25">
      <c r="A338">
        <v>9.468</v>
      </c>
      <c r="B338">
        <v>29.465802032039655</v>
      </c>
      <c r="C338">
        <v>11.169794473409427</v>
      </c>
      <c r="H338">
        <v>-4.0430000000000001</v>
      </c>
      <c r="I338">
        <v>2.3879999999999999</v>
      </c>
    </row>
    <row r="339" spans="1:9" x14ac:dyDescent="0.25">
      <c r="A339">
        <v>9.4949999999999992</v>
      </c>
      <c r="B339">
        <v>27.404341573346315</v>
      </c>
      <c r="C339">
        <v>11.270034622563648</v>
      </c>
      <c r="H339">
        <v>-4.516</v>
      </c>
      <c r="I339">
        <v>2.411</v>
      </c>
    </row>
    <row r="340" spans="1:9" x14ac:dyDescent="0.25">
      <c r="A340">
        <v>9.5210000000000008</v>
      </c>
      <c r="B340">
        <v>25.3603141840711</v>
      </c>
      <c r="C340">
        <v>11.3746330390724</v>
      </c>
      <c r="H340">
        <v>-4.9850000000000003</v>
      </c>
      <c r="I340">
        <v>2.4350000000000001</v>
      </c>
    </row>
    <row r="341" spans="1:9" x14ac:dyDescent="0.25">
      <c r="A341">
        <v>9.548</v>
      </c>
      <c r="B341">
        <v>23.38601907246839</v>
      </c>
      <c r="C341">
        <v>11.487947990290216</v>
      </c>
      <c r="H341">
        <v>-5.4379999999999997</v>
      </c>
      <c r="I341">
        <v>2.4609999999999999</v>
      </c>
    </row>
    <row r="342" spans="1:9" x14ac:dyDescent="0.25">
      <c r="A342">
        <v>9.5749999999999993</v>
      </c>
      <c r="B342">
        <v>22.562306542461961</v>
      </c>
      <c r="C342">
        <v>11.579471604735376</v>
      </c>
      <c r="H342">
        <v>-5.6269999999999998</v>
      </c>
      <c r="I342">
        <v>2.4820000000000002</v>
      </c>
    </row>
    <row r="343" spans="1:9" x14ac:dyDescent="0.25">
      <c r="A343">
        <v>9.6010000000000009</v>
      </c>
      <c r="B343">
        <v>22.448991591244148</v>
      </c>
      <c r="C343">
        <v>11.692786555953191</v>
      </c>
      <c r="H343">
        <v>-5.6529999999999996</v>
      </c>
      <c r="I343">
        <v>2.508</v>
      </c>
    </row>
    <row r="344" spans="1:9" x14ac:dyDescent="0.25">
      <c r="A344">
        <v>9.6280000000000001</v>
      </c>
      <c r="B344">
        <v>21.302767277002392</v>
      </c>
      <c r="C344">
        <v>11.793026705107414</v>
      </c>
      <c r="H344">
        <v>-5.9160000000000004</v>
      </c>
      <c r="I344">
        <v>2.5310000000000001</v>
      </c>
    </row>
    <row r="345" spans="1:9" x14ac:dyDescent="0.25">
      <c r="A345">
        <v>9.6549999999999994</v>
      </c>
      <c r="B345">
        <v>18.635507656029194</v>
      </c>
      <c r="C345">
        <v>11.888908586907103</v>
      </c>
      <c r="H345">
        <v>-6.5279999999999996</v>
      </c>
      <c r="I345">
        <v>2.5529999999999999</v>
      </c>
    </row>
    <row r="346" spans="1:9" x14ac:dyDescent="0.25">
      <c r="A346">
        <v>9.6809999999999992</v>
      </c>
      <c r="B346">
        <v>14.952771741450182</v>
      </c>
      <c r="C346">
        <v>11.97607393399773</v>
      </c>
      <c r="H346">
        <v>-7.3730000000000002</v>
      </c>
      <c r="I346">
        <v>2.573</v>
      </c>
    </row>
    <row r="347" spans="1:9" x14ac:dyDescent="0.25">
      <c r="A347">
        <v>9.7080000000000002</v>
      </c>
      <c r="B347">
        <v>12.934893956302155</v>
      </c>
      <c r="C347">
        <v>12.119896756697264</v>
      </c>
      <c r="H347">
        <v>-7.8360000000000003</v>
      </c>
      <c r="I347">
        <v>2.6059999999999999</v>
      </c>
    </row>
    <row r="348" spans="1:9" x14ac:dyDescent="0.25">
      <c r="A348">
        <v>9.7349999999999994</v>
      </c>
      <c r="B348">
        <v>11.614338947879153</v>
      </c>
      <c r="C348">
        <v>12.259361312042268</v>
      </c>
      <c r="H348">
        <v>-8.1389999999999993</v>
      </c>
      <c r="I348">
        <v>2.6379999999999999</v>
      </c>
    </row>
    <row r="349" spans="1:9" x14ac:dyDescent="0.25">
      <c r="A349">
        <v>9.7609999999999992</v>
      </c>
      <c r="B349">
        <v>10.32429181093786</v>
      </c>
      <c r="C349">
        <v>12.381392797969148</v>
      </c>
      <c r="H349">
        <v>-8.4350000000000005</v>
      </c>
      <c r="I349">
        <v>2.6659999999999999</v>
      </c>
    </row>
    <row r="350" spans="1:9" x14ac:dyDescent="0.25">
      <c r="A350">
        <v>9.7880000000000003</v>
      </c>
      <c r="B350">
        <v>8.8250478409790709</v>
      </c>
      <c r="C350">
        <v>12.459841610350713</v>
      </c>
      <c r="H350">
        <v>-8.7789999999999999</v>
      </c>
      <c r="I350">
        <v>2.6840000000000002</v>
      </c>
    </row>
    <row r="351" spans="1:9" x14ac:dyDescent="0.25">
      <c r="A351">
        <v>9.8149999999999995</v>
      </c>
      <c r="B351">
        <v>7.3824613466291877</v>
      </c>
      <c r="C351">
        <v>12.525215620668682</v>
      </c>
      <c r="H351">
        <v>-9.11</v>
      </c>
      <c r="I351">
        <v>2.6989999999999998</v>
      </c>
    </row>
    <row r="352" spans="1:9" x14ac:dyDescent="0.25">
      <c r="A352">
        <v>9.8409999999999993</v>
      </c>
      <c r="B352">
        <v>6.1926543588421241</v>
      </c>
      <c r="C352">
        <v>12.664680176013686</v>
      </c>
      <c r="H352">
        <v>-9.3829999999999991</v>
      </c>
      <c r="I352">
        <v>2.7309999999999999</v>
      </c>
    </row>
    <row r="353" spans="1:9" x14ac:dyDescent="0.25">
      <c r="A353">
        <v>9.8680000000000003</v>
      </c>
      <c r="B353">
        <v>5.1205205896274046</v>
      </c>
      <c r="C353">
        <v>12.830294335485879</v>
      </c>
      <c r="H353">
        <v>-9.6289999999999996</v>
      </c>
      <c r="I353">
        <v>2.7690000000000001</v>
      </c>
    </row>
    <row r="354" spans="1:9" x14ac:dyDescent="0.25">
      <c r="A354">
        <v>9.8949999999999996</v>
      </c>
      <c r="B354">
        <v>4.1137608307306586</v>
      </c>
      <c r="C354">
        <v>12.921817949931039</v>
      </c>
      <c r="H354">
        <v>-9.86</v>
      </c>
      <c r="I354">
        <v>2.79</v>
      </c>
    </row>
    <row r="355" spans="1:9" x14ac:dyDescent="0.25">
      <c r="A355">
        <v>9.9209999999999994</v>
      </c>
      <c r="B355">
        <v>3.2595404292425099</v>
      </c>
      <c r="C355">
        <v>12.969758890830885</v>
      </c>
      <c r="H355">
        <v>-10.055999999999999</v>
      </c>
      <c r="I355">
        <v>2.8010000000000002</v>
      </c>
    </row>
    <row r="356" spans="1:9" x14ac:dyDescent="0.25">
      <c r="A356">
        <v>9.9480000000000004</v>
      </c>
      <c r="B356">
        <v>2.6275916628354548</v>
      </c>
      <c r="C356">
        <v>12.987191960249008</v>
      </c>
      <c r="H356">
        <v>-10.201000000000001</v>
      </c>
      <c r="I356">
        <v>2.8050000000000002</v>
      </c>
    </row>
    <row r="357" spans="1:9" x14ac:dyDescent="0.25">
      <c r="A357">
        <v>9.9749999999999996</v>
      </c>
      <c r="B357">
        <v>2.2745720071184157</v>
      </c>
      <c r="C357">
        <v>13.048207703212448</v>
      </c>
      <c r="H357">
        <v>-10.282</v>
      </c>
      <c r="I357">
        <v>2.819</v>
      </c>
    </row>
    <row r="358" spans="1:9" x14ac:dyDescent="0.25">
      <c r="A358">
        <v>10.000999999999999</v>
      </c>
      <c r="B358">
        <v>2.0000011637829362</v>
      </c>
      <c r="C358">
        <v>13.148447852366671</v>
      </c>
      <c r="H358">
        <v>-10.345000000000001</v>
      </c>
      <c r="I358">
        <v>2.8420000000000001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Peaks</vt:lpstr>
      <vt:lpstr>Summary</vt:lpstr>
      <vt:lpstr>Chromatograms</vt:lpstr>
      <vt:lpstr>Overlay</vt:lpstr>
      <vt:lpstr>UVGrid</vt:lpstr>
      <vt:lpstr>UVSearch</vt:lpstr>
      <vt:lpstr>Database</vt:lpstr>
      <vt:lpstr>Controls</vt:lpstr>
      <vt:lpstr>UVVisData</vt:lpstr>
      <vt:lpstr>NormalisedUVVisData</vt:lpstr>
      <vt:lpstr>PeakLabels</vt:lpstr>
      <vt:lpstr>MSData</vt:lpstr>
      <vt:lpstr>MSSpectra</vt:lpstr>
      <vt:lpstr>MSPeakLabels</vt:lpstr>
      <vt:lpstr>ChromatogramData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Piggott</dc:creator>
  <cp:lastModifiedBy>Radicinol</cp:lastModifiedBy>
  <dcterms:created xsi:type="dcterms:W3CDTF">2016-03-16T04:32:06Z</dcterms:created>
  <dcterms:modified xsi:type="dcterms:W3CDTF">2020-09-28T03:23:46Z</dcterms:modified>
</cp:coreProperties>
</file>