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13.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Z:\Staff\Michael\Metabolomics\Int_Exp_32_novaC\13602_NCE222.S\NovaCfiles\"/>
    </mc:Choice>
  </mc:AlternateContent>
  <xr:revisionPtr revIDLastSave="0" documentId="13_ncr:1_{FDDE88FC-CA24-4A75-9E90-153246C4F13A}" xr6:coauthVersionLast="45" xr6:coauthVersionMax="45" xr10:uidLastSave="{00000000-0000-0000-0000-000000000000}"/>
  <bookViews>
    <workbookView xWindow="-120" yWindow="-120" windowWidth="29040" windowHeight="15840" xr2:uid="{00000000-000D-0000-FFFF-FFFF00000000}"/>
  </bookViews>
  <sheets>
    <sheet name="Peaks" sheetId="1" r:id="rId1"/>
    <sheet name="Summary" sheetId="11" r:id="rId2"/>
    <sheet name="Chromatograms" sheetId="14" r:id="rId3"/>
    <sheet name="Overlay" sheetId="12" r:id="rId4"/>
    <sheet name="UVGrid" sheetId="15" r:id="rId5"/>
    <sheet name="UVSearch" sheetId="17" r:id="rId6"/>
    <sheet name="Database" sheetId="16" r:id="rId7"/>
    <sheet name="Controls" sheetId="10" r:id="rId8"/>
    <sheet name="UVVisData" sheetId="2" state="hidden" r:id="rId9"/>
    <sheet name="NormalisedUVVisData" sheetId="3" state="hidden" r:id="rId10"/>
    <sheet name="PeakLabels" sheetId="5" state="hidden" r:id="rId11"/>
    <sheet name="MSData" sheetId="7" state="hidden" r:id="rId12"/>
    <sheet name="MSSpectra" sheetId="8" state="hidden" r:id="rId13"/>
    <sheet name="MSPeakLabels" sheetId="9" state="hidden" r:id="rId14"/>
    <sheet name="ChromatogramData" sheetId="13" state="hidden" r:id="rId15"/>
  </sheets>
  <functionGroups builtInGroupCount="19"/>
  <definedNames>
    <definedName name="_xlnm._FilterDatabase" localSheetId="6" hidden="1">Database!$B$1:$HX$1</definedName>
    <definedName name="_xlnm._FilterDatabase" localSheetId="0" hidden="1">Peaks!$A$4:$S$4</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11" l="1"/>
  <c r="L6" i="11"/>
  <c r="L29" i="11" l="1"/>
  <c r="M29" i="11" s="1"/>
  <c r="L28" i="11"/>
  <c r="M28" i="11" s="1"/>
  <c r="L27" i="11"/>
  <c r="M27" i="11" s="1"/>
  <c r="L26" i="11"/>
  <c r="M26" i="11" s="1"/>
  <c r="L25" i="11"/>
  <c r="M25" i="11" s="1"/>
  <c r="L24" i="11"/>
  <c r="M24" i="11" s="1"/>
  <c r="L23" i="11"/>
  <c r="M23" i="11" s="1"/>
  <c r="L22" i="11"/>
  <c r="M22" i="11" s="1"/>
  <c r="L21" i="11"/>
  <c r="M21" i="11" s="1"/>
  <c r="L20" i="11"/>
  <c r="M20" i="11" s="1"/>
  <c r="L19" i="11"/>
  <c r="M19" i="11" s="1"/>
  <c r="L18" i="11"/>
  <c r="M18" i="11" s="1"/>
  <c r="L17" i="11"/>
  <c r="M17" i="11" s="1"/>
  <c r="L16" i="11"/>
  <c r="M16" i="11" s="1"/>
  <c r="L15" i="11"/>
  <c r="M15" i="11" s="1"/>
  <c r="L14" i="11"/>
  <c r="M14" i="11" s="1"/>
  <c r="L13" i="11"/>
  <c r="M13" i="11" s="1"/>
  <c r="L12" i="11"/>
  <c r="M12" i="11" s="1"/>
  <c r="L11" i="11"/>
  <c r="M11" i="11" s="1"/>
  <c r="L10" i="11"/>
  <c r="M10" i="11" s="1"/>
  <c r="D5" i="1" l="1"/>
  <c r="D6" i="1"/>
  <c r="D7" i="1"/>
  <c r="D8" i="1"/>
  <c r="D9" i="1"/>
  <c r="D10" i="1"/>
  <c r="D11" i="1"/>
  <c r="L9" i="11" l="1"/>
  <c r="M9" i="11" s="1"/>
  <c r="L8" i="11"/>
  <c r="M8" i="11" s="1"/>
  <c r="L7" i="11"/>
  <c r="M7" i="11" s="1"/>
  <c r="M6" i="11"/>
  <c r="L5" i="11"/>
  <c r="M5" i="11" s="1"/>
  <c r="L4" i="11"/>
  <c r="M4" i="11" s="1"/>
  <c r="M3" i="11"/>
  <c r="L2" i="11"/>
  <c r="M2" i="11" s="1"/>
  <c r="F11" i="1" l="1"/>
  <c r="F10" i="1"/>
  <c r="F9" i="1"/>
  <c r="F8" i="1"/>
  <c r="F7" i="1"/>
  <c r="F6" i="1"/>
  <c r="F5" i="1"/>
  <c r="I24" i="11" l="1"/>
  <c r="E24" i="11"/>
  <c r="E22" i="11"/>
  <c r="I22" i="11"/>
  <c r="G20" i="11" l="1"/>
  <c r="G18" i="11"/>
  <c r="G16" i="11"/>
  <c r="G14" i="11"/>
  <c r="G12" i="11"/>
  <c r="G10" i="11"/>
  <c r="C20" i="11"/>
  <c r="C18" i="11"/>
  <c r="C16" i="11"/>
  <c r="C14" i="11"/>
  <c r="C12" i="11"/>
  <c r="C10" i="11"/>
  <c r="G4" i="11"/>
  <c r="G6" i="11"/>
  <c r="G8" i="11"/>
  <c r="C8" i="11"/>
  <c r="C6" i="11"/>
  <c r="C4" i="11"/>
  <c r="I20" i="11" l="1"/>
  <c r="I18" i="11"/>
  <c r="I16" i="11"/>
  <c r="I14" i="11"/>
  <c r="I12" i="11"/>
  <c r="I10" i="11"/>
  <c r="E20" i="11" l="1"/>
  <c r="E18" i="11"/>
  <c r="E16" i="11"/>
  <c r="E14" i="11"/>
  <c r="E12" i="11"/>
  <c r="E10" i="11"/>
  <c r="E8" i="11"/>
  <c r="E6" i="11"/>
  <c r="E4" i="11"/>
  <c r="I7" i="1"/>
  <c r="I5" i="1"/>
  <c r="I11" i="1"/>
  <c r="I9" i="1"/>
  <c r="I6" i="1"/>
  <c r="I8" i="1"/>
  <c r="I10" i="1"/>
  <c r="K11" i="1"/>
  <c r="K7" i="1"/>
  <c r="K5" i="1"/>
  <c r="K6" i="1"/>
  <c r="K10" i="1"/>
  <c r="K9" i="1"/>
  <c r="K8" i="1"/>
</calcChain>
</file>

<file path=xl/sharedStrings.xml><?xml version="1.0" encoding="utf-8"?>
<sst xmlns="http://schemas.openxmlformats.org/spreadsheetml/2006/main" count="201" uniqueCount="149">
  <si>
    <t>RetTime</t>
  </si>
  <si>
    <t>Area</t>
  </si>
  <si>
    <t>%Area</t>
  </si>
  <si>
    <t>Cum%Area</t>
  </si>
  <si>
    <t>UV-Vis</t>
  </si>
  <si>
    <t>WL</t>
  </si>
  <si>
    <t>ID</t>
  </si>
  <si>
    <t>Path:</t>
  </si>
  <si>
    <t>Name:</t>
  </si>
  <si>
    <t>MW</t>
  </si>
  <si>
    <t>MS Positive</t>
  </si>
  <si>
    <t>MS Negative</t>
  </si>
  <si>
    <t>UV Peaks</t>
  </si>
  <si>
    <t>Pos/Neg</t>
  </si>
  <si>
    <t>Rank</t>
  </si>
  <si>
    <t>X</t>
  </si>
  <si>
    <t>Total number of peaks</t>
  </si>
  <si>
    <t>Total peak Area</t>
  </si>
  <si>
    <t>#</t>
  </si>
  <si>
    <t>%</t>
  </si>
  <si>
    <t>Cutoffs</t>
  </si>
  <si>
    <t>Peaks - UV</t>
  </si>
  <si>
    <t>Area - UV</t>
  </si>
  <si>
    <t>Peaks - Non-UV</t>
  </si>
  <si>
    <t>Area - Non-UV</t>
  </si>
  <si>
    <t>Red numbers are NOT linked to summary</t>
  </si>
  <si>
    <t>(min)</t>
  </si>
  <si>
    <t>(ratio)</t>
  </si>
  <si>
    <t>Class A</t>
  </si>
  <si>
    <t>Time</t>
  </si>
  <si>
    <t>x</t>
  </si>
  <si>
    <t>Height</t>
  </si>
  <si>
    <t>Peak</t>
  </si>
  <si>
    <t>210 nm</t>
  </si>
  <si>
    <t>254 nm</t>
  </si>
  <si>
    <t>MS Pos</t>
  </si>
  <si>
    <t>MS Neg</t>
  </si>
  <si>
    <t>210raw</t>
  </si>
  <si>
    <t>254raw</t>
  </si>
  <si>
    <t>Posraw</t>
  </si>
  <si>
    <t>Negraw</t>
  </si>
  <si>
    <t>Rel Height</t>
  </si>
  <si>
    <t>Inconclusive</t>
  </si>
  <si>
    <t>Unresolved</t>
  </si>
  <si>
    <r>
      <rPr>
        <b/>
        <sz val="11"/>
        <color theme="1"/>
        <rFont val="Calibri"/>
        <family val="2"/>
        <scheme val="minor"/>
      </rPr>
      <t>Step 1</t>
    </r>
    <r>
      <rPr>
        <sz val="11"/>
        <color theme="1"/>
        <rFont val="Calibri"/>
        <family val="2"/>
        <scheme val="minor"/>
      </rPr>
      <t>: Highlight label in list -----&gt;</t>
    </r>
  </si>
  <si>
    <r>
      <rPr>
        <b/>
        <sz val="11"/>
        <color theme="1"/>
        <rFont val="Calibri"/>
        <family val="2"/>
        <scheme val="minor"/>
      </rPr>
      <t>Step 2:</t>
    </r>
    <r>
      <rPr>
        <sz val="11"/>
        <color theme="1"/>
        <rFont val="Calibri"/>
        <family val="2"/>
        <scheme val="minor"/>
      </rPr>
      <t xml:space="preserve"> Click on a button below</t>
    </r>
  </si>
  <si>
    <t>Peaks - Hidden</t>
  </si>
  <si>
    <t>Exclude hidden peak area (0=No;1=Yes)</t>
  </si>
  <si>
    <t>Peak Label</t>
  </si>
  <si>
    <t>Class B</t>
  </si>
  <si>
    <t>Class C</t>
  </si>
  <si>
    <t>Class D</t>
  </si>
  <si>
    <t>Class E</t>
  </si>
  <si>
    <t>Class F</t>
  </si>
  <si>
    <t>Class G</t>
  </si>
  <si>
    <t>Class H</t>
  </si>
  <si>
    <t>Class I</t>
  </si>
  <si>
    <t>Class J</t>
  </si>
  <si>
    <t>Class K</t>
  </si>
  <si>
    <t>Class L</t>
  </si>
  <si>
    <t>Class M</t>
  </si>
  <si>
    <t>Class N</t>
  </si>
  <si>
    <t>Class O</t>
  </si>
  <si>
    <t>Class P</t>
  </si>
  <si>
    <t>Notes</t>
  </si>
  <si>
    <t>Class Q</t>
  </si>
  <si>
    <t>Class R</t>
  </si>
  <si>
    <t>Class S</t>
  </si>
  <si>
    <t>Class T</t>
  </si>
  <si>
    <t>Class U</t>
  </si>
  <si>
    <t>Class V</t>
  </si>
  <si>
    <t>Class W</t>
  </si>
  <si>
    <t>Class X</t>
  </si>
  <si>
    <t>Class Y</t>
  </si>
  <si>
    <t>Class Z</t>
  </si>
  <si>
    <t>Click Mode</t>
  </si>
  <si>
    <t>Relative Peak Threshold</t>
  </si>
  <si>
    <t>Absolute Peak Threshold</t>
  </si>
  <si>
    <t>Zap Peak Distance</t>
  </si>
  <si>
    <t>Relative Shoulder Threshold</t>
  </si>
  <si>
    <t>Absolute Shoulder Threshold</t>
  </si>
  <si>
    <t>Zap Shoulder Distance</t>
  </si>
  <si>
    <t>mAU</t>
  </si>
  <si>
    <t>nm</t>
  </si>
  <si>
    <t>Shoulder Sensitivity</t>
  </si>
  <si>
    <t>Slope Sensitivity</t>
  </si>
  <si>
    <t>To hide or show a particular class:</t>
  </si>
  <si>
    <t>Peak Label Settings</t>
  </si>
  <si>
    <t>Bogus Spectrum Sensitivity</t>
  </si>
  <si>
    <t>Bogus Spectrum Label</t>
  </si>
  <si>
    <t>Name</t>
  </si>
  <si>
    <t>Unique</t>
  </si>
  <si>
    <t>Retention Time</t>
  </si>
  <si>
    <t>Exact Mass</t>
  </si>
  <si>
    <t>Copy Table Settings</t>
  </si>
  <si>
    <t>Grid Options</t>
  </si>
  <si>
    <t>Auto Class and Database Lookup Settings</t>
  </si>
  <si>
    <t>Hash</t>
  </si>
  <si>
    <t>Root Mean Square</t>
  </si>
  <si>
    <t>Area Between Curves</t>
  </si>
  <si>
    <t>Kolmogorov-Smirnov</t>
  </si>
  <si>
    <t>Fréchet distance</t>
  </si>
  <si>
    <t>Euclidean Distance</t>
  </si>
  <si>
    <t>Sensitivity</t>
  </si>
  <si>
    <t>Range</t>
  </si>
  <si>
    <t>Algorithm for comparing UV-vis spectra</t>
  </si>
  <si>
    <t>Wavelengths of spectra to compare</t>
  </si>
  <si>
    <t>Retention Time Tolerance</t>
  </si>
  <si>
    <t>min</t>
  </si>
  <si>
    <t>Step</t>
  </si>
  <si>
    <t>Simplify</t>
  </si>
  <si>
    <t>RT</t>
  </si>
  <si>
    <t>Match</t>
  </si>
  <si>
    <t>l</t>
  </si>
  <si>
    <t>Down</t>
  </si>
  <si>
    <t>Up</t>
  </si>
  <si>
    <t>Wavelengths of spectra to search</t>
  </si>
  <si>
    <t>Max Rank</t>
  </si>
  <si>
    <t>Maximum Rank (return the 'n' largest peaks)</t>
  </si>
  <si>
    <t>Minimum absolute area of peak</t>
  </si>
  <si>
    <t>% Area</t>
  </si>
  <si>
    <t>Minimum percent of total peak area</t>
  </si>
  <si>
    <t>Minimum absolute peak height</t>
  </si>
  <si>
    <t>Minimum relative peak height (Largest peak = 100%)</t>
  </si>
  <si>
    <t>Min RT</t>
  </si>
  <si>
    <t>Minimum retention time (increase to avoid solvent front/early eluting peaks)</t>
  </si>
  <si>
    <t>Max RT</t>
  </si>
  <si>
    <t>Maximum retention time (decrease to avoid reequilibration artifacts/fats)</t>
  </si>
  <si>
    <t>Database "Add Peaks" Selection</t>
  </si>
  <si>
    <t>Maximum Database Hits to Display</t>
  </si>
  <si>
    <t>Filename</t>
  </si>
  <si>
    <t>Append to Database Peak Name</t>
  </si>
  <si>
    <t>Peak Name if no ID</t>
  </si>
  <si>
    <t>NovaC v1.90</t>
  </si>
  <si>
    <t>(02 Dec 2019)</t>
  </si>
  <si>
    <t>E:\HPLC 2 Data\13602_NCE222\13602_NCE222 2020-09-24 17-34-15\040-D1B-F4-_F3vF10.D</t>
  </si>
  <si>
    <t>_F3vF10</t>
  </si>
  <si>
    <t>WL(nm)</t>
  </si>
  <si>
    <t>246s</t>
  </si>
  <si>
    <t>304s</t>
  </si>
  <si>
    <t>340s</t>
  </si>
  <si>
    <t>344s</t>
  </si>
  <si>
    <t>1</t>
  </si>
  <si>
    <t>2</t>
  </si>
  <si>
    <t>3</t>
  </si>
  <si>
    <t>4</t>
  </si>
  <si>
    <t>5</t>
  </si>
  <si>
    <t>6</t>
  </si>
  <si>
    <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</si>
</sst>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3" x14ac:knownFonts="1">
    <font>
      <sz val="11"/>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b/>
      <sz val="11"/>
      <color theme="1"/>
      <name val="Calibri"/>
      <family val="2"/>
      <scheme val="minor"/>
    </font>
    <font>
      <b/>
      <sz val="11"/>
      <color rgb="FFFF0000"/>
      <name val="Calibri"/>
      <family val="2"/>
      <scheme val="minor"/>
    </font>
    <font>
      <b/>
      <sz val="11"/>
      <color rgb="FF0000FF"/>
      <name val="Calibri"/>
      <family val="2"/>
      <scheme val="minor"/>
    </font>
    <font>
      <b/>
      <sz val="11"/>
      <name val="Calibri"/>
      <family val="2"/>
      <scheme val="minor"/>
    </font>
    <font>
      <sz val="11"/>
      <color theme="1"/>
      <name val="Calibri"/>
      <family val="2"/>
      <scheme val="minor"/>
    </font>
    <font>
      <sz val="11"/>
      <color rgb="FFFF0000"/>
      <name val="Calibri"/>
      <family val="2"/>
      <scheme val="minor"/>
    </font>
    <font>
      <b/>
      <sz val="12"/>
      <color theme="1"/>
      <name val="Calibri"/>
      <family val="2"/>
      <scheme val="minor"/>
    </font>
    <font>
      <sz val="8"/>
      <color rgb="FF000000"/>
      <name val="Segoe UI"/>
      <family val="2"/>
    </font>
    <font>
      <b/>
      <sz val="12"/>
      <color rgb="FFFF0000"/>
      <name val="Calibri"/>
      <family val="2"/>
      <scheme val="minor"/>
    </font>
    <font>
      <b/>
      <sz val="14"/>
      <color rgb="FFFF0000"/>
      <name val="Calibri"/>
      <family val="2"/>
      <scheme val="minor"/>
    </font>
    <font>
      <i/>
      <sz val="11"/>
      <color theme="1"/>
      <name val="Calibri"/>
      <family val="2"/>
      <scheme val="minor"/>
    </font>
    <font>
      <b/>
      <sz val="14"/>
      <color rgb="FFFF0000"/>
      <name val="Calibri"/>
      <family val="2"/>
    </font>
    <font>
      <sz val="14"/>
      <color rgb="FF000000"/>
      <name val="Calibri"/>
      <family val="2"/>
    </font>
    <font>
      <sz val="16"/>
      <color rgb="FF000000"/>
      <name val="Calibri"/>
      <family val="2"/>
    </font>
    <font>
      <b/>
      <sz val="14"/>
      <color rgb="FF000000"/>
      <name val="Calibri"/>
      <family val="2"/>
    </font>
    <font>
      <sz val="10"/>
      <color theme="1"/>
      <name val="Calibri"/>
      <family val="2"/>
      <scheme val="minor"/>
    </font>
    <font>
      <sz val="8"/>
      <color rgb="FF000000"/>
      <name val="Calibri"/>
      <family val="2"/>
    </font>
    <font>
      <sz val="11"/>
      <name val="Calibri"/>
      <family val="2"/>
      <scheme val="minor"/>
    </font>
    <font>
      <b/>
      <sz val="11"/>
      <color theme="1"/>
      <name val="Symbol"/>
      <family val="1"/>
      <charset val="2"/>
    </font>
  </fonts>
  <fills count="4">
    <fill>
      <patternFill patternType="none"/>
    </fill>
    <fill>
      <patternFill patternType="gray125"/>
    </fill>
    <fill>
      <patternFill patternType="solid">
        <fgColor theme="7" tint="0.39994506668294322"/>
        <bgColor indexed="64"/>
      </patternFill>
    </fill>
    <fill>
      <patternFill patternType="solid">
        <fgColor theme="5" tint="0.39994506668294322"/>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style="medium">
        <color rgb="FF0000FF"/>
      </left>
      <right style="medium">
        <color rgb="FF0000FF"/>
      </right>
      <top style="medium">
        <color rgb="FF0000FF"/>
      </top>
      <bottom style="medium">
        <color rgb="FF0000FF"/>
      </bottom>
      <diagonal/>
    </border>
    <border>
      <left style="medium">
        <color rgb="FFFF0000"/>
      </left>
      <right style="medium">
        <color rgb="FFFF0000"/>
      </right>
      <top style="medium">
        <color rgb="FFFF0000"/>
      </top>
      <bottom style="medium">
        <color rgb="FFFF0000"/>
      </bottom>
      <diagonal/>
    </border>
    <border>
      <left/>
      <right/>
      <top style="medium">
        <color rgb="FF0000FF"/>
      </top>
      <bottom/>
      <diagonal/>
    </border>
    <border>
      <left style="medium">
        <color rgb="FF0000FF"/>
      </left>
      <right/>
      <top style="medium">
        <color rgb="FF0000FF"/>
      </top>
      <bottom/>
      <diagonal/>
    </border>
    <border>
      <left/>
      <right/>
      <top/>
      <bottom style="medium">
        <color rgb="FFFF0000"/>
      </bottom>
      <diagonal/>
    </border>
    <border>
      <left/>
      <right/>
      <top style="medium">
        <color rgb="FFFF0000"/>
      </top>
      <bottom/>
      <diagonal/>
    </border>
    <border>
      <left style="thin">
        <color theme="1"/>
      </left>
      <right style="medium">
        <color rgb="FFFF0000"/>
      </right>
      <top style="medium">
        <color rgb="FFFF0000"/>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auto="1"/>
      </left>
      <right/>
      <top/>
      <bottom style="medium">
        <color indexed="64"/>
      </bottom>
      <diagonal/>
    </border>
    <border>
      <left style="thin">
        <color auto="1"/>
      </left>
      <right/>
      <top/>
      <bottom/>
      <diagonal/>
    </border>
    <border>
      <left style="thin">
        <color auto="1"/>
      </left>
      <right/>
      <top style="medium">
        <color indexed="64"/>
      </top>
      <bottom style="medium">
        <color indexed="64"/>
      </bottom>
      <diagonal/>
    </border>
  </borders>
  <cellStyleXfs count="2">
    <xf numFmtId="0" fontId="0" fillId="0" borderId="0"/>
    <xf numFmtId="9" fontId="8" fillId="0" borderId="0" applyFont="0" applyFill="0" applyBorder="0" applyAlignment="0" applyProtection="0"/>
  </cellStyleXfs>
  <cellXfs count="132">
    <xf numFmtId="0" fontId="0" fillId="0" borderId="0" xfId="0"/>
    <xf numFmtId="0" fontId="0" fillId="0" borderId="0" xfId="0" applyBorder="1"/>
    <xf numFmtId="0" fontId="5" fillId="0" borderId="1" xfId="0" applyFont="1" applyBorder="1" applyAlignment="1">
      <alignment horizontal="center"/>
    </xf>
    <xf numFmtId="0" fontId="0" fillId="0" borderId="0" xfId="0" applyNumberFormat="1"/>
    <xf numFmtId="0" fontId="0" fillId="0" borderId="4" xfId="0" applyBorder="1"/>
    <xf numFmtId="0" fontId="4" fillId="0" borderId="0" xfId="0" applyFont="1"/>
    <xf numFmtId="0" fontId="9" fillId="0" borderId="5" xfId="0" applyFont="1" applyBorder="1" applyAlignment="1">
      <alignment horizontal="center"/>
    </xf>
    <xf numFmtId="0" fontId="9" fillId="0" borderId="0" xfId="0" applyFont="1"/>
    <xf numFmtId="0" fontId="1" fillId="0" borderId="0" xfId="0" applyFont="1" applyBorder="1" applyAlignment="1">
      <alignment horizontal="center" vertical="center"/>
    </xf>
    <xf numFmtId="0" fontId="4" fillId="0" borderId="0" xfId="0" applyFont="1" applyAlignment="1">
      <alignment horizontal="center"/>
    </xf>
    <xf numFmtId="0" fontId="4" fillId="0" borderId="0" xfId="0" applyFont="1" applyAlignment="1">
      <alignment horizontal="center"/>
    </xf>
    <xf numFmtId="0" fontId="0" fillId="0" borderId="12" xfId="0" applyBorder="1"/>
    <xf numFmtId="0" fontId="0" fillId="0" borderId="13" xfId="0" applyBorder="1"/>
    <xf numFmtId="0" fontId="4" fillId="0" borderId="11" xfId="0" applyFont="1" applyBorder="1" applyAlignment="1">
      <alignment horizontal="center"/>
    </xf>
    <xf numFmtId="0" fontId="12"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8" xfId="0" applyFont="1" applyBorder="1" applyAlignment="1">
      <alignment horizontal="center"/>
    </xf>
    <xf numFmtId="0" fontId="4" fillId="0" borderId="17" xfId="0" applyFont="1" applyBorder="1" applyAlignment="1">
      <alignment horizontal="center"/>
    </xf>
    <xf numFmtId="0" fontId="0" fillId="0" borderId="0" xfId="0" applyAlignment="1" applyProtection="1">
      <alignment horizontal="left"/>
      <protection locked="0" hidden="1"/>
    </xf>
    <xf numFmtId="0" fontId="0" fillId="0" borderId="0" xfId="0" applyAlignment="1" applyProtection="1">
      <alignment horizontal="center"/>
      <protection locked="0" hidden="1"/>
    </xf>
    <xf numFmtId="0" fontId="4" fillId="0" borderId="0" xfId="0" applyFont="1" applyBorder="1" applyProtection="1">
      <protection locked="0" hidden="1"/>
    </xf>
    <xf numFmtId="0" fontId="0" fillId="0" borderId="0" xfId="0" applyBorder="1" applyProtection="1">
      <protection locked="0" hidden="1"/>
    </xf>
    <xf numFmtId="0" fontId="0" fillId="0" borderId="0" xfId="0" applyProtection="1">
      <protection locked="0" hidden="1"/>
    </xf>
    <xf numFmtId="0" fontId="5" fillId="0" borderId="1" xfId="0" applyFont="1" applyBorder="1" applyAlignment="1" applyProtection="1">
      <alignment horizontal="center"/>
      <protection locked="0" hidden="1"/>
    </xf>
    <xf numFmtId="0" fontId="4" fillId="0" borderId="0" xfId="0" applyFont="1" applyBorder="1" applyAlignment="1" applyProtection="1">
      <alignment horizontal="center"/>
      <protection locked="0" hidden="1"/>
    </xf>
    <xf numFmtId="0" fontId="5" fillId="0" borderId="0" xfId="0" applyFont="1" applyAlignment="1" applyProtection="1">
      <alignment horizontal="center"/>
      <protection locked="0" hidden="1"/>
    </xf>
    <xf numFmtId="0" fontId="4" fillId="0" borderId="5" xfId="0" applyFont="1" applyBorder="1" applyAlignment="1" applyProtection="1">
      <alignment horizontal="left"/>
      <protection locked="0" hidden="1"/>
    </xf>
    <xf numFmtId="0" fontId="0" fillId="0" borderId="5" xfId="0" applyBorder="1" applyAlignment="1" applyProtection="1">
      <alignment horizontal="center"/>
      <protection locked="0" hidden="1"/>
    </xf>
    <xf numFmtId="0" fontId="0" fillId="0" borderId="0" xfId="0" applyBorder="1" applyAlignment="1" applyProtection="1">
      <alignment horizontal="center"/>
      <protection locked="0" hidden="1"/>
    </xf>
    <xf numFmtId="0" fontId="14" fillId="0" borderId="0" xfId="0" applyFont="1" applyAlignment="1" applyProtection="1">
      <alignment horizontal="center"/>
      <protection locked="0" hidden="1"/>
    </xf>
    <xf numFmtId="0" fontId="1" fillId="0" borderId="0" xfId="0" applyFont="1" applyAlignment="1" applyProtection="1">
      <alignment horizontal="left"/>
      <protection locked="0" hidden="1"/>
    </xf>
    <xf numFmtId="0" fontId="1" fillId="0" borderId="0" xfId="0" applyFont="1" applyAlignment="1" applyProtection="1">
      <alignment horizontal="center"/>
      <protection locked="0" hidden="1"/>
    </xf>
    <xf numFmtId="0" fontId="2" fillId="0" borderId="0" xfId="0" applyFont="1" applyAlignment="1" applyProtection="1">
      <alignment horizontal="center" vertical="center"/>
      <protection locked="0" hidden="1"/>
    </xf>
    <xf numFmtId="2" fontId="2" fillId="0" borderId="0" xfId="0" applyNumberFormat="1" applyFont="1" applyAlignment="1" applyProtection="1">
      <alignment horizontal="center" vertical="center"/>
      <protection locked="0" hidden="1"/>
    </xf>
    <xf numFmtId="164" fontId="2" fillId="0" borderId="0" xfId="0" applyNumberFormat="1" applyFont="1" applyAlignment="1" applyProtection="1">
      <alignment horizontal="center" vertical="center"/>
      <protection locked="0" hidden="1"/>
    </xf>
    <xf numFmtId="1" fontId="2" fillId="0" borderId="0" xfId="0" applyNumberFormat="1" applyFont="1" applyAlignment="1" applyProtection="1">
      <alignment horizontal="center" vertical="center"/>
      <protection locked="0" hidden="1"/>
    </xf>
    <xf numFmtId="0" fontId="2" fillId="0" borderId="0" xfId="0" applyFont="1" applyAlignment="1" applyProtection="1">
      <alignment horizontal="center" vertical="center" wrapText="1"/>
      <protection locked="0" hidden="1"/>
    </xf>
    <xf numFmtId="164" fontId="2" fillId="0" borderId="0" xfId="0" applyNumberFormat="1" applyFont="1" applyAlignment="1" applyProtection="1">
      <alignment horizontal="center" vertical="center" wrapText="1"/>
      <protection locked="0" hidden="1"/>
    </xf>
    <xf numFmtId="0" fontId="9" fillId="0" borderId="0" xfId="0" quotePrefix="1" applyFont="1" applyBorder="1" applyAlignment="1">
      <alignment horizontal="center"/>
    </xf>
    <xf numFmtId="0" fontId="5" fillId="0" borderId="0" xfId="0" applyFont="1" applyBorder="1" applyAlignment="1">
      <alignment horizontal="center"/>
    </xf>
    <xf numFmtId="0" fontId="4" fillId="0" borderId="0" xfId="0" applyFont="1" applyAlignment="1" applyProtection="1">
      <alignment horizontal="center"/>
      <protection locked="0" hidden="1"/>
    </xf>
    <xf numFmtId="0" fontId="0" fillId="0" borderId="12" xfId="0" applyBorder="1" applyProtection="1">
      <protection locked="0" hidden="1"/>
    </xf>
    <xf numFmtId="0" fontId="0" fillId="0" borderId="13" xfId="0" applyBorder="1" applyProtection="1">
      <protection locked="0" hidden="1"/>
    </xf>
    <xf numFmtId="0" fontId="9" fillId="0" borderId="0" xfId="0" quotePrefix="1" applyFont="1" applyBorder="1" applyAlignment="1" applyProtection="1">
      <alignment horizontal="center"/>
      <protection locked="0" hidden="1"/>
    </xf>
    <xf numFmtId="0" fontId="5" fillId="0" borderId="0" xfId="0" applyFont="1" applyBorder="1" applyAlignment="1" applyProtection="1">
      <alignment horizontal="center"/>
      <protection locked="0" hidden="1"/>
    </xf>
    <xf numFmtId="0" fontId="4" fillId="0" borderId="0" xfId="0" applyFont="1" applyProtection="1">
      <protection locked="0" hidden="1"/>
    </xf>
    <xf numFmtId="49" fontId="2" fillId="0" borderId="0" xfId="0" applyNumberFormat="1" applyFont="1" applyAlignment="1" applyProtection="1">
      <alignment horizontal="center" vertical="center"/>
      <protection locked="0" hidden="1"/>
    </xf>
    <xf numFmtId="0" fontId="0" fillId="0" borderId="2" xfId="0" applyBorder="1"/>
    <xf numFmtId="0" fontId="4" fillId="0" borderId="0" xfId="0" applyFont="1" applyBorder="1"/>
    <xf numFmtId="0" fontId="0" fillId="0" borderId="0" xfId="0" applyFont="1" applyBorder="1" applyProtection="1">
      <protection locked="0" hidden="1"/>
    </xf>
    <xf numFmtId="0" fontId="9" fillId="0" borderId="0" xfId="0" applyFont="1" applyBorder="1" applyAlignment="1" applyProtection="1">
      <alignment horizontal="center"/>
      <protection locked="0" hidden="1"/>
    </xf>
    <xf numFmtId="0" fontId="6" fillId="0" borderId="19" xfId="0" applyFont="1" applyBorder="1"/>
    <xf numFmtId="0" fontId="0" fillId="0" borderId="7" xfId="0" applyBorder="1"/>
    <xf numFmtId="0" fontId="0" fillId="0" borderId="20" xfId="0" applyBorder="1"/>
    <xf numFmtId="0" fontId="0" fillId="0" borderId="11" xfId="0" applyBorder="1"/>
    <xf numFmtId="0" fontId="4" fillId="0" borderId="21" xfId="0" applyFont="1" applyBorder="1"/>
    <xf numFmtId="0" fontId="4" fillId="0" borderId="20" xfId="0" applyFont="1" applyBorder="1"/>
    <xf numFmtId="0" fontId="0" fillId="0" borderId="22" xfId="0" applyBorder="1"/>
    <xf numFmtId="0" fontId="0" fillId="0" borderId="8" xfId="0" applyBorder="1"/>
    <xf numFmtId="0" fontId="0" fillId="0" borderId="23" xfId="0" applyBorder="1"/>
    <xf numFmtId="0" fontId="4" fillId="0" borderId="3" xfId="0" applyFont="1" applyBorder="1"/>
    <xf numFmtId="0" fontId="0" fillId="0" borderId="0" xfId="0" applyProtection="1">
      <protection hidden="1"/>
    </xf>
    <xf numFmtId="0" fontId="10" fillId="0" borderId="0" xfId="0" applyFont="1" applyAlignment="1" applyProtection="1">
      <alignment horizontal="center"/>
      <protection hidden="1"/>
    </xf>
    <xf numFmtId="0" fontId="4" fillId="0" borderId="0" xfId="0" applyFont="1" applyAlignment="1" applyProtection="1">
      <alignment horizontal="center"/>
      <protection hidden="1"/>
    </xf>
    <xf numFmtId="0" fontId="5" fillId="0" borderId="0" xfId="0" applyFont="1" applyAlignment="1" applyProtection="1">
      <alignment horizontal="center"/>
      <protection hidden="1"/>
    </xf>
    <xf numFmtId="0" fontId="4" fillId="0" borderId="6" xfId="0" applyFont="1" applyBorder="1" applyProtection="1">
      <protection hidden="1"/>
    </xf>
    <xf numFmtId="0" fontId="0" fillId="0" borderId="5" xfId="0" applyBorder="1" applyProtection="1">
      <protection hidden="1"/>
    </xf>
    <xf numFmtId="165" fontId="0" fillId="0" borderId="0" xfId="1" applyNumberFormat="1" applyFont="1" applyBorder="1" applyProtection="1">
      <protection hidden="1"/>
    </xf>
    <xf numFmtId="164" fontId="0" fillId="0" borderId="5" xfId="0" applyNumberFormat="1" applyBorder="1" applyProtection="1">
      <protection hidden="1"/>
    </xf>
    <xf numFmtId="0" fontId="4" fillId="0" borderId="5" xfId="0" applyFont="1" applyBorder="1" applyProtection="1">
      <protection hidden="1"/>
    </xf>
    <xf numFmtId="0" fontId="0" fillId="0" borderId="5" xfId="0" applyBorder="1" applyAlignment="1" applyProtection="1">
      <alignment horizontal="center"/>
      <protection hidden="1"/>
    </xf>
    <xf numFmtId="165" fontId="0" fillId="0" borderId="5" xfId="0" applyNumberFormat="1" applyBorder="1" applyAlignment="1" applyProtection="1">
      <alignment horizontal="center"/>
      <protection hidden="1"/>
    </xf>
    <xf numFmtId="165" fontId="0" fillId="0" borderId="5" xfId="1" applyNumberFormat="1" applyFont="1" applyBorder="1" applyProtection="1">
      <protection hidden="1"/>
    </xf>
    <xf numFmtId="0" fontId="0" fillId="0" borderId="0" xfId="0" applyAlignment="1" applyProtection="1">
      <alignment horizontal="center"/>
      <protection hidden="1"/>
    </xf>
    <xf numFmtId="0" fontId="0" fillId="0" borderId="0" xfId="0" applyBorder="1" applyProtection="1">
      <protection hidden="1"/>
    </xf>
    <xf numFmtId="0" fontId="9" fillId="0" borderId="0" xfId="0" applyFont="1" applyBorder="1" applyAlignment="1" applyProtection="1">
      <alignment horizontal="center"/>
      <protection hidden="1"/>
    </xf>
    <xf numFmtId="0" fontId="4" fillId="0" borderId="0" xfId="0" applyFont="1" applyProtection="1">
      <protection hidden="1"/>
    </xf>
    <xf numFmtId="0" fontId="4" fillId="0" borderId="0" xfId="0" applyFont="1" applyBorder="1" applyProtection="1">
      <protection hidden="1"/>
    </xf>
    <xf numFmtId="0" fontId="0" fillId="0" borderId="0" xfId="0" applyBorder="1" applyAlignment="1" applyProtection="1">
      <alignment horizontal="center"/>
      <protection hidden="1"/>
    </xf>
    <xf numFmtId="165" fontId="0" fillId="0" borderId="0" xfId="0" applyNumberFormat="1" applyBorder="1" applyAlignment="1" applyProtection="1">
      <alignment horizontal="center"/>
      <protection hidden="1"/>
    </xf>
    <xf numFmtId="0" fontId="9" fillId="0" borderId="5" xfId="0" applyFont="1" applyBorder="1" applyAlignment="1" applyProtection="1">
      <alignment horizontal="center"/>
      <protection locked="0" hidden="1"/>
    </xf>
    <xf numFmtId="0" fontId="5" fillId="0" borderId="5" xfId="0" applyFont="1" applyBorder="1" applyAlignment="1" applyProtection="1">
      <alignment horizontal="center" vertical="center"/>
      <protection locked="0" hidden="1"/>
    </xf>
    <xf numFmtId="0" fontId="4" fillId="0" borderId="0" xfId="0" applyFont="1" applyAlignment="1">
      <alignment horizontal="left"/>
    </xf>
    <xf numFmtId="0" fontId="0" fillId="0" borderId="24" xfId="0" applyBorder="1"/>
    <xf numFmtId="0" fontId="0" fillId="0" borderId="25" xfId="0" applyBorder="1"/>
    <xf numFmtId="0" fontId="19" fillId="0" borderId="0" xfId="0" applyFont="1" applyBorder="1" applyAlignment="1">
      <alignment horizontal="center"/>
    </xf>
    <xf numFmtId="0" fontId="4" fillId="0" borderId="1" xfId="0" applyFont="1" applyBorder="1" applyAlignment="1">
      <alignment horizontal="center"/>
    </xf>
    <xf numFmtId="0" fontId="19" fillId="0" borderId="0" xfId="0" applyFont="1" applyBorder="1" applyAlignment="1">
      <alignment horizontal="left"/>
    </xf>
    <xf numFmtId="0" fontId="21" fillId="0" borderId="0" xfId="0" applyFont="1" applyBorder="1" applyAlignment="1" applyProtection="1">
      <alignment horizontal="center"/>
      <protection locked="0" hidden="1"/>
    </xf>
    <xf numFmtId="0" fontId="4" fillId="0" borderId="0" xfId="0" applyFont="1" applyAlignment="1" applyProtection="1">
      <alignment horizontal="right"/>
      <protection locked="0" hidden="1"/>
    </xf>
    <xf numFmtId="0" fontId="22" fillId="0" borderId="0" xfId="0" applyFont="1" applyAlignment="1" applyProtection="1">
      <alignment horizontal="right"/>
      <protection locked="0" hidden="1"/>
    </xf>
    <xf numFmtId="2" fontId="5" fillId="0" borderId="1" xfId="0" applyNumberFormat="1" applyFont="1" applyBorder="1" applyAlignment="1" applyProtection="1">
      <alignment horizontal="center"/>
      <protection locked="0" hidden="1"/>
    </xf>
    <xf numFmtId="0" fontId="6" fillId="0" borderId="20" xfId="0" applyFont="1" applyBorder="1"/>
    <xf numFmtId="0" fontId="5" fillId="0" borderId="1" xfId="0" applyFont="1" applyFill="1" applyBorder="1" applyAlignment="1">
      <alignment horizontal="center"/>
    </xf>
    <xf numFmtId="0" fontId="5" fillId="0" borderId="28" xfId="0" applyFont="1" applyFill="1" applyBorder="1" applyAlignment="1">
      <alignment horizontal="center"/>
    </xf>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8" xfId="0" applyBorder="1"/>
    <xf numFmtId="0" fontId="6" fillId="0" borderId="0" xfId="0" applyFont="1" applyBorder="1"/>
    <xf numFmtId="0" fontId="0" fillId="0" borderId="0" xfId="0" applyAlignment="1">
      <alignment horizontal="center"/>
    </xf>
    <xf numFmtId="0" fontId="5"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vertical="center"/>
    </xf>
    <xf numFmtId="0" fontId="0" fillId="0" borderId="8" xfId="0" applyBorder="1" applyAlignment="1">
      <alignment horizontal="center"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5" fillId="0" borderId="3" xfId="0" applyFont="1" applyBorder="1" applyAlignment="1" applyProtection="1">
      <alignment horizontal="center"/>
      <protection locked="0" hidden="1"/>
    </xf>
    <xf numFmtId="0" fontId="0" fillId="0" borderId="2" xfId="0" applyBorder="1" applyAlignment="1" applyProtection="1">
      <alignment horizontal="center"/>
      <protection locked="0" hidden="1"/>
    </xf>
    <xf numFmtId="0" fontId="4" fillId="0" borderId="26" xfId="0" applyFont="1" applyFill="1" applyBorder="1" applyAlignment="1">
      <alignment horizontal="left"/>
    </xf>
    <xf numFmtId="0" fontId="4" fillId="0" borderId="27" xfId="0" applyFont="1" applyFill="1" applyBorder="1" applyAlignment="1">
      <alignment horizontal="left"/>
    </xf>
    <xf numFmtId="0" fontId="4" fillId="0" borderId="26" xfId="0" applyFont="1" applyBorder="1" applyAlignment="1">
      <alignment horizontal="left"/>
    </xf>
    <xf numFmtId="0" fontId="4" fillId="0" borderId="27" xfId="0" applyFont="1" applyBorder="1" applyAlignment="1">
      <alignment horizontal="left"/>
    </xf>
    <xf numFmtId="11" fontId="0" fillId="0" borderId="0" xfId="0" applyNumberFormat="1"/>
    <xf numFmtId="0" fontId="0" fillId="0" borderId="0" xfId="0" applyFill="1" applyBorder="1" applyAlignment="1">
      <alignment horizontal="center"/>
    </xf>
    <xf numFmtId="0" fontId="6" fillId="0" borderId="0" xfId="0" applyFont="1" applyFill="1" applyBorder="1" applyAlignment="1">
      <alignment horizontal="center"/>
    </xf>
    <xf numFmtId="0" fontId="5" fillId="0" borderId="0" xfId="0" applyFont="1" applyFill="1" applyBorder="1" applyAlignment="1">
      <alignment horizontal="center"/>
    </xf>
    <xf numFmtId="0" fontId="0" fillId="0" borderId="0" xfId="0" applyFill="1" applyBorder="1"/>
    <xf numFmtId="0" fontId="7" fillId="0" borderId="0" xfId="0" applyFont="1" applyFill="1" applyBorder="1" applyAlignment="1">
      <alignment horizontal="left"/>
    </xf>
    <xf numFmtId="0" fontId="0" fillId="0" borderId="0" xfId="0" applyFill="1" applyBorder="1" applyAlignment="1">
      <alignment horizontal="right"/>
    </xf>
    <xf numFmtId="0" fontId="4" fillId="0" borderId="0" xfId="0" applyFont="1" applyFill="1" applyBorder="1"/>
    <xf numFmtId="0" fontId="19" fillId="0" borderId="35" xfId="0" applyFont="1" applyBorder="1" applyAlignment="1">
      <alignment horizontal="left"/>
    </xf>
    <xf numFmtId="0" fontId="4" fillId="0" borderId="36" xfId="0" applyFont="1" applyBorder="1"/>
    <xf numFmtId="0" fontId="0" fillId="0" borderId="35" xfId="0" applyBorder="1"/>
    <xf numFmtId="0" fontId="4" fillId="0" borderId="35" xfId="0" applyFont="1" applyFill="1" applyBorder="1"/>
    <xf numFmtId="0" fontId="0" fillId="0" borderId="34" xfId="0" applyFill="1" applyBorder="1"/>
    <xf numFmtId="2" fontId="2" fillId="2" borderId="0" xfId="0" applyNumberFormat="1" applyFont="1" applyFill="1" applyAlignment="1" applyProtection="1">
      <alignment horizontal="center" vertical="center"/>
      <protection locked="0" hidden="1"/>
    </xf>
    <xf numFmtId="2" fontId="2" fillId="3" borderId="0" xfId="0" applyNumberFormat="1" applyFont="1" applyFill="1" applyAlignment="1" applyProtection="1">
      <alignment horizontal="center" vertical="center"/>
      <protection locked="0" hidden="1"/>
    </xf>
  </cellXfs>
  <cellStyles count="2">
    <cellStyle name="Normal" xfId="0" builtinId="0"/>
    <cellStyle name="Percent" xfId="1" builtinId="5"/>
  </cellStyles>
  <dxfs count="2">
    <dxf>
      <fill>
        <patternFill>
          <bgColor rgb="FFFF8989"/>
        </patternFill>
      </fill>
    </dxf>
    <dxf>
      <fill>
        <patternFill>
          <bgColor theme="4" tint="0.39994506668294322"/>
        </patternFill>
      </fill>
    </dxf>
  </dxfs>
  <tableStyles count="0" defaultTableStyle="TableStyleMedium2" defaultPivotStyle="PivotStyleLight16"/>
  <colors>
    <mruColors>
      <color rgb="FF0000FF"/>
      <color rgb="FFFF8989"/>
      <color rgb="FFFF33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9A2299FA-6DD3-4338-8094-B4EFABE598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0E0-4B63-BDFD-45CEF666A6B2}"/>
                </c:ext>
              </c:extLst>
            </c:dLbl>
            <c:dLbl>
              <c:idx val="1"/>
              <c:tx>
                <c:rich>
                  <a:bodyPr/>
                  <a:lstStyle/>
                  <a:p>
                    <a:fld id="{4FB7F1B6-2773-4E46-8CC6-9227A953F9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0E0-4B63-BDFD-45CEF666A6B2}"/>
                </c:ext>
              </c:extLst>
            </c:dLbl>
            <c:dLbl>
              <c:idx val="2"/>
              <c:tx>
                <c:rich>
                  <a:bodyPr/>
                  <a:lstStyle/>
                  <a:p>
                    <a:fld id="{7A2BE8A1-40C9-409A-9F50-0578D379E0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0E0-4B63-BDFD-45CEF666A6B2}"/>
                </c:ext>
              </c:extLst>
            </c:dLbl>
            <c:dLbl>
              <c:idx val="3"/>
              <c:tx>
                <c:rich>
                  <a:bodyPr/>
                  <a:lstStyle/>
                  <a:p>
                    <a:fld id="{433AC906-BF80-498F-A4E7-BD7D87C77D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0E0-4B63-BDFD-45CEF666A6B2}"/>
                </c:ext>
              </c:extLst>
            </c:dLbl>
            <c:dLbl>
              <c:idx val="4"/>
              <c:tx>
                <c:rich>
                  <a:bodyPr/>
                  <a:lstStyle/>
                  <a:p>
                    <a:fld id="{7C6B1611-9FC8-43F9-8D51-0CE5EF4BC1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0E0-4B63-BDFD-45CEF666A6B2}"/>
                </c:ext>
              </c:extLst>
            </c:dLbl>
            <c:dLbl>
              <c:idx val="5"/>
              <c:tx>
                <c:rich>
                  <a:bodyPr/>
                  <a:lstStyle/>
                  <a:p>
                    <a:fld id="{A62B1C86-730E-46C2-90AC-F81A493BDC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0E0-4B63-BDFD-45CEF666A6B2}"/>
                </c:ext>
              </c:extLst>
            </c:dLbl>
            <c:dLbl>
              <c:idx val="6"/>
              <c:tx>
                <c:rich>
                  <a:bodyPr/>
                  <a:lstStyle/>
                  <a:p>
                    <a:fld id="{E7358631-94F9-44A3-9572-276784A306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0E0-4B63-BDFD-45CEF666A6B2}"/>
                </c:ext>
              </c:extLst>
            </c:dLbl>
            <c:dLbl>
              <c:idx val="7"/>
              <c:tx>
                <c:rich>
                  <a:bodyPr/>
                  <a:lstStyle/>
                  <a:p>
                    <a:fld id="{CF3602F6-5E63-4F12-81C0-9246363BAA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0E0-4B63-BDFD-45CEF666A6B2}"/>
                </c:ext>
              </c:extLst>
            </c:dLbl>
            <c:dLbl>
              <c:idx val="8"/>
              <c:tx>
                <c:rich>
                  <a:bodyPr/>
                  <a:lstStyle/>
                  <a:p>
                    <a:fld id="{632A7461-5796-40EA-89E6-59089E9AE5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0E0-4B63-BDFD-45CEF666A6B2}"/>
                </c:ext>
              </c:extLst>
            </c:dLbl>
            <c:dLbl>
              <c:idx val="9"/>
              <c:tx>
                <c:rich>
                  <a:bodyPr/>
                  <a:lstStyle/>
                  <a:p>
                    <a:fld id="{D82EAFEF-5DFF-4AAD-B073-361DFB0B3C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0E0-4B63-BDFD-45CEF666A6B2}"/>
                </c:ext>
              </c:extLst>
            </c:dLbl>
            <c:dLbl>
              <c:idx val="10"/>
              <c:tx>
                <c:rich>
                  <a:bodyPr/>
                  <a:lstStyle/>
                  <a:p>
                    <a:fld id="{69AC4C52-A199-482C-8CF1-3860603D15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0E0-4B63-BDFD-45CEF666A6B2}"/>
                </c:ext>
              </c:extLst>
            </c:dLbl>
            <c:dLbl>
              <c:idx val="11"/>
              <c:tx>
                <c:rich>
                  <a:bodyPr/>
                  <a:lstStyle/>
                  <a:p>
                    <a:fld id="{074D1691-4957-4FC7-BB01-4873ACCE20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0E0-4B63-BDFD-45CEF666A6B2}"/>
                </c:ext>
              </c:extLst>
            </c:dLbl>
            <c:dLbl>
              <c:idx val="12"/>
              <c:tx>
                <c:rich>
                  <a:bodyPr/>
                  <a:lstStyle/>
                  <a:p>
                    <a:fld id="{18D1057E-87E0-47A9-AD22-32E9B13CBA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0E0-4B63-BDFD-45CEF666A6B2}"/>
                </c:ext>
              </c:extLst>
            </c:dLbl>
            <c:dLbl>
              <c:idx val="13"/>
              <c:tx>
                <c:rich>
                  <a:bodyPr/>
                  <a:lstStyle/>
                  <a:p>
                    <a:fld id="{832387F8-327B-4125-B984-8AFD477F3E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0E0-4B63-BDFD-45CEF666A6B2}"/>
                </c:ext>
              </c:extLst>
            </c:dLbl>
            <c:dLbl>
              <c:idx val="14"/>
              <c:tx>
                <c:rich>
                  <a:bodyPr/>
                  <a:lstStyle/>
                  <a:p>
                    <a:fld id="{E1F15115-99B9-4FB8-83F1-AC725AD708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0E0-4B63-BDFD-45CEF666A6B2}"/>
                </c:ext>
              </c:extLst>
            </c:dLbl>
            <c:dLbl>
              <c:idx val="15"/>
              <c:tx>
                <c:rich>
                  <a:bodyPr/>
                  <a:lstStyle/>
                  <a:p>
                    <a:fld id="{CEC20506-4497-4B7A-9002-3D2E257F8D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0E0-4B63-BDFD-45CEF666A6B2}"/>
                </c:ext>
              </c:extLst>
            </c:dLbl>
            <c:dLbl>
              <c:idx val="16"/>
              <c:tx>
                <c:rich>
                  <a:bodyPr/>
                  <a:lstStyle/>
                  <a:p>
                    <a:fld id="{970833D6-F1E0-43E8-B3FE-F3416A84A3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0E0-4B63-BDFD-45CEF666A6B2}"/>
                </c:ext>
              </c:extLst>
            </c:dLbl>
            <c:dLbl>
              <c:idx val="17"/>
              <c:tx>
                <c:rich>
                  <a:bodyPr/>
                  <a:lstStyle/>
                  <a:p>
                    <a:fld id="{0B38EF7C-B8F6-49A2-BCAA-96D429AC39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0E0-4B63-BDFD-45CEF666A6B2}"/>
                </c:ext>
              </c:extLst>
            </c:dLbl>
            <c:dLbl>
              <c:idx val="18"/>
              <c:tx>
                <c:rich>
                  <a:bodyPr/>
                  <a:lstStyle/>
                  <a:p>
                    <a:fld id="{94063387-7172-48F8-A60E-7DB0A5B488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0E0-4B63-BDFD-45CEF666A6B2}"/>
                </c:ext>
              </c:extLst>
            </c:dLbl>
            <c:dLbl>
              <c:idx val="19"/>
              <c:tx>
                <c:rich>
                  <a:bodyPr/>
                  <a:lstStyle/>
                  <a:p>
                    <a:fld id="{8071D206-89BB-4275-BBF2-BB73276EE1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0E0-4B63-BDFD-45CEF666A6B2}"/>
                </c:ext>
              </c:extLst>
            </c:dLbl>
            <c:dLbl>
              <c:idx val="20"/>
              <c:tx>
                <c:rich>
                  <a:bodyPr/>
                  <a:lstStyle/>
                  <a:p>
                    <a:fld id="{DE7D6056-B8DE-42DD-B873-E880B21190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0E0-4B63-BDFD-45CEF666A6B2}"/>
                </c:ext>
              </c:extLst>
            </c:dLbl>
            <c:dLbl>
              <c:idx val="21"/>
              <c:tx>
                <c:rich>
                  <a:bodyPr/>
                  <a:lstStyle/>
                  <a:p>
                    <a:fld id="{8B615BE8-8C1A-4427-8433-82230B0FFD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0E0-4B63-BDFD-45CEF666A6B2}"/>
                </c:ext>
              </c:extLst>
            </c:dLbl>
            <c:dLbl>
              <c:idx val="22"/>
              <c:tx>
                <c:rich>
                  <a:bodyPr/>
                  <a:lstStyle/>
                  <a:p>
                    <a:fld id="{757365F9-4B6B-4FEE-A06D-561DD9570D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0E0-4B63-BDFD-45CEF666A6B2}"/>
                </c:ext>
              </c:extLst>
            </c:dLbl>
            <c:dLbl>
              <c:idx val="23"/>
              <c:tx>
                <c:rich>
                  <a:bodyPr/>
                  <a:lstStyle/>
                  <a:p>
                    <a:fld id="{F0724BC9-19C9-40ED-BFE8-89DB9AE3BB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0E0-4B63-BDFD-45CEF666A6B2}"/>
                </c:ext>
              </c:extLst>
            </c:dLbl>
            <c:dLbl>
              <c:idx val="24"/>
              <c:tx>
                <c:rich>
                  <a:bodyPr/>
                  <a:lstStyle/>
                  <a:p>
                    <a:fld id="{8793197A-C292-4D68-863B-DD87CF8B52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0E0-4B63-BDFD-45CEF666A6B2}"/>
                </c:ext>
              </c:extLst>
            </c:dLbl>
            <c:dLbl>
              <c:idx val="25"/>
              <c:tx>
                <c:rich>
                  <a:bodyPr/>
                  <a:lstStyle/>
                  <a:p>
                    <a:fld id="{4C2CCC37-B87E-488F-B83C-067BDE38C6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0E0-4B63-BDFD-45CEF666A6B2}"/>
                </c:ext>
              </c:extLst>
            </c:dLbl>
            <c:dLbl>
              <c:idx val="26"/>
              <c:tx>
                <c:rich>
                  <a:bodyPr/>
                  <a:lstStyle/>
                  <a:p>
                    <a:fld id="{BF50046D-E9B5-42B6-A127-FA4EDC47F0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0E0-4B63-BDFD-45CEF666A6B2}"/>
                </c:ext>
              </c:extLst>
            </c:dLbl>
            <c:dLbl>
              <c:idx val="27"/>
              <c:tx>
                <c:rich>
                  <a:bodyPr/>
                  <a:lstStyle/>
                  <a:p>
                    <a:fld id="{708F393D-0B99-4257-8A5A-773F51B04A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0E0-4B63-BDFD-45CEF666A6B2}"/>
                </c:ext>
              </c:extLst>
            </c:dLbl>
            <c:dLbl>
              <c:idx val="28"/>
              <c:tx>
                <c:rich>
                  <a:bodyPr/>
                  <a:lstStyle/>
                  <a:p>
                    <a:fld id="{39C36BB0-8F47-494F-9AB5-19BF51CB2D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0E0-4B63-BDFD-45CEF666A6B2}"/>
                </c:ext>
              </c:extLst>
            </c:dLbl>
            <c:dLbl>
              <c:idx val="29"/>
              <c:tx>
                <c:rich>
                  <a:bodyPr/>
                  <a:lstStyle/>
                  <a:p>
                    <a:fld id="{C1DC9347-FDB9-478D-8447-96FC0C6061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0E0-4B63-BDFD-45CEF666A6B2}"/>
                </c:ext>
              </c:extLst>
            </c:dLbl>
            <c:dLbl>
              <c:idx val="30"/>
              <c:tx>
                <c:rich>
                  <a:bodyPr/>
                  <a:lstStyle/>
                  <a:p>
                    <a:fld id="{5379AD82-5757-48FE-AE0F-CBB5F0E98D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0E0-4B63-BDFD-45CEF666A6B2}"/>
                </c:ext>
              </c:extLst>
            </c:dLbl>
            <c:dLbl>
              <c:idx val="31"/>
              <c:tx>
                <c:rich>
                  <a:bodyPr/>
                  <a:lstStyle/>
                  <a:p>
                    <a:fld id="{71F64CD5-FB8B-48C6-89E6-FFFB919165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0E0-4B63-BDFD-45CEF666A6B2}"/>
                </c:ext>
              </c:extLst>
            </c:dLbl>
            <c:dLbl>
              <c:idx val="32"/>
              <c:tx>
                <c:rich>
                  <a:bodyPr/>
                  <a:lstStyle/>
                  <a:p>
                    <a:fld id="{DC4F09A7-3C64-4992-A1A4-AD3ACFFD2E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0E0-4B63-BDFD-45CEF666A6B2}"/>
                </c:ext>
              </c:extLst>
            </c:dLbl>
            <c:dLbl>
              <c:idx val="33"/>
              <c:tx>
                <c:rich>
                  <a:bodyPr/>
                  <a:lstStyle/>
                  <a:p>
                    <a:fld id="{C4488547-5645-4E6F-95CB-125D5CEAC1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0E0-4B63-BDFD-45CEF666A6B2}"/>
                </c:ext>
              </c:extLst>
            </c:dLbl>
            <c:dLbl>
              <c:idx val="34"/>
              <c:tx>
                <c:rich>
                  <a:bodyPr/>
                  <a:lstStyle/>
                  <a:p>
                    <a:fld id="{06CFFBBC-D4A1-406C-9656-A828C2EA83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0E0-4B63-BDFD-45CEF666A6B2}"/>
                </c:ext>
              </c:extLst>
            </c:dLbl>
            <c:dLbl>
              <c:idx val="35"/>
              <c:tx>
                <c:rich>
                  <a:bodyPr/>
                  <a:lstStyle/>
                  <a:p>
                    <a:fld id="{81447EA9-0B01-4CBC-B5C0-F6632B45D1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0E0-4B63-BDFD-45CEF666A6B2}"/>
                </c:ext>
              </c:extLst>
            </c:dLbl>
            <c:dLbl>
              <c:idx val="36"/>
              <c:tx>
                <c:rich>
                  <a:bodyPr/>
                  <a:lstStyle/>
                  <a:p>
                    <a:fld id="{660717C7-66BC-4B6B-B098-4A728D8F56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0E0-4B63-BDFD-45CEF666A6B2}"/>
                </c:ext>
              </c:extLst>
            </c:dLbl>
            <c:dLbl>
              <c:idx val="37"/>
              <c:tx>
                <c:rich>
                  <a:bodyPr/>
                  <a:lstStyle/>
                  <a:p>
                    <a:fld id="{D6DEFE3D-4FB7-439E-B8AB-C5732DC05D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0E0-4B63-BDFD-45CEF666A6B2}"/>
                </c:ext>
              </c:extLst>
            </c:dLbl>
            <c:dLbl>
              <c:idx val="38"/>
              <c:tx>
                <c:rich>
                  <a:bodyPr/>
                  <a:lstStyle/>
                  <a:p>
                    <a:fld id="{0E4E8D9C-3BFD-4858-AD06-9E0CEEE116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0E0-4B63-BDFD-45CEF666A6B2}"/>
                </c:ext>
              </c:extLst>
            </c:dLbl>
            <c:dLbl>
              <c:idx val="39"/>
              <c:tx>
                <c:rich>
                  <a:bodyPr/>
                  <a:lstStyle/>
                  <a:p>
                    <a:fld id="{A4686F19-FE0D-4117-9734-8595F7AF54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0E0-4B63-BDFD-45CEF666A6B2}"/>
                </c:ext>
              </c:extLst>
            </c:dLbl>
            <c:dLbl>
              <c:idx val="40"/>
              <c:tx>
                <c:rich>
                  <a:bodyPr/>
                  <a:lstStyle/>
                  <a:p>
                    <a:fld id="{C1873C27-72BC-4C41-806F-3CCEEC91F3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0E0-4B63-BDFD-45CEF666A6B2}"/>
                </c:ext>
              </c:extLst>
            </c:dLbl>
            <c:dLbl>
              <c:idx val="41"/>
              <c:tx>
                <c:rich>
                  <a:bodyPr/>
                  <a:lstStyle/>
                  <a:p>
                    <a:fld id="{D11A8D10-C5AD-4615-B0B7-0A88090D96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0E0-4B63-BDFD-45CEF666A6B2}"/>
                </c:ext>
              </c:extLst>
            </c:dLbl>
            <c:dLbl>
              <c:idx val="42"/>
              <c:tx>
                <c:rich>
                  <a:bodyPr/>
                  <a:lstStyle/>
                  <a:p>
                    <a:fld id="{6C8AD402-421F-495D-858A-AA501785EA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0E0-4B63-BDFD-45CEF666A6B2}"/>
                </c:ext>
              </c:extLst>
            </c:dLbl>
            <c:dLbl>
              <c:idx val="43"/>
              <c:tx>
                <c:rich>
                  <a:bodyPr/>
                  <a:lstStyle/>
                  <a:p>
                    <a:fld id="{400F76DB-10AA-4C5C-B340-BC6D24BB04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0E0-4B63-BDFD-45CEF666A6B2}"/>
                </c:ext>
              </c:extLst>
            </c:dLbl>
            <c:dLbl>
              <c:idx val="44"/>
              <c:tx>
                <c:rich>
                  <a:bodyPr/>
                  <a:lstStyle/>
                  <a:p>
                    <a:fld id="{52058F6D-F607-4599-81C6-8A94A1E95D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0E0-4B63-BDFD-45CEF666A6B2}"/>
                </c:ext>
              </c:extLst>
            </c:dLbl>
            <c:dLbl>
              <c:idx val="45"/>
              <c:tx>
                <c:rich>
                  <a:bodyPr/>
                  <a:lstStyle/>
                  <a:p>
                    <a:fld id="{9D695792-E81F-4B76-AE2C-ACDE069336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0E0-4B63-BDFD-45CEF666A6B2}"/>
                </c:ext>
              </c:extLst>
            </c:dLbl>
            <c:dLbl>
              <c:idx val="46"/>
              <c:tx>
                <c:rich>
                  <a:bodyPr/>
                  <a:lstStyle/>
                  <a:p>
                    <a:fld id="{BF4EB40A-0E0F-4C90-8887-89F199C589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0E0-4B63-BDFD-45CEF666A6B2}"/>
                </c:ext>
              </c:extLst>
            </c:dLbl>
            <c:dLbl>
              <c:idx val="47"/>
              <c:tx>
                <c:rich>
                  <a:bodyPr/>
                  <a:lstStyle/>
                  <a:p>
                    <a:fld id="{1B2F891D-2E95-4842-814F-E47F4DFC1E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0E0-4B63-BDFD-45CEF666A6B2}"/>
                </c:ext>
              </c:extLst>
            </c:dLbl>
            <c:dLbl>
              <c:idx val="48"/>
              <c:tx>
                <c:rich>
                  <a:bodyPr/>
                  <a:lstStyle/>
                  <a:p>
                    <a:fld id="{F2FF993D-3C58-4326-953B-3A4A794C25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0E0-4B63-BDFD-45CEF666A6B2}"/>
                </c:ext>
              </c:extLst>
            </c:dLbl>
            <c:dLbl>
              <c:idx val="49"/>
              <c:tx>
                <c:rich>
                  <a:bodyPr/>
                  <a:lstStyle/>
                  <a:p>
                    <a:fld id="{752C287E-1C7B-4968-BEE4-CE75CB7BC3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0E0-4B63-BDFD-45CEF666A6B2}"/>
                </c:ext>
              </c:extLst>
            </c:dLbl>
            <c:dLbl>
              <c:idx val="50"/>
              <c:tx>
                <c:rich>
                  <a:bodyPr/>
                  <a:lstStyle/>
                  <a:p>
                    <a:fld id="{72EB7D44-9521-4DC5-8842-5ED728C939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0E0-4B63-BDFD-45CEF666A6B2}"/>
                </c:ext>
              </c:extLst>
            </c:dLbl>
            <c:dLbl>
              <c:idx val="51"/>
              <c:tx>
                <c:rich>
                  <a:bodyPr/>
                  <a:lstStyle/>
                  <a:p>
                    <a:fld id="{CBB7144C-8890-4935-AC37-2B22C7C28F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0E0-4B63-BDFD-45CEF666A6B2}"/>
                </c:ext>
              </c:extLst>
            </c:dLbl>
            <c:dLbl>
              <c:idx val="52"/>
              <c:tx>
                <c:rich>
                  <a:bodyPr/>
                  <a:lstStyle/>
                  <a:p>
                    <a:fld id="{09239755-089A-4647-B41C-7D26B15986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0E0-4B63-BDFD-45CEF666A6B2}"/>
                </c:ext>
              </c:extLst>
            </c:dLbl>
            <c:dLbl>
              <c:idx val="53"/>
              <c:tx>
                <c:rich>
                  <a:bodyPr/>
                  <a:lstStyle/>
                  <a:p>
                    <a:fld id="{A0FF21C9-1152-4B7E-8C68-BDD67F9BD0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0E0-4B63-BDFD-45CEF666A6B2}"/>
                </c:ext>
              </c:extLst>
            </c:dLbl>
            <c:dLbl>
              <c:idx val="54"/>
              <c:tx>
                <c:rich>
                  <a:bodyPr/>
                  <a:lstStyle/>
                  <a:p>
                    <a:fld id="{62EC74C8-C630-41FE-A63B-B9455ABE92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0E0-4B63-BDFD-45CEF666A6B2}"/>
                </c:ext>
              </c:extLst>
            </c:dLbl>
            <c:dLbl>
              <c:idx val="55"/>
              <c:tx>
                <c:rich>
                  <a:bodyPr/>
                  <a:lstStyle/>
                  <a:p>
                    <a:fld id="{3BA42DAE-BCA6-49DB-81FA-48C527D62F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0E0-4B63-BDFD-45CEF666A6B2}"/>
                </c:ext>
              </c:extLst>
            </c:dLbl>
            <c:dLbl>
              <c:idx val="56"/>
              <c:tx>
                <c:rich>
                  <a:bodyPr/>
                  <a:lstStyle/>
                  <a:p>
                    <a:fld id="{18A02ABD-7812-4A7B-B73D-293BDC41CC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0E0-4B63-BDFD-45CEF666A6B2}"/>
                </c:ext>
              </c:extLst>
            </c:dLbl>
            <c:dLbl>
              <c:idx val="57"/>
              <c:tx>
                <c:rich>
                  <a:bodyPr/>
                  <a:lstStyle/>
                  <a:p>
                    <a:fld id="{F4C64F64-9D1A-475A-B2A2-96A0108303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0E0-4B63-BDFD-45CEF666A6B2}"/>
                </c:ext>
              </c:extLst>
            </c:dLbl>
            <c:dLbl>
              <c:idx val="58"/>
              <c:tx>
                <c:rich>
                  <a:bodyPr/>
                  <a:lstStyle/>
                  <a:p>
                    <a:fld id="{B73720BA-2F9A-4DAF-A696-A05733D3F1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0E0-4B63-BDFD-45CEF666A6B2}"/>
                </c:ext>
              </c:extLst>
            </c:dLbl>
            <c:dLbl>
              <c:idx val="59"/>
              <c:tx>
                <c:rich>
                  <a:bodyPr/>
                  <a:lstStyle/>
                  <a:p>
                    <a:fld id="{42E1AA57-49A2-4ADF-B1A6-0A8A8D92F7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0E0-4B63-BDFD-45CEF666A6B2}"/>
                </c:ext>
              </c:extLst>
            </c:dLbl>
            <c:dLbl>
              <c:idx val="60"/>
              <c:tx>
                <c:rich>
                  <a:bodyPr/>
                  <a:lstStyle/>
                  <a:p>
                    <a:fld id="{9540812A-B1BF-4CF5-9FF1-42EDA39FB4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0E0-4B63-BDFD-45CEF666A6B2}"/>
                </c:ext>
              </c:extLst>
            </c:dLbl>
            <c:dLbl>
              <c:idx val="61"/>
              <c:tx>
                <c:rich>
                  <a:bodyPr/>
                  <a:lstStyle/>
                  <a:p>
                    <a:fld id="{418F45A9-F0FD-4B7E-BC5C-A224362B6A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0E0-4B63-BDFD-45CEF666A6B2}"/>
                </c:ext>
              </c:extLst>
            </c:dLbl>
            <c:dLbl>
              <c:idx val="62"/>
              <c:tx>
                <c:rich>
                  <a:bodyPr/>
                  <a:lstStyle/>
                  <a:p>
                    <a:fld id="{A235500B-8C61-4436-A89E-54FCB05F78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0E0-4B63-BDFD-45CEF666A6B2}"/>
                </c:ext>
              </c:extLst>
            </c:dLbl>
            <c:dLbl>
              <c:idx val="63"/>
              <c:tx>
                <c:rich>
                  <a:bodyPr/>
                  <a:lstStyle/>
                  <a:p>
                    <a:fld id="{1644AD2F-A5D1-4560-92EE-B2CDE072BB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0E0-4B63-BDFD-45CEF666A6B2}"/>
                </c:ext>
              </c:extLst>
            </c:dLbl>
            <c:dLbl>
              <c:idx val="64"/>
              <c:tx>
                <c:rich>
                  <a:bodyPr/>
                  <a:lstStyle/>
                  <a:p>
                    <a:fld id="{206DD980-EADC-4D13-AD00-1F2200AAE3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0E0-4B63-BDFD-45CEF666A6B2}"/>
                </c:ext>
              </c:extLst>
            </c:dLbl>
            <c:dLbl>
              <c:idx val="65"/>
              <c:tx>
                <c:rich>
                  <a:bodyPr/>
                  <a:lstStyle/>
                  <a:p>
                    <a:fld id="{2CF0FDA0-FDCA-40C8-812C-CE9686277B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0E0-4B63-BDFD-45CEF666A6B2}"/>
                </c:ext>
              </c:extLst>
            </c:dLbl>
            <c:dLbl>
              <c:idx val="66"/>
              <c:tx>
                <c:rich>
                  <a:bodyPr/>
                  <a:lstStyle/>
                  <a:p>
                    <a:fld id="{3735F0C6-948B-45C2-9E12-4BEFA47A82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0E0-4B63-BDFD-45CEF666A6B2}"/>
                </c:ext>
              </c:extLst>
            </c:dLbl>
            <c:dLbl>
              <c:idx val="67"/>
              <c:tx>
                <c:rich>
                  <a:bodyPr/>
                  <a:lstStyle/>
                  <a:p>
                    <a:fld id="{6F8A46B0-0568-45BD-9544-930C14E4A6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0E0-4B63-BDFD-45CEF666A6B2}"/>
                </c:ext>
              </c:extLst>
            </c:dLbl>
            <c:dLbl>
              <c:idx val="68"/>
              <c:tx>
                <c:rich>
                  <a:bodyPr/>
                  <a:lstStyle/>
                  <a:p>
                    <a:fld id="{FE34515E-0398-4577-8586-71C86B3CC9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0E0-4B63-BDFD-45CEF666A6B2}"/>
                </c:ext>
              </c:extLst>
            </c:dLbl>
            <c:dLbl>
              <c:idx val="69"/>
              <c:tx>
                <c:rich>
                  <a:bodyPr/>
                  <a:lstStyle/>
                  <a:p>
                    <a:fld id="{7DB3B3BE-CC95-4EB1-96C0-24EF5DFA55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0E0-4B63-BDFD-45CEF666A6B2}"/>
                </c:ext>
              </c:extLst>
            </c:dLbl>
            <c:dLbl>
              <c:idx val="70"/>
              <c:tx>
                <c:rich>
                  <a:bodyPr/>
                  <a:lstStyle/>
                  <a:p>
                    <a:fld id="{457AD684-3284-414A-963C-C1003679F0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0E0-4B63-BDFD-45CEF666A6B2}"/>
                </c:ext>
              </c:extLst>
            </c:dLbl>
            <c:dLbl>
              <c:idx val="71"/>
              <c:tx>
                <c:rich>
                  <a:bodyPr/>
                  <a:lstStyle/>
                  <a:p>
                    <a:fld id="{755052CB-79D6-4E79-804B-80B60A059C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0E0-4B63-BDFD-45CEF666A6B2}"/>
                </c:ext>
              </c:extLst>
            </c:dLbl>
            <c:dLbl>
              <c:idx val="72"/>
              <c:tx>
                <c:rich>
                  <a:bodyPr/>
                  <a:lstStyle/>
                  <a:p>
                    <a:fld id="{09F34116-D0B1-4EFA-B5F2-EDCC17312D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0E0-4B63-BDFD-45CEF666A6B2}"/>
                </c:ext>
              </c:extLst>
            </c:dLbl>
            <c:dLbl>
              <c:idx val="73"/>
              <c:tx>
                <c:rich>
                  <a:bodyPr/>
                  <a:lstStyle/>
                  <a:p>
                    <a:fld id="{0871BB5F-D9D9-4CEA-AD10-DD5AD40484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0E0-4B63-BDFD-45CEF666A6B2}"/>
                </c:ext>
              </c:extLst>
            </c:dLbl>
            <c:dLbl>
              <c:idx val="74"/>
              <c:tx>
                <c:rich>
                  <a:bodyPr/>
                  <a:lstStyle/>
                  <a:p>
                    <a:fld id="{6643C443-FCAC-4808-A1A4-EDBDCD3557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0E0-4B63-BDFD-45CEF666A6B2}"/>
                </c:ext>
              </c:extLst>
            </c:dLbl>
            <c:dLbl>
              <c:idx val="75"/>
              <c:tx>
                <c:rich>
                  <a:bodyPr/>
                  <a:lstStyle/>
                  <a:p>
                    <a:fld id="{69692BDE-3383-453F-83B0-55435BEE62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0E0-4B63-BDFD-45CEF666A6B2}"/>
                </c:ext>
              </c:extLst>
            </c:dLbl>
            <c:dLbl>
              <c:idx val="76"/>
              <c:tx>
                <c:rich>
                  <a:bodyPr/>
                  <a:lstStyle/>
                  <a:p>
                    <a:fld id="{985D64BD-B5CA-4BA1-9DA3-5675A6EE93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0E0-4B63-BDFD-45CEF666A6B2}"/>
                </c:ext>
              </c:extLst>
            </c:dLbl>
            <c:dLbl>
              <c:idx val="77"/>
              <c:tx>
                <c:rich>
                  <a:bodyPr/>
                  <a:lstStyle/>
                  <a:p>
                    <a:fld id="{07BA796B-FA2D-4E30-9214-1C4D90E9B5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0E0-4B63-BDFD-45CEF666A6B2}"/>
                </c:ext>
              </c:extLst>
            </c:dLbl>
            <c:dLbl>
              <c:idx val="78"/>
              <c:tx>
                <c:rich>
                  <a:bodyPr/>
                  <a:lstStyle/>
                  <a:p>
                    <a:fld id="{38FF7CB4-389E-4A1A-BAF9-60AA5CB760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0E0-4B63-BDFD-45CEF666A6B2}"/>
                </c:ext>
              </c:extLst>
            </c:dLbl>
            <c:dLbl>
              <c:idx val="79"/>
              <c:tx>
                <c:rich>
                  <a:bodyPr/>
                  <a:lstStyle/>
                  <a:p>
                    <a:fld id="{525B5558-36E8-4F98-A2F0-45BFBD01AB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0E0-4B63-BDFD-45CEF666A6B2}"/>
                </c:ext>
              </c:extLst>
            </c:dLbl>
            <c:dLbl>
              <c:idx val="80"/>
              <c:tx>
                <c:rich>
                  <a:bodyPr/>
                  <a:lstStyle/>
                  <a:p>
                    <a:fld id="{652CB8E6-7229-40BA-B119-17B9F86CE6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0E0-4B63-BDFD-45CEF666A6B2}"/>
                </c:ext>
              </c:extLst>
            </c:dLbl>
            <c:dLbl>
              <c:idx val="81"/>
              <c:tx>
                <c:rich>
                  <a:bodyPr/>
                  <a:lstStyle/>
                  <a:p>
                    <a:fld id="{1904C291-9973-4CD1-8B11-33164110E8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0E0-4B63-BDFD-45CEF666A6B2}"/>
                </c:ext>
              </c:extLst>
            </c:dLbl>
            <c:dLbl>
              <c:idx val="82"/>
              <c:tx>
                <c:rich>
                  <a:bodyPr/>
                  <a:lstStyle/>
                  <a:p>
                    <a:fld id="{67A4FA25-5086-46CC-9D35-5AF425C749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0E0-4B63-BDFD-45CEF666A6B2}"/>
                </c:ext>
              </c:extLst>
            </c:dLbl>
            <c:dLbl>
              <c:idx val="83"/>
              <c:tx>
                <c:rich>
                  <a:bodyPr/>
                  <a:lstStyle/>
                  <a:p>
                    <a:fld id="{3F3F4BD9-5837-4E72-8154-CBB01B1B81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0E0-4B63-BDFD-45CEF666A6B2}"/>
                </c:ext>
              </c:extLst>
            </c:dLbl>
            <c:dLbl>
              <c:idx val="84"/>
              <c:tx>
                <c:rich>
                  <a:bodyPr/>
                  <a:lstStyle/>
                  <a:p>
                    <a:fld id="{D2826263-0705-434D-9D98-50305DDB6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0E0-4B63-BDFD-45CEF666A6B2}"/>
                </c:ext>
              </c:extLst>
            </c:dLbl>
            <c:dLbl>
              <c:idx val="85"/>
              <c:tx>
                <c:rich>
                  <a:bodyPr/>
                  <a:lstStyle/>
                  <a:p>
                    <a:fld id="{F71BD323-2C01-4F8B-9221-0709751A08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0E0-4B63-BDFD-45CEF666A6B2}"/>
                </c:ext>
              </c:extLst>
            </c:dLbl>
            <c:dLbl>
              <c:idx val="86"/>
              <c:tx>
                <c:rich>
                  <a:bodyPr/>
                  <a:lstStyle/>
                  <a:p>
                    <a:fld id="{FDDA15FE-C30D-46E0-8B8C-A9A9615C5F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0E0-4B63-BDFD-45CEF666A6B2}"/>
                </c:ext>
              </c:extLst>
            </c:dLbl>
            <c:dLbl>
              <c:idx val="87"/>
              <c:tx>
                <c:rich>
                  <a:bodyPr/>
                  <a:lstStyle/>
                  <a:p>
                    <a:fld id="{8F62459F-EE46-4BD8-B161-37A5CB6342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0E0-4B63-BDFD-45CEF666A6B2}"/>
                </c:ext>
              </c:extLst>
            </c:dLbl>
            <c:dLbl>
              <c:idx val="88"/>
              <c:tx>
                <c:rich>
                  <a:bodyPr/>
                  <a:lstStyle/>
                  <a:p>
                    <a:fld id="{794ECD98-7F0B-4C50-8DEB-646E12B302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0E0-4B63-BDFD-45CEF666A6B2}"/>
                </c:ext>
              </c:extLst>
            </c:dLbl>
            <c:dLbl>
              <c:idx val="89"/>
              <c:tx>
                <c:rich>
                  <a:bodyPr/>
                  <a:lstStyle/>
                  <a:p>
                    <a:fld id="{4B2A6696-45F4-4348-8E52-2CDF2E8864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0E0-4B63-BDFD-45CEF666A6B2}"/>
                </c:ext>
              </c:extLst>
            </c:dLbl>
            <c:dLbl>
              <c:idx val="90"/>
              <c:tx>
                <c:rich>
                  <a:bodyPr/>
                  <a:lstStyle/>
                  <a:p>
                    <a:fld id="{5FB28427-5C41-47D7-B7CF-EC19E9ED3B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0E0-4B63-BDFD-45CEF666A6B2}"/>
                </c:ext>
              </c:extLst>
            </c:dLbl>
            <c:dLbl>
              <c:idx val="91"/>
              <c:tx>
                <c:rich>
                  <a:bodyPr/>
                  <a:lstStyle/>
                  <a:p>
                    <a:fld id="{7316D36E-590E-41A8-A443-A7C1E333AF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0E0-4B63-BDFD-45CEF666A6B2}"/>
                </c:ext>
              </c:extLst>
            </c:dLbl>
            <c:dLbl>
              <c:idx val="92"/>
              <c:tx>
                <c:rich>
                  <a:bodyPr/>
                  <a:lstStyle/>
                  <a:p>
                    <a:fld id="{8E518D19-EA11-4BF1-9F8D-6BE88AF83F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0E0-4B63-BDFD-45CEF666A6B2}"/>
                </c:ext>
              </c:extLst>
            </c:dLbl>
            <c:dLbl>
              <c:idx val="93"/>
              <c:tx>
                <c:rich>
                  <a:bodyPr/>
                  <a:lstStyle/>
                  <a:p>
                    <a:fld id="{5F08B972-DF67-4239-AAA3-1FC1557A6D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0E0-4B63-BDFD-45CEF666A6B2}"/>
                </c:ext>
              </c:extLst>
            </c:dLbl>
            <c:dLbl>
              <c:idx val="94"/>
              <c:tx>
                <c:rich>
                  <a:bodyPr/>
                  <a:lstStyle/>
                  <a:p>
                    <a:fld id="{32882B6A-52D2-4D68-8F2D-0A7A82D55C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0E0-4B63-BDFD-45CEF666A6B2}"/>
                </c:ext>
              </c:extLst>
            </c:dLbl>
            <c:dLbl>
              <c:idx val="95"/>
              <c:tx>
                <c:rich>
                  <a:bodyPr/>
                  <a:lstStyle/>
                  <a:p>
                    <a:fld id="{33B277D8-74AC-487B-A7BF-70CF33B7BB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0E0-4B63-BDFD-45CEF666A6B2}"/>
                </c:ext>
              </c:extLst>
            </c:dLbl>
            <c:dLbl>
              <c:idx val="96"/>
              <c:tx>
                <c:rich>
                  <a:bodyPr/>
                  <a:lstStyle/>
                  <a:p>
                    <a:fld id="{642B04FD-0092-46DB-BDC6-6ECC66442D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0E0-4B63-BDFD-45CEF666A6B2}"/>
                </c:ext>
              </c:extLst>
            </c:dLbl>
            <c:dLbl>
              <c:idx val="97"/>
              <c:tx>
                <c:rich>
                  <a:bodyPr/>
                  <a:lstStyle/>
                  <a:p>
                    <a:fld id="{159CE1CF-F68C-49DE-AF23-8A1C24A58D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0E0-4B63-BDFD-45CEF666A6B2}"/>
                </c:ext>
              </c:extLst>
            </c:dLbl>
            <c:dLbl>
              <c:idx val="98"/>
              <c:tx>
                <c:rich>
                  <a:bodyPr/>
                  <a:lstStyle/>
                  <a:p>
                    <a:fld id="{53308563-D74E-48F0-AFEA-6172FE71D6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0E0-4B63-BDFD-45CEF666A6B2}"/>
                </c:ext>
              </c:extLst>
            </c:dLbl>
            <c:dLbl>
              <c:idx val="99"/>
              <c:tx>
                <c:rich>
                  <a:bodyPr/>
                  <a:lstStyle/>
                  <a:p>
                    <a:fld id="{9285EFAD-FD66-474C-BB5A-15E00BE387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0E0-4B63-BDFD-45CEF666A6B2}"/>
                </c:ext>
              </c:extLst>
            </c:dLbl>
            <c:dLbl>
              <c:idx val="100"/>
              <c:tx>
                <c:rich>
                  <a:bodyPr/>
                  <a:lstStyle/>
                  <a:p>
                    <a:fld id="{CC066816-0AA0-4514-A863-C3E3548E13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0E0-4B63-BDFD-45CEF666A6B2}"/>
                </c:ext>
              </c:extLst>
            </c:dLbl>
            <c:dLbl>
              <c:idx val="101"/>
              <c:tx>
                <c:rich>
                  <a:bodyPr/>
                  <a:lstStyle/>
                  <a:p>
                    <a:fld id="{E327097F-B5DC-47C1-B177-3CCA4F9CD8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0E0-4B63-BDFD-45CEF666A6B2}"/>
                </c:ext>
              </c:extLst>
            </c:dLbl>
            <c:dLbl>
              <c:idx val="102"/>
              <c:tx>
                <c:rich>
                  <a:bodyPr/>
                  <a:lstStyle/>
                  <a:p>
                    <a:fld id="{2E872F9D-0735-4770-B61E-6DEFCED89E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0E0-4B63-BDFD-45CEF666A6B2}"/>
                </c:ext>
              </c:extLst>
            </c:dLbl>
            <c:dLbl>
              <c:idx val="103"/>
              <c:tx>
                <c:rich>
                  <a:bodyPr/>
                  <a:lstStyle/>
                  <a:p>
                    <a:fld id="{902EA729-8632-4A07-A2D8-D6741BFCE2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0E0-4B63-BDFD-45CEF666A6B2}"/>
                </c:ext>
              </c:extLst>
            </c:dLbl>
            <c:dLbl>
              <c:idx val="104"/>
              <c:tx>
                <c:rich>
                  <a:bodyPr/>
                  <a:lstStyle/>
                  <a:p>
                    <a:fld id="{01227C92-ABBE-4D75-8565-BCB08A26FF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0E0-4B63-BDFD-45CEF666A6B2}"/>
                </c:ext>
              </c:extLst>
            </c:dLbl>
            <c:dLbl>
              <c:idx val="105"/>
              <c:tx>
                <c:rich>
                  <a:bodyPr/>
                  <a:lstStyle/>
                  <a:p>
                    <a:fld id="{74B99B93-8242-4526-A7BE-E1A8484534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0E0-4B63-BDFD-45CEF666A6B2}"/>
                </c:ext>
              </c:extLst>
            </c:dLbl>
            <c:dLbl>
              <c:idx val="106"/>
              <c:tx>
                <c:rich>
                  <a:bodyPr/>
                  <a:lstStyle/>
                  <a:p>
                    <a:fld id="{607E7CD5-4C02-4B52-BF05-B82F109DC7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0E0-4B63-BDFD-45CEF666A6B2}"/>
                </c:ext>
              </c:extLst>
            </c:dLbl>
            <c:dLbl>
              <c:idx val="107"/>
              <c:tx>
                <c:rich>
                  <a:bodyPr/>
                  <a:lstStyle/>
                  <a:p>
                    <a:fld id="{4A9AEECB-615D-457A-8CA8-87784B53BB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0E0-4B63-BDFD-45CEF666A6B2}"/>
                </c:ext>
              </c:extLst>
            </c:dLbl>
            <c:dLbl>
              <c:idx val="108"/>
              <c:tx>
                <c:rich>
                  <a:bodyPr/>
                  <a:lstStyle/>
                  <a:p>
                    <a:fld id="{731B21AA-2D7F-4BA6-AC52-6AC6DB0F2A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0E0-4B63-BDFD-45CEF666A6B2}"/>
                </c:ext>
              </c:extLst>
            </c:dLbl>
            <c:dLbl>
              <c:idx val="109"/>
              <c:tx>
                <c:rich>
                  <a:bodyPr/>
                  <a:lstStyle/>
                  <a:p>
                    <a:fld id="{9A967E62-6771-487E-89F4-471051BD2B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0E0-4B63-BDFD-45CEF666A6B2}"/>
                </c:ext>
              </c:extLst>
            </c:dLbl>
            <c:dLbl>
              <c:idx val="110"/>
              <c:tx>
                <c:rich>
                  <a:bodyPr/>
                  <a:lstStyle/>
                  <a:p>
                    <a:fld id="{C8880A3F-94B4-4660-85EF-E91F41961F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0E0-4B63-BDFD-45CEF666A6B2}"/>
                </c:ext>
              </c:extLst>
            </c:dLbl>
            <c:dLbl>
              <c:idx val="111"/>
              <c:tx>
                <c:rich>
                  <a:bodyPr/>
                  <a:lstStyle/>
                  <a:p>
                    <a:fld id="{6B2842CA-A44B-4B77-A970-183DAC42BA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0E0-4B63-BDFD-45CEF666A6B2}"/>
                </c:ext>
              </c:extLst>
            </c:dLbl>
            <c:dLbl>
              <c:idx val="112"/>
              <c:tx>
                <c:rich>
                  <a:bodyPr/>
                  <a:lstStyle/>
                  <a:p>
                    <a:fld id="{6B4DC647-6854-4257-9A3D-F036BD1A12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0E0-4B63-BDFD-45CEF666A6B2}"/>
                </c:ext>
              </c:extLst>
            </c:dLbl>
            <c:dLbl>
              <c:idx val="113"/>
              <c:tx>
                <c:rich>
                  <a:bodyPr/>
                  <a:lstStyle/>
                  <a:p>
                    <a:fld id="{19F8B90D-C191-4DA7-BA9B-725B71F9A8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0E0-4B63-BDFD-45CEF666A6B2}"/>
                </c:ext>
              </c:extLst>
            </c:dLbl>
            <c:dLbl>
              <c:idx val="114"/>
              <c:tx>
                <c:rich>
                  <a:bodyPr/>
                  <a:lstStyle/>
                  <a:p>
                    <a:fld id="{E3F38693-F5FE-49A1-BB60-2DE63BCF93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0E0-4B63-BDFD-45CEF666A6B2}"/>
                </c:ext>
              </c:extLst>
            </c:dLbl>
            <c:dLbl>
              <c:idx val="115"/>
              <c:tx>
                <c:rich>
                  <a:bodyPr/>
                  <a:lstStyle/>
                  <a:p>
                    <a:fld id="{FE927239-3048-4FF9-AAE4-7883515BF8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0E0-4B63-BDFD-45CEF666A6B2}"/>
                </c:ext>
              </c:extLst>
            </c:dLbl>
            <c:dLbl>
              <c:idx val="116"/>
              <c:tx>
                <c:rich>
                  <a:bodyPr/>
                  <a:lstStyle/>
                  <a:p>
                    <a:fld id="{ED1A97F7-9B20-4688-B2D8-32466E3059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0E0-4B63-BDFD-45CEF666A6B2}"/>
                </c:ext>
              </c:extLst>
            </c:dLbl>
            <c:dLbl>
              <c:idx val="117"/>
              <c:tx>
                <c:rich>
                  <a:bodyPr/>
                  <a:lstStyle/>
                  <a:p>
                    <a:fld id="{243874AC-1F85-4B62-9CD6-01A722407C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0E0-4B63-BDFD-45CEF666A6B2}"/>
                </c:ext>
              </c:extLst>
            </c:dLbl>
            <c:dLbl>
              <c:idx val="118"/>
              <c:tx>
                <c:rich>
                  <a:bodyPr/>
                  <a:lstStyle/>
                  <a:p>
                    <a:fld id="{42D9EF7F-80B1-4A47-85E6-67149EF657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0E0-4B63-BDFD-45CEF666A6B2}"/>
                </c:ext>
              </c:extLst>
            </c:dLbl>
            <c:dLbl>
              <c:idx val="119"/>
              <c:tx>
                <c:rich>
                  <a:bodyPr/>
                  <a:lstStyle/>
                  <a:p>
                    <a:fld id="{6F680716-0731-436A-96F1-CD32C149FE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0E0-4B63-BDFD-45CEF666A6B2}"/>
                </c:ext>
              </c:extLst>
            </c:dLbl>
            <c:dLbl>
              <c:idx val="120"/>
              <c:tx>
                <c:rich>
                  <a:bodyPr/>
                  <a:lstStyle/>
                  <a:p>
                    <a:fld id="{15656B6F-8E21-4F5B-A0CC-F181A2ACF6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0E0-4B63-BDFD-45CEF666A6B2}"/>
                </c:ext>
              </c:extLst>
            </c:dLbl>
            <c:dLbl>
              <c:idx val="121"/>
              <c:tx>
                <c:rich>
                  <a:bodyPr/>
                  <a:lstStyle/>
                  <a:p>
                    <a:fld id="{5AC407C1-F3B9-4373-9370-A4F8A672F0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0E0-4B63-BDFD-45CEF666A6B2}"/>
                </c:ext>
              </c:extLst>
            </c:dLbl>
            <c:dLbl>
              <c:idx val="122"/>
              <c:tx>
                <c:rich>
                  <a:bodyPr/>
                  <a:lstStyle/>
                  <a:p>
                    <a:fld id="{FF598B55-0D8F-4474-AD59-2B60264D06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0E0-4B63-BDFD-45CEF666A6B2}"/>
                </c:ext>
              </c:extLst>
            </c:dLbl>
            <c:dLbl>
              <c:idx val="123"/>
              <c:tx>
                <c:rich>
                  <a:bodyPr/>
                  <a:lstStyle/>
                  <a:p>
                    <a:fld id="{D15AD024-29FA-48FC-8E01-DDAB01B76A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0E0-4B63-BDFD-45CEF666A6B2}"/>
                </c:ext>
              </c:extLst>
            </c:dLbl>
            <c:dLbl>
              <c:idx val="124"/>
              <c:tx>
                <c:rich>
                  <a:bodyPr/>
                  <a:lstStyle/>
                  <a:p>
                    <a:fld id="{57BF4026-10D7-4788-A436-C39AC6B1F3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0E0-4B63-BDFD-45CEF666A6B2}"/>
                </c:ext>
              </c:extLst>
            </c:dLbl>
            <c:dLbl>
              <c:idx val="125"/>
              <c:tx>
                <c:rich>
                  <a:bodyPr/>
                  <a:lstStyle/>
                  <a:p>
                    <a:fld id="{93081F8D-3CEC-4F69-B91B-FC8506D18C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0E0-4B63-BDFD-45CEF666A6B2}"/>
                </c:ext>
              </c:extLst>
            </c:dLbl>
            <c:dLbl>
              <c:idx val="126"/>
              <c:tx>
                <c:rich>
                  <a:bodyPr/>
                  <a:lstStyle/>
                  <a:p>
                    <a:fld id="{A0D98302-D061-4CBE-9687-A6BD678A38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0E0-4B63-BDFD-45CEF666A6B2}"/>
                </c:ext>
              </c:extLst>
            </c:dLbl>
            <c:dLbl>
              <c:idx val="127"/>
              <c:tx>
                <c:rich>
                  <a:bodyPr/>
                  <a:lstStyle/>
                  <a:p>
                    <a:fld id="{48467C98-35C8-4B9E-8E4F-9846BA28F5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0E0-4B63-BDFD-45CEF666A6B2}"/>
                </c:ext>
              </c:extLst>
            </c:dLbl>
            <c:dLbl>
              <c:idx val="128"/>
              <c:tx>
                <c:rich>
                  <a:bodyPr/>
                  <a:lstStyle/>
                  <a:p>
                    <a:fld id="{BC96862F-9208-4DAE-A0BE-056724358D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0E0-4B63-BDFD-45CEF666A6B2}"/>
                </c:ext>
              </c:extLst>
            </c:dLbl>
            <c:dLbl>
              <c:idx val="129"/>
              <c:tx>
                <c:rich>
                  <a:bodyPr/>
                  <a:lstStyle/>
                  <a:p>
                    <a:fld id="{5C52381C-6439-480E-8D24-AE1F776BC0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0E0-4B63-BDFD-45CEF666A6B2}"/>
                </c:ext>
              </c:extLst>
            </c:dLbl>
            <c:dLbl>
              <c:idx val="130"/>
              <c:tx>
                <c:rich>
                  <a:bodyPr/>
                  <a:lstStyle/>
                  <a:p>
                    <a:fld id="{28FFEAFF-9477-4504-8D58-DFE553CE47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0E0-4B63-BDFD-45CEF666A6B2}"/>
                </c:ext>
              </c:extLst>
            </c:dLbl>
            <c:dLbl>
              <c:idx val="131"/>
              <c:tx>
                <c:rich>
                  <a:bodyPr/>
                  <a:lstStyle/>
                  <a:p>
                    <a:fld id="{D454AECA-BAEA-4DB5-853F-8911DF30BF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0E0-4B63-BDFD-45CEF666A6B2}"/>
                </c:ext>
              </c:extLst>
            </c:dLbl>
            <c:dLbl>
              <c:idx val="132"/>
              <c:tx>
                <c:rich>
                  <a:bodyPr/>
                  <a:lstStyle/>
                  <a:p>
                    <a:fld id="{8B3AD7EE-50FA-453B-B686-6B96F25402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0E0-4B63-BDFD-45CEF666A6B2}"/>
                </c:ext>
              </c:extLst>
            </c:dLbl>
            <c:dLbl>
              <c:idx val="133"/>
              <c:tx>
                <c:rich>
                  <a:bodyPr/>
                  <a:lstStyle/>
                  <a:p>
                    <a:fld id="{85978C52-4A1A-4C62-B0D7-667353266F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0E0-4B63-BDFD-45CEF666A6B2}"/>
                </c:ext>
              </c:extLst>
            </c:dLbl>
            <c:dLbl>
              <c:idx val="134"/>
              <c:tx>
                <c:rich>
                  <a:bodyPr/>
                  <a:lstStyle/>
                  <a:p>
                    <a:fld id="{9DD6A782-0CB0-4E8D-8786-4995032D97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0E0-4B63-BDFD-45CEF666A6B2}"/>
                </c:ext>
              </c:extLst>
            </c:dLbl>
            <c:dLbl>
              <c:idx val="135"/>
              <c:tx>
                <c:rich>
                  <a:bodyPr/>
                  <a:lstStyle/>
                  <a:p>
                    <a:fld id="{F0F23411-03E0-4B7E-A569-F3129F6B25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0E0-4B63-BDFD-45CEF666A6B2}"/>
                </c:ext>
              </c:extLst>
            </c:dLbl>
            <c:dLbl>
              <c:idx val="136"/>
              <c:tx>
                <c:rich>
                  <a:bodyPr/>
                  <a:lstStyle/>
                  <a:p>
                    <a:fld id="{A61F8D60-A9FF-48AC-B2D3-A66919722E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0E0-4B63-BDFD-45CEF666A6B2}"/>
                </c:ext>
              </c:extLst>
            </c:dLbl>
            <c:dLbl>
              <c:idx val="137"/>
              <c:tx>
                <c:rich>
                  <a:bodyPr/>
                  <a:lstStyle/>
                  <a:p>
                    <a:fld id="{8E2B3E82-D701-4110-97BD-60A7945DFE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0E0-4B63-BDFD-45CEF666A6B2}"/>
                </c:ext>
              </c:extLst>
            </c:dLbl>
            <c:dLbl>
              <c:idx val="138"/>
              <c:tx>
                <c:rich>
                  <a:bodyPr/>
                  <a:lstStyle/>
                  <a:p>
                    <a:fld id="{5EA6E0F9-7285-4616-AC26-9F7A07DA6C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0E0-4B63-BDFD-45CEF666A6B2}"/>
                </c:ext>
              </c:extLst>
            </c:dLbl>
            <c:dLbl>
              <c:idx val="139"/>
              <c:tx>
                <c:rich>
                  <a:bodyPr/>
                  <a:lstStyle/>
                  <a:p>
                    <a:fld id="{61F4CD2B-9BD0-445D-B9CB-C8111973FC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0E0-4B63-BDFD-45CEF666A6B2}"/>
                </c:ext>
              </c:extLst>
            </c:dLbl>
            <c:dLbl>
              <c:idx val="140"/>
              <c:tx>
                <c:rich>
                  <a:bodyPr/>
                  <a:lstStyle/>
                  <a:p>
                    <a:fld id="{AC556495-19E0-40EF-9E11-6DA3660440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0E0-4B63-BDFD-45CEF666A6B2}"/>
                </c:ext>
              </c:extLst>
            </c:dLbl>
            <c:dLbl>
              <c:idx val="141"/>
              <c:tx>
                <c:rich>
                  <a:bodyPr/>
                  <a:lstStyle/>
                  <a:p>
                    <a:fld id="{5E61C404-B688-4976-9797-136D8B6D2B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0E0-4B63-BDFD-45CEF666A6B2}"/>
                </c:ext>
              </c:extLst>
            </c:dLbl>
            <c:dLbl>
              <c:idx val="142"/>
              <c:tx>
                <c:rich>
                  <a:bodyPr/>
                  <a:lstStyle/>
                  <a:p>
                    <a:fld id="{505115F2-E267-41CC-A599-C0A0C13035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0E0-4B63-BDFD-45CEF666A6B2}"/>
                </c:ext>
              </c:extLst>
            </c:dLbl>
            <c:dLbl>
              <c:idx val="143"/>
              <c:tx>
                <c:rich>
                  <a:bodyPr/>
                  <a:lstStyle/>
                  <a:p>
                    <a:fld id="{6A7C6339-4EDC-4876-B0F4-BC25D22613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0E0-4B63-BDFD-45CEF666A6B2}"/>
                </c:ext>
              </c:extLst>
            </c:dLbl>
            <c:dLbl>
              <c:idx val="144"/>
              <c:tx>
                <c:rich>
                  <a:bodyPr/>
                  <a:lstStyle/>
                  <a:p>
                    <a:fld id="{A455671C-B5D7-4E4E-A93E-7B9741C9B6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0E0-4B63-BDFD-45CEF666A6B2}"/>
                </c:ext>
              </c:extLst>
            </c:dLbl>
            <c:dLbl>
              <c:idx val="145"/>
              <c:tx>
                <c:rich>
                  <a:bodyPr/>
                  <a:lstStyle/>
                  <a:p>
                    <a:fld id="{E3AC9489-9509-4A40-8DB7-9569FD1341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0E0-4B63-BDFD-45CEF666A6B2}"/>
                </c:ext>
              </c:extLst>
            </c:dLbl>
            <c:dLbl>
              <c:idx val="146"/>
              <c:tx>
                <c:rich>
                  <a:bodyPr/>
                  <a:lstStyle/>
                  <a:p>
                    <a:fld id="{2A8CB7F5-AEC9-48F4-86A5-2D24212189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0E0-4B63-BDFD-45CEF666A6B2}"/>
                </c:ext>
              </c:extLst>
            </c:dLbl>
            <c:dLbl>
              <c:idx val="147"/>
              <c:tx>
                <c:rich>
                  <a:bodyPr/>
                  <a:lstStyle/>
                  <a:p>
                    <a:fld id="{AB1341C2-0F04-4185-9807-B54A06A53C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0E0-4B63-BDFD-45CEF666A6B2}"/>
                </c:ext>
              </c:extLst>
            </c:dLbl>
            <c:dLbl>
              <c:idx val="148"/>
              <c:tx>
                <c:rich>
                  <a:bodyPr/>
                  <a:lstStyle/>
                  <a:p>
                    <a:fld id="{D1AA3E48-AE98-41B4-8EBC-FC610FFBB9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0E0-4B63-BDFD-45CEF666A6B2}"/>
                </c:ext>
              </c:extLst>
            </c:dLbl>
            <c:dLbl>
              <c:idx val="149"/>
              <c:tx>
                <c:rich>
                  <a:bodyPr/>
                  <a:lstStyle/>
                  <a:p>
                    <a:fld id="{C4123CEB-3CD8-465E-8E95-873C9BF555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0E0-4B63-BDFD-45CEF666A6B2}"/>
                </c:ext>
              </c:extLst>
            </c:dLbl>
            <c:dLbl>
              <c:idx val="150"/>
              <c:tx>
                <c:rich>
                  <a:bodyPr/>
                  <a:lstStyle/>
                  <a:p>
                    <a:fld id="{745AB600-4AB2-431D-A80E-D3F814FDD1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0E0-4B63-BDFD-45CEF666A6B2}"/>
                </c:ext>
              </c:extLst>
            </c:dLbl>
            <c:dLbl>
              <c:idx val="151"/>
              <c:tx>
                <c:rich>
                  <a:bodyPr/>
                  <a:lstStyle/>
                  <a:p>
                    <a:fld id="{77928B6A-D592-4F08-9CF2-5CE604DE5B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0E0-4B63-BDFD-45CEF666A6B2}"/>
                </c:ext>
              </c:extLst>
            </c:dLbl>
            <c:dLbl>
              <c:idx val="152"/>
              <c:tx>
                <c:rich>
                  <a:bodyPr/>
                  <a:lstStyle/>
                  <a:p>
                    <a:fld id="{FACD1309-7710-411D-8E64-D9C2F775E9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0E0-4B63-BDFD-45CEF666A6B2}"/>
                </c:ext>
              </c:extLst>
            </c:dLbl>
            <c:dLbl>
              <c:idx val="153"/>
              <c:tx>
                <c:rich>
                  <a:bodyPr/>
                  <a:lstStyle/>
                  <a:p>
                    <a:fld id="{74A470FF-D226-4C7B-8BA8-03FA38E6EF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0E0-4B63-BDFD-45CEF666A6B2}"/>
                </c:ext>
              </c:extLst>
            </c:dLbl>
            <c:dLbl>
              <c:idx val="154"/>
              <c:tx>
                <c:rich>
                  <a:bodyPr/>
                  <a:lstStyle/>
                  <a:p>
                    <a:fld id="{F4CEBB95-AA37-4273-808A-FF1D144B79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0E0-4B63-BDFD-45CEF666A6B2}"/>
                </c:ext>
              </c:extLst>
            </c:dLbl>
            <c:dLbl>
              <c:idx val="155"/>
              <c:tx>
                <c:rich>
                  <a:bodyPr/>
                  <a:lstStyle/>
                  <a:p>
                    <a:fld id="{C97D670F-8369-4774-8053-3AA4B608BE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0E0-4B63-BDFD-45CEF666A6B2}"/>
                </c:ext>
              </c:extLst>
            </c:dLbl>
            <c:dLbl>
              <c:idx val="156"/>
              <c:tx>
                <c:rich>
                  <a:bodyPr/>
                  <a:lstStyle/>
                  <a:p>
                    <a:fld id="{71779A95-3BD9-4A30-88AA-2C37F2F4D0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0E0-4B63-BDFD-45CEF666A6B2}"/>
                </c:ext>
              </c:extLst>
            </c:dLbl>
            <c:dLbl>
              <c:idx val="157"/>
              <c:tx>
                <c:rich>
                  <a:bodyPr/>
                  <a:lstStyle/>
                  <a:p>
                    <a:fld id="{AEA712DD-02F0-432B-953A-E66820969B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0E0-4B63-BDFD-45CEF666A6B2}"/>
                </c:ext>
              </c:extLst>
            </c:dLbl>
            <c:dLbl>
              <c:idx val="158"/>
              <c:tx>
                <c:rich>
                  <a:bodyPr/>
                  <a:lstStyle/>
                  <a:p>
                    <a:fld id="{0F09160F-CE91-4AB1-85C2-35A9105AA2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0E0-4B63-BDFD-45CEF666A6B2}"/>
                </c:ext>
              </c:extLst>
            </c:dLbl>
            <c:dLbl>
              <c:idx val="159"/>
              <c:tx>
                <c:rich>
                  <a:bodyPr/>
                  <a:lstStyle/>
                  <a:p>
                    <a:fld id="{1C3C23F6-1E80-4092-8BB3-ADCD03BFF5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0E0-4B63-BDFD-45CEF666A6B2}"/>
                </c:ext>
              </c:extLst>
            </c:dLbl>
            <c:dLbl>
              <c:idx val="160"/>
              <c:tx>
                <c:rich>
                  <a:bodyPr/>
                  <a:lstStyle/>
                  <a:p>
                    <a:fld id="{B7ED3435-5ECC-4437-A913-B7F46EA0E0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0E0-4B63-BDFD-45CEF666A6B2}"/>
                </c:ext>
              </c:extLst>
            </c:dLbl>
            <c:dLbl>
              <c:idx val="161"/>
              <c:tx>
                <c:rich>
                  <a:bodyPr/>
                  <a:lstStyle/>
                  <a:p>
                    <a:fld id="{673450DB-4FB9-4D99-AB14-464F32851A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0E0-4B63-BDFD-45CEF666A6B2}"/>
                </c:ext>
              </c:extLst>
            </c:dLbl>
            <c:dLbl>
              <c:idx val="162"/>
              <c:tx>
                <c:rich>
                  <a:bodyPr/>
                  <a:lstStyle/>
                  <a:p>
                    <a:fld id="{41E0996D-B8C5-4543-96F9-23D20EC297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0E0-4B63-BDFD-45CEF666A6B2}"/>
                </c:ext>
              </c:extLst>
            </c:dLbl>
            <c:dLbl>
              <c:idx val="163"/>
              <c:tx>
                <c:rich>
                  <a:bodyPr/>
                  <a:lstStyle/>
                  <a:p>
                    <a:fld id="{5CC4B14E-7195-4042-8F14-2A7C3A7DA7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0E0-4B63-BDFD-45CEF666A6B2}"/>
                </c:ext>
              </c:extLst>
            </c:dLbl>
            <c:dLbl>
              <c:idx val="164"/>
              <c:tx>
                <c:rich>
                  <a:bodyPr/>
                  <a:lstStyle/>
                  <a:p>
                    <a:fld id="{1598D3BA-1C51-4DE3-B2B7-4C75C84B65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0E0-4B63-BDFD-45CEF666A6B2}"/>
                </c:ext>
              </c:extLst>
            </c:dLbl>
            <c:dLbl>
              <c:idx val="165"/>
              <c:tx>
                <c:rich>
                  <a:bodyPr/>
                  <a:lstStyle/>
                  <a:p>
                    <a:fld id="{3F1C33F5-E085-4F08-8D53-32DE413ACC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0E0-4B63-BDFD-45CEF666A6B2}"/>
                </c:ext>
              </c:extLst>
            </c:dLbl>
            <c:dLbl>
              <c:idx val="166"/>
              <c:tx>
                <c:rich>
                  <a:bodyPr/>
                  <a:lstStyle/>
                  <a:p>
                    <a:fld id="{24E8648E-3BC4-463A-802A-670755DAD5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0E0-4B63-BDFD-45CEF666A6B2}"/>
                </c:ext>
              </c:extLst>
            </c:dLbl>
            <c:dLbl>
              <c:idx val="167"/>
              <c:tx>
                <c:rich>
                  <a:bodyPr/>
                  <a:lstStyle/>
                  <a:p>
                    <a:fld id="{B6662163-917D-4A98-943C-CBE4C219B6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0E0-4B63-BDFD-45CEF666A6B2}"/>
                </c:ext>
              </c:extLst>
            </c:dLbl>
            <c:dLbl>
              <c:idx val="168"/>
              <c:tx>
                <c:rich>
                  <a:bodyPr/>
                  <a:lstStyle/>
                  <a:p>
                    <a:fld id="{5D4475DA-E031-4C1E-BC1B-4CD84F6FE4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0E0-4B63-BDFD-45CEF666A6B2}"/>
                </c:ext>
              </c:extLst>
            </c:dLbl>
            <c:dLbl>
              <c:idx val="169"/>
              <c:tx>
                <c:rich>
                  <a:bodyPr/>
                  <a:lstStyle/>
                  <a:p>
                    <a:fld id="{30FEB691-9715-41F5-BB74-2E0F77B18D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0E0-4B63-BDFD-45CEF666A6B2}"/>
                </c:ext>
              </c:extLst>
            </c:dLbl>
            <c:dLbl>
              <c:idx val="170"/>
              <c:tx>
                <c:rich>
                  <a:bodyPr/>
                  <a:lstStyle/>
                  <a:p>
                    <a:fld id="{629CB64B-D48D-4A7D-B405-0ABEAB226C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0E0-4B63-BDFD-45CEF666A6B2}"/>
                </c:ext>
              </c:extLst>
            </c:dLbl>
            <c:dLbl>
              <c:idx val="171"/>
              <c:tx>
                <c:rich>
                  <a:bodyPr/>
                  <a:lstStyle/>
                  <a:p>
                    <a:fld id="{B6A8D5B9-EDCE-4163-9B1C-6E2D1BB9C2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0E0-4B63-BDFD-45CEF666A6B2}"/>
                </c:ext>
              </c:extLst>
            </c:dLbl>
            <c:dLbl>
              <c:idx val="172"/>
              <c:tx>
                <c:rich>
                  <a:bodyPr/>
                  <a:lstStyle/>
                  <a:p>
                    <a:fld id="{FF998F7F-DEF6-417A-8777-FFA78115F2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0E0-4B63-BDFD-45CEF666A6B2}"/>
                </c:ext>
              </c:extLst>
            </c:dLbl>
            <c:dLbl>
              <c:idx val="173"/>
              <c:tx>
                <c:rich>
                  <a:bodyPr/>
                  <a:lstStyle/>
                  <a:p>
                    <a:fld id="{61E0D369-4C78-4F6B-9A09-A27440DF82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0E0-4B63-BDFD-45CEF666A6B2}"/>
                </c:ext>
              </c:extLst>
            </c:dLbl>
            <c:dLbl>
              <c:idx val="174"/>
              <c:tx>
                <c:rich>
                  <a:bodyPr/>
                  <a:lstStyle/>
                  <a:p>
                    <a:fld id="{443A89F9-622E-4E68-8AA7-B6484E3485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0E0-4B63-BDFD-45CEF666A6B2}"/>
                </c:ext>
              </c:extLst>
            </c:dLbl>
            <c:dLbl>
              <c:idx val="175"/>
              <c:tx>
                <c:rich>
                  <a:bodyPr/>
                  <a:lstStyle/>
                  <a:p>
                    <a:fld id="{9F0894BC-4A4D-43B0-B46D-9AD12EE3D1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0E0-4B63-BDFD-45CEF666A6B2}"/>
                </c:ext>
              </c:extLst>
            </c:dLbl>
            <c:dLbl>
              <c:idx val="176"/>
              <c:tx>
                <c:rich>
                  <a:bodyPr/>
                  <a:lstStyle/>
                  <a:p>
                    <a:fld id="{768E3B86-3500-46D3-9A72-FE148C1F82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0E0-4B63-BDFD-45CEF666A6B2}"/>
                </c:ext>
              </c:extLst>
            </c:dLbl>
            <c:dLbl>
              <c:idx val="177"/>
              <c:tx>
                <c:rich>
                  <a:bodyPr/>
                  <a:lstStyle/>
                  <a:p>
                    <a:fld id="{973FFD0E-8992-4D07-9D32-28BEDB73FD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0E0-4B63-BDFD-45CEF666A6B2}"/>
                </c:ext>
              </c:extLst>
            </c:dLbl>
            <c:dLbl>
              <c:idx val="178"/>
              <c:tx>
                <c:rich>
                  <a:bodyPr/>
                  <a:lstStyle/>
                  <a:p>
                    <a:fld id="{E3BEE365-DDB6-49C4-A4F1-351BBD693A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0E0-4B63-BDFD-45CEF666A6B2}"/>
                </c:ext>
              </c:extLst>
            </c:dLbl>
            <c:dLbl>
              <c:idx val="179"/>
              <c:tx>
                <c:rich>
                  <a:bodyPr/>
                  <a:lstStyle/>
                  <a:p>
                    <a:fld id="{DA5E742E-295F-486C-BC1D-77EE61E544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0E0-4B63-BDFD-45CEF666A6B2}"/>
                </c:ext>
              </c:extLst>
            </c:dLbl>
            <c:dLbl>
              <c:idx val="180"/>
              <c:tx>
                <c:rich>
                  <a:bodyPr/>
                  <a:lstStyle/>
                  <a:p>
                    <a:fld id="{FE6342DC-9772-42A1-81FB-F6E9132441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0E0-4B63-BDFD-45CEF666A6B2}"/>
                </c:ext>
              </c:extLst>
            </c:dLbl>
            <c:dLbl>
              <c:idx val="181"/>
              <c:tx>
                <c:rich>
                  <a:bodyPr/>
                  <a:lstStyle/>
                  <a:p>
                    <a:fld id="{00FA31E2-FE61-4897-979E-4594C1A48A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0E0-4B63-BDFD-45CEF666A6B2}"/>
                </c:ext>
              </c:extLst>
            </c:dLbl>
            <c:dLbl>
              <c:idx val="182"/>
              <c:tx>
                <c:rich>
                  <a:bodyPr/>
                  <a:lstStyle/>
                  <a:p>
                    <a:fld id="{E01E42F2-0552-43D8-A58F-E19E57B9F3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0E0-4B63-BDFD-45CEF666A6B2}"/>
                </c:ext>
              </c:extLst>
            </c:dLbl>
            <c:dLbl>
              <c:idx val="183"/>
              <c:tx>
                <c:rich>
                  <a:bodyPr/>
                  <a:lstStyle/>
                  <a:p>
                    <a:fld id="{D468337B-7212-4D66-8083-1F6C9FBFBF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0E0-4B63-BDFD-45CEF666A6B2}"/>
                </c:ext>
              </c:extLst>
            </c:dLbl>
            <c:dLbl>
              <c:idx val="184"/>
              <c:tx>
                <c:rich>
                  <a:bodyPr/>
                  <a:lstStyle/>
                  <a:p>
                    <a:fld id="{B7FE50AF-2EF8-4281-9462-19AA869E5D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0E0-4B63-BDFD-45CEF666A6B2}"/>
                </c:ext>
              </c:extLst>
            </c:dLbl>
            <c:dLbl>
              <c:idx val="185"/>
              <c:tx>
                <c:rich>
                  <a:bodyPr/>
                  <a:lstStyle/>
                  <a:p>
                    <a:fld id="{C47B82A6-5D9E-41AF-8CF9-8F77206C61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0E0-4B63-BDFD-45CEF666A6B2}"/>
                </c:ext>
              </c:extLst>
            </c:dLbl>
            <c:dLbl>
              <c:idx val="186"/>
              <c:tx>
                <c:rich>
                  <a:bodyPr/>
                  <a:lstStyle/>
                  <a:p>
                    <a:fld id="{DAE786F4-DFE7-487A-808E-65C121AA5F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0E0-4B63-BDFD-45CEF666A6B2}"/>
                </c:ext>
              </c:extLst>
            </c:dLbl>
            <c:dLbl>
              <c:idx val="187"/>
              <c:tx>
                <c:rich>
                  <a:bodyPr/>
                  <a:lstStyle/>
                  <a:p>
                    <a:fld id="{6923DCD5-8FF9-4B7A-8B76-FFB5833E08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0E0-4B63-BDFD-45CEF666A6B2}"/>
                </c:ext>
              </c:extLst>
            </c:dLbl>
            <c:dLbl>
              <c:idx val="188"/>
              <c:tx>
                <c:rich>
                  <a:bodyPr/>
                  <a:lstStyle/>
                  <a:p>
                    <a:fld id="{861C32A4-F78E-4C15-8C3E-4CB75C356F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0E0-4B63-BDFD-45CEF666A6B2}"/>
                </c:ext>
              </c:extLst>
            </c:dLbl>
            <c:dLbl>
              <c:idx val="189"/>
              <c:tx>
                <c:rich>
                  <a:bodyPr/>
                  <a:lstStyle/>
                  <a:p>
                    <a:fld id="{5F2830BF-87E0-45B1-832D-D32E92A036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0E0-4B63-BDFD-45CEF666A6B2}"/>
                </c:ext>
              </c:extLst>
            </c:dLbl>
            <c:dLbl>
              <c:idx val="190"/>
              <c:tx>
                <c:rich>
                  <a:bodyPr/>
                  <a:lstStyle/>
                  <a:p>
                    <a:fld id="{60958904-BC48-4C98-BFA8-DB136BCEF0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0E0-4B63-BDFD-45CEF666A6B2}"/>
                </c:ext>
              </c:extLst>
            </c:dLbl>
            <c:dLbl>
              <c:idx val="191"/>
              <c:tx>
                <c:rich>
                  <a:bodyPr/>
                  <a:lstStyle/>
                  <a:p>
                    <a:fld id="{98AE5E49-987D-4DEF-863A-DBE233938E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0E0-4B63-BDFD-45CEF666A6B2}"/>
                </c:ext>
              </c:extLst>
            </c:dLbl>
            <c:dLbl>
              <c:idx val="192"/>
              <c:tx>
                <c:rich>
                  <a:bodyPr/>
                  <a:lstStyle/>
                  <a:p>
                    <a:fld id="{2EC3DAFE-2FDF-4D3D-965C-0DB858FD52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0E0-4B63-BDFD-45CEF666A6B2}"/>
                </c:ext>
              </c:extLst>
            </c:dLbl>
            <c:dLbl>
              <c:idx val="193"/>
              <c:tx>
                <c:rich>
                  <a:bodyPr/>
                  <a:lstStyle/>
                  <a:p>
                    <a:fld id="{5B2DD84C-07E2-4276-B367-930C206EED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0E0-4B63-BDFD-45CEF666A6B2}"/>
                </c:ext>
              </c:extLst>
            </c:dLbl>
            <c:dLbl>
              <c:idx val="194"/>
              <c:tx>
                <c:rich>
                  <a:bodyPr/>
                  <a:lstStyle/>
                  <a:p>
                    <a:fld id="{9A25D9B8-11D7-40CE-86F7-4C48A7B0D0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0E0-4B63-BDFD-45CEF666A6B2}"/>
                </c:ext>
              </c:extLst>
            </c:dLbl>
            <c:dLbl>
              <c:idx val="195"/>
              <c:tx>
                <c:rich>
                  <a:bodyPr/>
                  <a:lstStyle/>
                  <a:p>
                    <a:fld id="{348CA2E2-58F8-48DF-8730-1F924D2FBE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0E0-4B63-BDFD-45CEF666A6B2}"/>
                </c:ext>
              </c:extLst>
            </c:dLbl>
            <c:dLbl>
              <c:idx val="196"/>
              <c:tx>
                <c:rich>
                  <a:bodyPr/>
                  <a:lstStyle/>
                  <a:p>
                    <a:fld id="{BB0BBD5C-7912-4529-9E30-F79E531425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0E0-4B63-BDFD-45CEF666A6B2}"/>
                </c:ext>
              </c:extLst>
            </c:dLbl>
            <c:dLbl>
              <c:idx val="197"/>
              <c:tx>
                <c:rich>
                  <a:bodyPr/>
                  <a:lstStyle/>
                  <a:p>
                    <a:fld id="{130D120C-0CA4-434B-A3A3-D4C957AC7A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0E0-4B63-BDFD-45CEF666A6B2}"/>
                </c:ext>
              </c:extLst>
            </c:dLbl>
            <c:dLbl>
              <c:idx val="198"/>
              <c:tx>
                <c:rich>
                  <a:bodyPr/>
                  <a:lstStyle/>
                  <a:p>
                    <a:fld id="{B1B0946A-895F-4159-9604-933DB0FA55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0E0-4B63-BDFD-45CEF666A6B2}"/>
                </c:ext>
              </c:extLst>
            </c:dLbl>
            <c:dLbl>
              <c:idx val="199"/>
              <c:tx>
                <c:rich>
                  <a:bodyPr/>
                  <a:lstStyle/>
                  <a:p>
                    <a:fld id="{3B99BFDA-B78A-463F-AF4D-3A6771050E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0E0-4B63-BDFD-45CEF666A6B2}"/>
                </c:ext>
              </c:extLst>
            </c:dLbl>
            <c:dLbl>
              <c:idx val="200"/>
              <c:tx>
                <c:rich>
                  <a:bodyPr/>
                  <a:lstStyle/>
                  <a:p>
                    <a:fld id="{DFEA1C8D-3054-422F-988F-31EF38909C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0E0-4B63-BDFD-45CEF666A6B2}"/>
                </c:ext>
              </c:extLst>
            </c:dLbl>
            <c:dLbl>
              <c:idx val="201"/>
              <c:tx>
                <c:rich>
                  <a:bodyPr/>
                  <a:lstStyle/>
                  <a:p>
                    <a:fld id="{D24E17B0-2D48-4C14-9D8B-7BE1037882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0E0-4B63-BDFD-45CEF666A6B2}"/>
                </c:ext>
              </c:extLst>
            </c:dLbl>
            <c:dLbl>
              <c:idx val="202"/>
              <c:tx>
                <c:rich>
                  <a:bodyPr/>
                  <a:lstStyle/>
                  <a:p>
                    <a:fld id="{4CB345B9-9401-4501-B6AC-04354A9580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0E0-4B63-BDFD-45CEF666A6B2}"/>
                </c:ext>
              </c:extLst>
            </c:dLbl>
            <c:dLbl>
              <c:idx val="203"/>
              <c:tx>
                <c:rich>
                  <a:bodyPr/>
                  <a:lstStyle/>
                  <a:p>
                    <a:fld id="{1BB09514-C234-4D84-9CD8-29EBD7A049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0E0-4B63-BDFD-45CEF666A6B2}"/>
                </c:ext>
              </c:extLst>
            </c:dLbl>
            <c:dLbl>
              <c:idx val="204"/>
              <c:tx>
                <c:rich>
                  <a:bodyPr/>
                  <a:lstStyle/>
                  <a:p>
                    <a:fld id="{E9305F08-265C-48C7-B5E7-C6152E7F24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0E0-4B63-BDFD-45CEF666A6B2}"/>
                </c:ext>
              </c:extLst>
            </c:dLbl>
            <c:dLbl>
              <c:idx val="205"/>
              <c:tx>
                <c:rich>
                  <a:bodyPr/>
                  <a:lstStyle/>
                  <a:p>
                    <a:fld id="{574B0F8E-9A51-4D06-9EE2-9C11353CA7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0E0-4B63-BDFD-45CEF666A6B2}"/>
                </c:ext>
              </c:extLst>
            </c:dLbl>
            <c:dLbl>
              <c:idx val="206"/>
              <c:tx>
                <c:rich>
                  <a:bodyPr/>
                  <a:lstStyle/>
                  <a:p>
                    <a:fld id="{2D102CC2-E67F-4D8B-B99E-49D3C607F6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0E0-4B63-BDFD-45CEF666A6B2}"/>
                </c:ext>
              </c:extLst>
            </c:dLbl>
            <c:dLbl>
              <c:idx val="207"/>
              <c:tx>
                <c:rich>
                  <a:bodyPr/>
                  <a:lstStyle/>
                  <a:p>
                    <a:fld id="{A9DB8281-F7CE-47BF-B996-033D2DA7D1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0E0-4B63-BDFD-45CEF666A6B2}"/>
                </c:ext>
              </c:extLst>
            </c:dLbl>
            <c:dLbl>
              <c:idx val="208"/>
              <c:tx>
                <c:rich>
                  <a:bodyPr/>
                  <a:lstStyle/>
                  <a:p>
                    <a:fld id="{75575A27-F981-42B6-8A64-37A3A1860D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0E0-4B63-BDFD-45CEF666A6B2}"/>
                </c:ext>
              </c:extLst>
            </c:dLbl>
            <c:dLbl>
              <c:idx val="209"/>
              <c:tx>
                <c:rich>
                  <a:bodyPr/>
                  <a:lstStyle/>
                  <a:p>
                    <a:fld id="{F288F2AB-1378-47C6-B9DC-AC5E2B17E9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0E0-4B63-BDFD-45CEF666A6B2}"/>
                </c:ext>
              </c:extLst>
            </c:dLbl>
            <c:dLbl>
              <c:idx val="210"/>
              <c:tx>
                <c:rich>
                  <a:bodyPr/>
                  <a:lstStyle/>
                  <a:p>
                    <a:fld id="{FF202818-FB00-434C-B802-1DC0C43DEB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0E0-4B63-BDFD-45CEF666A6B2}"/>
                </c:ext>
              </c:extLst>
            </c:dLbl>
            <c:dLbl>
              <c:idx val="211"/>
              <c:tx>
                <c:rich>
                  <a:bodyPr/>
                  <a:lstStyle/>
                  <a:p>
                    <a:fld id="{B1AE0672-6F0E-41D6-83AB-7F33C0826F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0E0-4B63-BDFD-45CEF666A6B2}"/>
                </c:ext>
              </c:extLst>
            </c:dLbl>
            <c:dLbl>
              <c:idx val="212"/>
              <c:tx>
                <c:rich>
                  <a:bodyPr/>
                  <a:lstStyle/>
                  <a:p>
                    <a:fld id="{39B42764-74C4-4C41-9463-BE35C1004F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0E0-4B63-BDFD-45CEF666A6B2}"/>
                </c:ext>
              </c:extLst>
            </c:dLbl>
            <c:dLbl>
              <c:idx val="213"/>
              <c:tx>
                <c:rich>
                  <a:bodyPr/>
                  <a:lstStyle/>
                  <a:p>
                    <a:fld id="{F8FF230C-6CAA-417B-B65C-A345A116A6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0E0-4B63-BDFD-45CEF666A6B2}"/>
                </c:ext>
              </c:extLst>
            </c:dLbl>
            <c:dLbl>
              <c:idx val="214"/>
              <c:tx>
                <c:rich>
                  <a:bodyPr/>
                  <a:lstStyle/>
                  <a:p>
                    <a:fld id="{6CCD5A09-3C46-43A8-ABEB-ADB991461A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0E0-4B63-BDFD-45CEF666A6B2}"/>
                </c:ext>
              </c:extLst>
            </c:dLbl>
            <c:dLbl>
              <c:idx val="215"/>
              <c:tx>
                <c:rich>
                  <a:bodyPr/>
                  <a:lstStyle/>
                  <a:p>
                    <a:fld id="{C37E346B-A503-4F1A-8546-95DB28AA32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0E0-4B63-BDFD-45CEF666A6B2}"/>
                </c:ext>
              </c:extLst>
            </c:dLbl>
            <c:dLbl>
              <c:idx val="216"/>
              <c:tx>
                <c:rich>
                  <a:bodyPr/>
                  <a:lstStyle/>
                  <a:p>
                    <a:fld id="{D7CF0554-6893-4287-8A36-6765FEAA52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0E0-4B63-BDFD-45CEF666A6B2}"/>
                </c:ext>
              </c:extLst>
            </c:dLbl>
            <c:dLbl>
              <c:idx val="217"/>
              <c:tx>
                <c:rich>
                  <a:bodyPr/>
                  <a:lstStyle/>
                  <a:p>
                    <a:fld id="{B6D2C4E3-247C-4BFC-A3A8-70946A3256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0E0-4B63-BDFD-45CEF666A6B2}"/>
                </c:ext>
              </c:extLst>
            </c:dLbl>
            <c:dLbl>
              <c:idx val="218"/>
              <c:tx>
                <c:rich>
                  <a:bodyPr/>
                  <a:lstStyle/>
                  <a:p>
                    <a:fld id="{43176169-F006-4766-89FD-8BCABE72B5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0E0-4B63-BDFD-45CEF666A6B2}"/>
                </c:ext>
              </c:extLst>
            </c:dLbl>
            <c:dLbl>
              <c:idx val="219"/>
              <c:tx>
                <c:rich>
                  <a:bodyPr/>
                  <a:lstStyle/>
                  <a:p>
                    <a:fld id="{3771B218-95DB-4066-AF39-2C243580FD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0E0-4B63-BDFD-45CEF666A6B2}"/>
                </c:ext>
              </c:extLst>
            </c:dLbl>
            <c:dLbl>
              <c:idx val="220"/>
              <c:tx>
                <c:rich>
                  <a:bodyPr/>
                  <a:lstStyle/>
                  <a:p>
                    <a:fld id="{CF7F5AF9-E2BF-4EEF-8424-CA5AD3722A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0E0-4B63-BDFD-45CEF666A6B2}"/>
                </c:ext>
              </c:extLst>
            </c:dLbl>
            <c:dLbl>
              <c:idx val="221"/>
              <c:tx>
                <c:rich>
                  <a:bodyPr/>
                  <a:lstStyle/>
                  <a:p>
                    <a:fld id="{20B9BCB3-19CC-42CD-804F-B09C25D9F8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0E0-4B63-BDFD-45CEF666A6B2}"/>
                </c:ext>
              </c:extLst>
            </c:dLbl>
            <c:dLbl>
              <c:idx val="222"/>
              <c:tx>
                <c:rich>
                  <a:bodyPr/>
                  <a:lstStyle/>
                  <a:p>
                    <a:fld id="{6130DA2E-A5F8-4E17-A34F-3B5D0A6155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0E0-4B63-BDFD-45CEF666A6B2}"/>
                </c:ext>
              </c:extLst>
            </c:dLbl>
            <c:dLbl>
              <c:idx val="223"/>
              <c:tx>
                <c:rich>
                  <a:bodyPr/>
                  <a:lstStyle/>
                  <a:p>
                    <a:fld id="{8222409F-5CB3-41F7-8305-20CBF8089A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0E0-4B63-BDFD-45CEF666A6B2}"/>
                </c:ext>
              </c:extLst>
            </c:dLbl>
            <c:dLbl>
              <c:idx val="224"/>
              <c:tx>
                <c:rich>
                  <a:bodyPr/>
                  <a:lstStyle/>
                  <a:p>
                    <a:fld id="{C9B58E4E-D14B-472A-A574-D64619BB64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0E0-4B63-BDFD-45CEF666A6B2}"/>
                </c:ext>
              </c:extLst>
            </c:dLbl>
            <c:dLbl>
              <c:idx val="225"/>
              <c:tx>
                <c:rich>
                  <a:bodyPr/>
                  <a:lstStyle/>
                  <a:p>
                    <a:fld id="{4B546E03-A1C8-4107-8A56-00151D8A79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0E0-4B63-BDFD-45CEF666A6B2}"/>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A0E0-4B63-BDFD-45CEF666A6B2}"/>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A0E0-4B63-BDFD-45CEF666A6B2}"/>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A0E0-4B63-BDFD-45CEF666A6B2}"/>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A0E0-4B63-BDFD-45CEF666A6B2}"/>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A0E0-4B63-BDFD-45CEF666A6B2}"/>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A0E0-4B63-BDFD-45CEF666A6B2}"/>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A0E0-4B63-BDFD-45CEF666A6B2}"/>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A0E0-4B63-BDFD-45CEF666A6B2}"/>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A0E0-4B63-BDFD-45CEF666A6B2}"/>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A0E0-4B63-BDFD-45CEF666A6B2}"/>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A0E0-4B63-BDFD-45CEF666A6B2}"/>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A0E0-4B63-BDFD-45CEF666A6B2}"/>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A0E0-4B63-BDFD-45CEF666A6B2}"/>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A0E0-4B63-BDFD-45CEF666A6B2}"/>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A0E0-4B63-BDFD-45CEF666A6B2}"/>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A0E0-4B63-BDFD-45CEF666A6B2}"/>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A0E0-4B63-BDFD-45CEF666A6B2}"/>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A0E0-4B63-BDFD-45CEF666A6B2}"/>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A0E0-4B63-BDFD-45CEF666A6B2}"/>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A0E0-4B63-BDFD-45CEF666A6B2}"/>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A0E0-4B63-BDFD-45CEF666A6B2}"/>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A0E0-4B63-BDFD-45CEF666A6B2}"/>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A0E0-4B63-BDFD-45CEF666A6B2}"/>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A0E0-4B63-BDFD-45CEF666A6B2}"/>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A0E0-4B63-BDFD-45CEF666A6B2}"/>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A0E0-4B63-BDFD-45CEF666A6B2}"/>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A0E0-4B63-BDFD-45CEF666A6B2}"/>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A0E0-4B63-BDFD-45CEF666A6B2}"/>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A0E0-4B63-BDFD-45CEF666A6B2}"/>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A0E0-4B63-BDFD-45CEF666A6B2}"/>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A0E0-4B63-BDFD-45CEF666A6B2}"/>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A0E0-4B63-BDFD-45CEF666A6B2}"/>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A0E0-4B63-BDFD-45CEF666A6B2}"/>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A0E0-4B63-BDFD-45CEF666A6B2}"/>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A0E0-4B63-BDFD-45CEF666A6B2}"/>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A0E0-4B63-BDFD-45CEF666A6B2}"/>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A0E0-4B63-BDFD-45CEF666A6B2}"/>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A0E0-4B63-BDFD-45CEF666A6B2}"/>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A0E0-4B63-BDFD-45CEF666A6B2}"/>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A0E0-4B63-BDFD-45CEF666A6B2}"/>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A0E0-4B63-BDFD-45CEF666A6B2}"/>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A0E0-4B63-BDFD-45CEF666A6B2}"/>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A0E0-4B63-BDFD-45CEF666A6B2}"/>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A0E0-4B63-BDFD-45CEF666A6B2}"/>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A0E0-4B63-BDFD-45CEF666A6B2}"/>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A0E0-4B63-BDFD-45CEF666A6B2}"/>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A0E0-4B63-BDFD-45CEF666A6B2}"/>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A0E0-4B63-BDFD-45CEF666A6B2}"/>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A0E0-4B63-BDFD-45CEF666A6B2}"/>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A0E0-4B63-BDFD-45CEF666A6B2}"/>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A0E0-4B63-BDFD-45CEF666A6B2}"/>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A0E0-4B63-BDFD-45CEF666A6B2}"/>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A0E0-4B63-BDFD-45CEF666A6B2}"/>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A0E0-4B63-BDFD-45CEF666A6B2}"/>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A0E0-4B63-BDFD-45CEF666A6B2}"/>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A0E0-4B63-BDFD-45CEF666A6B2}"/>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A0E0-4B63-BDFD-45CEF666A6B2}"/>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A0E0-4B63-BDFD-45CEF666A6B2}"/>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A0E0-4B63-BDFD-45CEF666A6B2}"/>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A0E0-4B63-BDFD-45CEF666A6B2}"/>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A0E0-4B63-BDFD-45CEF666A6B2}"/>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A0E0-4B63-BDFD-45CEF666A6B2}"/>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A0E0-4B63-BDFD-45CEF666A6B2}"/>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A0E0-4B63-BDFD-45CEF666A6B2}"/>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A0E0-4B63-BDFD-45CEF666A6B2}"/>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A0E0-4B63-BDFD-45CEF666A6B2}"/>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A0E0-4B63-BDFD-45CEF666A6B2}"/>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A0E0-4B63-BDFD-45CEF666A6B2}"/>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A0E0-4B63-BDFD-45CEF666A6B2}"/>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A0E0-4B63-BDFD-45CEF666A6B2}"/>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A0E0-4B63-BDFD-45CEF666A6B2}"/>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A0E0-4B63-BDFD-45CEF666A6B2}"/>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A0E0-4B63-BDFD-45CEF666A6B2}"/>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38.431667327880859</c:v>
                </c:pt>
                <c:pt idx="1">
                  <c:v>40.675846099853516</c:v>
                </c:pt>
                <c:pt idx="2">
                  <c:v>43.58526611328125</c:v>
                </c:pt>
                <c:pt idx="3">
                  <c:v>46.7218017578125</c:v>
                </c:pt>
                <c:pt idx="4">
                  <c:v>49.593414306640625</c:v>
                </c:pt>
                <c:pt idx="5">
                  <c:v>52.281455993652344</c:v>
                </c:pt>
                <c:pt idx="6">
                  <c:v>54.91229248046875</c:v>
                </c:pt>
                <c:pt idx="7">
                  <c:v>56.863868713378906</c:v>
                </c:pt>
                <c:pt idx="8">
                  <c:v>57.893363952636719</c:v>
                </c:pt>
                <c:pt idx="9">
                  <c:v>57.694194793701172</c:v>
                </c:pt>
                <c:pt idx="10">
                  <c:v>56.039260864257813</c:v>
                </c:pt>
                <c:pt idx="11">
                  <c:v>53.282806396484375</c:v>
                </c:pt>
                <c:pt idx="12">
                  <c:v>49.646408081054688</c:v>
                </c:pt>
                <c:pt idx="13">
                  <c:v>45.307060241699219</c:v>
                </c:pt>
                <c:pt idx="14">
                  <c:v>41.034206390380859</c:v>
                </c:pt>
                <c:pt idx="15">
                  <c:v>37.828556060791016</c:v>
                </c:pt>
                <c:pt idx="16">
                  <c:v>36.573879241943359</c:v>
                </c:pt>
                <c:pt idx="17">
                  <c:v>37.75164794921875</c:v>
                </c:pt>
                <c:pt idx="18">
                  <c:v>41.453994750976563</c:v>
                </c:pt>
                <c:pt idx="19">
                  <c:v>47.408882141113281</c:v>
                </c:pt>
                <c:pt idx="20">
                  <c:v>54.874118804931641</c:v>
                </c:pt>
                <c:pt idx="21">
                  <c:v>63.523292541503906</c:v>
                </c:pt>
                <c:pt idx="22">
                  <c:v>72.964385986328125</c:v>
                </c:pt>
                <c:pt idx="23">
                  <c:v>82.05975341796875</c:v>
                </c:pt>
                <c:pt idx="24">
                  <c:v>90.422309875488281</c:v>
                </c:pt>
                <c:pt idx="25">
                  <c:v>96.662528991699219</c:v>
                </c:pt>
                <c:pt idx="26">
                  <c:v>100</c:v>
                </c:pt>
                <c:pt idx="27">
                  <c:v>99.145965576171875</c:v>
                </c:pt>
                <c:pt idx="28">
                  <c:v>94.218177795410156</c:v>
                </c:pt>
                <c:pt idx="29">
                  <c:v>87.161537170410156</c:v>
                </c:pt>
                <c:pt idx="30">
                  <c:v>79.878746032714844</c:v>
                </c:pt>
                <c:pt idx="31">
                  <c:v>74.322120666503906</c:v>
                </c:pt>
                <c:pt idx="32">
                  <c:v>70.574050903320313</c:v>
                </c:pt>
                <c:pt idx="33">
                  <c:v>68.240531921386719</c:v>
                </c:pt>
                <c:pt idx="34">
                  <c:v>66.390655517578125</c:v>
                </c:pt>
                <c:pt idx="35">
                  <c:v>64.109428405761719</c:v>
                </c:pt>
                <c:pt idx="36">
                  <c:v>61.059345245361328</c:v>
                </c:pt>
                <c:pt idx="37">
                  <c:v>56.862045288085938</c:v>
                </c:pt>
                <c:pt idx="38">
                  <c:v>51.700069427490234</c:v>
                </c:pt>
                <c:pt idx="39">
                  <c:v>45.960895538330078</c:v>
                </c:pt>
                <c:pt idx="40">
                  <c:v>40.500846862792969</c:v>
                </c:pt>
                <c:pt idx="41">
                  <c:v>35.871627807617188</c:v>
                </c:pt>
                <c:pt idx="42">
                  <c:v>32.515693664550781</c:v>
                </c:pt>
                <c:pt idx="43">
                  <c:v>30.335350036621094</c:v>
                </c:pt>
                <c:pt idx="44">
                  <c:v>29.171567916870117</c:v>
                </c:pt>
                <c:pt idx="45">
                  <c:v>28.750514984130859</c:v>
                </c:pt>
                <c:pt idx="46">
                  <c:v>28.585330963134766</c:v>
                </c:pt>
                <c:pt idx="47">
                  <c:v>28.606842041015625</c:v>
                </c:pt>
                <c:pt idx="48">
                  <c:v>28.567039489746094</c:v>
                </c:pt>
                <c:pt idx="49">
                  <c:v>28.229511260986328</c:v>
                </c:pt>
                <c:pt idx="50">
                  <c:v>27.516651153564453</c:v>
                </c:pt>
                <c:pt idx="51">
                  <c:v>26.453151702880859</c:v>
                </c:pt>
                <c:pt idx="52">
                  <c:v>25.102827072143555</c:v>
                </c:pt>
                <c:pt idx="53">
                  <c:v>23.429309844970703</c:v>
                </c:pt>
                <c:pt idx="54">
                  <c:v>21.415374755859375</c:v>
                </c:pt>
                <c:pt idx="55">
                  <c:v>19.279315948486328</c:v>
                </c:pt>
                <c:pt idx="56">
                  <c:v>17.175960540771484</c:v>
                </c:pt>
                <c:pt idx="57">
                  <c:v>15.233911514282227</c:v>
                </c:pt>
                <c:pt idx="58">
                  <c:v>13.55583667755127</c:v>
                </c:pt>
                <c:pt idx="59">
                  <c:v>12.414612770080566</c:v>
                </c:pt>
                <c:pt idx="60">
                  <c:v>11.614193916320801</c:v>
                </c:pt>
                <c:pt idx="61">
                  <c:v>11.175665855407715</c:v>
                </c:pt>
                <c:pt idx="62">
                  <c:v>11.290555000305176</c:v>
                </c:pt>
                <c:pt idx="63">
                  <c:v>11.778487205505371</c:v>
                </c:pt>
                <c:pt idx="64">
                  <c:v>12.295844078063965</c:v>
                </c:pt>
                <c:pt idx="65">
                  <c:v>13.040942192077637</c:v>
                </c:pt>
                <c:pt idx="66">
                  <c:v>14.086267471313477</c:v>
                </c:pt>
                <c:pt idx="67">
                  <c:v>15.190249443054199</c:v>
                </c:pt>
                <c:pt idx="68">
                  <c:v>16.567127227783203</c:v>
                </c:pt>
                <c:pt idx="69">
                  <c:v>18.077127456665039</c:v>
                </c:pt>
                <c:pt idx="70">
                  <c:v>19.470046997070313</c:v>
                </c:pt>
                <c:pt idx="71">
                  <c:v>20.803224563598633</c:v>
                </c:pt>
                <c:pt idx="72">
                  <c:v>22.267332077026367</c:v>
                </c:pt>
                <c:pt idx="73">
                  <c:v>23.877479553222656</c:v>
                </c:pt>
                <c:pt idx="74">
                  <c:v>25.350683212280273</c:v>
                </c:pt>
                <c:pt idx="75">
                  <c:v>26.631351470947266</c:v>
                </c:pt>
                <c:pt idx="76">
                  <c:v>27.937934875488281</c:v>
                </c:pt>
                <c:pt idx="77">
                  <c:v>29.107149124145508</c:v>
                </c:pt>
                <c:pt idx="78">
                  <c:v>29.946128845214844</c:v>
                </c:pt>
                <c:pt idx="79">
                  <c:v>30.671501159667969</c:v>
                </c:pt>
                <c:pt idx="80">
                  <c:v>31.493934631347656</c:v>
                </c:pt>
                <c:pt idx="81">
                  <c:v>32.179832458496094</c:v>
                </c:pt>
                <c:pt idx="82">
                  <c:v>32.550491333007813</c:v>
                </c:pt>
                <c:pt idx="83">
                  <c:v>32.521957397460938</c:v>
                </c:pt>
                <c:pt idx="84">
                  <c:v>32.284149169921875</c:v>
                </c:pt>
                <c:pt idx="85">
                  <c:v>31.924005508422852</c:v>
                </c:pt>
                <c:pt idx="86">
                  <c:v>31.362382888793945</c:v>
                </c:pt>
                <c:pt idx="87">
                  <c:v>30.576648712158203</c:v>
                </c:pt>
                <c:pt idx="88">
                  <c:v>29.488824844360352</c:v>
                </c:pt>
                <c:pt idx="89">
                  <c:v>28.509681701660156</c:v>
                </c:pt>
                <c:pt idx="90">
                  <c:v>27.246820449829102</c:v>
                </c:pt>
                <c:pt idx="91">
                  <c:v>25.768379211425781</c:v>
                </c:pt>
                <c:pt idx="92">
                  <c:v>24.416269302368164</c:v>
                </c:pt>
                <c:pt idx="93">
                  <c:v>22.627708435058594</c:v>
                </c:pt>
                <c:pt idx="94">
                  <c:v>20.931497573852539</c:v>
                </c:pt>
                <c:pt idx="95">
                  <c:v>19.507076263427734</c:v>
                </c:pt>
                <c:pt idx="96">
                  <c:v>17.827119827270508</c:v>
                </c:pt>
                <c:pt idx="97">
                  <c:v>16.044378280639648</c:v>
                </c:pt>
                <c:pt idx="98">
                  <c:v>14.340329170227051</c:v>
                </c:pt>
                <c:pt idx="99">
                  <c:v>12.925801277160645</c:v>
                </c:pt>
                <c:pt idx="100">
                  <c:v>11.506793022155762</c:v>
                </c:pt>
                <c:pt idx="101">
                  <c:v>10.252347946166992</c:v>
                </c:pt>
                <c:pt idx="102">
                  <c:v>9.1054019927978516</c:v>
                </c:pt>
                <c:pt idx="103">
                  <c:v>7.9691047668457031</c:v>
                </c:pt>
                <c:pt idx="104">
                  <c:v>7.0922622680664063</c:v>
                </c:pt>
                <c:pt idx="105">
                  <c:v>6.3158769607543945</c:v>
                </c:pt>
                <c:pt idx="106">
                  <c:v>5.5174565315246582</c:v>
                </c:pt>
                <c:pt idx="107">
                  <c:v>4.8549900054931641</c:v>
                </c:pt>
                <c:pt idx="108">
                  <c:v>4.411651611328125</c:v>
                </c:pt>
                <c:pt idx="109">
                  <c:v>3.9312841892242432</c:v>
                </c:pt>
                <c:pt idx="110">
                  <c:v>3.5566694736480713</c:v>
                </c:pt>
                <c:pt idx="111">
                  <c:v>3.4629042148590088</c:v>
                </c:pt>
                <c:pt idx="112">
                  <c:v>3.2101805210113525</c:v>
                </c:pt>
                <c:pt idx="113">
                  <c:v>2.923123836517334</c:v>
                </c:pt>
                <c:pt idx="114">
                  <c:v>2.8022027015686035</c:v>
                </c:pt>
                <c:pt idx="115">
                  <c:v>2.6235949993133545</c:v>
                </c:pt>
                <c:pt idx="116">
                  <c:v>2.4718520641326904</c:v>
                </c:pt>
                <c:pt idx="117">
                  <c:v>2.4767594337463379</c:v>
                </c:pt>
                <c:pt idx="118">
                  <c:v>2.5129930973052979</c:v>
                </c:pt>
                <c:pt idx="119">
                  <c:v>2.4454915523529053</c:v>
                </c:pt>
                <c:pt idx="120">
                  <c:v>2.2175376415252686</c:v>
                </c:pt>
                <c:pt idx="121">
                  <c:v>2.1843104362487793</c:v>
                </c:pt>
                <c:pt idx="122">
                  <c:v>2.3471097946166992</c:v>
                </c:pt>
                <c:pt idx="123">
                  <c:v>2.4235146045684814</c:v>
                </c:pt>
                <c:pt idx="124">
                  <c:v>2.378164529800415</c:v>
                </c:pt>
                <c:pt idx="125">
                  <c:v>2.2332491874694824</c:v>
                </c:pt>
                <c:pt idx="126">
                  <c:v>2.337721586227417</c:v>
                </c:pt>
                <c:pt idx="127">
                  <c:v>2.6073596477508545</c:v>
                </c:pt>
                <c:pt idx="128">
                  <c:v>2.6661908626556396</c:v>
                </c:pt>
                <c:pt idx="129">
                  <c:v>2.4931888580322266</c:v>
                </c:pt>
                <c:pt idx="130">
                  <c:v>2.4133119583129883</c:v>
                </c:pt>
                <c:pt idx="131">
                  <c:v>2.4391486644744873</c:v>
                </c:pt>
                <c:pt idx="132">
                  <c:v>2.486283540725708</c:v>
                </c:pt>
                <c:pt idx="133">
                  <c:v>2.6051290035247803</c:v>
                </c:pt>
                <c:pt idx="134">
                  <c:v>2.5865077972412109</c:v>
                </c:pt>
                <c:pt idx="135">
                  <c:v>2.5023055076599121</c:v>
                </c:pt>
                <c:pt idx="136">
                  <c:v>3.7227468490600586</c:v>
                </c:pt>
                <c:pt idx="137">
                  <c:v>4.3872499465942383</c:v>
                </c:pt>
                <c:pt idx="138">
                  <c:v>3.1413404941558838</c:v>
                </c:pt>
                <c:pt idx="139">
                  <c:v>2.3660025596618652</c:v>
                </c:pt>
                <c:pt idx="140">
                  <c:v>2.4272778034210205</c:v>
                </c:pt>
                <c:pt idx="141">
                  <c:v>2.3124666213989258</c:v>
                </c:pt>
                <c:pt idx="142">
                  <c:v>2.4577116966247559</c:v>
                </c:pt>
                <c:pt idx="143">
                  <c:v>2.6955192089080811</c:v>
                </c:pt>
                <c:pt idx="144">
                  <c:v>2.3710458278656006</c:v>
                </c:pt>
                <c:pt idx="145">
                  <c:v>2.2090611457824707</c:v>
                </c:pt>
                <c:pt idx="146">
                  <c:v>2.5360949039459229</c:v>
                </c:pt>
                <c:pt idx="147">
                  <c:v>2.6912713050842285</c:v>
                </c:pt>
                <c:pt idx="148">
                  <c:v>2.4710955619812012</c:v>
                </c:pt>
                <c:pt idx="149">
                  <c:v>2.3749251365661621</c:v>
                </c:pt>
                <c:pt idx="150">
                  <c:v>2.5242047309875488</c:v>
                </c:pt>
                <c:pt idx="151">
                  <c:v>2.3024771213531494</c:v>
                </c:pt>
                <c:pt idx="152">
                  <c:v>2.2615690231323242</c:v>
                </c:pt>
                <c:pt idx="153">
                  <c:v>2.2361781597137451</c:v>
                </c:pt>
                <c:pt idx="154">
                  <c:v>2.4763326644897461</c:v>
                </c:pt>
                <c:pt idx="155">
                  <c:v>2.8369817733764648</c:v>
                </c:pt>
                <c:pt idx="156">
                  <c:v>2.5877106189727783</c:v>
                </c:pt>
                <c:pt idx="157">
                  <c:v>2.4610090255737305</c:v>
                </c:pt>
                <c:pt idx="158">
                  <c:v>2.4593603610992432</c:v>
                </c:pt>
                <c:pt idx="159">
                  <c:v>2.2204084396362305</c:v>
                </c:pt>
                <c:pt idx="160">
                  <c:v>2.3760502338409424</c:v>
                </c:pt>
                <c:pt idx="161">
                  <c:v>2.4353275299072266</c:v>
                </c:pt>
                <c:pt idx="162">
                  <c:v>2.1839807033538818</c:v>
                </c:pt>
                <c:pt idx="163">
                  <c:v>2.2217469215393066</c:v>
                </c:pt>
                <c:pt idx="164">
                  <c:v>2.3214669227600098</c:v>
                </c:pt>
                <c:pt idx="165">
                  <c:v>2.1554090976715088</c:v>
                </c:pt>
                <c:pt idx="166">
                  <c:v>2.1886553764343262</c:v>
                </c:pt>
                <c:pt idx="167">
                  <c:v>2.325986385345459</c:v>
                </c:pt>
                <c:pt idx="168">
                  <c:v>2.3806860446929932</c:v>
                </c:pt>
                <c:pt idx="169">
                  <c:v>2.7003684043884277</c:v>
                </c:pt>
                <c:pt idx="170">
                  <c:v>2.786588191986084</c:v>
                </c:pt>
                <c:pt idx="171">
                  <c:v>2.6226058006286621</c:v>
                </c:pt>
                <c:pt idx="172">
                  <c:v>2.5088422298431396</c:v>
                </c:pt>
                <c:pt idx="173">
                  <c:v>2.524146556854248</c:v>
                </c:pt>
                <c:pt idx="174">
                  <c:v>2.2706661224365234</c:v>
                </c:pt>
                <c:pt idx="175">
                  <c:v>2.0817584991455078</c:v>
                </c:pt>
                <c:pt idx="176">
                  <c:v>2</c:v>
                </c:pt>
                <c:pt idx="177">
                  <c:v>2.3111865520477295</c:v>
                </c:pt>
                <c:pt idx="178">
                  <c:v>2.6303839683532715</c:v>
                </c:pt>
                <c:pt idx="179">
                  <c:v>2.491675853729248</c:v>
                </c:pt>
                <c:pt idx="180">
                  <c:v>2.5590806007385254</c:v>
                </c:pt>
                <c:pt idx="181">
                  <c:v>2.5878655910491943</c:v>
                </c:pt>
                <c:pt idx="182">
                  <c:v>2.404951810836792</c:v>
                </c:pt>
                <c:pt idx="183">
                  <c:v>2.5531449317932129</c:v>
                </c:pt>
                <c:pt idx="184">
                  <c:v>2.820979118347168</c:v>
                </c:pt>
                <c:pt idx="185">
                  <c:v>2.6605851650238037</c:v>
                </c:pt>
                <c:pt idx="186">
                  <c:v>2.7006399631500244</c:v>
                </c:pt>
                <c:pt idx="187">
                  <c:v>2.4763522148132324</c:v>
                </c:pt>
                <c:pt idx="188">
                  <c:v>2.5381510257720947</c:v>
                </c:pt>
                <c:pt idx="189">
                  <c:v>2.8113000392913818</c:v>
                </c:pt>
                <c:pt idx="190">
                  <c:v>2.7071962356567383</c:v>
                </c:pt>
                <c:pt idx="191">
                  <c:v>2.6050515174865723</c:v>
                </c:pt>
                <c:pt idx="192">
                  <c:v>2.6688482761383057</c:v>
                </c:pt>
                <c:pt idx="193">
                  <c:v>2.5456576347351074</c:v>
                </c:pt>
                <c:pt idx="194">
                  <c:v>2.4977858066558838</c:v>
                </c:pt>
                <c:pt idx="195">
                  <c:v>2.3996951580047607</c:v>
                </c:pt>
                <c:pt idx="196">
                  <c:v>2.3194303512573242</c:v>
                </c:pt>
                <c:pt idx="197">
                  <c:v>2.3958544731140137</c:v>
                </c:pt>
                <c:pt idx="198">
                  <c:v>2.5189869403839111</c:v>
                </c:pt>
                <c:pt idx="199">
                  <c:v>2.5391016006469727</c:v>
                </c:pt>
                <c:pt idx="200">
                  <c:v>2.3738195896148682</c:v>
                </c:pt>
                <c:pt idx="201">
                  <c:v>2.4255514144897461</c:v>
                </c:pt>
                <c:pt idx="202">
                  <c:v>2.1743016242980957</c:v>
                </c:pt>
                <c:pt idx="203">
                  <c:v>2.4336400032043457</c:v>
                </c:pt>
                <c:pt idx="204">
                  <c:v>2.4266376495361328</c:v>
                </c:pt>
                <c:pt idx="205">
                  <c:v>2.3682913780212402</c:v>
                </c:pt>
                <c:pt idx="206">
                  <c:v>2.3783195018768311</c:v>
                </c:pt>
                <c:pt idx="207">
                  <c:v>2.3665649890899658</c:v>
                </c:pt>
                <c:pt idx="208">
                  <c:v>2.201185941696167</c:v>
                </c:pt>
                <c:pt idx="209">
                  <c:v>2.1788406372070313</c:v>
                </c:pt>
                <c:pt idx="210">
                  <c:v>2.432185173034668</c:v>
                </c:pt>
                <c:pt idx="211">
                  <c:v>2.33469557762146</c:v>
                </c:pt>
                <c:pt idx="212">
                  <c:v>2.2607543468475342</c:v>
                </c:pt>
                <c:pt idx="213">
                  <c:v>2.1154704093933105</c:v>
                </c:pt>
                <c:pt idx="214">
                  <c:v>2.3357818126678467</c:v>
                </c:pt>
                <c:pt idx="215">
                  <c:v>2.3782031536102295</c:v>
                </c:pt>
                <c:pt idx="216">
                  <c:v>2.2131733894348145</c:v>
                </c:pt>
                <c:pt idx="217">
                  <c:v>2.1765711307525635</c:v>
                </c:pt>
                <c:pt idx="218">
                  <c:v>2.2045028209686279</c:v>
                </c:pt>
                <c:pt idx="219">
                  <c:v>2.3326783180236816</c:v>
                </c:pt>
                <c:pt idx="220">
                  <c:v>2.4402542114257813</c:v>
                </c:pt>
                <c:pt idx="221">
                  <c:v>2.8598313331604004</c:v>
                </c:pt>
                <c:pt idx="222">
                  <c:v>3.0430557727813721</c:v>
                </c:pt>
                <c:pt idx="223">
                  <c:v>3.015667200088501</c:v>
                </c:pt>
                <c:pt idx="224">
                  <c:v>2.6952476501464844</c:v>
                </c:pt>
                <c:pt idx="225">
                  <c:v>2.0402488708496094</c:v>
                </c:pt>
              </c:numCache>
            </c:numRef>
          </c:yVal>
          <c:smooth val="1"/>
          <c:extLst>
            <c:ext xmlns:c15="http://schemas.microsoft.com/office/drawing/2012/chart" uri="{02D57815-91ED-43cb-92C2-25804820EDAC}">
              <c15:datalabelsRange>
                <c15:f>PeakLabels!$B$2:$B$300</c15:f>
                <c15:dlblRangeCache>
                  <c:ptCount val="299"/>
                  <c:pt idx="8">
                    <c:v>206</c:v>
                  </c:pt>
                  <c:pt idx="26">
                    <c:v>242</c:v>
                  </c:pt>
                  <c:pt idx="47">
                    <c:v>284</c:v>
                  </c:pt>
                  <c:pt idx="82">
                    <c:v>354</c:v>
                  </c:pt>
                </c15:dlblRangeCache>
              </c15:datalabelsRange>
            </c:ext>
            <c:ext xmlns:c16="http://schemas.microsoft.com/office/drawing/2014/chart" uri="{C3380CC4-5D6E-409C-BE32-E72D297353CC}">
              <c16:uniqueId val="{00000000-1334-4622-AA79-3BC73312FDB2}"/>
            </c:ext>
          </c:extLst>
        </c:ser>
        <c:ser>
          <c:idx val="1"/>
          <c:order val="1"/>
          <c:spPr>
            <a:ln>
              <a:noFill/>
            </a:ln>
          </c:spPr>
          <c:marker>
            <c:symbol val="star"/>
            <c:size val="2"/>
            <c:spPr>
              <a:solidFill>
                <a:srgbClr val="000000"/>
              </a:solidFill>
              <a:ln>
                <a:noFill/>
              </a:ln>
            </c:spPr>
          </c:marker>
          <c:dLbls>
            <c:dLbl>
              <c:idx val="0"/>
              <c:tx>
                <c:rich>
                  <a:bodyPr/>
                  <a:lstStyle/>
                  <a:p>
                    <a:fld id="{C8AEABA9-D0FC-46D1-8116-8B1B30369A4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334-4622-AA79-3BC73312FDB2}"/>
                </c:ext>
              </c:extLst>
            </c:dLbl>
            <c:dLbl>
              <c:idx val="1"/>
              <c:tx>
                <c:rich>
                  <a:bodyPr/>
                  <a:lstStyle/>
                  <a:p>
                    <a:fld id="{E098FFBD-B2AF-4049-94D4-5E16E5425F1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334-4622-AA79-3BC73312FDB2}"/>
                </c:ext>
              </c:extLst>
            </c:dLbl>
            <c:dLbl>
              <c:idx val="2"/>
              <c:tx>
                <c:rich>
                  <a:bodyPr/>
                  <a:lstStyle/>
                  <a:p>
                    <a:fld id="{A3D97EF0-4890-49DD-90D6-020F2411055C}"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334-4622-AA79-3BC73312FDB2}"/>
                </c:ext>
              </c:extLst>
            </c:dLbl>
            <c:dLbl>
              <c:idx val="3"/>
              <c:tx>
                <c:rich>
                  <a:bodyPr/>
                  <a:lstStyle/>
                  <a:p>
                    <a:fld id="{7321913C-1BF0-49C7-91F7-122B5E13DD4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334-4622-AA79-3BC73312FDB2}"/>
                </c:ext>
              </c:extLst>
            </c:dLbl>
            <c:dLbl>
              <c:idx val="4"/>
              <c:tx>
                <c:rich>
                  <a:bodyPr/>
                  <a:lstStyle/>
                  <a:p>
                    <a:fld id="{9DB130F4-5FAC-4958-B8A7-26BB865B1D0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334-4622-AA79-3BC73312FDB2}"/>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1334-4622-AA79-3BC73312FDB2}"/>
            </c:ext>
          </c:extLst>
        </c:ser>
        <c:dLbls>
          <c:showLegendKey val="0"/>
          <c:showVal val="0"/>
          <c:showCatName val="0"/>
          <c:showSerName val="0"/>
          <c:showPercent val="0"/>
          <c:showBubbleSize val="0"/>
        </c:dLbls>
        <c:axId val="1569264112"/>
        <c:axId val="1569264656"/>
      </c:scatterChart>
      <c:valAx>
        <c:axId val="1569264112"/>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12700"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4656"/>
        <c:crossesAt val="0"/>
        <c:crossBetween val="midCat"/>
        <c:majorUnit val="100"/>
      </c:valAx>
      <c:valAx>
        <c:axId val="1569264656"/>
        <c:scaling>
          <c:orientation val="minMax"/>
          <c:max val="124"/>
          <c:min val="0"/>
        </c:scaling>
        <c:delete val="0"/>
        <c:axPos val="l"/>
        <c:majorGridlines>
          <c:spPr>
            <a:ln w="9525" cap="flat" cmpd="sng" algn="ctr">
              <a:noFill/>
              <a:round/>
            </a:ln>
            <a:effec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4112"/>
        <c:crosses val="autoZero"/>
        <c:crossBetween val="midCat"/>
        <c:majorUnit val="25"/>
        <c:minorUnit val="5"/>
      </c:valAx>
      <c:spPr>
        <a:no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50068AAE-EBDA-4686-95A9-52C90C0DA1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131-4A69-ADE9-11B932352FFF}"/>
                </c:ext>
              </c:extLst>
            </c:dLbl>
            <c:dLbl>
              <c:idx val="1"/>
              <c:tx>
                <c:rich>
                  <a:bodyPr/>
                  <a:lstStyle/>
                  <a:p>
                    <a:fld id="{762634ED-8830-48C8-A397-71064072E4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131-4A69-ADE9-11B932352FFF}"/>
                </c:ext>
              </c:extLst>
            </c:dLbl>
            <c:dLbl>
              <c:idx val="2"/>
              <c:tx>
                <c:rich>
                  <a:bodyPr/>
                  <a:lstStyle/>
                  <a:p>
                    <a:fld id="{F5283ECD-B7E3-4DFA-9015-B3AFD6ECE0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131-4A69-ADE9-11B932352FFF}"/>
                </c:ext>
              </c:extLst>
            </c:dLbl>
            <c:dLbl>
              <c:idx val="3"/>
              <c:tx>
                <c:rich>
                  <a:bodyPr/>
                  <a:lstStyle/>
                  <a:p>
                    <a:fld id="{8D25585A-D050-4365-AF10-629CC303E6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131-4A69-ADE9-11B932352FFF}"/>
                </c:ext>
              </c:extLst>
            </c:dLbl>
            <c:dLbl>
              <c:idx val="4"/>
              <c:tx>
                <c:rich>
                  <a:bodyPr/>
                  <a:lstStyle/>
                  <a:p>
                    <a:fld id="{0404F727-D8D7-4775-9C53-9C3EEBAB49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131-4A69-ADE9-11B932352FFF}"/>
                </c:ext>
              </c:extLst>
            </c:dLbl>
            <c:dLbl>
              <c:idx val="5"/>
              <c:tx>
                <c:rich>
                  <a:bodyPr/>
                  <a:lstStyle/>
                  <a:p>
                    <a:fld id="{FBC8D4A9-E223-47A9-9A61-DD830FA01C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131-4A69-ADE9-11B932352FFF}"/>
                </c:ext>
              </c:extLst>
            </c:dLbl>
            <c:dLbl>
              <c:idx val="6"/>
              <c:tx>
                <c:rich>
                  <a:bodyPr/>
                  <a:lstStyle/>
                  <a:p>
                    <a:fld id="{AF644E7B-589A-4ACB-BFB0-D0B443E63C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131-4A69-ADE9-11B932352FFF}"/>
                </c:ext>
              </c:extLst>
            </c:dLbl>
            <c:dLbl>
              <c:idx val="7"/>
              <c:tx>
                <c:rich>
                  <a:bodyPr/>
                  <a:lstStyle/>
                  <a:p>
                    <a:fld id="{8E2F73B1-6336-4695-A9BC-5EFABAEBEC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131-4A69-ADE9-11B932352FFF}"/>
                </c:ext>
              </c:extLst>
            </c:dLbl>
            <c:dLbl>
              <c:idx val="8"/>
              <c:tx>
                <c:rich>
                  <a:bodyPr/>
                  <a:lstStyle/>
                  <a:p>
                    <a:fld id="{F369A193-3476-454F-8A4F-0171525BC2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131-4A69-ADE9-11B932352FFF}"/>
                </c:ext>
              </c:extLst>
            </c:dLbl>
            <c:dLbl>
              <c:idx val="9"/>
              <c:tx>
                <c:rich>
                  <a:bodyPr/>
                  <a:lstStyle/>
                  <a:p>
                    <a:fld id="{3083B50F-7A14-4A02-8EE7-5F2F84F68C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131-4A69-ADE9-11B932352FFF}"/>
                </c:ext>
              </c:extLst>
            </c:dLbl>
            <c:dLbl>
              <c:idx val="10"/>
              <c:tx>
                <c:rich>
                  <a:bodyPr/>
                  <a:lstStyle/>
                  <a:p>
                    <a:fld id="{E27F4A84-0784-4733-95FD-8DA77A3D55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131-4A69-ADE9-11B932352FFF}"/>
                </c:ext>
              </c:extLst>
            </c:dLbl>
            <c:dLbl>
              <c:idx val="11"/>
              <c:tx>
                <c:rich>
                  <a:bodyPr/>
                  <a:lstStyle/>
                  <a:p>
                    <a:fld id="{3F1E3B9F-76BC-43ED-A881-EEBD8DE919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131-4A69-ADE9-11B932352FFF}"/>
                </c:ext>
              </c:extLst>
            </c:dLbl>
            <c:dLbl>
              <c:idx val="12"/>
              <c:tx>
                <c:rich>
                  <a:bodyPr/>
                  <a:lstStyle/>
                  <a:p>
                    <a:fld id="{7E1FA783-2236-4D16-84E3-5974CD0AE8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131-4A69-ADE9-11B932352FFF}"/>
                </c:ext>
              </c:extLst>
            </c:dLbl>
            <c:dLbl>
              <c:idx val="13"/>
              <c:tx>
                <c:rich>
                  <a:bodyPr/>
                  <a:lstStyle/>
                  <a:p>
                    <a:fld id="{42883541-A7E4-4EE7-A9D0-8D19BC4010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131-4A69-ADE9-11B932352FFF}"/>
                </c:ext>
              </c:extLst>
            </c:dLbl>
            <c:dLbl>
              <c:idx val="14"/>
              <c:tx>
                <c:rich>
                  <a:bodyPr/>
                  <a:lstStyle/>
                  <a:p>
                    <a:fld id="{0DAD0B9B-5DEA-47D8-B471-4075F6CFBB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131-4A69-ADE9-11B932352FFF}"/>
                </c:ext>
              </c:extLst>
            </c:dLbl>
            <c:dLbl>
              <c:idx val="15"/>
              <c:tx>
                <c:rich>
                  <a:bodyPr/>
                  <a:lstStyle/>
                  <a:p>
                    <a:fld id="{E593F69A-EC9B-44C3-A5B1-D5AC8BF2D7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131-4A69-ADE9-11B932352FFF}"/>
                </c:ext>
              </c:extLst>
            </c:dLbl>
            <c:dLbl>
              <c:idx val="16"/>
              <c:tx>
                <c:rich>
                  <a:bodyPr/>
                  <a:lstStyle/>
                  <a:p>
                    <a:fld id="{A4D096F9-7125-487C-996B-CA8AB2D6E8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131-4A69-ADE9-11B932352FFF}"/>
                </c:ext>
              </c:extLst>
            </c:dLbl>
            <c:dLbl>
              <c:idx val="17"/>
              <c:tx>
                <c:rich>
                  <a:bodyPr/>
                  <a:lstStyle/>
                  <a:p>
                    <a:fld id="{265E574E-76D0-4C8C-B5A1-CA589AC122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131-4A69-ADE9-11B932352FFF}"/>
                </c:ext>
              </c:extLst>
            </c:dLbl>
            <c:dLbl>
              <c:idx val="18"/>
              <c:tx>
                <c:rich>
                  <a:bodyPr/>
                  <a:lstStyle/>
                  <a:p>
                    <a:fld id="{5EE5A698-C5FF-425F-9E54-3A782E3447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131-4A69-ADE9-11B932352FFF}"/>
                </c:ext>
              </c:extLst>
            </c:dLbl>
            <c:dLbl>
              <c:idx val="19"/>
              <c:tx>
                <c:rich>
                  <a:bodyPr/>
                  <a:lstStyle/>
                  <a:p>
                    <a:fld id="{7B44F664-A935-4D08-B1BE-56D01A51B6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131-4A69-ADE9-11B932352FFF}"/>
                </c:ext>
              </c:extLst>
            </c:dLbl>
            <c:dLbl>
              <c:idx val="20"/>
              <c:tx>
                <c:rich>
                  <a:bodyPr/>
                  <a:lstStyle/>
                  <a:p>
                    <a:fld id="{9EC42C36-5E8B-4C09-A2E3-5251505C5F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131-4A69-ADE9-11B932352FFF}"/>
                </c:ext>
              </c:extLst>
            </c:dLbl>
            <c:dLbl>
              <c:idx val="21"/>
              <c:tx>
                <c:rich>
                  <a:bodyPr/>
                  <a:lstStyle/>
                  <a:p>
                    <a:fld id="{5FCBDC7D-4D04-4D44-8960-A63FC94DA5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131-4A69-ADE9-11B932352FFF}"/>
                </c:ext>
              </c:extLst>
            </c:dLbl>
            <c:dLbl>
              <c:idx val="22"/>
              <c:tx>
                <c:rich>
                  <a:bodyPr/>
                  <a:lstStyle/>
                  <a:p>
                    <a:fld id="{A644BC23-DD4D-407E-8ED8-945EF9B0B9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131-4A69-ADE9-11B932352FFF}"/>
                </c:ext>
              </c:extLst>
            </c:dLbl>
            <c:dLbl>
              <c:idx val="23"/>
              <c:tx>
                <c:rich>
                  <a:bodyPr/>
                  <a:lstStyle/>
                  <a:p>
                    <a:fld id="{18B24562-9E69-4E97-A036-B0A4665F56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131-4A69-ADE9-11B932352FFF}"/>
                </c:ext>
              </c:extLst>
            </c:dLbl>
            <c:dLbl>
              <c:idx val="24"/>
              <c:tx>
                <c:rich>
                  <a:bodyPr/>
                  <a:lstStyle/>
                  <a:p>
                    <a:fld id="{FB1A1FC8-7CAB-4131-B511-7AE58D23EC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131-4A69-ADE9-11B932352FFF}"/>
                </c:ext>
              </c:extLst>
            </c:dLbl>
            <c:dLbl>
              <c:idx val="25"/>
              <c:tx>
                <c:rich>
                  <a:bodyPr/>
                  <a:lstStyle/>
                  <a:p>
                    <a:fld id="{C61CE54D-E3B2-4BB1-A3BE-608601EF0A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E131-4A69-ADE9-11B932352FFF}"/>
                </c:ext>
              </c:extLst>
            </c:dLbl>
            <c:dLbl>
              <c:idx val="26"/>
              <c:tx>
                <c:rich>
                  <a:bodyPr/>
                  <a:lstStyle/>
                  <a:p>
                    <a:fld id="{66E943E0-2090-45D7-86D6-BD4ABB60BC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E131-4A69-ADE9-11B932352FFF}"/>
                </c:ext>
              </c:extLst>
            </c:dLbl>
            <c:dLbl>
              <c:idx val="27"/>
              <c:tx>
                <c:rich>
                  <a:bodyPr/>
                  <a:lstStyle/>
                  <a:p>
                    <a:fld id="{C4157A42-47B6-4A90-9532-BE80AC4BA6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E131-4A69-ADE9-11B932352FFF}"/>
                </c:ext>
              </c:extLst>
            </c:dLbl>
            <c:dLbl>
              <c:idx val="28"/>
              <c:tx>
                <c:rich>
                  <a:bodyPr/>
                  <a:lstStyle/>
                  <a:p>
                    <a:fld id="{3659DB2E-E8EC-46CC-9B6C-7D586CAD02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E131-4A69-ADE9-11B932352FFF}"/>
                </c:ext>
              </c:extLst>
            </c:dLbl>
            <c:dLbl>
              <c:idx val="29"/>
              <c:tx>
                <c:rich>
                  <a:bodyPr/>
                  <a:lstStyle/>
                  <a:p>
                    <a:fld id="{8C946EA0-2D64-469C-AF97-9B0C7536DF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E131-4A69-ADE9-11B932352FFF}"/>
                </c:ext>
              </c:extLst>
            </c:dLbl>
            <c:dLbl>
              <c:idx val="30"/>
              <c:tx>
                <c:rich>
                  <a:bodyPr/>
                  <a:lstStyle/>
                  <a:p>
                    <a:fld id="{DC7861E9-72A8-415C-8E87-2BE0CF7DFF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E131-4A69-ADE9-11B932352FFF}"/>
                </c:ext>
              </c:extLst>
            </c:dLbl>
            <c:dLbl>
              <c:idx val="31"/>
              <c:tx>
                <c:rich>
                  <a:bodyPr/>
                  <a:lstStyle/>
                  <a:p>
                    <a:fld id="{496E7F60-7428-4F28-B605-663D5CBE90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E131-4A69-ADE9-11B932352FFF}"/>
                </c:ext>
              </c:extLst>
            </c:dLbl>
            <c:dLbl>
              <c:idx val="32"/>
              <c:tx>
                <c:rich>
                  <a:bodyPr/>
                  <a:lstStyle/>
                  <a:p>
                    <a:fld id="{5E1E257C-9EA2-431C-BBFF-DF26DDE740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E131-4A69-ADE9-11B932352FFF}"/>
                </c:ext>
              </c:extLst>
            </c:dLbl>
            <c:dLbl>
              <c:idx val="33"/>
              <c:tx>
                <c:rich>
                  <a:bodyPr/>
                  <a:lstStyle/>
                  <a:p>
                    <a:fld id="{9083CC86-0DD9-40B8-91BB-BBD6DA7803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E131-4A69-ADE9-11B932352FFF}"/>
                </c:ext>
              </c:extLst>
            </c:dLbl>
            <c:dLbl>
              <c:idx val="34"/>
              <c:tx>
                <c:rich>
                  <a:bodyPr/>
                  <a:lstStyle/>
                  <a:p>
                    <a:fld id="{ED351848-EB1A-4046-BEC9-56A86755E7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E131-4A69-ADE9-11B932352FFF}"/>
                </c:ext>
              </c:extLst>
            </c:dLbl>
            <c:dLbl>
              <c:idx val="35"/>
              <c:tx>
                <c:rich>
                  <a:bodyPr/>
                  <a:lstStyle/>
                  <a:p>
                    <a:fld id="{270F8973-56EC-4BCD-8F2E-47FA04981D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E131-4A69-ADE9-11B932352FFF}"/>
                </c:ext>
              </c:extLst>
            </c:dLbl>
            <c:dLbl>
              <c:idx val="36"/>
              <c:tx>
                <c:rich>
                  <a:bodyPr/>
                  <a:lstStyle/>
                  <a:p>
                    <a:fld id="{558EF4DA-C337-4B5F-B86E-E7FA67CDA6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E131-4A69-ADE9-11B932352FFF}"/>
                </c:ext>
              </c:extLst>
            </c:dLbl>
            <c:dLbl>
              <c:idx val="37"/>
              <c:tx>
                <c:rich>
                  <a:bodyPr/>
                  <a:lstStyle/>
                  <a:p>
                    <a:fld id="{17789598-DE25-4B7D-9C68-A42E424AE4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E131-4A69-ADE9-11B932352FFF}"/>
                </c:ext>
              </c:extLst>
            </c:dLbl>
            <c:dLbl>
              <c:idx val="38"/>
              <c:tx>
                <c:rich>
                  <a:bodyPr/>
                  <a:lstStyle/>
                  <a:p>
                    <a:fld id="{B180A0AD-054C-4BDB-85D0-888502D8E1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E131-4A69-ADE9-11B932352FFF}"/>
                </c:ext>
              </c:extLst>
            </c:dLbl>
            <c:dLbl>
              <c:idx val="39"/>
              <c:tx>
                <c:rich>
                  <a:bodyPr/>
                  <a:lstStyle/>
                  <a:p>
                    <a:fld id="{C1E446CD-CB6C-488C-A62F-154B4AAA83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E131-4A69-ADE9-11B932352FFF}"/>
                </c:ext>
              </c:extLst>
            </c:dLbl>
            <c:dLbl>
              <c:idx val="40"/>
              <c:tx>
                <c:rich>
                  <a:bodyPr/>
                  <a:lstStyle/>
                  <a:p>
                    <a:fld id="{D9BA662D-EB04-4824-A2A2-7F5B3F0D5F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E131-4A69-ADE9-11B932352FFF}"/>
                </c:ext>
              </c:extLst>
            </c:dLbl>
            <c:dLbl>
              <c:idx val="41"/>
              <c:tx>
                <c:rich>
                  <a:bodyPr/>
                  <a:lstStyle/>
                  <a:p>
                    <a:fld id="{176D7CC4-5039-4668-A4AA-BB79295B26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E131-4A69-ADE9-11B932352FFF}"/>
                </c:ext>
              </c:extLst>
            </c:dLbl>
            <c:dLbl>
              <c:idx val="42"/>
              <c:tx>
                <c:rich>
                  <a:bodyPr/>
                  <a:lstStyle/>
                  <a:p>
                    <a:fld id="{91980658-57BD-468A-91F6-5DA88E23C0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E131-4A69-ADE9-11B932352FFF}"/>
                </c:ext>
              </c:extLst>
            </c:dLbl>
            <c:dLbl>
              <c:idx val="43"/>
              <c:tx>
                <c:rich>
                  <a:bodyPr/>
                  <a:lstStyle/>
                  <a:p>
                    <a:fld id="{4F021E8E-EAAE-4D31-A3C7-C06EB14989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E131-4A69-ADE9-11B932352FFF}"/>
                </c:ext>
              </c:extLst>
            </c:dLbl>
            <c:dLbl>
              <c:idx val="44"/>
              <c:tx>
                <c:rich>
                  <a:bodyPr/>
                  <a:lstStyle/>
                  <a:p>
                    <a:fld id="{2FE24FF3-8A4F-49C6-8A3D-37069B7F9E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E131-4A69-ADE9-11B932352FFF}"/>
                </c:ext>
              </c:extLst>
            </c:dLbl>
            <c:dLbl>
              <c:idx val="45"/>
              <c:tx>
                <c:rich>
                  <a:bodyPr/>
                  <a:lstStyle/>
                  <a:p>
                    <a:fld id="{C5C59054-030C-4C34-9F5B-7BBAAA8BD2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E131-4A69-ADE9-11B932352FFF}"/>
                </c:ext>
              </c:extLst>
            </c:dLbl>
            <c:dLbl>
              <c:idx val="46"/>
              <c:tx>
                <c:rich>
                  <a:bodyPr/>
                  <a:lstStyle/>
                  <a:p>
                    <a:fld id="{B8795507-B699-48E7-9C9D-94FE62140A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E131-4A69-ADE9-11B932352FFF}"/>
                </c:ext>
              </c:extLst>
            </c:dLbl>
            <c:dLbl>
              <c:idx val="47"/>
              <c:tx>
                <c:rich>
                  <a:bodyPr/>
                  <a:lstStyle/>
                  <a:p>
                    <a:fld id="{890EAA4C-018B-4053-B834-DF0DAAA68C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E131-4A69-ADE9-11B932352FFF}"/>
                </c:ext>
              </c:extLst>
            </c:dLbl>
            <c:dLbl>
              <c:idx val="48"/>
              <c:tx>
                <c:rich>
                  <a:bodyPr/>
                  <a:lstStyle/>
                  <a:p>
                    <a:fld id="{C51150F9-7AC8-4FE8-A3D4-F886C4FCAF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E131-4A69-ADE9-11B932352FFF}"/>
                </c:ext>
              </c:extLst>
            </c:dLbl>
            <c:dLbl>
              <c:idx val="49"/>
              <c:tx>
                <c:rich>
                  <a:bodyPr/>
                  <a:lstStyle/>
                  <a:p>
                    <a:fld id="{43830E20-A6F6-49C0-A1BE-7F8D84A4F6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E131-4A69-ADE9-11B932352FFF}"/>
                </c:ext>
              </c:extLst>
            </c:dLbl>
            <c:dLbl>
              <c:idx val="50"/>
              <c:tx>
                <c:rich>
                  <a:bodyPr/>
                  <a:lstStyle/>
                  <a:p>
                    <a:fld id="{4FD2053B-88F8-4FB9-85A6-BD587B1018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E131-4A69-ADE9-11B932352FFF}"/>
                </c:ext>
              </c:extLst>
            </c:dLbl>
            <c:dLbl>
              <c:idx val="51"/>
              <c:tx>
                <c:rich>
                  <a:bodyPr/>
                  <a:lstStyle/>
                  <a:p>
                    <a:fld id="{801400FC-4E7A-461D-81D6-D5ECECE45C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E131-4A69-ADE9-11B932352FFF}"/>
                </c:ext>
              </c:extLst>
            </c:dLbl>
            <c:dLbl>
              <c:idx val="52"/>
              <c:tx>
                <c:rich>
                  <a:bodyPr/>
                  <a:lstStyle/>
                  <a:p>
                    <a:fld id="{3814D91A-00AA-4709-9F14-34C6F3FC7D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E131-4A69-ADE9-11B932352FFF}"/>
                </c:ext>
              </c:extLst>
            </c:dLbl>
            <c:dLbl>
              <c:idx val="53"/>
              <c:tx>
                <c:rich>
                  <a:bodyPr/>
                  <a:lstStyle/>
                  <a:p>
                    <a:fld id="{682DC27F-E4B1-4B2D-B1C8-87B2B5281C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E131-4A69-ADE9-11B932352FFF}"/>
                </c:ext>
              </c:extLst>
            </c:dLbl>
            <c:dLbl>
              <c:idx val="54"/>
              <c:tx>
                <c:rich>
                  <a:bodyPr/>
                  <a:lstStyle/>
                  <a:p>
                    <a:fld id="{DF0C69D9-F256-43B7-88C2-E82906B812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E131-4A69-ADE9-11B932352FFF}"/>
                </c:ext>
              </c:extLst>
            </c:dLbl>
            <c:dLbl>
              <c:idx val="55"/>
              <c:tx>
                <c:rich>
                  <a:bodyPr/>
                  <a:lstStyle/>
                  <a:p>
                    <a:fld id="{09920BBB-6178-48A7-8FB8-3D166E7889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E131-4A69-ADE9-11B932352FFF}"/>
                </c:ext>
              </c:extLst>
            </c:dLbl>
            <c:dLbl>
              <c:idx val="56"/>
              <c:tx>
                <c:rich>
                  <a:bodyPr/>
                  <a:lstStyle/>
                  <a:p>
                    <a:fld id="{20DE3889-1E0B-41DF-8421-69CA9A84ED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E131-4A69-ADE9-11B932352FFF}"/>
                </c:ext>
              </c:extLst>
            </c:dLbl>
            <c:dLbl>
              <c:idx val="57"/>
              <c:tx>
                <c:rich>
                  <a:bodyPr/>
                  <a:lstStyle/>
                  <a:p>
                    <a:fld id="{B79DAD84-6855-49CB-BDD5-6C69F2444B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E131-4A69-ADE9-11B932352FFF}"/>
                </c:ext>
              </c:extLst>
            </c:dLbl>
            <c:dLbl>
              <c:idx val="58"/>
              <c:tx>
                <c:rich>
                  <a:bodyPr/>
                  <a:lstStyle/>
                  <a:p>
                    <a:fld id="{6D564961-797A-4864-BDAE-2D37028BEF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E131-4A69-ADE9-11B932352FFF}"/>
                </c:ext>
              </c:extLst>
            </c:dLbl>
            <c:dLbl>
              <c:idx val="59"/>
              <c:tx>
                <c:rich>
                  <a:bodyPr/>
                  <a:lstStyle/>
                  <a:p>
                    <a:fld id="{CC1F2277-19E8-4649-9B03-D759495987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E131-4A69-ADE9-11B932352FFF}"/>
                </c:ext>
              </c:extLst>
            </c:dLbl>
            <c:dLbl>
              <c:idx val="60"/>
              <c:tx>
                <c:rich>
                  <a:bodyPr/>
                  <a:lstStyle/>
                  <a:p>
                    <a:fld id="{158DCF6F-C7F9-4FD6-A611-CCC65CD86D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E131-4A69-ADE9-11B932352FFF}"/>
                </c:ext>
              </c:extLst>
            </c:dLbl>
            <c:dLbl>
              <c:idx val="61"/>
              <c:tx>
                <c:rich>
                  <a:bodyPr/>
                  <a:lstStyle/>
                  <a:p>
                    <a:fld id="{1F0B0EE4-0DE5-4ECA-B195-0CEB8BA99C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E131-4A69-ADE9-11B932352FFF}"/>
                </c:ext>
              </c:extLst>
            </c:dLbl>
            <c:dLbl>
              <c:idx val="62"/>
              <c:tx>
                <c:rich>
                  <a:bodyPr/>
                  <a:lstStyle/>
                  <a:p>
                    <a:fld id="{2D27B59C-6A1A-46E7-BD69-9BE17A6C4E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E131-4A69-ADE9-11B932352FFF}"/>
                </c:ext>
              </c:extLst>
            </c:dLbl>
            <c:dLbl>
              <c:idx val="63"/>
              <c:tx>
                <c:rich>
                  <a:bodyPr/>
                  <a:lstStyle/>
                  <a:p>
                    <a:fld id="{230531B6-71FF-419B-82B5-FF857A63E0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E131-4A69-ADE9-11B932352FFF}"/>
                </c:ext>
              </c:extLst>
            </c:dLbl>
            <c:dLbl>
              <c:idx val="64"/>
              <c:tx>
                <c:rich>
                  <a:bodyPr/>
                  <a:lstStyle/>
                  <a:p>
                    <a:fld id="{F374391F-16BD-4F46-86BB-CCEF398DE9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E131-4A69-ADE9-11B932352FFF}"/>
                </c:ext>
              </c:extLst>
            </c:dLbl>
            <c:dLbl>
              <c:idx val="65"/>
              <c:tx>
                <c:rich>
                  <a:bodyPr/>
                  <a:lstStyle/>
                  <a:p>
                    <a:fld id="{C36C9D5C-F073-4535-B449-3F8EA4F8A2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E131-4A69-ADE9-11B932352FFF}"/>
                </c:ext>
              </c:extLst>
            </c:dLbl>
            <c:dLbl>
              <c:idx val="66"/>
              <c:tx>
                <c:rich>
                  <a:bodyPr/>
                  <a:lstStyle/>
                  <a:p>
                    <a:fld id="{62EB4474-30FE-4AC2-8DEE-5B40FBE941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E131-4A69-ADE9-11B932352FFF}"/>
                </c:ext>
              </c:extLst>
            </c:dLbl>
            <c:dLbl>
              <c:idx val="67"/>
              <c:tx>
                <c:rich>
                  <a:bodyPr/>
                  <a:lstStyle/>
                  <a:p>
                    <a:fld id="{81A81266-864A-46ED-8FF1-10A1F0D8A3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E131-4A69-ADE9-11B932352FFF}"/>
                </c:ext>
              </c:extLst>
            </c:dLbl>
            <c:dLbl>
              <c:idx val="68"/>
              <c:tx>
                <c:rich>
                  <a:bodyPr/>
                  <a:lstStyle/>
                  <a:p>
                    <a:fld id="{8ED4B074-0D42-4A85-B3B4-273953AA67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E131-4A69-ADE9-11B932352FFF}"/>
                </c:ext>
              </c:extLst>
            </c:dLbl>
            <c:dLbl>
              <c:idx val="69"/>
              <c:tx>
                <c:rich>
                  <a:bodyPr/>
                  <a:lstStyle/>
                  <a:p>
                    <a:fld id="{320D34B3-C857-467A-9678-D99288BD8D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E131-4A69-ADE9-11B932352FFF}"/>
                </c:ext>
              </c:extLst>
            </c:dLbl>
            <c:dLbl>
              <c:idx val="70"/>
              <c:tx>
                <c:rich>
                  <a:bodyPr/>
                  <a:lstStyle/>
                  <a:p>
                    <a:fld id="{ECE11CF4-2EB0-46CC-8915-D119C0E9E2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E131-4A69-ADE9-11B932352FFF}"/>
                </c:ext>
              </c:extLst>
            </c:dLbl>
            <c:dLbl>
              <c:idx val="71"/>
              <c:tx>
                <c:rich>
                  <a:bodyPr/>
                  <a:lstStyle/>
                  <a:p>
                    <a:fld id="{6BE4CC7E-1D60-4591-B3E9-EC14C4A68E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E131-4A69-ADE9-11B932352FFF}"/>
                </c:ext>
              </c:extLst>
            </c:dLbl>
            <c:dLbl>
              <c:idx val="72"/>
              <c:tx>
                <c:rich>
                  <a:bodyPr/>
                  <a:lstStyle/>
                  <a:p>
                    <a:fld id="{FC15A170-4102-4E6B-8EDE-F2779AEBA2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E131-4A69-ADE9-11B932352FFF}"/>
                </c:ext>
              </c:extLst>
            </c:dLbl>
            <c:dLbl>
              <c:idx val="73"/>
              <c:tx>
                <c:rich>
                  <a:bodyPr/>
                  <a:lstStyle/>
                  <a:p>
                    <a:fld id="{61C78BEA-1A55-4EDC-82C8-84BB3D7EDC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E131-4A69-ADE9-11B932352FFF}"/>
                </c:ext>
              </c:extLst>
            </c:dLbl>
            <c:dLbl>
              <c:idx val="74"/>
              <c:tx>
                <c:rich>
                  <a:bodyPr/>
                  <a:lstStyle/>
                  <a:p>
                    <a:fld id="{D793D40B-2723-4DA9-9A44-07C7F2EB1B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E131-4A69-ADE9-11B932352FFF}"/>
                </c:ext>
              </c:extLst>
            </c:dLbl>
            <c:dLbl>
              <c:idx val="75"/>
              <c:tx>
                <c:rich>
                  <a:bodyPr/>
                  <a:lstStyle/>
                  <a:p>
                    <a:fld id="{2E3DB38C-40FF-4B9E-90CD-2170D451AE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E131-4A69-ADE9-11B932352FFF}"/>
                </c:ext>
              </c:extLst>
            </c:dLbl>
            <c:dLbl>
              <c:idx val="76"/>
              <c:tx>
                <c:rich>
                  <a:bodyPr/>
                  <a:lstStyle/>
                  <a:p>
                    <a:fld id="{3A393904-36AB-4DEB-9480-BA907201F2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E131-4A69-ADE9-11B932352FFF}"/>
                </c:ext>
              </c:extLst>
            </c:dLbl>
            <c:dLbl>
              <c:idx val="77"/>
              <c:tx>
                <c:rich>
                  <a:bodyPr/>
                  <a:lstStyle/>
                  <a:p>
                    <a:fld id="{A1726949-6CF8-4FEB-838B-0AFEB465D6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E131-4A69-ADE9-11B932352FFF}"/>
                </c:ext>
              </c:extLst>
            </c:dLbl>
            <c:dLbl>
              <c:idx val="78"/>
              <c:tx>
                <c:rich>
                  <a:bodyPr/>
                  <a:lstStyle/>
                  <a:p>
                    <a:fld id="{89829353-2EC5-4CC0-937B-832B1145B7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E131-4A69-ADE9-11B932352FFF}"/>
                </c:ext>
              </c:extLst>
            </c:dLbl>
            <c:dLbl>
              <c:idx val="79"/>
              <c:tx>
                <c:rich>
                  <a:bodyPr/>
                  <a:lstStyle/>
                  <a:p>
                    <a:fld id="{FC7B1811-9E21-494C-843C-63D31B7E3A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E131-4A69-ADE9-11B932352FFF}"/>
                </c:ext>
              </c:extLst>
            </c:dLbl>
            <c:dLbl>
              <c:idx val="80"/>
              <c:tx>
                <c:rich>
                  <a:bodyPr/>
                  <a:lstStyle/>
                  <a:p>
                    <a:fld id="{D9003BAA-5F30-45FB-B464-3DB25E6AA0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E131-4A69-ADE9-11B932352FFF}"/>
                </c:ext>
              </c:extLst>
            </c:dLbl>
            <c:dLbl>
              <c:idx val="81"/>
              <c:tx>
                <c:rich>
                  <a:bodyPr/>
                  <a:lstStyle/>
                  <a:p>
                    <a:fld id="{E954F13C-1480-46C8-9896-D5209821BA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E131-4A69-ADE9-11B932352FFF}"/>
                </c:ext>
              </c:extLst>
            </c:dLbl>
            <c:dLbl>
              <c:idx val="82"/>
              <c:tx>
                <c:rich>
                  <a:bodyPr/>
                  <a:lstStyle/>
                  <a:p>
                    <a:fld id="{740A8DA3-139F-4CCD-AE3F-989BCA2629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E131-4A69-ADE9-11B932352FFF}"/>
                </c:ext>
              </c:extLst>
            </c:dLbl>
            <c:dLbl>
              <c:idx val="83"/>
              <c:tx>
                <c:rich>
                  <a:bodyPr/>
                  <a:lstStyle/>
                  <a:p>
                    <a:fld id="{7DE93BD3-0BFF-4E21-9EEB-C61FF270F8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E131-4A69-ADE9-11B932352FFF}"/>
                </c:ext>
              </c:extLst>
            </c:dLbl>
            <c:dLbl>
              <c:idx val="84"/>
              <c:tx>
                <c:rich>
                  <a:bodyPr/>
                  <a:lstStyle/>
                  <a:p>
                    <a:fld id="{9840F3E8-2FCD-4FA7-961B-F315C998CB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E131-4A69-ADE9-11B932352FFF}"/>
                </c:ext>
              </c:extLst>
            </c:dLbl>
            <c:dLbl>
              <c:idx val="85"/>
              <c:tx>
                <c:rich>
                  <a:bodyPr/>
                  <a:lstStyle/>
                  <a:p>
                    <a:fld id="{FE12911D-BD90-4CF1-A883-D1DDC19869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E131-4A69-ADE9-11B932352FFF}"/>
                </c:ext>
              </c:extLst>
            </c:dLbl>
            <c:dLbl>
              <c:idx val="86"/>
              <c:tx>
                <c:rich>
                  <a:bodyPr/>
                  <a:lstStyle/>
                  <a:p>
                    <a:fld id="{09A4E889-48F7-49B2-AC35-658791FB6E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E131-4A69-ADE9-11B932352FFF}"/>
                </c:ext>
              </c:extLst>
            </c:dLbl>
            <c:dLbl>
              <c:idx val="87"/>
              <c:tx>
                <c:rich>
                  <a:bodyPr/>
                  <a:lstStyle/>
                  <a:p>
                    <a:fld id="{E2C50D37-3B50-4CC6-8609-DE658F2FB8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E131-4A69-ADE9-11B932352FFF}"/>
                </c:ext>
              </c:extLst>
            </c:dLbl>
            <c:dLbl>
              <c:idx val="88"/>
              <c:tx>
                <c:rich>
                  <a:bodyPr/>
                  <a:lstStyle/>
                  <a:p>
                    <a:fld id="{66ACFC01-01FB-43C8-87AD-852FD2E871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E131-4A69-ADE9-11B932352FFF}"/>
                </c:ext>
              </c:extLst>
            </c:dLbl>
            <c:dLbl>
              <c:idx val="89"/>
              <c:tx>
                <c:rich>
                  <a:bodyPr/>
                  <a:lstStyle/>
                  <a:p>
                    <a:fld id="{D41427CD-7B1E-4C89-B7BC-D62462895E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E131-4A69-ADE9-11B932352FFF}"/>
                </c:ext>
              </c:extLst>
            </c:dLbl>
            <c:dLbl>
              <c:idx val="90"/>
              <c:tx>
                <c:rich>
                  <a:bodyPr/>
                  <a:lstStyle/>
                  <a:p>
                    <a:fld id="{78A56D59-D8B6-4959-9D00-7B25D8F10E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E131-4A69-ADE9-11B932352FFF}"/>
                </c:ext>
              </c:extLst>
            </c:dLbl>
            <c:dLbl>
              <c:idx val="91"/>
              <c:tx>
                <c:rich>
                  <a:bodyPr/>
                  <a:lstStyle/>
                  <a:p>
                    <a:fld id="{67B5235D-A41B-4EB2-B2F4-E5D07697A7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E131-4A69-ADE9-11B932352FFF}"/>
                </c:ext>
              </c:extLst>
            </c:dLbl>
            <c:dLbl>
              <c:idx val="92"/>
              <c:tx>
                <c:rich>
                  <a:bodyPr/>
                  <a:lstStyle/>
                  <a:p>
                    <a:fld id="{F380833F-3A2F-4D5F-852C-06B58740DA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E131-4A69-ADE9-11B932352FFF}"/>
                </c:ext>
              </c:extLst>
            </c:dLbl>
            <c:dLbl>
              <c:idx val="93"/>
              <c:tx>
                <c:rich>
                  <a:bodyPr/>
                  <a:lstStyle/>
                  <a:p>
                    <a:fld id="{2F30190D-4ED9-454B-B519-83B7120A69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E131-4A69-ADE9-11B932352FFF}"/>
                </c:ext>
              </c:extLst>
            </c:dLbl>
            <c:dLbl>
              <c:idx val="94"/>
              <c:tx>
                <c:rich>
                  <a:bodyPr/>
                  <a:lstStyle/>
                  <a:p>
                    <a:fld id="{A1131353-8641-4C35-BC34-FC0DC4104A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E131-4A69-ADE9-11B932352FFF}"/>
                </c:ext>
              </c:extLst>
            </c:dLbl>
            <c:dLbl>
              <c:idx val="95"/>
              <c:tx>
                <c:rich>
                  <a:bodyPr/>
                  <a:lstStyle/>
                  <a:p>
                    <a:fld id="{78567082-E953-4EE4-AE6C-2ADD3DDA0A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E131-4A69-ADE9-11B932352FFF}"/>
                </c:ext>
              </c:extLst>
            </c:dLbl>
            <c:dLbl>
              <c:idx val="96"/>
              <c:tx>
                <c:rich>
                  <a:bodyPr/>
                  <a:lstStyle/>
                  <a:p>
                    <a:fld id="{B27E1822-46C7-49CF-9CB5-72D84A4842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E131-4A69-ADE9-11B932352FFF}"/>
                </c:ext>
              </c:extLst>
            </c:dLbl>
            <c:dLbl>
              <c:idx val="97"/>
              <c:tx>
                <c:rich>
                  <a:bodyPr/>
                  <a:lstStyle/>
                  <a:p>
                    <a:fld id="{335B2E78-F741-40A2-975C-FF8CCFA609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E131-4A69-ADE9-11B932352FFF}"/>
                </c:ext>
              </c:extLst>
            </c:dLbl>
            <c:dLbl>
              <c:idx val="98"/>
              <c:tx>
                <c:rich>
                  <a:bodyPr/>
                  <a:lstStyle/>
                  <a:p>
                    <a:fld id="{6DC434A5-67CF-4AA2-ABC1-EE47BA1690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E131-4A69-ADE9-11B932352FFF}"/>
                </c:ext>
              </c:extLst>
            </c:dLbl>
            <c:dLbl>
              <c:idx val="99"/>
              <c:tx>
                <c:rich>
                  <a:bodyPr/>
                  <a:lstStyle/>
                  <a:p>
                    <a:fld id="{4DB45079-0104-4FD2-85CE-ACD90095CE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E131-4A69-ADE9-11B932352FFF}"/>
                </c:ext>
              </c:extLst>
            </c:dLbl>
            <c:dLbl>
              <c:idx val="100"/>
              <c:tx>
                <c:rich>
                  <a:bodyPr/>
                  <a:lstStyle/>
                  <a:p>
                    <a:fld id="{0670C8EF-0EF5-4D68-B71D-420BB81995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E131-4A69-ADE9-11B932352FFF}"/>
                </c:ext>
              </c:extLst>
            </c:dLbl>
            <c:dLbl>
              <c:idx val="101"/>
              <c:tx>
                <c:rich>
                  <a:bodyPr/>
                  <a:lstStyle/>
                  <a:p>
                    <a:fld id="{94954C22-BB09-41AA-9BF2-E82BB3E3FA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E131-4A69-ADE9-11B932352FFF}"/>
                </c:ext>
              </c:extLst>
            </c:dLbl>
            <c:dLbl>
              <c:idx val="102"/>
              <c:tx>
                <c:rich>
                  <a:bodyPr/>
                  <a:lstStyle/>
                  <a:p>
                    <a:fld id="{77AB5679-8312-45DB-91F6-58B0F562C8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E131-4A69-ADE9-11B932352FFF}"/>
                </c:ext>
              </c:extLst>
            </c:dLbl>
            <c:dLbl>
              <c:idx val="103"/>
              <c:tx>
                <c:rich>
                  <a:bodyPr/>
                  <a:lstStyle/>
                  <a:p>
                    <a:fld id="{0F942204-AACB-4041-A7CD-FBFA74170B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E131-4A69-ADE9-11B932352FFF}"/>
                </c:ext>
              </c:extLst>
            </c:dLbl>
            <c:dLbl>
              <c:idx val="104"/>
              <c:tx>
                <c:rich>
                  <a:bodyPr/>
                  <a:lstStyle/>
                  <a:p>
                    <a:fld id="{0E9CD466-A1D1-4C72-A46F-D0450A92CF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E131-4A69-ADE9-11B932352FFF}"/>
                </c:ext>
              </c:extLst>
            </c:dLbl>
            <c:dLbl>
              <c:idx val="105"/>
              <c:tx>
                <c:rich>
                  <a:bodyPr/>
                  <a:lstStyle/>
                  <a:p>
                    <a:fld id="{5145A4BD-9C32-44E2-99AC-E435E0F2C5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E131-4A69-ADE9-11B932352FFF}"/>
                </c:ext>
              </c:extLst>
            </c:dLbl>
            <c:dLbl>
              <c:idx val="106"/>
              <c:tx>
                <c:rich>
                  <a:bodyPr/>
                  <a:lstStyle/>
                  <a:p>
                    <a:fld id="{7044D10E-BE30-498B-AE39-48F7DDF951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E131-4A69-ADE9-11B932352FFF}"/>
                </c:ext>
              </c:extLst>
            </c:dLbl>
            <c:dLbl>
              <c:idx val="107"/>
              <c:tx>
                <c:rich>
                  <a:bodyPr/>
                  <a:lstStyle/>
                  <a:p>
                    <a:fld id="{167991B4-ACE6-403C-A94F-36BA2BD23D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E131-4A69-ADE9-11B932352FFF}"/>
                </c:ext>
              </c:extLst>
            </c:dLbl>
            <c:dLbl>
              <c:idx val="108"/>
              <c:tx>
                <c:rich>
                  <a:bodyPr/>
                  <a:lstStyle/>
                  <a:p>
                    <a:fld id="{140BEE87-3228-40F0-9DA5-2CC611A977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E131-4A69-ADE9-11B932352FFF}"/>
                </c:ext>
              </c:extLst>
            </c:dLbl>
            <c:dLbl>
              <c:idx val="109"/>
              <c:tx>
                <c:rich>
                  <a:bodyPr/>
                  <a:lstStyle/>
                  <a:p>
                    <a:fld id="{0B4570FB-7651-461F-83D0-3DC2A7115A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E131-4A69-ADE9-11B932352FFF}"/>
                </c:ext>
              </c:extLst>
            </c:dLbl>
            <c:dLbl>
              <c:idx val="110"/>
              <c:tx>
                <c:rich>
                  <a:bodyPr/>
                  <a:lstStyle/>
                  <a:p>
                    <a:fld id="{DE6BFE8A-EDDC-47DC-A0BF-5361D3016E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E131-4A69-ADE9-11B932352FFF}"/>
                </c:ext>
              </c:extLst>
            </c:dLbl>
            <c:dLbl>
              <c:idx val="111"/>
              <c:tx>
                <c:rich>
                  <a:bodyPr/>
                  <a:lstStyle/>
                  <a:p>
                    <a:fld id="{C5E3449E-7E0D-4908-8938-156F97CE73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E131-4A69-ADE9-11B932352FFF}"/>
                </c:ext>
              </c:extLst>
            </c:dLbl>
            <c:dLbl>
              <c:idx val="112"/>
              <c:tx>
                <c:rich>
                  <a:bodyPr/>
                  <a:lstStyle/>
                  <a:p>
                    <a:fld id="{453156C7-519F-40A7-B075-CBA42DFCED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E131-4A69-ADE9-11B932352FFF}"/>
                </c:ext>
              </c:extLst>
            </c:dLbl>
            <c:dLbl>
              <c:idx val="113"/>
              <c:tx>
                <c:rich>
                  <a:bodyPr/>
                  <a:lstStyle/>
                  <a:p>
                    <a:fld id="{86411B00-87C6-4666-AB34-F261EC6812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E131-4A69-ADE9-11B932352FFF}"/>
                </c:ext>
              </c:extLst>
            </c:dLbl>
            <c:dLbl>
              <c:idx val="114"/>
              <c:tx>
                <c:rich>
                  <a:bodyPr/>
                  <a:lstStyle/>
                  <a:p>
                    <a:fld id="{0FCA5ED5-D11C-4042-A0F2-350221A742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E131-4A69-ADE9-11B932352FFF}"/>
                </c:ext>
              </c:extLst>
            </c:dLbl>
            <c:dLbl>
              <c:idx val="115"/>
              <c:tx>
                <c:rich>
                  <a:bodyPr/>
                  <a:lstStyle/>
                  <a:p>
                    <a:fld id="{EDF22994-7E03-401B-B0C7-3D186B7701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E131-4A69-ADE9-11B932352FFF}"/>
                </c:ext>
              </c:extLst>
            </c:dLbl>
            <c:dLbl>
              <c:idx val="116"/>
              <c:tx>
                <c:rich>
                  <a:bodyPr/>
                  <a:lstStyle/>
                  <a:p>
                    <a:fld id="{083E7372-8DF0-4FDF-88ED-14FFC6C3D8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E131-4A69-ADE9-11B932352FFF}"/>
                </c:ext>
              </c:extLst>
            </c:dLbl>
            <c:dLbl>
              <c:idx val="117"/>
              <c:tx>
                <c:rich>
                  <a:bodyPr/>
                  <a:lstStyle/>
                  <a:p>
                    <a:fld id="{2D6A262F-C489-4B18-BB41-F104D31AB1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E131-4A69-ADE9-11B932352FFF}"/>
                </c:ext>
              </c:extLst>
            </c:dLbl>
            <c:dLbl>
              <c:idx val="118"/>
              <c:tx>
                <c:rich>
                  <a:bodyPr/>
                  <a:lstStyle/>
                  <a:p>
                    <a:fld id="{04BB672F-B376-4E09-AD90-CA563290C5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E131-4A69-ADE9-11B932352FFF}"/>
                </c:ext>
              </c:extLst>
            </c:dLbl>
            <c:dLbl>
              <c:idx val="119"/>
              <c:tx>
                <c:rich>
                  <a:bodyPr/>
                  <a:lstStyle/>
                  <a:p>
                    <a:fld id="{2FD27DA3-4452-4FA8-BC00-9C271E3038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E131-4A69-ADE9-11B932352FFF}"/>
                </c:ext>
              </c:extLst>
            </c:dLbl>
            <c:dLbl>
              <c:idx val="120"/>
              <c:tx>
                <c:rich>
                  <a:bodyPr/>
                  <a:lstStyle/>
                  <a:p>
                    <a:fld id="{B644B0DB-F301-488F-83EE-945AE4A2AD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E131-4A69-ADE9-11B932352FFF}"/>
                </c:ext>
              </c:extLst>
            </c:dLbl>
            <c:dLbl>
              <c:idx val="121"/>
              <c:tx>
                <c:rich>
                  <a:bodyPr/>
                  <a:lstStyle/>
                  <a:p>
                    <a:fld id="{9F96972D-C79D-4832-AFAC-595FCF1918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E131-4A69-ADE9-11B932352FFF}"/>
                </c:ext>
              </c:extLst>
            </c:dLbl>
            <c:dLbl>
              <c:idx val="122"/>
              <c:tx>
                <c:rich>
                  <a:bodyPr/>
                  <a:lstStyle/>
                  <a:p>
                    <a:fld id="{088B7B97-E3F3-4E15-88F6-11B0286DAA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E131-4A69-ADE9-11B932352FFF}"/>
                </c:ext>
              </c:extLst>
            </c:dLbl>
            <c:dLbl>
              <c:idx val="123"/>
              <c:tx>
                <c:rich>
                  <a:bodyPr/>
                  <a:lstStyle/>
                  <a:p>
                    <a:fld id="{DF5DEC1B-EF48-43D4-9CC4-B1490E013B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E131-4A69-ADE9-11B932352FFF}"/>
                </c:ext>
              </c:extLst>
            </c:dLbl>
            <c:dLbl>
              <c:idx val="124"/>
              <c:tx>
                <c:rich>
                  <a:bodyPr/>
                  <a:lstStyle/>
                  <a:p>
                    <a:fld id="{DD3511CE-435B-40A6-A911-07BE199F1C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E131-4A69-ADE9-11B932352FFF}"/>
                </c:ext>
              </c:extLst>
            </c:dLbl>
            <c:dLbl>
              <c:idx val="125"/>
              <c:tx>
                <c:rich>
                  <a:bodyPr/>
                  <a:lstStyle/>
                  <a:p>
                    <a:fld id="{44DEDA5E-4603-4D9C-88AE-9E91564E4B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E131-4A69-ADE9-11B932352FFF}"/>
                </c:ext>
              </c:extLst>
            </c:dLbl>
            <c:dLbl>
              <c:idx val="126"/>
              <c:tx>
                <c:rich>
                  <a:bodyPr/>
                  <a:lstStyle/>
                  <a:p>
                    <a:fld id="{033312D9-2E77-47A2-AB15-17281F4D45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E131-4A69-ADE9-11B932352FFF}"/>
                </c:ext>
              </c:extLst>
            </c:dLbl>
            <c:dLbl>
              <c:idx val="127"/>
              <c:tx>
                <c:rich>
                  <a:bodyPr/>
                  <a:lstStyle/>
                  <a:p>
                    <a:fld id="{ECE202BD-9104-40B7-8018-7571683546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E131-4A69-ADE9-11B932352FFF}"/>
                </c:ext>
              </c:extLst>
            </c:dLbl>
            <c:dLbl>
              <c:idx val="128"/>
              <c:tx>
                <c:rich>
                  <a:bodyPr/>
                  <a:lstStyle/>
                  <a:p>
                    <a:fld id="{3DB52FC6-2D01-4228-9DAE-01DFB02C5F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E131-4A69-ADE9-11B932352FFF}"/>
                </c:ext>
              </c:extLst>
            </c:dLbl>
            <c:dLbl>
              <c:idx val="129"/>
              <c:tx>
                <c:rich>
                  <a:bodyPr/>
                  <a:lstStyle/>
                  <a:p>
                    <a:fld id="{3E12E0A4-0251-4EF5-AD70-268E29DF1A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E131-4A69-ADE9-11B932352FFF}"/>
                </c:ext>
              </c:extLst>
            </c:dLbl>
            <c:dLbl>
              <c:idx val="130"/>
              <c:tx>
                <c:rich>
                  <a:bodyPr/>
                  <a:lstStyle/>
                  <a:p>
                    <a:fld id="{77E0E20B-D2B3-438A-B054-1EBCB42208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E131-4A69-ADE9-11B932352FFF}"/>
                </c:ext>
              </c:extLst>
            </c:dLbl>
            <c:dLbl>
              <c:idx val="131"/>
              <c:tx>
                <c:rich>
                  <a:bodyPr/>
                  <a:lstStyle/>
                  <a:p>
                    <a:fld id="{065E2B13-D393-43D5-8009-F6B39252E4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E131-4A69-ADE9-11B932352FFF}"/>
                </c:ext>
              </c:extLst>
            </c:dLbl>
            <c:dLbl>
              <c:idx val="132"/>
              <c:tx>
                <c:rich>
                  <a:bodyPr/>
                  <a:lstStyle/>
                  <a:p>
                    <a:fld id="{B98F0D22-263F-4DBF-9875-E36317482B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E131-4A69-ADE9-11B932352FFF}"/>
                </c:ext>
              </c:extLst>
            </c:dLbl>
            <c:dLbl>
              <c:idx val="133"/>
              <c:tx>
                <c:rich>
                  <a:bodyPr/>
                  <a:lstStyle/>
                  <a:p>
                    <a:fld id="{4CBB595B-74DC-40B0-8029-154EFEE8EB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E131-4A69-ADE9-11B932352FFF}"/>
                </c:ext>
              </c:extLst>
            </c:dLbl>
            <c:dLbl>
              <c:idx val="134"/>
              <c:tx>
                <c:rich>
                  <a:bodyPr/>
                  <a:lstStyle/>
                  <a:p>
                    <a:fld id="{D29D145D-2698-4B0D-81C6-3B78C1454C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E131-4A69-ADE9-11B932352FFF}"/>
                </c:ext>
              </c:extLst>
            </c:dLbl>
            <c:dLbl>
              <c:idx val="135"/>
              <c:tx>
                <c:rich>
                  <a:bodyPr/>
                  <a:lstStyle/>
                  <a:p>
                    <a:fld id="{60A760D5-BB7D-4224-A590-5FB95A1482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E131-4A69-ADE9-11B932352FFF}"/>
                </c:ext>
              </c:extLst>
            </c:dLbl>
            <c:dLbl>
              <c:idx val="136"/>
              <c:tx>
                <c:rich>
                  <a:bodyPr/>
                  <a:lstStyle/>
                  <a:p>
                    <a:fld id="{BEFAF576-7D8B-4048-8C50-A401356E46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E131-4A69-ADE9-11B932352FFF}"/>
                </c:ext>
              </c:extLst>
            </c:dLbl>
            <c:dLbl>
              <c:idx val="137"/>
              <c:tx>
                <c:rich>
                  <a:bodyPr/>
                  <a:lstStyle/>
                  <a:p>
                    <a:fld id="{893949F5-D4CC-49EB-94F9-4538806A73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E131-4A69-ADE9-11B932352FFF}"/>
                </c:ext>
              </c:extLst>
            </c:dLbl>
            <c:dLbl>
              <c:idx val="138"/>
              <c:tx>
                <c:rich>
                  <a:bodyPr/>
                  <a:lstStyle/>
                  <a:p>
                    <a:fld id="{8D801768-86DF-4639-B6A8-088682623C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E131-4A69-ADE9-11B932352FFF}"/>
                </c:ext>
              </c:extLst>
            </c:dLbl>
            <c:dLbl>
              <c:idx val="139"/>
              <c:tx>
                <c:rich>
                  <a:bodyPr/>
                  <a:lstStyle/>
                  <a:p>
                    <a:fld id="{591F549B-A7F0-44DF-8D21-2CC930DA8A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E131-4A69-ADE9-11B932352FFF}"/>
                </c:ext>
              </c:extLst>
            </c:dLbl>
            <c:dLbl>
              <c:idx val="140"/>
              <c:tx>
                <c:rich>
                  <a:bodyPr/>
                  <a:lstStyle/>
                  <a:p>
                    <a:fld id="{C501BBD5-816C-47AA-8F2E-5F65DE166E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E131-4A69-ADE9-11B932352FFF}"/>
                </c:ext>
              </c:extLst>
            </c:dLbl>
            <c:dLbl>
              <c:idx val="141"/>
              <c:tx>
                <c:rich>
                  <a:bodyPr/>
                  <a:lstStyle/>
                  <a:p>
                    <a:fld id="{E184D451-8992-47A6-8F2C-EE6B3BB7FF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E131-4A69-ADE9-11B932352FFF}"/>
                </c:ext>
              </c:extLst>
            </c:dLbl>
            <c:dLbl>
              <c:idx val="142"/>
              <c:tx>
                <c:rich>
                  <a:bodyPr/>
                  <a:lstStyle/>
                  <a:p>
                    <a:fld id="{E28B9606-F316-49D7-A368-13DFA814D4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E131-4A69-ADE9-11B932352FFF}"/>
                </c:ext>
              </c:extLst>
            </c:dLbl>
            <c:dLbl>
              <c:idx val="143"/>
              <c:tx>
                <c:rich>
                  <a:bodyPr/>
                  <a:lstStyle/>
                  <a:p>
                    <a:fld id="{5C28D1B9-4AF1-4181-B2A5-867FEB8E5B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E131-4A69-ADE9-11B932352FFF}"/>
                </c:ext>
              </c:extLst>
            </c:dLbl>
            <c:dLbl>
              <c:idx val="144"/>
              <c:tx>
                <c:rich>
                  <a:bodyPr/>
                  <a:lstStyle/>
                  <a:p>
                    <a:fld id="{5713BC94-F3C6-48D2-B963-5E715E2A7F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E131-4A69-ADE9-11B932352FFF}"/>
                </c:ext>
              </c:extLst>
            </c:dLbl>
            <c:dLbl>
              <c:idx val="145"/>
              <c:tx>
                <c:rich>
                  <a:bodyPr/>
                  <a:lstStyle/>
                  <a:p>
                    <a:fld id="{93D863DB-2602-4E78-8D01-AB54F7F1C1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E131-4A69-ADE9-11B932352FFF}"/>
                </c:ext>
              </c:extLst>
            </c:dLbl>
            <c:dLbl>
              <c:idx val="146"/>
              <c:tx>
                <c:rich>
                  <a:bodyPr/>
                  <a:lstStyle/>
                  <a:p>
                    <a:fld id="{C744BD08-0E16-400C-9C25-3C06074151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E131-4A69-ADE9-11B932352FFF}"/>
                </c:ext>
              </c:extLst>
            </c:dLbl>
            <c:dLbl>
              <c:idx val="147"/>
              <c:tx>
                <c:rich>
                  <a:bodyPr/>
                  <a:lstStyle/>
                  <a:p>
                    <a:fld id="{25566212-5827-48E6-8A26-ED5139FA13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E131-4A69-ADE9-11B932352FFF}"/>
                </c:ext>
              </c:extLst>
            </c:dLbl>
            <c:dLbl>
              <c:idx val="148"/>
              <c:tx>
                <c:rich>
                  <a:bodyPr/>
                  <a:lstStyle/>
                  <a:p>
                    <a:fld id="{55F6C9AD-E7A0-434B-A0DA-22DF219A67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E131-4A69-ADE9-11B932352FFF}"/>
                </c:ext>
              </c:extLst>
            </c:dLbl>
            <c:dLbl>
              <c:idx val="149"/>
              <c:tx>
                <c:rich>
                  <a:bodyPr/>
                  <a:lstStyle/>
                  <a:p>
                    <a:fld id="{F625C013-2BCC-4980-9E73-5A1DCB9B60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E131-4A69-ADE9-11B932352FFF}"/>
                </c:ext>
              </c:extLst>
            </c:dLbl>
            <c:dLbl>
              <c:idx val="150"/>
              <c:tx>
                <c:rich>
                  <a:bodyPr/>
                  <a:lstStyle/>
                  <a:p>
                    <a:fld id="{BD2BA7B0-30E8-4435-A31C-C40F3E30BB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E131-4A69-ADE9-11B932352FFF}"/>
                </c:ext>
              </c:extLst>
            </c:dLbl>
            <c:dLbl>
              <c:idx val="151"/>
              <c:tx>
                <c:rich>
                  <a:bodyPr/>
                  <a:lstStyle/>
                  <a:p>
                    <a:fld id="{C1269783-FA5D-44AA-B485-7E0E256AEC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E131-4A69-ADE9-11B932352FFF}"/>
                </c:ext>
              </c:extLst>
            </c:dLbl>
            <c:dLbl>
              <c:idx val="152"/>
              <c:tx>
                <c:rich>
                  <a:bodyPr/>
                  <a:lstStyle/>
                  <a:p>
                    <a:fld id="{875553FA-EF69-47A1-9A96-7637E77D4D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E131-4A69-ADE9-11B932352FFF}"/>
                </c:ext>
              </c:extLst>
            </c:dLbl>
            <c:dLbl>
              <c:idx val="153"/>
              <c:tx>
                <c:rich>
                  <a:bodyPr/>
                  <a:lstStyle/>
                  <a:p>
                    <a:fld id="{3A6024F2-A0A6-4BCD-8A3A-0AC5DCE202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E131-4A69-ADE9-11B932352FFF}"/>
                </c:ext>
              </c:extLst>
            </c:dLbl>
            <c:dLbl>
              <c:idx val="154"/>
              <c:tx>
                <c:rich>
                  <a:bodyPr/>
                  <a:lstStyle/>
                  <a:p>
                    <a:fld id="{FD021477-E136-4EE1-BEE5-01633ADA24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E131-4A69-ADE9-11B932352FFF}"/>
                </c:ext>
              </c:extLst>
            </c:dLbl>
            <c:dLbl>
              <c:idx val="155"/>
              <c:tx>
                <c:rich>
                  <a:bodyPr/>
                  <a:lstStyle/>
                  <a:p>
                    <a:fld id="{DD693988-DB60-4E90-86CA-32B19B214C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E131-4A69-ADE9-11B932352FFF}"/>
                </c:ext>
              </c:extLst>
            </c:dLbl>
            <c:dLbl>
              <c:idx val="156"/>
              <c:tx>
                <c:rich>
                  <a:bodyPr/>
                  <a:lstStyle/>
                  <a:p>
                    <a:fld id="{B1389C78-8072-4B8E-B5A3-18A01507B9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E131-4A69-ADE9-11B932352FFF}"/>
                </c:ext>
              </c:extLst>
            </c:dLbl>
            <c:dLbl>
              <c:idx val="157"/>
              <c:tx>
                <c:rich>
                  <a:bodyPr/>
                  <a:lstStyle/>
                  <a:p>
                    <a:fld id="{9E69D825-FC1C-4BD3-8EAC-138AC42EAB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E131-4A69-ADE9-11B932352FFF}"/>
                </c:ext>
              </c:extLst>
            </c:dLbl>
            <c:dLbl>
              <c:idx val="158"/>
              <c:tx>
                <c:rich>
                  <a:bodyPr/>
                  <a:lstStyle/>
                  <a:p>
                    <a:fld id="{AC226E47-C097-4664-B633-D2E7401972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E131-4A69-ADE9-11B932352FFF}"/>
                </c:ext>
              </c:extLst>
            </c:dLbl>
            <c:dLbl>
              <c:idx val="159"/>
              <c:tx>
                <c:rich>
                  <a:bodyPr/>
                  <a:lstStyle/>
                  <a:p>
                    <a:fld id="{3BEC3035-9617-4239-83F6-4C390CE02E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E131-4A69-ADE9-11B932352FFF}"/>
                </c:ext>
              </c:extLst>
            </c:dLbl>
            <c:dLbl>
              <c:idx val="160"/>
              <c:tx>
                <c:rich>
                  <a:bodyPr/>
                  <a:lstStyle/>
                  <a:p>
                    <a:fld id="{429B5C36-8331-4152-B0FB-AC7D912BB3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E131-4A69-ADE9-11B932352FFF}"/>
                </c:ext>
              </c:extLst>
            </c:dLbl>
            <c:dLbl>
              <c:idx val="161"/>
              <c:tx>
                <c:rich>
                  <a:bodyPr/>
                  <a:lstStyle/>
                  <a:p>
                    <a:fld id="{E16AF05E-9E67-40D9-9312-44DA4F6AE7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E131-4A69-ADE9-11B932352FFF}"/>
                </c:ext>
              </c:extLst>
            </c:dLbl>
            <c:dLbl>
              <c:idx val="162"/>
              <c:tx>
                <c:rich>
                  <a:bodyPr/>
                  <a:lstStyle/>
                  <a:p>
                    <a:fld id="{E01A14C4-EA2D-4168-A051-4AC90B7513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E131-4A69-ADE9-11B932352FFF}"/>
                </c:ext>
              </c:extLst>
            </c:dLbl>
            <c:dLbl>
              <c:idx val="163"/>
              <c:tx>
                <c:rich>
                  <a:bodyPr/>
                  <a:lstStyle/>
                  <a:p>
                    <a:fld id="{8B0E90C2-3F8C-416C-9DBE-1F6458A7A8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E131-4A69-ADE9-11B932352FFF}"/>
                </c:ext>
              </c:extLst>
            </c:dLbl>
            <c:dLbl>
              <c:idx val="164"/>
              <c:tx>
                <c:rich>
                  <a:bodyPr/>
                  <a:lstStyle/>
                  <a:p>
                    <a:fld id="{6551A164-00F3-476F-AD36-2F3E5B46FA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E131-4A69-ADE9-11B932352FFF}"/>
                </c:ext>
              </c:extLst>
            </c:dLbl>
            <c:dLbl>
              <c:idx val="165"/>
              <c:tx>
                <c:rich>
                  <a:bodyPr/>
                  <a:lstStyle/>
                  <a:p>
                    <a:fld id="{BFBD6646-2E15-4CA4-AE9E-05A5664C3E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E131-4A69-ADE9-11B932352FFF}"/>
                </c:ext>
              </c:extLst>
            </c:dLbl>
            <c:dLbl>
              <c:idx val="166"/>
              <c:tx>
                <c:rich>
                  <a:bodyPr/>
                  <a:lstStyle/>
                  <a:p>
                    <a:fld id="{1FD7D5C2-4449-4067-B63B-1CF2247C08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E131-4A69-ADE9-11B932352FFF}"/>
                </c:ext>
              </c:extLst>
            </c:dLbl>
            <c:dLbl>
              <c:idx val="167"/>
              <c:tx>
                <c:rich>
                  <a:bodyPr/>
                  <a:lstStyle/>
                  <a:p>
                    <a:fld id="{05410D21-AC64-4E65-8A3F-6C4D836264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E131-4A69-ADE9-11B932352FFF}"/>
                </c:ext>
              </c:extLst>
            </c:dLbl>
            <c:dLbl>
              <c:idx val="168"/>
              <c:tx>
                <c:rich>
                  <a:bodyPr/>
                  <a:lstStyle/>
                  <a:p>
                    <a:fld id="{15646A15-EE40-42D4-B5C4-9EF049E375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E131-4A69-ADE9-11B932352FFF}"/>
                </c:ext>
              </c:extLst>
            </c:dLbl>
            <c:dLbl>
              <c:idx val="169"/>
              <c:tx>
                <c:rich>
                  <a:bodyPr/>
                  <a:lstStyle/>
                  <a:p>
                    <a:fld id="{FB8E44AE-C86F-4997-9B63-91A03B69B9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E131-4A69-ADE9-11B932352FFF}"/>
                </c:ext>
              </c:extLst>
            </c:dLbl>
            <c:dLbl>
              <c:idx val="170"/>
              <c:tx>
                <c:rich>
                  <a:bodyPr/>
                  <a:lstStyle/>
                  <a:p>
                    <a:fld id="{6AE54E89-37E1-4397-A297-3AE2AB5A77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E131-4A69-ADE9-11B932352FFF}"/>
                </c:ext>
              </c:extLst>
            </c:dLbl>
            <c:dLbl>
              <c:idx val="171"/>
              <c:tx>
                <c:rich>
                  <a:bodyPr/>
                  <a:lstStyle/>
                  <a:p>
                    <a:fld id="{7308330B-4704-419B-8FF9-193803E95D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E131-4A69-ADE9-11B932352FFF}"/>
                </c:ext>
              </c:extLst>
            </c:dLbl>
            <c:dLbl>
              <c:idx val="172"/>
              <c:tx>
                <c:rich>
                  <a:bodyPr/>
                  <a:lstStyle/>
                  <a:p>
                    <a:fld id="{8EC5A3A8-BB59-44D0-8712-7596BBF8DB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E131-4A69-ADE9-11B932352FFF}"/>
                </c:ext>
              </c:extLst>
            </c:dLbl>
            <c:dLbl>
              <c:idx val="173"/>
              <c:tx>
                <c:rich>
                  <a:bodyPr/>
                  <a:lstStyle/>
                  <a:p>
                    <a:fld id="{6FC32FDD-2F67-4E86-9CE7-F8A1D8F88E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E131-4A69-ADE9-11B932352FFF}"/>
                </c:ext>
              </c:extLst>
            </c:dLbl>
            <c:dLbl>
              <c:idx val="174"/>
              <c:tx>
                <c:rich>
                  <a:bodyPr/>
                  <a:lstStyle/>
                  <a:p>
                    <a:fld id="{9583A2D3-95E5-4E81-9ECA-EA6256F65F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E131-4A69-ADE9-11B932352FFF}"/>
                </c:ext>
              </c:extLst>
            </c:dLbl>
            <c:dLbl>
              <c:idx val="175"/>
              <c:tx>
                <c:rich>
                  <a:bodyPr/>
                  <a:lstStyle/>
                  <a:p>
                    <a:fld id="{ED2F5C9C-F56F-4FE1-84D7-3BBFCF9459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E131-4A69-ADE9-11B932352FFF}"/>
                </c:ext>
              </c:extLst>
            </c:dLbl>
            <c:dLbl>
              <c:idx val="176"/>
              <c:tx>
                <c:rich>
                  <a:bodyPr/>
                  <a:lstStyle/>
                  <a:p>
                    <a:fld id="{EE1ECF8B-1E93-40DA-919E-9A3E138B0A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E131-4A69-ADE9-11B932352FFF}"/>
                </c:ext>
              </c:extLst>
            </c:dLbl>
            <c:dLbl>
              <c:idx val="177"/>
              <c:tx>
                <c:rich>
                  <a:bodyPr/>
                  <a:lstStyle/>
                  <a:p>
                    <a:fld id="{5C4D01C1-49A1-4D2E-807A-427E0301AF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E131-4A69-ADE9-11B932352FFF}"/>
                </c:ext>
              </c:extLst>
            </c:dLbl>
            <c:dLbl>
              <c:idx val="178"/>
              <c:tx>
                <c:rich>
                  <a:bodyPr/>
                  <a:lstStyle/>
                  <a:p>
                    <a:fld id="{581D856B-B616-49CF-8AAD-9917B6E479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E131-4A69-ADE9-11B932352FFF}"/>
                </c:ext>
              </c:extLst>
            </c:dLbl>
            <c:dLbl>
              <c:idx val="179"/>
              <c:tx>
                <c:rich>
                  <a:bodyPr/>
                  <a:lstStyle/>
                  <a:p>
                    <a:fld id="{55917566-383D-482B-886E-0AA9089E4C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E131-4A69-ADE9-11B932352FFF}"/>
                </c:ext>
              </c:extLst>
            </c:dLbl>
            <c:dLbl>
              <c:idx val="180"/>
              <c:tx>
                <c:rich>
                  <a:bodyPr/>
                  <a:lstStyle/>
                  <a:p>
                    <a:fld id="{F39BFC18-4F4B-4647-8175-9E6FD639B9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E131-4A69-ADE9-11B932352FFF}"/>
                </c:ext>
              </c:extLst>
            </c:dLbl>
            <c:dLbl>
              <c:idx val="181"/>
              <c:tx>
                <c:rich>
                  <a:bodyPr/>
                  <a:lstStyle/>
                  <a:p>
                    <a:fld id="{B468C28E-5009-4CB4-B267-AEE4BE9113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E131-4A69-ADE9-11B932352FFF}"/>
                </c:ext>
              </c:extLst>
            </c:dLbl>
            <c:dLbl>
              <c:idx val="182"/>
              <c:tx>
                <c:rich>
                  <a:bodyPr/>
                  <a:lstStyle/>
                  <a:p>
                    <a:fld id="{22FEE3E8-6275-420D-B8DF-CB203A64D5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E131-4A69-ADE9-11B932352FFF}"/>
                </c:ext>
              </c:extLst>
            </c:dLbl>
            <c:dLbl>
              <c:idx val="183"/>
              <c:tx>
                <c:rich>
                  <a:bodyPr/>
                  <a:lstStyle/>
                  <a:p>
                    <a:fld id="{3552925A-6E57-461A-9A2D-7B821BE5C3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E131-4A69-ADE9-11B932352FFF}"/>
                </c:ext>
              </c:extLst>
            </c:dLbl>
            <c:dLbl>
              <c:idx val="184"/>
              <c:tx>
                <c:rich>
                  <a:bodyPr/>
                  <a:lstStyle/>
                  <a:p>
                    <a:fld id="{775DFFB6-CE77-4840-BECF-D6A02D15AE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E131-4A69-ADE9-11B932352FFF}"/>
                </c:ext>
              </c:extLst>
            </c:dLbl>
            <c:dLbl>
              <c:idx val="185"/>
              <c:tx>
                <c:rich>
                  <a:bodyPr/>
                  <a:lstStyle/>
                  <a:p>
                    <a:fld id="{C9F5ECD8-5FD6-495F-9720-43DEBF2D98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E131-4A69-ADE9-11B932352FFF}"/>
                </c:ext>
              </c:extLst>
            </c:dLbl>
            <c:dLbl>
              <c:idx val="186"/>
              <c:tx>
                <c:rich>
                  <a:bodyPr/>
                  <a:lstStyle/>
                  <a:p>
                    <a:fld id="{6CD0BA39-F240-421B-8A02-C4AEA1BF8B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E131-4A69-ADE9-11B932352FFF}"/>
                </c:ext>
              </c:extLst>
            </c:dLbl>
            <c:dLbl>
              <c:idx val="187"/>
              <c:tx>
                <c:rich>
                  <a:bodyPr/>
                  <a:lstStyle/>
                  <a:p>
                    <a:fld id="{9A7D6F31-EF4E-4622-A32B-16A53F333A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E131-4A69-ADE9-11B932352FFF}"/>
                </c:ext>
              </c:extLst>
            </c:dLbl>
            <c:dLbl>
              <c:idx val="188"/>
              <c:tx>
                <c:rich>
                  <a:bodyPr/>
                  <a:lstStyle/>
                  <a:p>
                    <a:fld id="{4512D590-C8C9-4443-BC54-307164D6D0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E131-4A69-ADE9-11B932352FFF}"/>
                </c:ext>
              </c:extLst>
            </c:dLbl>
            <c:dLbl>
              <c:idx val="189"/>
              <c:tx>
                <c:rich>
                  <a:bodyPr/>
                  <a:lstStyle/>
                  <a:p>
                    <a:fld id="{1DC4A304-D924-4A08-859E-CC98732335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E131-4A69-ADE9-11B932352FFF}"/>
                </c:ext>
              </c:extLst>
            </c:dLbl>
            <c:dLbl>
              <c:idx val="190"/>
              <c:tx>
                <c:rich>
                  <a:bodyPr/>
                  <a:lstStyle/>
                  <a:p>
                    <a:fld id="{3FB65297-E421-4BDA-AB7B-1447AF1EC7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E131-4A69-ADE9-11B932352FFF}"/>
                </c:ext>
              </c:extLst>
            </c:dLbl>
            <c:dLbl>
              <c:idx val="191"/>
              <c:tx>
                <c:rich>
                  <a:bodyPr/>
                  <a:lstStyle/>
                  <a:p>
                    <a:fld id="{E2119A5E-5E5D-4682-AB13-74D40ED4F9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E131-4A69-ADE9-11B932352FFF}"/>
                </c:ext>
              </c:extLst>
            </c:dLbl>
            <c:dLbl>
              <c:idx val="192"/>
              <c:tx>
                <c:rich>
                  <a:bodyPr/>
                  <a:lstStyle/>
                  <a:p>
                    <a:fld id="{890567FC-ED7B-403A-99C0-403918DB5C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E131-4A69-ADE9-11B932352FFF}"/>
                </c:ext>
              </c:extLst>
            </c:dLbl>
            <c:dLbl>
              <c:idx val="193"/>
              <c:tx>
                <c:rich>
                  <a:bodyPr/>
                  <a:lstStyle/>
                  <a:p>
                    <a:fld id="{E6203085-53C6-4AF4-8379-9DBB17CA35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E131-4A69-ADE9-11B932352FFF}"/>
                </c:ext>
              </c:extLst>
            </c:dLbl>
            <c:dLbl>
              <c:idx val="194"/>
              <c:tx>
                <c:rich>
                  <a:bodyPr/>
                  <a:lstStyle/>
                  <a:p>
                    <a:fld id="{84D026E9-1C77-4B03-8840-CDF7BEAA30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E131-4A69-ADE9-11B932352FFF}"/>
                </c:ext>
              </c:extLst>
            </c:dLbl>
            <c:dLbl>
              <c:idx val="195"/>
              <c:tx>
                <c:rich>
                  <a:bodyPr/>
                  <a:lstStyle/>
                  <a:p>
                    <a:fld id="{9E76087B-AB22-4221-B067-E1469D4C37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E131-4A69-ADE9-11B932352FFF}"/>
                </c:ext>
              </c:extLst>
            </c:dLbl>
            <c:dLbl>
              <c:idx val="196"/>
              <c:tx>
                <c:rich>
                  <a:bodyPr/>
                  <a:lstStyle/>
                  <a:p>
                    <a:fld id="{4750900E-5FB0-43CE-8EC7-665285AB2E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E131-4A69-ADE9-11B932352FFF}"/>
                </c:ext>
              </c:extLst>
            </c:dLbl>
            <c:dLbl>
              <c:idx val="197"/>
              <c:tx>
                <c:rich>
                  <a:bodyPr/>
                  <a:lstStyle/>
                  <a:p>
                    <a:fld id="{6D5E7C20-899F-4D4E-963F-ABA14E42AE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E131-4A69-ADE9-11B932352FFF}"/>
                </c:ext>
              </c:extLst>
            </c:dLbl>
            <c:dLbl>
              <c:idx val="198"/>
              <c:tx>
                <c:rich>
                  <a:bodyPr/>
                  <a:lstStyle/>
                  <a:p>
                    <a:fld id="{A1B1130D-F788-4DDC-89CE-B421C6A895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E131-4A69-ADE9-11B932352FFF}"/>
                </c:ext>
              </c:extLst>
            </c:dLbl>
            <c:dLbl>
              <c:idx val="199"/>
              <c:tx>
                <c:rich>
                  <a:bodyPr/>
                  <a:lstStyle/>
                  <a:p>
                    <a:fld id="{51BD37AF-6C53-442D-8D00-4D7E6E582E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E131-4A69-ADE9-11B932352FFF}"/>
                </c:ext>
              </c:extLst>
            </c:dLbl>
            <c:dLbl>
              <c:idx val="200"/>
              <c:tx>
                <c:rich>
                  <a:bodyPr/>
                  <a:lstStyle/>
                  <a:p>
                    <a:fld id="{A76FE803-C8B7-4BBB-8CAD-5EA11646A2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E131-4A69-ADE9-11B932352FFF}"/>
                </c:ext>
              </c:extLst>
            </c:dLbl>
            <c:dLbl>
              <c:idx val="201"/>
              <c:tx>
                <c:rich>
                  <a:bodyPr/>
                  <a:lstStyle/>
                  <a:p>
                    <a:fld id="{BE2D43F1-8CD1-4FBE-9249-A436125782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E131-4A69-ADE9-11B932352FFF}"/>
                </c:ext>
              </c:extLst>
            </c:dLbl>
            <c:dLbl>
              <c:idx val="202"/>
              <c:tx>
                <c:rich>
                  <a:bodyPr/>
                  <a:lstStyle/>
                  <a:p>
                    <a:fld id="{8A9F78E5-A0D4-40CE-B948-B7D865EB93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E131-4A69-ADE9-11B932352FFF}"/>
                </c:ext>
              </c:extLst>
            </c:dLbl>
            <c:dLbl>
              <c:idx val="203"/>
              <c:tx>
                <c:rich>
                  <a:bodyPr/>
                  <a:lstStyle/>
                  <a:p>
                    <a:fld id="{0993BD55-53EC-431E-BCC4-3149BEDB82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E131-4A69-ADE9-11B932352FFF}"/>
                </c:ext>
              </c:extLst>
            </c:dLbl>
            <c:dLbl>
              <c:idx val="204"/>
              <c:tx>
                <c:rich>
                  <a:bodyPr/>
                  <a:lstStyle/>
                  <a:p>
                    <a:fld id="{907774E9-9D4B-4E4C-8F34-1195398AD0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E131-4A69-ADE9-11B932352FFF}"/>
                </c:ext>
              </c:extLst>
            </c:dLbl>
            <c:dLbl>
              <c:idx val="205"/>
              <c:tx>
                <c:rich>
                  <a:bodyPr/>
                  <a:lstStyle/>
                  <a:p>
                    <a:fld id="{03D89F56-AE11-4D98-8AFB-C6F1955D86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E131-4A69-ADE9-11B932352FFF}"/>
                </c:ext>
              </c:extLst>
            </c:dLbl>
            <c:dLbl>
              <c:idx val="206"/>
              <c:tx>
                <c:rich>
                  <a:bodyPr/>
                  <a:lstStyle/>
                  <a:p>
                    <a:fld id="{DD18869F-C08D-4625-9F03-B2E9D463AF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E131-4A69-ADE9-11B932352FFF}"/>
                </c:ext>
              </c:extLst>
            </c:dLbl>
            <c:dLbl>
              <c:idx val="207"/>
              <c:tx>
                <c:rich>
                  <a:bodyPr/>
                  <a:lstStyle/>
                  <a:p>
                    <a:fld id="{DCB23606-AEB1-4957-99AA-A2F0EB2917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E131-4A69-ADE9-11B932352FFF}"/>
                </c:ext>
              </c:extLst>
            </c:dLbl>
            <c:dLbl>
              <c:idx val="208"/>
              <c:tx>
                <c:rich>
                  <a:bodyPr/>
                  <a:lstStyle/>
                  <a:p>
                    <a:fld id="{9029B975-461D-498F-B899-C6FEF207CA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E131-4A69-ADE9-11B932352FFF}"/>
                </c:ext>
              </c:extLst>
            </c:dLbl>
            <c:dLbl>
              <c:idx val="209"/>
              <c:tx>
                <c:rich>
                  <a:bodyPr/>
                  <a:lstStyle/>
                  <a:p>
                    <a:fld id="{1D0FC527-86CC-4D7D-85B8-B7CFDD9BF6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E131-4A69-ADE9-11B932352FFF}"/>
                </c:ext>
              </c:extLst>
            </c:dLbl>
            <c:dLbl>
              <c:idx val="210"/>
              <c:tx>
                <c:rich>
                  <a:bodyPr/>
                  <a:lstStyle/>
                  <a:p>
                    <a:fld id="{FB93AFC0-420C-43AD-B783-2F8BDE462B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E131-4A69-ADE9-11B932352FFF}"/>
                </c:ext>
              </c:extLst>
            </c:dLbl>
            <c:dLbl>
              <c:idx val="211"/>
              <c:tx>
                <c:rich>
                  <a:bodyPr/>
                  <a:lstStyle/>
                  <a:p>
                    <a:fld id="{BD145648-8587-42AB-A084-A0F18DB080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E131-4A69-ADE9-11B932352FFF}"/>
                </c:ext>
              </c:extLst>
            </c:dLbl>
            <c:dLbl>
              <c:idx val="212"/>
              <c:tx>
                <c:rich>
                  <a:bodyPr/>
                  <a:lstStyle/>
                  <a:p>
                    <a:fld id="{32BB9293-DCBD-4226-A26A-9E8530A6FF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E131-4A69-ADE9-11B932352FFF}"/>
                </c:ext>
              </c:extLst>
            </c:dLbl>
            <c:dLbl>
              <c:idx val="213"/>
              <c:tx>
                <c:rich>
                  <a:bodyPr/>
                  <a:lstStyle/>
                  <a:p>
                    <a:fld id="{0F0B2E01-FA1C-4F5E-AB75-E5794A67AB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E131-4A69-ADE9-11B932352FFF}"/>
                </c:ext>
              </c:extLst>
            </c:dLbl>
            <c:dLbl>
              <c:idx val="214"/>
              <c:tx>
                <c:rich>
                  <a:bodyPr/>
                  <a:lstStyle/>
                  <a:p>
                    <a:fld id="{2EE5C0AA-BEB4-4635-A351-3FB6AC090F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E131-4A69-ADE9-11B932352FFF}"/>
                </c:ext>
              </c:extLst>
            </c:dLbl>
            <c:dLbl>
              <c:idx val="215"/>
              <c:tx>
                <c:rich>
                  <a:bodyPr/>
                  <a:lstStyle/>
                  <a:p>
                    <a:fld id="{77D770B8-BE26-4CB7-978A-F3C78E1F6C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E131-4A69-ADE9-11B932352FFF}"/>
                </c:ext>
              </c:extLst>
            </c:dLbl>
            <c:dLbl>
              <c:idx val="216"/>
              <c:tx>
                <c:rich>
                  <a:bodyPr/>
                  <a:lstStyle/>
                  <a:p>
                    <a:fld id="{D4B984BB-DFFC-4FBE-9A4A-1C4CF7E65A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E131-4A69-ADE9-11B932352FFF}"/>
                </c:ext>
              </c:extLst>
            </c:dLbl>
            <c:dLbl>
              <c:idx val="217"/>
              <c:tx>
                <c:rich>
                  <a:bodyPr/>
                  <a:lstStyle/>
                  <a:p>
                    <a:fld id="{6B7FD34C-F54E-4821-87DE-CD94722CAE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E131-4A69-ADE9-11B932352FFF}"/>
                </c:ext>
              </c:extLst>
            </c:dLbl>
            <c:dLbl>
              <c:idx val="218"/>
              <c:tx>
                <c:rich>
                  <a:bodyPr/>
                  <a:lstStyle/>
                  <a:p>
                    <a:fld id="{9E2866A5-E592-4251-9C6E-8F1C11DB98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E131-4A69-ADE9-11B932352FFF}"/>
                </c:ext>
              </c:extLst>
            </c:dLbl>
            <c:dLbl>
              <c:idx val="219"/>
              <c:tx>
                <c:rich>
                  <a:bodyPr/>
                  <a:lstStyle/>
                  <a:p>
                    <a:fld id="{9DF45B24-8F2C-43ED-AB7F-6FE3DA61E3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E131-4A69-ADE9-11B932352FFF}"/>
                </c:ext>
              </c:extLst>
            </c:dLbl>
            <c:dLbl>
              <c:idx val="220"/>
              <c:tx>
                <c:rich>
                  <a:bodyPr/>
                  <a:lstStyle/>
                  <a:p>
                    <a:fld id="{6C187792-6B7C-4673-9979-51FB320311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E131-4A69-ADE9-11B932352FFF}"/>
                </c:ext>
              </c:extLst>
            </c:dLbl>
            <c:dLbl>
              <c:idx val="221"/>
              <c:tx>
                <c:rich>
                  <a:bodyPr/>
                  <a:lstStyle/>
                  <a:p>
                    <a:fld id="{FF39421D-F527-4CAA-AD56-D9C1974E82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E131-4A69-ADE9-11B932352FFF}"/>
                </c:ext>
              </c:extLst>
            </c:dLbl>
            <c:dLbl>
              <c:idx val="222"/>
              <c:tx>
                <c:rich>
                  <a:bodyPr/>
                  <a:lstStyle/>
                  <a:p>
                    <a:fld id="{DDD32B04-E5B6-4454-8B9B-5DA79E3157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E131-4A69-ADE9-11B932352FFF}"/>
                </c:ext>
              </c:extLst>
            </c:dLbl>
            <c:dLbl>
              <c:idx val="223"/>
              <c:tx>
                <c:rich>
                  <a:bodyPr/>
                  <a:lstStyle/>
                  <a:p>
                    <a:fld id="{6AC54963-7F61-47E1-8200-2447D12898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E131-4A69-ADE9-11B932352FFF}"/>
                </c:ext>
              </c:extLst>
            </c:dLbl>
            <c:dLbl>
              <c:idx val="224"/>
              <c:tx>
                <c:rich>
                  <a:bodyPr/>
                  <a:lstStyle/>
                  <a:p>
                    <a:fld id="{5BA27383-98D7-4CF5-BFD7-EDA4F22179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E131-4A69-ADE9-11B932352FFF}"/>
                </c:ext>
              </c:extLst>
            </c:dLbl>
            <c:dLbl>
              <c:idx val="225"/>
              <c:tx>
                <c:rich>
                  <a:bodyPr/>
                  <a:lstStyle/>
                  <a:p>
                    <a:fld id="{85FF423C-7666-430B-86A2-468BE22A86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E131-4A69-ADE9-11B932352FFF}"/>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E131-4A69-ADE9-11B932352FFF}"/>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E131-4A69-ADE9-11B932352FFF}"/>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E131-4A69-ADE9-11B932352FFF}"/>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E131-4A69-ADE9-11B932352FFF}"/>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E131-4A69-ADE9-11B932352FFF}"/>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E131-4A69-ADE9-11B932352FFF}"/>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E131-4A69-ADE9-11B932352FFF}"/>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E131-4A69-ADE9-11B932352FFF}"/>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E131-4A69-ADE9-11B932352FFF}"/>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E131-4A69-ADE9-11B932352FFF}"/>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E131-4A69-ADE9-11B932352FFF}"/>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E131-4A69-ADE9-11B932352FFF}"/>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E131-4A69-ADE9-11B932352FFF}"/>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E131-4A69-ADE9-11B932352FFF}"/>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E131-4A69-ADE9-11B932352FFF}"/>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E131-4A69-ADE9-11B932352FFF}"/>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E131-4A69-ADE9-11B932352FFF}"/>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E131-4A69-ADE9-11B932352FFF}"/>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E131-4A69-ADE9-11B932352FFF}"/>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E131-4A69-ADE9-11B932352FFF}"/>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E131-4A69-ADE9-11B932352FFF}"/>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E131-4A69-ADE9-11B932352FFF}"/>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E131-4A69-ADE9-11B932352FFF}"/>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E131-4A69-ADE9-11B932352FFF}"/>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E131-4A69-ADE9-11B932352FFF}"/>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E131-4A69-ADE9-11B932352FFF}"/>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E131-4A69-ADE9-11B932352FFF}"/>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E131-4A69-ADE9-11B932352FFF}"/>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E131-4A69-ADE9-11B932352FFF}"/>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E131-4A69-ADE9-11B932352FFF}"/>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E131-4A69-ADE9-11B932352FFF}"/>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E131-4A69-ADE9-11B932352FFF}"/>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E131-4A69-ADE9-11B932352FFF}"/>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E131-4A69-ADE9-11B932352FFF}"/>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E131-4A69-ADE9-11B932352FFF}"/>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E131-4A69-ADE9-11B932352FFF}"/>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E131-4A69-ADE9-11B932352FFF}"/>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E131-4A69-ADE9-11B932352FFF}"/>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E131-4A69-ADE9-11B932352FFF}"/>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E131-4A69-ADE9-11B932352FFF}"/>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E131-4A69-ADE9-11B932352FFF}"/>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E131-4A69-ADE9-11B932352FFF}"/>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E131-4A69-ADE9-11B932352FFF}"/>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E131-4A69-ADE9-11B932352FFF}"/>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E131-4A69-ADE9-11B932352FFF}"/>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E131-4A69-ADE9-11B932352FFF}"/>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E131-4A69-ADE9-11B932352FFF}"/>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E131-4A69-ADE9-11B932352FFF}"/>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E131-4A69-ADE9-11B932352FFF}"/>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E131-4A69-ADE9-11B932352FFF}"/>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E131-4A69-ADE9-11B932352FFF}"/>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E131-4A69-ADE9-11B932352FFF}"/>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E131-4A69-ADE9-11B932352FFF}"/>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E131-4A69-ADE9-11B932352FFF}"/>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E131-4A69-ADE9-11B932352FFF}"/>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E131-4A69-ADE9-11B932352FFF}"/>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E131-4A69-ADE9-11B932352FFF}"/>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E131-4A69-ADE9-11B932352FFF}"/>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E131-4A69-ADE9-11B932352FFF}"/>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E131-4A69-ADE9-11B932352FFF}"/>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E131-4A69-ADE9-11B932352FFF}"/>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E131-4A69-ADE9-11B932352FFF}"/>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E131-4A69-ADE9-11B932352FFF}"/>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E131-4A69-ADE9-11B932352FFF}"/>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E131-4A69-ADE9-11B932352FFF}"/>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E131-4A69-ADE9-11B932352FFF}"/>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E131-4A69-ADE9-11B932352FFF}"/>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E131-4A69-ADE9-11B932352FFF}"/>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E131-4A69-ADE9-11B932352FFF}"/>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E131-4A69-ADE9-11B932352FFF}"/>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E131-4A69-ADE9-11B932352FFF}"/>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E131-4A69-ADE9-11B932352FFF}"/>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E131-4A69-ADE9-11B932352FFF}"/>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86.706832885742188</c:v>
                </c:pt>
                <c:pt idx="2">
                  <c:v>74.7352294921875</c:v>
                </c:pt>
                <c:pt idx="3">
                  <c:v>64.837554931640625</c:v>
                </c:pt>
                <c:pt idx="4">
                  <c:v>57.227306365966797</c:v>
                </c:pt>
                <c:pt idx="5">
                  <c:v>51.529953002929688</c:v>
                </c:pt>
                <c:pt idx="6">
                  <c:v>46.827415466308594</c:v>
                </c:pt>
                <c:pt idx="7">
                  <c:v>43.095241546630859</c:v>
                </c:pt>
                <c:pt idx="8">
                  <c:v>39.90447998046875</c:v>
                </c:pt>
                <c:pt idx="9">
                  <c:v>36.854412078857422</c:v>
                </c:pt>
                <c:pt idx="10">
                  <c:v>34.270755767822266</c:v>
                </c:pt>
                <c:pt idx="11">
                  <c:v>31.986848831176758</c:v>
                </c:pt>
                <c:pt idx="12">
                  <c:v>29.960493087768555</c:v>
                </c:pt>
                <c:pt idx="13">
                  <c:v>28.152612686157227</c:v>
                </c:pt>
                <c:pt idx="14">
                  <c:v>26.397735595703125</c:v>
                </c:pt>
                <c:pt idx="15">
                  <c:v>24.651115417480469</c:v>
                </c:pt>
                <c:pt idx="16">
                  <c:v>23.149831771850586</c:v>
                </c:pt>
                <c:pt idx="17">
                  <c:v>21.771577835083008</c:v>
                </c:pt>
                <c:pt idx="18">
                  <c:v>20.578182220458984</c:v>
                </c:pt>
                <c:pt idx="19">
                  <c:v>19.580018997192383</c:v>
                </c:pt>
                <c:pt idx="20">
                  <c:v>18.832754135131836</c:v>
                </c:pt>
                <c:pt idx="21">
                  <c:v>18.202821731567383</c:v>
                </c:pt>
                <c:pt idx="22">
                  <c:v>17.537832260131836</c:v>
                </c:pt>
                <c:pt idx="23">
                  <c:v>16.954668045043945</c:v>
                </c:pt>
                <c:pt idx="24">
                  <c:v>16.343172073364258</c:v>
                </c:pt>
                <c:pt idx="25">
                  <c:v>15.707540512084961</c:v>
                </c:pt>
                <c:pt idx="26">
                  <c:v>14.921706199645996</c:v>
                </c:pt>
                <c:pt idx="27">
                  <c:v>14.028449058532715</c:v>
                </c:pt>
                <c:pt idx="28">
                  <c:v>13.039318084716797</c:v>
                </c:pt>
                <c:pt idx="29">
                  <c:v>12.220226287841797</c:v>
                </c:pt>
                <c:pt idx="30">
                  <c:v>11.613715171813965</c:v>
                </c:pt>
                <c:pt idx="31">
                  <c:v>11.23807430267334</c:v>
                </c:pt>
                <c:pt idx="32">
                  <c:v>11.032158851623535</c:v>
                </c:pt>
                <c:pt idx="33">
                  <c:v>10.865721702575684</c:v>
                </c:pt>
                <c:pt idx="34">
                  <c:v>10.848787307739258</c:v>
                </c:pt>
                <c:pt idx="35">
                  <c:v>10.794831275939941</c:v>
                </c:pt>
                <c:pt idx="36">
                  <c:v>10.61724853515625</c:v>
                </c:pt>
                <c:pt idx="37">
                  <c:v>10.508635520935059</c:v>
                </c:pt>
                <c:pt idx="38">
                  <c:v>10.453414916992188</c:v>
                </c:pt>
                <c:pt idx="39">
                  <c:v>10.401422500610352</c:v>
                </c:pt>
                <c:pt idx="40">
                  <c:v>10.316455841064453</c:v>
                </c:pt>
                <c:pt idx="41">
                  <c:v>10.311842918395996</c:v>
                </c:pt>
                <c:pt idx="42">
                  <c:v>10.370084762573242</c:v>
                </c:pt>
                <c:pt idx="43">
                  <c:v>10.432879447937012</c:v>
                </c:pt>
                <c:pt idx="44">
                  <c:v>10.503621101379395</c:v>
                </c:pt>
                <c:pt idx="45">
                  <c:v>10.532102584838867</c:v>
                </c:pt>
                <c:pt idx="46">
                  <c:v>10.659330368041992</c:v>
                </c:pt>
                <c:pt idx="47">
                  <c:v>10.785337448120117</c:v>
                </c:pt>
                <c:pt idx="48">
                  <c:v>10.896702766418457</c:v>
                </c:pt>
                <c:pt idx="49">
                  <c:v>11.025819778442383</c:v>
                </c:pt>
                <c:pt idx="50">
                  <c:v>11.153687477111816</c:v>
                </c:pt>
                <c:pt idx="51">
                  <c:v>11.309350967407227</c:v>
                </c:pt>
                <c:pt idx="52">
                  <c:v>11.412948608398438</c:v>
                </c:pt>
                <c:pt idx="53">
                  <c:v>11.545637130737305</c:v>
                </c:pt>
                <c:pt idx="54">
                  <c:v>11.749439239501953</c:v>
                </c:pt>
                <c:pt idx="55">
                  <c:v>11.931679725646973</c:v>
                </c:pt>
                <c:pt idx="56">
                  <c:v>12.093340873718262</c:v>
                </c:pt>
                <c:pt idx="57">
                  <c:v>12.181745529174805</c:v>
                </c:pt>
                <c:pt idx="58">
                  <c:v>12.280045509338379</c:v>
                </c:pt>
                <c:pt idx="59">
                  <c:v>12.391246795654297</c:v>
                </c:pt>
                <c:pt idx="60">
                  <c:v>12.516911506652832</c:v>
                </c:pt>
                <c:pt idx="61">
                  <c:v>12.595733642578125</c:v>
                </c:pt>
                <c:pt idx="62">
                  <c:v>12.756352424621582</c:v>
                </c:pt>
                <c:pt idx="63">
                  <c:v>12.904010772705078</c:v>
                </c:pt>
                <c:pt idx="64">
                  <c:v>12.933191299438477</c:v>
                </c:pt>
                <c:pt idx="65">
                  <c:v>12.921658515930176</c:v>
                </c:pt>
                <c:pt idx="66">
                  <c:v>12.932283401489258</c:v>
                </c:pt>
                <c:pt idx="67">
                  <c:v>12.951791763305664</c:v>
                </c:pt>
                <c:pt idx="68">
                  <c:v>12.97103214263916</c:v>
                </c:pt>
                <c:pt idx="69">
                  <c:v>12.954946517944336</c:v>
                </c:pt>
                <c:pt idx="70">
                  <c:v>12.857687950134277</c:v>
                </c:pt>
                <c:pt idx="71">
                  <c:v>12.678780555725098</c:v>
                </c:pt>
                <c:pt idx="72">
                  <c:v>12.480291366577148</c:v>
                </c:pt>
                <c:pt idx="73">
                  <c:v>12.262873649597168</c:v>
                </c:pt>
                <c:pt idx="74">
                  <c:v>12.134945869445801</c:v>
                </c:pt>
                <c:pt idx="75">
                  <c:v>12.038520812988281</c:v>
                </c:pt>
                <c:pt idx="76">
                  <c:v>11.862902641296387</c:v>
                </c:pt>
                <c:pt idx="77">
                  <c:v>11.623968124389648</c:v>
                </c:pt>
                <c:pt idx="78">
                  <c:v>11.358545303344727</c:v>
                </c:pt>
                <c:pt idx="79">
                  <c:v>11.127140045166016</c:v>
                </c:pt>
                <c:pt idx="80">
                  <c:v>10.891941070556641</c:v>
                </c:pt>
                <c:pt idx="81">
                  <c:v>10.589794158935547</c:v>
                </c:pt>
                <c:pt idx="82">
                  <c:v>10.150940895080566</c:v>
                </c:pt>
                <c:pt idx="83">
                  <c:v>9.8132743835449219</c:v>
                </c:pt>
                <c:pt idx="84">
                  <c:v>9.7499427795410156</c:v>
                </c:pt>
                <c:pt idx="85">
                  <c:v>9.6200523376464844</c:v>
                </c:pt>
                <c:pt idx="86">
                  <c:v>9.4929141998291016</c:v>
                </c:pt>
                <c:pt idx="87">
                  <c:v>9.291046142578125</c:v>
                </c:pt>
                <c:pt idx="88">
                  <c:v>8.8465976715087891</c:v>
                </c:pt>
                <c:pt idx="89">
                  <c:v>8.4847211837768555</c:v>
                </c:pt>
                <c:pt idx="90">
                  <c:v>8.4297971725463867</c:v>
                </c:pt>
                <c:pt idx="91">
                  <c:v>8.5203895568847656</c:v>
                </c:pt>
                <c:pt idx="92">
                  <c:v>8.4282798767089844</c:v>
                </c:pt>
                <c:pt idx="93">
                  <c:v>8.2825708389282227</c:v>
                </c:pt>
                <c:pt idx="94">
                  <c:v>8.0301542282104492</c:v>
                </c:pt>
                <c:pt idx="95">
                  <c:v>7.8623180389404297</c:v>
                </c:pt>
                <c:pt idx="96">
                  <c:v>7.9174051284790039</c:v>
                </c:pt>
                <c:pt idx="97">
                  <c:v>8.0738430023193359</c:v>
                </c:pt>
                <c:pt idx="98">
                  <c:v>7.995765209197998</c:v>
                </c:pt>
                <c:pt idx="99">
                  <c:v>7.7994480133056641</c:v>
                </c:pt>
                <c:pt idx="100">
                  <c:v>7.7211027145385742</c:v>
                </c:pt>
                <c:pt idx="101">
                  <c:v>7.7976474761962891</c:v>
                </c:pt>
                <c:pt idx="102">
                  <c:v>7.8972420692443848</c:v>
                </c:pt>
                <c:pt idx="103">
                  <c:v>7.7392568588256836</c:v>
                </c:pt>
                <c:pt idx="104">
                  <c:v>7.5999317169189453</c:v>
                </c:pt>
                <c:pt idx="105">
                  <c:v>7.6910295486450195</c:v>
                </c:pt>
                <c:pt idx="106">
                  <c:v>7.7186770439147949</c:v>
                </c:pt>
                <c:pt idx="107">
                  <c:v>7.7166385650634766</c:v>
                </c:pt>
                <c:pt idx="108">
                  <c:v>7.7097043991088867</c:v>
                </c:pt>
                <c:pt idx="109">
                  <c:v>7.6869521141052246</c:v>
                </c:pt>
                <c:pt idx="110">
                  <c:v>7.7597026824951172</c:v>
                </c:pt>
                <c:pt idx="111">
                  <c:v>7.7867698669433594</c:v>
                </c:pt>
                <c:pt idx="112">
                  <c:v>7.7657442092895508</c:v>
                </c:pt>
                <c:pt idx="113">
                  <c:v>7.7057313919067383</c:v>
                </c:pt>
                <c:pt idx="114">
                  <c:v>7.6330108642578125</c:v>
                </c:pt>
                <c:pt idx="115">
                  <c:v>7.5665993690490723</c:v>
                </c:pt>
                <c:pt idx="116">
                  <c:v>7.4899206161499023</c:v>
                </c:pt>
                <c:pt idx="117">
                  <c:v>7.3977961540222168</c:v>
                </c:pt>
                <c:pt idx="118">
                  <c:v>7.391441822052002</c:v>
                </c:pt>
                <c:pt idx="119">
                  <c:v>7.4303245544433594</c:v>
                </c:pt>
                <c:pt idx="120">
                  <c:v>7.4071707725524902</c:v>
                </c:pt>
                <c:pt idx="121">
                  <c:v>7.3533334732055664</c:v>
                </c:pt>
                <c:pt idx="122">
                  <c:v>7.5299639701843262</c:v>
                </c:pt>
                <c:pt idx="123">
                  <c:v>7.7088265419006348</c:v>
                </c:pt>
                <c:pt idx="124">
                  <c:v>7.6193952560424805</c:v>
                </c:pt>
                <c:pt idx="125">
                  <c:v>7.7335872650146484</c:v>
                </c:pt>
                <c:pt idx="126">
                  <c:v>7.6206450462341309</c:v>
                </c:pt>
                <c:pt idx="127">
                  <c:v>7.5729384422302246</c:v>
                </c:pt>
                <c:pt idx="128">
                  <c:v>7.7189154624938965</c:v>
                </c:pt>
                <c:pt idx="129">
                  <c:v>7.5679535865783691</c:v>
                </c:pt>
                <c:pt idx="130">
                  <c:v>7.3448662757873535</c:v>
                </c:pt>
                <c:pt idx="131">
                  <c:v>7.0566921234130859</c:v>
                </c:pt>
                <c:pt idx="132">
                  <c:v>7.1127171516418457</c:v>
                </c:pt>
                <c:pt idx="133">
                  <c:v>7.3816509246826172</c:v>
                </c:pt>
                <c:pt idx="134">
                  <c:v>7.705805778503418</c:v>
                </c:pt>
                <c:pt idx="135">
                  <c:v>7.6282491683959961</c:v>
                </c:pt>
                <c:pt idx="136">
                  <c:v>3.9430396556854248</c:v>
                </c:pt>
                <c:pt idx="137">
                  <c:v>1.9999998807907104</c:v>
                </c:pt>
                <c:pt idx="138">
                  <c:v>5.209660530090332</c:v>
                </c:pt>
                <c:pt idx="139">
                  <c:v>7.0263657569885254</c:v>
                </c:pt>
                <c:pt idx="140">
                  <c:v>6.9484224319458008</c:v>
                </c:pt>
                <c:pt idx="141">
                  <c:v>7.7291679382324219</c:v>
                </c:pt>
                <c:pt idx="142">
                  <c:v>8.0754795074462891</c:v>
                </c:pt>
                <c:pt idx="143">
                  <c:v>7.4504280090332031</c:v>
                </c:pt>
                <c:pt idx="144">
                  <c:v>7.2523398399353027</c:v>
                </c:pt>
                <c:pt idx="145">
                  <c:v>7.8272895812988281</c:v>
                </c:pt>
                <c:pt idx="146">
                  <c:v>6.1778993606567383</c:v>
                </c:pt>
                <c:pt idx="147">
                  <c:v>4.69317626953125</c:v>
                </c:pt>
                <c:pt idx="148">
                  <c:v>7.0044770240783691</c:v>
                </c:pt>
                <c:pt idx="149">
                  <c:v>8.622528076171875</c:v>
                </c:pt>
                <c:pt idx="150">
                  <c:v>7.2185020446777344</c:v>
                </c:pt>
                <c:pt idx="151">
                  <c:v>7.5593080520629883</c:v>
                </c:pt>
                <c:pt idx="152">
                  <c:v>7.7716069221496582</c:v>
                </c:pt>
                <c:pt idx="153">
                  <c:v>7.6006755828857422</c:v>
                </c:pt>
                <c:pt idx="154">
                  <c:v>7.3261618614196777</c:v>
                </c:pt>
                <c:pt idx="155">
                  <c:v>7.4168281555175781</c:v>
                </c:pt>
                <c:pt idx="156">
                  <c:v>7.0868549346923828</c:v>
                </c:pt>
                <c:pt idx="157">
                  <c:v>7.0331215858459473</c:v>
                </c:pt>
                <c:pt idx="158">
                  <c:v>7.2746753692626953</c:v>
                </c:pt>
                <c:pt idx="159">
                  <c:v>6.7714047431945801</c:v>
                </c:pt>
                <c:pt idx="160">
                  <c:v>7.1793069839477539</c:v>
                </c:pt>
                <c:pt idx="161">
                  <c:v>7.2958354949951172</c:v>
                </c:pt>
                <c:pt idx="162">
                  <c:v>6.5625581741333008</c:v>
                </c:pt>
                <c:pt idx="163">
                  <c:v>7.4629125595092773</c:v>
                </c:pt>
                <c:pt idx="164">
                  <c:v>7.1808395385742188</c:v>
                </c:pt>
                <c:pt idx="165">
                  <c:v>6.8447356224060059</c:v>
                </c:pt>
                <c:pt idx="166">
                  <c:v>7.2118501663208008</c:v>
                </c:pt>
                <c:pt idx="167">
                  <c:v>6.4664607048034668</c:v>
                </c:pt>
                <c:pt idx="168">
                  <c:v>7.6374449729919434</c:v>
                </c:pt>
                <c:pt idx="169">
                  <c:v>7.3570981025695801</c:v>
                </c:pt>
                <c:pt idx="170">
                  <c:v>6.6638193130493164</c:v>
                </c:pt>
                <c:pt idx="171">
                  <c:v>7.4923014640808105</c:v>
                </c:pt>
                <c:pt idx="172">
                  <c:v>7.3692998886108398</c:v>
                </c:pt>
                <c:pt idx="173">
                  <c:v>7.5319876670837402</c:v>
                </c:pt>
                <c:pt idx="174">
                  <c:v>7.042332649230957</c:v>
                </c:pt>
                <c:pt idx="175">
                  <c:v>7.1542630195617676</c:v>
                </c:pt>
                <c:pt idx="176">
                  <c:v>6.5792393684387207</c:v>
                </c:pt>
                <c:pt idx="177">
                  <c:v>6.8065524101257324</c:v>
                </c:pt>
                <c:pt idx="178">
                  <c:v>7.5444869995117188</c:v>
                </c:pt>
                <c:pt idx="179">
                  <c:v>7.3756093978881836</c:v>
                </c:pt>
                <c:pt idx="180">
                  <c:v>7.5768222808837891</c:v>
                </c:pt>
                <c:pt idx="181">
                  <c:v>7.261967658996582</c:v>
                </c:pt>
                <c:pt idx="182">
                  <c:v>6.8667435646057129</c:v>
                </c:pt>
                <c:pt idx="183">
                  <c:v>7.0098934173583984</c:v>
                </c:pt>
                <c:pt idx="184">
                  <c:v>7.0471982955932617</c:v>
                </c:pt>
                <c:pt idx="185">
                  <c:v>7.0693850517272949</c:v>
                </c:pt>
                <c:pt idx="186">
                  <c:v>6.9141526222229004</c:v>
                </c:pt>
                <c:pt idx="187">
                  <c:v>7.0816316604614258</c:v>
                </c:pt>
                <c:pt idx="188">
                  <c:v>7.2959990501403809</c:v>
                </c:pt>
                <c:pt idx="189">
                  <c:v>7.3680648803710938</c:v>
                </c:pt>
                <c:pt idx="190">
                  <c:v>6.5611743927001953</c:v>
                </c:pt>
                <c:pt idx="191">
                  <c:v>8.0053930282592773</c:v>
                </c:pt>
                <c:pt idx="192">
                  <c:v>6.9420685768127441</c:v>
                </c:pt>
                <c:pt idx="193">
                  <c:v>6.9673948287963867</c:v>
                </c:pt>
                <c:pt idx="194">
                  <c:v>5.6347794532775879</c:v>
                </c:pt>
                <c:pt idx="195">
                  <c:v>5.5594396591186523</c:v>
                </c:pt>
                <c:pt idx="196">
                  <c:v>5.5339198112487793</c:v>
                </c:pt>
                <c:pt idx="197">
                  <c:v>6.0400323867797852</c:v>
                </c:pt>
                <c:pt idx="198">
                  <c:v>8.8483982086181641</c:v>
                </c:pt>
                <c:pt idx="199">
                  <c:v>7.4965572357177734</c:v>
                </c:pt>
                <c:pt idx="200">
                  <c:v>6.9979739189147949</c:v>
                </c:pt>
                <c:pt idx="201">
                  <c:v>6.1025600433349609</c:v>
                </c:pt>
                <c:pt idx="202">
                  <c:v>7.7765026092529297</c:v>
                </c:pt>
                <c:pt idx="203">
                  <c:v>5.8763628005981445</c:v>
                </c:pt>
                <c:pt idx="204">
                  <c:v>7.4425263404846191</c:v>
                </c:pt>
                <c:pt idx="205">
                  <c:v>6.0414013862609863</c:v>
                </c:pt>
                <c:pt idx="206">
                  <c:v>6.8046774864196777</c:v>
                </c:pt>
                <c:pt idx="207">
                  <c:v>7.5791287422180176</c:v>
                </c:pt>
                <c:pt idx="208">
                  <c:v>7.4056529998779297</c:v>
                </c:pt>
                <c:pt idx="209">
                  <c:v>8.3677902221679688</c:v>
                </c:pt>
                <c:pt idx="210">
                  <c:v>6.1830925941467285</c:v>
                </c:pt>
                <c:pt idx="211">
                  <c:v>8.125269889831543</c:v>
                </c:pt>
                <c:pt idx="212">
                  <c:v>6.3420600891113281</c:v>
                </c:pt>
                <c:pt idx="213">
                  <c:v>7.3164892196655273</c:v>
                </c:pt>
                <c:pt idx="214">
                  <c:v>6.2842798233032227</c:v>
                </c:pt>
                <c:pt idx="215">
                  <c:v>6.3851537704467773</c:v>
                </c:pt>
                <c:pt idx="216">
                  <c:v>7.5821495056152344</c:v>
                </c:pt>
                <c:pt idx="217">
                  <c:v>6.5008640289306641</c:v>
                </c:pt>
                <c:pt idx="218">
                  <c:v>8.5376653671264648</c:v>
                </c:pt>
                <c:pt idx="219">
                  <c:v>5.9773859977722168</c:v>
                </c:pt>
                <c:pt idx="220">
                  <c:v>6.868678092956543</c:v>
                </c:pt>
                <c:pt idx="221">
                  <c:v>7.5668673515319824</c:v>
                </c:pt>
                <c:pt idx="222">
                  <c:v>5.5075068473815918</c:v>
                </c:pt>
                <c:pt idx="223">
                  <c:v>9.1479558944702148</c:v>
                </c:pt>
                <c:pt idx="224">
                  <c:v>5.6392583847045898</c:v>
                </c:pt>
                <c:pt idx="225">
                  <c:v>7.4999799728393555</c:v>
                </c:pt>
              </c:numCache>
            </c:numRef>
          </c:yVal>
          <c:smooth val="1"/>
          <c:extLst>
            <c:ext xmlns:c15="http://schemas.microsoft.com/office/drawing/2012/chart" uri="{02D57815-91ED-43cb-92C2-25804820EDAC}">
              <c15:datalabelsRange>
                <c15:f>PeakLabels!$C$2:$C$300</c15:f>
                <c15:dlblRangeCache>
                  <c:ptCount val="299"/>
                  <c:pt idx="27">
                    <c:v>246s</c:v>
                  </c:pt>
                  <c:pt idx="56">
                    <c:v>304s</c:v>
                  </c:pt>
                  <c:pt idx="68">
                    <c:v>326</c:v>
                  </c:pt>
                  <c:pt idx="74">
                    <c:v>340s</c:v>
                  </c:pt>
                  <c:pt idx="91">
                    <c:v>372</c:v>
                  </c:pt>
                  <c:pt idx="97">
                    <c:v>384</c:v>
                  </c:pt>
                  <c:pt idx="111">
                    <c:v>412</c:v>
                  </c:pt>
                  <c:pt idx="125">
                    <c:v>440</c:v>
                  </c:pt>
                  <c:pt idx="134">
                    <c:v>458</c:v>
                  </c:pt>
                  <c:pt idx="142">
                    <c:v>474</c:v>
                  </c:pt>
                  <c:pt idx="149">
                    <c:v>488</c:v>
                  </c:pt>
                  <c:pt idx="155">
                    <c:v>500</c:v>
                  </c:pt>
                  <c:pt idx="168">
                    <c:v>526</c:v>
                  </c:pt>
                  <c:pt idx="180">
                    <c:v>550</c:v>
                  </c:pt>
                  <c:pt idx="191">
                    <c:v>572</c:v>
                  </c:pt>
                  <c:pt idx="198">
                    <c:v>586</c:v>
                  </c:pt>
                  <c:pt idx="209">
                    <c:v>608</c:v>
                  </c:pt>
                  <c:pt idx="223">
                    <c:v>636</c:v>
                  </c:pt>
                </c15:dlblRangeCache>
              </c15:datalabelsRange>
            </c:ext>
            <c:ext xmlns:c16="http://schemas.microsoft.com/office/drawing/2014/chart" uri="{C3380CC4-5D6E-409C-BE32-E72D297353CC}">
              <c16:uniqueId val="{00000000-98A0-47F1-B2CE-1A7C52667A6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0C3830BE-2D5F-456B-AE0F-A6E0503748FB}"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8A0-47F1-B2CE-1A7C52667A65}"/>
                </c:ext>
              </c:extLst>
            </c:dLbl>
            <c:dLbl>
              <c:idx val="1"/>
              <c:tx>
                <c:rich>
                  <a:bodyPr/>
                  <a:lstStyle/>
                  <a:p>
                    <a:fld id="{EAF2AFB9-8B06-4D22-BA39-E28ED6D3A75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8A0-47F1-B2CE-1A7C52667A65}"/>
                </c:ext>
              </c:extLst>
            </c:dLbl>
            <c:dLbl>
              <c:idx val="2"/>
              <c:tx>
                <c:rich>
                  <a:bodyPr/>
                  <a:lstStyle/>
                  <a:p>
                    <a:fld id="{9C83F0AF-6F44-4E31-8A5E-73CFC740175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8A0-47F1-B2CE-1A7C52667A65}"/>
                </c:ext>
              </c:extLst>
            </c:dLbl>
            <c:dLbl>
              <c:idx val="3"/>
              <c:tx>
                <c:rich>
                  <a:bodyPr/>
                  <a:lstStyle/>
                  <a:p>
                    <a:fld id="{B042A1D6-5B47-41CF-9945-3126E21114B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8A0-47F1-B2CE-1A7C52667A65}"/>
                </c:ext>
              </c:extLst>
            </c:dLbl>
            <c:dLbl>
              <c:idx val="4"/>
              <c:tx>
                <c:rich>
                  <a:bodyPr/>
                  <a:lstStyle/>
                  <a:p>
                    <a:fld id="{66B269E5-3C9B-4F38-94FF-76D70434804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8A0-47F1-B2CE-1A7C52667A6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8A0-47F1-B2CE-1A7C52667A65}"/>
            </c:ext>
          </c:extLst>
        </c:ser>
        <c:dLbls>
          <c:showLegendKey val="0"/>
          <c:showVal val="0"/>
          <c:showCatName val="0"/>
          <c:showSerName val="0"/>
          <c:showPercent val="0"/>
          <c:showBubbleSize val="0"/>
        </c:dLbls>
        <c:axId val="1569267376"/>
        <c:axId val="1569265200"/>
      </c:scatterChart>
      <c:valAx>
        <c:axId val="1569267376"/>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5200"/>
        <c:crossesAt val="0"/>
        <c:crossBetween val="midCat"/>
        <c:majorUnit val="100"/>
      </c:valAx>
      <c:valAx>
        <c:axId val="156926520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7376"/>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EDC02109-2755-4B8A-99E5-FD4F895CE6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C09-4A1D-8E95-1FFD157A3B64}"/>
                </c:ext>
              </c:extLst>
            </c:dLbl>
            <c:dLbl>
              <c:idx val="1"/>
              <c:tx>
                <c:rich>
                  <a:bodyPr/>
                  <a:lstStyle/>
                  <a:p>
                    <a:fld id="{53BD5748-0833-4DF0-979C-BC4A8EFC6B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C09-4A1D-8E95-1FFD157A3B64}"/>
                </c:ext>
              </c:extLst>
            </c:dLbl>
            <c:dLbl>
              <c:idx val="2"/>
              <c:tx>
                <c:rich>
                  <a:bodyPr/>
                  <a:lstStyle/>
                  <a:p>
                    <a:fld id="{E78766A7-2ADD-471E-A6BF-7D0BCE9C56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C09-4A1D-8E95-1FFD157A3B64}"/>
                </c:ext>
              </c:extLst>
            </c:dLbl>
            <c:dLbl>
              <c:idx val="3"/>
              <c:tx>
                <c:rich>
                  <a:bodyPr/>
                  <a:lstStyle/>
                  <a:p>
                    <a:fld id="{5508A879-1241-4C3E-9F8C-E2B228B294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C09-4A1D-8E95-1FFD157A3B64}"/>
                </c:ext>
              </c:extLst>
            </c:dLbl>
            <c:dLbl>
              <c:idx val="4"/>
              <c:tx>
                <c:rich>
                  <a:bodyPr/>
                  <a:lstStyle/>
                  <a:p>
                    <a:fld id="{2D8DFFF7-89BB-4A2C-8CAF-385C3688C7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C09-4A1D-8E95-1FFD157A3B64}"/>
                </c:ext>
              </c:extLst>
            </c:dLbl>
            <c:dLbl>
              <c:idx val="5"/>
              <c:tx>
                <c:rich>
                  <a:bodyPr/>
                  <a:lstStyle/>
                  <a:p>
                    <a:fld id="{2A4CC714-EE50-4F9F-B1C4-84ADDE0704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C09-4A1D-8E95-1FFD157A3B64}"/>
                </c:ext>
              </c:extLst>
            </c:dLbl>
            <c:dLbl>
              <c:idx val="6"/>
              <c:tx>
                <c:rich>
                  <a:bodyPr/>
                  <a:lstStyle/>
                  <a:p>
                    <a:fld id="{F47E0C11-3082-49C9-B4B6-54D21DDCED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C09-4A1D-8E95-1FFD157A3B64}"/>
                </c:ext>
              </c:extLst>
            </c:dLbl>
            <c:dLbl>
              <c:idx val="7"/>
              <c:tx>
                <c:rich>
                  <a:bodyPr/>
                  <a:lstStyle/>
                  <a:p>
                    <a:fld id="{0538E485-6ED2-4D65-B215-802BDF3E62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C09-4A1D-8E95-1FFD157A3B64}"/>
                </c:ext>
              </c:extLst>
            </c:dLbl>
            <c:dLbl>
              <c:idx val="8"/>
              <c:tx>
                <c:rich>
                  <a:bodyPr/>
                  <a:lstStyle/>
                  <a:p>
                    <a:fld id="{CC2E4E2F-7706-4D8F-9F7B-3804C123A4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C09-4A1D-8E95-1FFD157A3B64}"/>
                </c:ext>
              </c:extLst>
            </c:dLbl>
            <c:dLbl>
              <c:idx val="9"/>
              <c:tx>
                <c:rich>
                  <a:bodyPr/>
                  <a:lstStyle/>
                  <a:p>
                    <a:fld id="{2F63C5E0-386E-47B5-83DE-EA26500808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C09-4A1D-8E95-1FFD157A3B64}"/>
                </c:ext>
              </c:extLst>
            </c:dLbl>
            <c:dLbl>
              <c:idx val="10"/>
              <c:tx>
                <c:rich>
                  <a:bodyPr/>
                  <a:lstStyle/>
                  <a:p>
                    <a:fld id="{A8DEFF10-6E46-4AF8-9FC5-1E33269359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C09-4A1D-8E95-1FFD157A3B64}"/>
                </c:ext>
              </c:extLst>
            </c:dLbl>
            <c:dLbl>
              <c:idx val="11"/>
              <c:tx>
                <c:rich>
                  <a:bodyPr/>
                  <a:lstStyle/>
                  <a:p>
                    <a:fld id="{2D7835B1-1556-475B-886A-8F85720EFB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C09-4A1D-8E95-1FFD157A3B64}"/>
                </c:ext>
              </c:extLst>
            </c:dLbl>
            <c:dLbl>
              <c:idx val="12"/>
              <c:tx>
                <c:rich>
                  <a:bodyPr/>
                  <a:lstStyle/>
                  <a:p>
                    <a:fld id="{99F598AB-37DC-40DB-A50C-B124618EE6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C09-4A1D-8E95-1FFD157A3B64}"/>
                </c:ext>
              </c:extLst>
            </c:dLbl>
            <c:dLbl>
              <c:idx val="13"/>
              <c:tx>
                <c:rich>
                  <a:bodyPr/>
                  <a:lstStyle/>
                  <a:p>
                    <a:fld id="{C89CBBA1-9A27-489A-8439-5127147D6B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C09-4A1D-8E95-1FFD157A3B64}"/>
                </c:ext>
              </c:extLst>
            </c:dLbl>
            <c:dLbl>
              <c:idx val="14"/>
              <c:tx>
                <c:rich>
                  <a:bodyPr/>
                  <a:lstStyle/>
                  <a:p>
                    <a:fld id="{6F0A9C39-4A6F-4AC6-B398-A0957ACCA5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C09-4A1D-8E95-1FFD157A3B64}"/>
                </c:ext>
              </c:extLst>
            </c:dLbl>
            <c:dLbl>
              <c:idx val="15"/>
              <c:tx>
                <c:rich>
                  <a:bodyPr/>
                  <a:lstStyle/>
                  <a:p>
                    <a:fld id="{0A21E272-A629-4DD9-AD18-1660DAB012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C09-4A1D-8E95-1FFD157A3B64}"/>
                </c:ext>
              </c:extLst>
            </c:dLbl>
            <c:dLbl>
              <c:idx val="16"/>
              <c:tx>
                <c:rich>
                  <a:bodyPr/>
                  <a:lstStyle/>
                  <a:p>
                    <a:fld id="{6A970A04-3BEC-4EE1-8734-34503019FE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C09-4A1D-8E95-1FFD157A3B64}"/>
                </c:ext>
              </c:extLst>
            </c:dLbl>
            <c:dLbl>
              <c:idx val="17"/>
              <c:tx>
                <c:rich>
                  <a:bodyPr/>
                  <a:lstStyle/>
                  <a:p>
                    <a:fld id="{64650FEF-59AA-4176-BBAF-74D4A63E3D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C09-4A1D-8E95-1FFD157A3B64}"/>
                </c:ext>
              </c:extLst>
            </c:dLbl>
            <c:dLbl>
              <c:idx val="18"/>
              <c:tx>
                <c:rich>
                  <a:bodyPr/>
                  <a:lstStyle/>
                  <a:p>
                    <a:fld id="{1D86F09C-4115-477F-92CA-45DE7CDFEC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C09-4A1D-8E95-1FFD157A3B64}"/>
                </c:ext>
              </c:extLst>
            </c:dLbl>
            <c:dLbl>
              <c:idx val="19"/>
              <c:tx>
                <c:rich>
                  <a:bodyPr/>
                  <a:lstStyle/>
                  <a:p>
                    <a:fld id="{0AC34C62-D769-417E-BBD8-18A05BBD5E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DC09-4A1D-8E95-1FFD157A3B64}"/>
                </c:ext>
              </c:extLst>
            </c:dLbl>
            <c:dLbl>
              <c:idx val="20"/>
              <c:tx>
                <c:rich>
                  <a:bodyPr/>
                  <a:lstStyle/>
                  <a:p>
                    <a:fld id="{A62F5A1C-3F84-4F2D-81FD-2F9685065B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C09-4A1D-8E95-1FFD157A3B64}"/>
                </c:ext>
              </c:extLst>
            </c:dLbl>
            <c:dLbl>
              <c:idx val="21"/>
              <c:tx>
                <c:rich>
                  <a:bodyPr/>
                  <a:lstStyle/>
                  <a:p>
                    <a:fld id="{7BC75EB0-8691-45C8-9A14-0D284A2015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C09-4A1D-8E95-1FFD157A3B64}"/>
                </c:ext>
              </c:extLst>
            </c:dLbl>
            <c:dLbl>
              <c:idx val="22"/>
              <c:tx>
                <c:rich>
                  <a:bodyPr/>
                  <a:lstStyle/>
                  <a:p>
                    <a:fld id="{55C03FF1-DD08-4446-87C4-D5833CE55B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DC09-4A1D-8E95-1FFD157A3B64}"/>
                </c:ext>
              </c:extLst>
            </c:dLbl>
            <c:dLbl>
              <c:idx val="23"/>
              <c:tx>
                <c:rich>
                  <a:bodyPr/>
                  <a:lstStyle/>
                  <a:p>
                    <a:fld id="{CDFCB6E9-E4CC-4D86-9E84-20BA837DC2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DC09-4A1D-8E95-1FFD157A3B64}"/>
                </c:ext>
              </c:extLst>
            </c:dLbl>
            <c:dLbl>
              <c:idx val="24"/>
              <c:tx>
                <c:rich>
                  <a:bodyPr/>
                  <a:lstStyle/>
                  <a:p>
                    <a:fld id="{AAC7ABE5-753E-4E2C-BA35-B73FBA4D0F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C09-4A1D-8E95-1FFD157A3B64}"/>
                </c:ext>
              </c:extLst>
            </c:dLbl>
            <c:dLbl>
              <c:idx val="25"/>
              <c:tx>
                <c:rich>
                  <a:bodyPr/>
                  <a:lstStyle/>
                  <a:p>
                    <a:fld id="{1F8CBFC3-C162-40B3-BB2F-DB42AC0965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DC09-4A1D-8E95-1FFD157A3B64}"/>
                </c:ext>
              </c:extLst>
            </c:dLbl>
            <c:dLbl>
              <c:idx val="26"/>
              <c:tx>
                <c:rich>
                  <a:bodyPr/>
                  <a:lstStyle/>
                  <a:p>
                    <a:fld id="{25B276BF-59C9-4095-8F97-91B0CB9C3E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DC09-4A1D-8E95-1FFD157A3B64}"/>
                </c:ext>
              </c:extLst>
            </c:dLbl>
            <c:dLbl>
              <c:idx val="27"/>
              <c:tx>
                <c:rich>
                  <a:bodyPr/>
                  <a:lstStyle/>
                  <a:p>
                    <a:fld id="{F40D39E6-0667-4CE0-997E-194E402279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DC09-4A1D-8E95-1FFD157A3B64}"/>
                </c:ext>
              </c:extLst>
            </c:dLbl>
            <c:dLbl>
              <c:idx val="28"/>
              <c:tx>
                <c:rich>
                  <a:bodyPr/>
                  <a:lstStyle/>
                  <a:p>
                    <a:fld id="{3BD75867-340B-4155-AF4F-6DF0834600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DC09-4A1D-8E95-1FFD157A3B64}"/>
                </c:ext>
              </c:extLst>
            </c:dLbl>
            <c:dLbl>
              <c:idx val="29"/>
              <c:tx>
                <c:rich>
                  <a:bodyPr/>
                  <a:lstStyle/>
                  <a:p>
                    <a:fld id="{8BE73D61-AEB4-4B0C-A06E-6630688716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DC09-4A1D-8E95-1FFD157A3B64}"/>
                </c:ext>
              </c:extLst>
            </c:dLbl>
            <c:dLbl>
              <c:idx val="30"/>
              <c:tx>
                <c:rich>
                  <a:bodyPr/>
                  <a:lstStyle/>
                  <a:p>
                    <a:fld id="{A5DE84DD-73E8-4CDE-AE66-0EE533FC31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DC09-4A1D-8E95-1FFD157A3B64}"/>
                </c:ext>
              </c:extLst>
            </c:dLbl>
            <c:dLbl>
              <c:idx val="31"/>
              <c:tx>
                <c:rich>
                  <a:bodyPr/>
                  <a:lstStyle/>
                  <a:p>
                    <a:fld id="{6B59D3B8-0663-4568-A173-813E2E91AC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DC09-4A1D-8E95-1FFD157A3B64}"/>
                </c:ext>
              </c:extLst>
            </c:dLbl>
            <c:dLbl>
              <c:idx val="32"/>
              <c:tx>
                <c:rich>
                  <a:bodyPr/>
                  <a:lstStyle/>
                  <a:p>
                    <a:fld id="{A5E3B2D2-6D1E-4415-9DA0-B9B696B682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DC09-4A1D-8E95-1FFD157A3B64}"/>
                </c:ext>
              </c:extLst>
            </c:dLbl>
            <c:dLbl>
              <c:idx val="33"/>
              <c:tx>
                <c:rich>
                  <a:bodyPr/>
                  <a:lstStyle/>
                  <a:p>
                    <a:fld id="{AB8BC5BE-9965-4C3B-8A92-0DD3B1B0B8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DC09-4A1D-8E95-1FFD157A3B64}"/>
                </c:ext>
              </c:extLst>
            </c:dLbl>
            <c:dLbl>
              <c:idx val="34"/>
              <c:tx>
                <c:rich>
                  <a:bodyPr/>
                  <a:lstStyle/>
                  <a:p>
                    <a:fld id="{5A67B305-25BF-4AAA-8909-251B985624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DC09-4A1D-8E95-1FFD157A3B64}"/>
                </c:ext>
              </c:extLst>
            </c:dLbl>
            <c:dLbl>
              <c:idx val="35"/>
              <c:tx>
                <c:rich>
                  <a:bodyPr/>
                  <a:lstStyle/>
                  <a:p>
                    <a:fld id="{1B0322D3-4453-46C5-B78F-3C4A6F0436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DC09-4A1D-8E95-1FFD157A3B64}"/>
                </c:ext>
              </c:extLst>
            </c:dLbl>
            <c:dLbl>
              <c:idx val="36"/>
              <c:tx>
                <c:rich>
                  <a:bodyPr/>
                  <a:lstStyle/>
                  <a:p>
                    <a:fld id="{2AC7B50C-7795-4E5C-A75D-757709A191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DC09-4A1D-8E95-1FFD157A3B64}"/>
                </c:ext>
              </c:extLst>
            </c:dLbl>
            <c:dLbl>
              <c:idx val="37"/>
              <c:tx>
                <c:rich>
                  <a:bodyPr/>
                  <a:lstStyle/>
                  <a:p>
                    <a:fld id="{1FE96FBB-29A8-4307-AD50-137012363B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DC09-4A1D-8E95-1FFD157A3B64}"/>
                </c:ext>
              </c:extLst>
            </c:dLbl>
            <c:dLbl>
              <c:idx val="38"/>
              <c:tx>
                <c:rich>
                  <a:bodyPr/>
                  <a:lstStyle/>
                  <a:p>
                    <a:fld id="{9C4FA952-4B10-489D-A3CA-D298808B63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DC09-4A1D-8E95-1FFD157A3B64}"/>
                </c:ext>
              </c:extLst>
            </c:dLbl>
            <c:dLbl>
              <c:idx val="39"/>
              <c:tx>
                <c:rich>
                  <a:bodyPr/>
                  <a:lstStyle/>
                  <a:p>
                    <a:fld id="{DAFE9FA4-75FB-44DD-96B9-B665EBA9B7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DC09-4A1D-8E95-1FFD157A3B64}"/>
                </c:ext>
              </c:extLst>
            </c:dLbl>
            <c:dLbl>
              <c:idx val="40"/>
              <c:tx>
                <c:rich>
                  <a:bodyPr/>
                  <a:lstStyle/>
                  <a:p>
                    <a:fld id="{4CE9E086-859F-48F9-B98A-CB40E2534D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DC09-4A1D-8E95-1FFD157A3B64}"/>
                </c:ext>
              </c:extLst>
            </c:dLbl>
            <c:dLbl>
              <c:idx val="41"/>
              <c:tx>
                <c:rich>
                  <a:bodyPr/>
                  <a:lstStyle/>
                  <a:p>
                    <a:fld id="{AC7D89F3-F811-4BA9-B878-4D71DFB2C3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DC09-4A1D-8E95-1FFD157A3B64}"/>
                </c:ext>
              </c:extLst>
            </c:dLbl>
            <c:dLbl>
              <c:idx val="42"/>
              <c:tx>
                <c:rich>
                  <a:bodyPr/>
                  <a:lstStyle/>
                  <a:p>
                    <a:fld id="{38AAC871-82D1-4A41-B051-41DBCAC51F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DC09-4A1D-8E95-1FFD157A3B64}"/>
                </c:ext>
              </c:extLst>
            </c:dLbl>
            <c:dLbl>
              <c:idx val="43"/>
              <c:tx>
                <c:rich>
                  <a:bodyPr/>
                  <a:lstStyle/>
                  <a:p>
                    <a:fld id="{A6A598A6-A75E-4513-B2E7-E396340587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DC09-4A1D-8E95-1FFD157A3B64}"/>
                </c:ext>
              </c:extLst>
            </c:dLbl>
            <c:dLbl>
              <c:idx val="44"/>
              <c:tx>
                <c:rich>
                  <a:bodyPr/>
                  <a:lstStyle/>
                  <a:p>
                    <a:fld id="{F9745FB0-EE8F-495B-8ED3-468DDEEDAE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DC09-4A1D-8E95-1FFD157A3B64}"/>
                </c:ext>
              </c:extLst>
            </c:dLbl>
            <c:dLbl>
              <c:idx val="45"/>
              <c:tx>
                <c:rich>
                  <a:bodyPr/>
                  <a:lstStyle/>
                  <a:p>
                    <a:fld id="{6004785C-05B3-4E5B-A10B-DE448A9188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DC09-4A1D-8E95-1FFD157A3B64}"/>
                </c:ext>
              </c:extLst>
            </c:dLbl>
            <c:dLbl>
              <c:idx val="46"/>
              <c:tx>
                <c:rich>
                  <a:bodyPr/>
                  <a:lstStyle/>
                  <a:p>
                    <a:fld id="{ABD59788-B307-4E7F-A919-D780853528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DC09-4A1D-8E95-1FFD157A3B64}"/>
                </c:ext>
              </c:extLst>
            </c:dLbl>
            <c:dLbl>
              <c:idx val="47"/>
              <c:tx>
                <c:rich>
                  <a:bodyPr/>
                  <a:lstStyle/>
                  <a:p>
                    <a:fld id="{A2445A4B-D836-496D-92A0-7CCB9744F6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DC09-4A1D-8E95-1FFD157A3B64}"/>
                </c:ext>
              </c:extLst>
            </c:dLbl>
            <c:dLbl>
              <c:idx val="48"/>
              <c:tx>
                <c:rich>
                  <a:bodyPr/>
                  <a:lstStyle/>
                  <a:p>
                    <a:fld id="{A640C47B-2B57-49CB-9B68-EE41D4052B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DC09-4A1D-8E95-1FFD157A3B64}"/>
                </c:ext>
              </c:extLst>
            </c:dLbl>
            <c:dLbl>
              <c:idx val="49"/>
              <c:tx>
                <c:rich>
                  <a:bodyPr/>
                  <a:lstStyle/>
                  <a:p>
                    <a:fld id="{CE5B2096-7B16-491C-8BFB-7AD3226937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DC09-4A1D-8E95-1FFD157A3B64}"/>
                </c:ext>
              </c:extLst>
            </c:dLbl>
            <c:dLbl>
              <c:idx val="50"/>
              <c:tx>
                <c:rich>
                  <a:bodyPr/>
                  <a:lstStyle/>
                  <a:p>
                    <a:fld id="{C0611066-6749-4A0C-AFE1-4152F442DB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DC09-4A1D-8E95-1FFD157A3B64}"/>
                </c:ext>
              </c:extLst>
            </c:dLbl>
            <c:dLbl>
              <c:idx val="51"/>
              <c:tx>
                <c:rich>
                  <a:bodyPr/>
                  <a:lstStyle/>
                  <a:p>
                    <a:fld id="{DCFD49A3-0831-45FF-98A6-EB8CC8419A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DC09-4A1D-8E95-1FFD157A3B64}"/>
                </c:ext>
              </c:extLst>
            </c:dLbl>
            <c:dLbl>
              <c:idx val="52"/>
              <c:tx>
                <c:rich>
                  <a:bodyPr/>
                  <a:lstStyle/>
                  <a:p>
                    <a:fld id="{785412D3-B94B-4B1E-A7F6-CC0612ADBD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DC09-4A1D-8E95-1FFD157A3B64}"/>
                </c:ext>
              </c:extLst>
            </c:dLbl>
            <c:dLbl>
              <c:idx val="53"/>
              <c:tx>
                <c:rich>
                  <a:bodyPr/>
                  <a:lstStyle/>
                  <a:p>
                    <a:fld id="{E542749B-A22C-45E2-BA30-1D96A344E3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DC09-4A1D-8E95-1FFD157A3B64}"/>
                </c:ext>
              </c:extLst>
            </c:dLbl>
            <c:dLbl>
              <c:idx val="54"/>
              <c:tx>
                <c:rich>
                  <a:bodyPr/>
                  <a:lstStyle/>
                  <a:p>
                    <a:fld id="{07F4CC9D-1938-4075-B92B-9984B698E6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DC09-4A1D-8E95-1FFD157A3B64}"/>
                </c:ext>
              </c:extLst>
            </c:dLbl>
            <c:dLbl>
              <c:idx val="55"/>
              <c:tx>
                <c:rich>
                  <a:bodyPr/>
                  <a:lstStyle/>
                  <a:p>
                    <a:fld id="{DF3BF260-7DCD-409A-BF62-A7EC371C54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DC09-4A1D-8E95-1FFD157A3B64}"/>
                </c:ext>
              </c:extLst>
            </c:dLbl>
            <c:dLbl>
              <c:idx val="56"/>
              <c:tx>
                <c:rich>
                  <a:bodyPr/>
                  <a:lstStyle/>
                  <a:p>
                    <a:fld id="{7B53BD7E-FE30-4CE0-8A42-79BD10D5D7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DC09-4A1D-8E95-1FFD157A3B64}"/>
                </c:ext>
              </c:extLst>
            </c:dLbl>
            <c:dLbl>
              <c:idx val="57"/>
              <c:tx>
                <c:rich>
                  <a:bodyPr/>
                  <a:lstStyle/>
                  <a:p>
                    <a:fld id="{1109A116-3EF4-451E-8343-B929CA78AF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DC09-4A1D-8E95-1FFD157A3B64}"/>
                </c:ext>
              </c:extLst>
            </c:dLbl>
            <c:dLbl>
              <c:idx val="58"/>
              <c:tx>
                <c:rich>
                  <a:bodyPr/>
                  <a:lstStyle/>
                  <a:p>
                    <a:fld id="{F05BE4C7-6032-49B0-9591-710C596FE9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DC09-4A1D-8E95-1FFD157A3B64}"/>
                </c:ext>
              </c:extLst>
            </c:dLbl>
            <c:dLbl>
              <c:idx val="59"/>
              <c:tx>
                <c:rich>
                  <a:bodyPr/>
                  <a:lstStyle/>
                  <a:p>
                    <a:fld id="{0AFEB4EE-4A13-4E4A-95FF-FCA2F0EC03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DC09-4A1D-8E95-1FFD157A3B64}"/>
                </c:ext>
              </c:extLst>
            </c:dLbl>
            <c:dLbl>
              <c:idx val="60"/>
              <c:tx>
                <c:rich>
                  <a:bodyPr/>
                  <a:lstStyle/>
                  <a:p>
                    <a:fld id="{DE9AA0A1-AE5A-4066-9DD5-44206BE6D6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DC09-4A1D-8E95-1FFD157A3B64}"/>
                </c:ext>
              </c:extLst>
            </c:dLbl>
            <c:dLbl>
              <c:idx val="61"/>
              <c:tx>
                <c:rich>
                  <a:bodyPr/>
                  <a:lstStyle/>
                  <a:p>
                    <a:fld id="{84C13C8F-D6C0-42F4-B35E-ADBA656073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DC09-4A1D-8E95-1FFD157A3B64}"/>
                </c:ext>
              </c:extLst>
            </c:dLbl>
            <c:dLbl>
              <c:idx val="62"/>
              <c:tx>
                <c:rich>
                  <a:bodyPr/>
                  <a:lstStyle/>
                  <a:p>
                    <a:fld id="{5726D4CB-AB72-4E74-B747-480689F91B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DC09-4A1D-8E95-1FFD157A3B64}"/>
                </c:ext>
              </c:extLst>
            </c:dLbl>
            <c:dLbl>
              <c:idx val="63"/>
              <c:tx>
                <c:rich>
                  <a:bodyPr/>
                  <a:lstStyle/>
                  <a:p>
                    <a:fld id="{D24AA393-9369-4FD7-9FF8-6FF9D70042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DC09-4A1D-8E95-1FFD157A3B64}"/>
                </c:ext>
              </c:extLst>
            </c:dLbl>
            <c:dLbl>
              <c:idx val="64"/>
              <c:tx>
                <c:rich>
                  <a:bodyPr/>
                  <a:lstStyle/>
                  <a:p>
                    <a:fld id="{1BC354AF-9003-41D6-8B01-7F9EE998CC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DC09-4A1D-8E95-1FFD157A3B64}"/>
                </c:ext>
              </c:extLst>
            </c:dLbl>
            <c:dLbl>
              <c:idx val="65"/>
              <c:tx>
                <c:rich>
                  <a:bodyPr/>
                  <a:lstStyle/>
                  <a:p>
                    <a:fld id="{09355295-2C6D-4443-ABC5-F226F643E9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DC09-4A1D-8E95-1FFD157A3B64}"/>
                </c:ext>
              </c:extLst>
            </c:dLbl>
            <c:dLbl>
              <c:idx val="66"/>
              <c:tx>
                <c:rich>
                  <a:bodyPr/>
                  <a:lstStyle/>
                  <a:p>
                    <a:fld id="{B3DF8CDA-BA45-42EF-B76F-9FE331F6CD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DC09-4A1D-8E95-1FFD157A3B64}"/>
                </c:ext>
              </c:extLst>
            </c:dLbl>
            <c:dLbl>
              <c:idx val="67"/>
              <c:tx>
                <c:rich>
                  <a:bodyPr/>
                  <a:lstStyle/>
                  <a:p>
                    <a:fld id="{F513C199-6F99-452C-A2F6-2D9B1578EF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DC09-4A1D-8E95-1FFD157A3B64}"/>
                </c:ext>
              </c:extLst>
            </c:dLbl>
            <c:dLbl>
              <c:idx val="68"/>
              <c:tx>
                <c:rich>
                  <a:bodyPr/>
                  <a:lstStyle/>
                  <a:p>
                    <a:fld id="{45F2C94C-A56E-4E17-8380-72F69A7EB3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DC09-4A1D-8E95-1FFD157A3B64}"/>
                </c:ext>
              </c:extLst>
            </c:dLbl>
            <c:dLbl>
              <c:idx val="69"/>
              <c:tx>
                <c:rich>
                  <a:bodyPr/>
                  <a:lstStyle/>
                  <a:p>
                    <a:fld id="{1B686343-3081-49A1-AF64-46F84C88D6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DC09-4A1D-8E95-1FFD157A3B64}"/>
                </c:ext>
              </c:extLst>
            </c:dLbl>
            <c:dLbl>
              <c:idx val="70"/>
              <c:tx>
                <c:rich>
                  <a:bodyPr/>
                  <a:lstStyle/>
                  <a:p>
                    <a:fld id="{65B3194A-3D01-404C-A62A-F231EA0664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DC09-4A1D-8E95-1FFD157A3B64}"/>
                </c:ext>
              </c:extLst>
            </c:dLbl>
            <c:dLbl>
              <c:idx val="71"/>
              <c:tx>
                <c:rich>
                  <a:bodyPr/>
                  <a:lstStyle/>
                  <a:p>
                    <a:fld id="{F72C702B-17B8-4812-BBFD-DDD2F9A73A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DC09-4A1D-8E95-1FFD157A3B64}"/>
                </c:ext>
              </c:extLst>
            </c:dLbl>
            <c:dLbl>
              <c:idx val="72"/>
              <c:tx>
                <c:rich>
                  <a:bodyPr/>
                  <a:lstStyle/>
                  <a:p>
                    <a:fld id="{97FFFBC2-33F8-4A91-82D0-6037C47072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DC09-4A1D-8E95-1FFD157A3B64}"/>
                </c:ext>
              </c:extLst>
            </c:dLbl>
            <c:dLbl>
              <c:idx val="73"/>
              <c:tx>
                <c:rich>
                  <a:bodyPr/>
                  <a:lstStyle/>
                  <a:p>
                    <a:fld id="{AE7A4F07-CB55-4F60-BA3E-0A9957AD27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DC09-4A1D-8E95-1FFD157A3B64}"/>
                </c:ext>
              </c:extLst>
            </c:dLbl>
            <c:dLbl>
              <c:idx val="74"/>
              <c:tx>
                <c:rich>
                  <a:bodyPr/>
                  <a:lstStyle/>
                  <a:p>
                    <a:fld id="{FF09C1B0-F3FC-4416-B577-D26F322F94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DC09-4A1D-8E95-1FFD157A3B64}"/>
                </c:ext>
              </c:extLst>
            </c:dLbl>
            <c:dLbl>
              <c:idx val="75"/>
              <c:tx>
                <c:rich>
                  <a:bodyPr/>
                  <a:lstStyle/>
                  <a:p>
                    <a:fld id="{25FA7D94-7269-4A82-92AD-B86C54A87A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DC09-4A1D-8E95-1FFD157A3B64}"/>
                </c:ext>
              </c:extLst>
            </c:dLbl>
            <c:dLbl>
              <c:idx val="76"/>
              <c:tx>
                <c:rich>
                  <a:bodyPr/>
                  <a:lstStyle/>
                  <a:p>
                    <a:fld id="{6C82A26E-0583-4A64-96A0-EE5B89B33E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DC09-4A1D-8E95-1FFD157A3B64}"/>
                </c:ext>
              </c:extLst>
            </c:dLbl>
            <c:dLbl>
              <c:idx val="77"/>
              <c:tx>
                <c:rich>
                  <a:bodyPr/>
                  <a:lstStyle/>
                  <a:p>
                    <a:fld id="{22FF2E15-F0BA-4E74-B31F-FE4D547477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DC09-4A1D-8E95-1FFD157A3B64}"/>
                </c:ext>
              </c:extLst>
            </c:dLbl>
            <c:dLbl>
              <c:idx val="78"/>
              <c:tx>
                <c:rich>
                  <a:bodyPr/>
                  <a:lstStyle/>
                  <a:p>
                    <a:fld id="{0404A5F6-7274-4639-8B77-E328799168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DC09-4A1D-8E95-1FFD157A3B64}"/>
                </c:ext>
              </c:extLst>
            </c:dLbl>
            <c:dLbl>
              <c:idx val="79"/>
              <c:tx>
                <c:rich>
                  <a:bodyPr/>
                  <a:lstStyle/>
                  <a:p>
                    <a:fld id="{88A631D1-3C33-4F63-9C00-7A4C653987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DC09-4A1D-8E95-1FFD157A3B64}"/>
                </c:ext>
              </c:extLst>
            </c:dLbl>
            <c:dLbl>
              <c:idx val="80"/>
              <c:tx>
                <c:rich>
                  <a:bodyPr/>
                  <a:lstStyle/>
                  <a:p>
                    <a:fld id="{B859EDCB-1CC7-47E5-BEE7-BCEA3A145A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DC09-4A1D-8E95-1FFD157A3B64}"/>
                </c:ext>
              </c:extLst>
            </c:dLbl>
            <c:dLbl>
              <c:idx val="81"/>
              <c:tx>
                <c:rich>
                  <a:bodyPr/>
                  <a:lstStyle/>
                  <a:p>
                    <a:fld id="{252EFE5A-0CC3-4C42-A09C-87A0A676B9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DC09-4A1D-8E95-1FFD157A3B64}"/>
                </c:ext>
              </c:extLst>
            </c:dLbl>
            <c:dLbl>
              <c:idx val="82"/>
              <c:tx>
                <c:rich>
                  <a:bodyPr/>
                  <a:lstStyle/>
                  <a:p>
                    <a:fld id="{17193874-5E69-47AD-8584-7F26829AE9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DC09-4A1D-8E95-1FFD157A3B64}"/>
                </c:ext>
              </c:extLst>
            </c:dLbl>
            <c:dLbl>
              <c:idx val="83"/>
              <c:tx>
                <c:rich>
                  <a:bodyPr/>
                  <a:lstStyle/>
                  <a:p>
                    <a:fld id="{72B4697C-6B3C-43DA-9E11-8136A39159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DC09-4A1D-8E95-1FFD157A3B64}"/>
                </c:ext>
              </c:extLst>
            </c:dLbl>
            <c:dLbl>
              <c:idx val="84"/>
              <c:tx>
                <c:rich>
                  <a:bodyPr/>
                  <a:lstStyle/>
                  <a:p>
                    <a:fld id="{30727665-993F-40BC-A441-202199DEAD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DC09-4A1D-8E95-1FFD157A3B64}"/>
                </c:ext>
              </c:extLst>
            </c:dLbl>
            <c:dLbl>
              <c:idx val="85"/>
              <c:tx>
                <c:rich>
                  <a:bodyPr/>
                  <a:lstStyle/>
                  <a:p>
                    <a:fld id="{E638E98B-6E58-4658-A403-BC6D3C8D17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DC09-4A1D-8E95-1FFD157A3B64}"/>
                </c:ext>
              </c:extLst>
            </c:dLbl>
            <c:dLbl>
              <c:idx val="86"/>
              <c:tx>
                <c:rich>
                  <a:bodyPr/>
                  <a:lstStyle/>
                  <a:p>
                    <a:fld id="{33E493FD-401B-494E-93AF-AC7C8B7A67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DC09-4A1D-8E95-1FFD157A3B64}"/>
                </c:ext>
              </c:extLst>
            </c:dLbl>
            <c:dLbl>
              <c:idx val="87"/>
              <c:tx>
                <c:rich>
                  <a:bodyPr/>
                  <a:lstStyle/>
                  <a:p>
                    <a:fld id="{02C6149A-789C-4752-80CA-82501D1083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DC09-4A1D-8E95-1FFD157A3B64}"/>
                </c:ext>
              </c:extLst>
            </c:dLbl>
            <c:dLbl>
              <c:idx val="88"/>
              <c:tx>
                <c:rich>
                  <a:bodyPr/>
                  <a:lstStyle/>
                  <a:p>
                    <a:fld id="{CE82F256-96FB-46DA-A65F-25A2C43945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DC09-4A1D-8E95-1FFD157A3B64}"/>
                </c:ext>
              </c:extLst>
            </c:dLbl>
            <c:dLbl>
              <c:idx val="89"/>
              <c:tx>
                <c:rich>
                  <a:bodyPr/>
                  <a:lstStyle/>
                  <a:p>
                    <a:fld id="{DED17E64-BEB8-490E-A814-2CC633F109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DC09-4A1D-8E95-1FFD157A3B64}"/>
                </c:ext>
              </c:extLst>
            </c:dLbl>
            <c:dLbl>
              <c:idx val="90"/>
              <c:tx>
                <c:rich>
                  <a:bodyPr/>
                  <a:lstStyle/>
                  <a:p>
                    <a:fld id="{621ABC51-D4CC-4976-9EE6-776A4B707B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DC09-4A1D-8E95-1FFD157A3B64}"/>
                </c:ext>
              </c:extLst>
            </c:dLbl>
            <c:dLbl>
              <c:idx val="91"/>
              <c:tx>
                <c:rich>
                  <a:bodyPr/>
                  <a:lstStyle/>
                  <a:p>
                    <a:fld id="{EB110497-4427-48FD-A375-002A3C4E2D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DC09-4A1D-8E95-1FFD157A3B64}"/>
                </c:ext>
              </c:extLst>
            </c:dLbl>
            <c:dLbl>
              <c:idx val="92"/>
              <c:tx>
                <c:rich>
                  <a:bodyPr/>
                  <a:lstStyle/>
                  <a:p>
                    <a:fld id="{E1012D12-23EC-40EB-AFC0-B44E03D245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DC09-4A1D-8E95-1FFD157A3B64}"/>
                </c:ext>
              </c:extLst>
            </c:dLbl>
            <c:dLbl>
              <c:idx val="93"/>
              <c:tx>
                <c:rich>
                  <a:bodyPr/>
                  <a:lstStyle/>
                  <a:p>
                    <a:fld id="{AC867597-350B-43DB-B8AD-6FF2646A82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DC09-4A1D-8E95-1FFD157A3B64}"/>
                </c:ext>
              </c:extLst>
            </c:dLbl>
            <c:dLbl>
              <c:idx val="94"/>
              <c:tx>
                <c:rich>
                  <a:bodyPr/>
                  <a:lstStyle/>
                  <a:p>
                    <a:fld id="{338BA830-9EB8-4F2B-B02A-50A0CF07C5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DC09-4A1D-8E95-1FFD157A3B64}"/>
                </c:ext>
              </c:extLst>
            </c:dLbl>
            <c:dLbl>
              <c:idx val="95"/>
              <c:tx>
                <c:rich>
                  <a:bodyPr/>
                  <a:lstStyle/>
                  <a:p>
                    <a:fld id="{D6B3E51D-4A3D-4DF5-8EA1-86DD32C974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DC09-4A1D-8E95-1FFD157A3B64}"/>
                </c:ext>
              </c:extLst>
            </c:dLbl>
            <c:dLbl>
              <c:idx val="96"/>
              <c:tx>
                <c:rich>
                  <a:bodyPr/>
                  <a:lstStyle/>
                  <a:p>
                    <a:fld id="{8119B9F1-4227-4D03-82F0-8C3030A3D6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DC09-4A1D-8E95-1FFD157A3B64}"/>
                </c:ext>
              </c:extLst>
            </c:dLbl>
            <c:dLbl>
              <c:idx val="97"/>
              <c:tx>
                <c:rich>
                  <a:bodyPr/>
                  <a:lstStyle/>
                  <a:p>
                    <a:fld id="{E5E77280-401B-4185-B909-326AC6104A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DC09-4A1D-8E95-1FFD157A3B64}"/>
                </c:ext>
              </c:extLst>
            </c:dLbl>
            <c:dLbl>
              <c:idx val="98"/>
              <c:tx>
                <c:rich>
                  <a:bodyPr/>
                  <a:lstStyle/>
                  <a:p>
                    <a:fld id="{6A789577-E459-4607-BA37-4C788E3C30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DC09-4A1D-8E95-1FFD157A3B64}"/>
                </c:ext>
              </c:extLst>
            </c:dLbl>
            <c:dLbl>
              <c:idx val="99"/>
              <c:tx>
                <c:rich>
                  <a:bodyPr/>
                  <a:lstStyle/>
                  <a:p>
                    <a:fld id="{F70DA652-97F7-46B2-B14F-F992AF9CE5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DC09-4A1D-8E95-1FFD157A3B64}"/>
                </c:ext>
              </c:extLst>
            </c:dLbl>
            <c:dLbl>
              <c:idx val="100"/>
              <c:tx>
                <c:rich>
                  <a:bodyPr/>
                  <a:lstStyle/>
                  <a:p>
                    <a:fld id="{28AC03E8-41CE-4A5C-BB31-770D672664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DC09-4A1D-8E95-1FFD157A3B64}"/>
                </c:ext>
              </c:extLst>
            </c:dLbl>
            <c:dLbl>
              <c:idx val="101"/>
              <c:tx>
                <c:rich>
                  <a:bodyPr/>
                  <a:lstStyle/>
                  <a:p>
                    <a:fld id="{35C50BD4-16D0-4DFE-B3F1-7F6A3C0348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DC09-4A1D-8E95-1FFD157A3B64}"/>
                </c:ext>
              </c:extLst>
            </c:dLbl>
            <c:dLbl>
              <c:idx val="102"/>
              <c:tx>
                <c:rich>
                  <a:bodyPr/>
                  <a:lstStyle/>
                  <a:p>
                    <a:fld id="{856D2B75-E183-447D-887B-4EBDA0EB56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DC09-4A1D-8E95-1FFD157A3B64}"/>
                </c:ext>
              </c:extLst>
            </c:dLbl>
            <c:dLbl>
              <c:idx val="103"/>
              <c:tx>
                <c:rich>
                  <a:bodyPr/>
                  <a:lstStyle/>
                  <a:p>
                    <a:fld id="{8AC720A5-E774-494C-90AA-7C03DEA753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DC09-4A1D-8E95-1FFD157A3B64}"/>
                </c:ext>
              </c:extLst>
            </c:dLbl>
            <c:dLbl>
              <c:idx val="104"/>
              <c:tx>
                <c:rich>
                  <a:bodyPr/>
                  <a:lstStyle/>
                  <a:p>
                    <a:fld id="{B203E1B4-C5C5-434D-990B-98E6A987CD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DC09-4A1D-8E95-1FFD157A3B64}"/>
                </c:ext>
              </c:extLst>
            </c:dLbl>
            <c:dLbl>
              <c:idx val="105"/>
              <c:tx>
                <c:rich>
                  <a:bodyPr/>
                  <a:lstStyle/>
                  <a:p>
                    <a:fld id="{23E67FEE-C97C-451F-9A50-2BA165757B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DC09-4A1D-8E95-1FFD157A3B64}"/>
                </c:ext>
              </c:extLst>
            </c:dLbl>
            <c:dLbl>
              <c:idx val="106"/>
              <c:tx>
                <c:rich>
                  <a:bodyPr/>
                  <a:lstStyle/>
                  <a:p>
                    <a:fld id="{EAA49E5E-D067-4FEC-9CD0-1EDE62D877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DC09-4A1D-8E95-1FFD157A3B64}"/>
                </c:ext>
              </c:extLst>
            </c:dLbl>
            <c:dLbl>
              <c:idx val="107"/>
              <c:tx>
                <c:rich>
                  <a:bodyPr/>
                  <a:lstStyle/>
                  <a:p>
                    <a:fld id="{31CAC6CD-FDFA-431F-AF5A-8B5BF74942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DC09-4A1D-8E95-1FFD157A3B64}"/>
                </c:ext>
              </c:extLst>
            </c:dLbl>
            <c:dLbl>
              <c:idx val="108"/>
              <c:tx>
                <c:rich>
                  <a:bodyPr/>
                  <a:lstStyle/>
                  <a:p>
                    <a:fld id="{DF2B3673-31B2-48FE-ADB4-BAD5C13686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DC09-4A1D-8E95-1FFD157A3B64}"/>
                </c:ext>
              </c:extLst>
            </c:dLbl>
            <c:dLbl>
              <c:idx val="109"/>
              <c:tx>
                <c:rich>
                  <a:bodyPr/>
                  <a:lstStyle/>
                  <a:p>
                    <a:fld id="{03FA44B8-E50B-4A2C-B4E1-71C9BD1CC2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DC09-4A1D-8E95-1FFD157A3B64}"/>
                </c:ext>
              </c:extLst>
            </c:dLbl>
            <c:dLbl>
              <c:idx val="110"/>
              <c:tx>
                <c:rich>
                  <a:bodyPr/>
                  <a:lstStyle/>
                  <a:p>
                    <a:fld id="{672BC410-6AC1-4649-94FF-4D90C41BE0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DC09-4A1D-8E95-1FFD157A3B64}"/>
                </c:ext>
              </c:extLst>
            </c:dLbl>
            <c:dLbl>
              <c:idx val="111"/>
              <c:tx>
                <c:rich>
                  <a:bodyPr/>
                  <a:lstStyle/>
                  <a:p>
                    <a:fld id="{B2EA772F-9542-48F6-A6F7-0B3DFF931D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DC09-4A1D-8E95-1FFD157A3B64}"/>
                </c:ext>
              </c:extLst>
            </c:dLbl>
            <c:dLbl>
              <c:idx val="112"/>
              <c:tx>
                <c:rich>
                  <a:bodyPr/>
                  <a:lstStyle/>
                  <a:p>
                    <a:fld id="{D8640912-129D-40B4-941B-7CA6365EF0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DC09-4A1D-8E95-1FFD157A3B64}"/>
                </c:ext>
              </c:extLst>
            </c:dLbl>
            <c:dLbl>
              <c:idx val="113"/>
              <c:tx>
                <c:rich>
                  <a:bodyPr/>
                  <a:lstStyle/>
                  <a:p>
                    <a:fld id="{058745C2-AC5F-4CB6-BF55-F60A697D85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DC09-4A1D-8E95-1FFD157A3B64}"/>
                </c:ext>
              </c:extLst>
            </c:dLbl>
            <c:dLbl>
              <c:idx val="114"/>
              <c:tx>
                <c:rich>
                  <a:bodyPr/>
                  <a:lstStyle/>
                  <a:p>
                    <a:fld id="{2638C51F-0DA4-4AD5-BA46-3B5A55A4F1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DC09-4A1D-8E95-1FFD157A3B64}"/>
                </c:ext>
              </c:extLst>
            </c:dLbl>
            <c:dLbl>
              <c:idx val="115"/>
              <c:tx>
                <c:rich>
                  <a:bodyPr/>
                  <a:lstStyle/>
                  <a:p>
                    <a:fld id="{34D5316B-917C-4208-B036-9E40DCFF1A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DC09-4A1D-8E95-1FFD157A3B64}"/>
                </c:ext>
              </c:extLst>
            </c:dLbl>
            <c:dLbl>
              <c:idx val="116"/>
              <c:tx>
                <c:rich>
                  <a:bodyPr/>
                  <a:lstStyle/>
                  <a:p>
                    <a:fld id="{A21B1591-031C-4506-B7EB-F54C44DA66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DC09-4A1D-8E95-1FFD157A3B64}"/>
                </c:ext>
              </c:extLst>
            </c:dLbl>
            <c:dLbl>
              <c:idx val="117"/>
              <c:tx>
                <c:rich>
                  <a:bodyPr/>
                  <a:lstStyle/>
                  <a:p>
                    <a:fld id="{54AACFC4-E11D-4767-996A-A2C5777853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DC09-4A1D-8E95-1FFD157A3B64}"/>
                </c:ext>
              </c:extLst>
            </c:dLbl>
            <c:dLbl>
              <c:idx val="118"/>
              <c:tx>
                <c:rich>
                  <a:bodyPr/>
                  <a:lstStyle/>
                  <a:p>
                    <a:fld id="{7197D7B8-C9E0-48B1-B471-2BEEFA06A8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DC09-4A1D-8E95-1FFD157A3B64}"/>
                </c:ext>
              </c:extLst>
            </c:dLbl>
            <c:dLbl>
              <c:idx val="119"/>
              <c:tx>
                <c:rich>
                  <a:bodyPr/>
                  <a:lstStyle/>
                  <a:p>
                    <a:fld id="{895C58D0-042D-45BB-9A7C-A3FD2D39E7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DC09-4A1D-8E95-1FFD157A3B64}"/>
                </c:ext>
              </c:extLst>
            </c:dLbl>
            <c:dLbl>
              <c:idx val="120"/>
              <c:tx>
                <c:rich>
                  <a:bodyPr/>
                  <a:lstStyle/>
                  <a:p>
                    <a:fld id="{03827E12-4DC3-4757-B1AA-F0B828BACE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DC09-4A1D-8E95-1FFD157A3B64}"/>
                </c:ext>
              </c:extLst>
            </c:dLbl>
            <c:dLbl>
              <c:idx val="121"/>
              <c:tx>
                <c:rich>
                  <a:bodyPr/>
                  <a:lstStyle/>
                  <a:p>
                    <a:fld id="{465B8509-7BDE-45AE-9ECC-08F5A62093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DC09-4A1D-8E95-1FFD157A3B64}"/>
                </c:ext>
              </c:extLst>
            </c:dLbl>
            <c:dLbl>
              <c:idx val="122"/>
              <c:tx>
                <c:rich>
                  <a:bodyPr/>
                  <a:lstStyle/>
                  <a:p>
                    <a:fld id="{7F32789D-E71D-44CE-A218-230CAB9CAB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DC09-4A1D-8E95-1FFD157A3B64}"/>
                </c:ext>
              </c:extLst>
            </c:dLbl>
            <c:dLbl>
              <c:idx val="123"/>
              <c:tx>
                <c:rich>
                  <a:bodyPr/>
                  <a:lstStyle/>
                  <a:p>
                    <a:fld id="{F7CACCAA-BD86-4915-8E8B-C160E3CE8A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DC09-4A1D-8E95-1FFD157A3B64}"/>
                </c:ext>
              </c:extLst>
            </c:dLbl>
            <c:dLbl>
              <c:idx val="124"/>
              <c:tx>
                <c:rich>
                  <a:bodyPr/>
                  <a:lstStyle/>
                  <a:p>
                    <a:fld id="{96A04E4A-00CF-4290-8341-FF4FE2453F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DC09-4A1D-8E95-1FFD157A3B64}"/>
                </c:ext>
              </c:extLst>
            </c:dLbl>
            <c:dLbl>
              <c:idx val="125"/>
              <c:tx>
                <c:rich>
                  <a:bodyPr/>
                  <a:lstStyle/>
                  <a:p>
                    <a:fld id="{B5B1FE59-BF90-40E1-9FE3-12B673A23A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DC09-4A1D-8E95-1FFD157A3B64}"/>
                </c:ext>
              </c:extLst>
            </c:dLbl>
            <c:dLbl>
              <c:idx val="126"/>
              <c:tx>
                <c:rich>
                  <a:bodyPr/>
                  <a:lstStyle/>
                  <a:p>
                    <a:fld id="{8C046AA7-DD0E-4241-96CD-ECD9E0752C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DC09-4A1D-8E95-1FFD157A3B64}"/>
                </c:ext>
              </c:extLst>
            </c:dLbl>
            <c:dLbl>
              <c:idx val="127"/>
              <c:tx>
                <c:rich>
                  <a:bodyPr/>
                  <a:lstStyle/>
                  <a:p>
                    <a:fld id="{1A148773-01B0-4E56-A82A-52248A0BE1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DC09-4A1D-8E95-1FFD157A3B64}"/>
                </c:ext>
              </c:extLst>
            </c:dLbl>
            <c:dLbl>
              <c:idx val="128"/>
              <c:tx>
                <c:rich>
                  <a:bodyPr/>
                  <a:lstStyle/>
                  <a:p>
                    <a:fld id="{62AB1DF6-6A41-416F-8D9A-8E04A3943A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DC09-4A1D-8E95-1FFD157A3B64}"/>
                </c:ext>
              </c:extLst>
            </c:dLbl>
            <c:dLbl>
              <c:idx val="129"/>
              <c:tx>
                <c:rich>
                  <a:bodyPr/>
                  <a:lstStyle/>
                  <a:p>
                    <a:fld id="{BC27A169-6E84-4079-957F-6841CEEBAF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DC09-4A1D-8E95-1FFD157A3B64}"/>
                </c:ext>
              </c:extLst>
            </c:dLbl>
            <c:dLbl>
              <c:idx val="130"/>
              <c:tx>
                <c:rich>
                  <a:bodyPr/>
                  <a:lstStyle/>
                  <a:p>
                    <a:fld id="{25D550DB-F6DD-4858-9594-36059D67F3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DC09-4A1D-8E95-1FFD157A3B64}"/>
                </c:ext>
              </c:extLst>
            </c:dLbl>
            <c:dLbl>
              <c:idx val="131"/>
              <c:tx>
                <c:rich>
                  <a:bodyPr/>
                  <a:lstStyle/>
                  <a:p>
                    <a:fld id="{9BC3A53C-8263-4A3B-9F9D-37DC8D143E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DC09-4A1D-8E95-1FFD157A3B64}"/>
                </c:ext>
              </c:extLst>
            </c:dLbl>
            <c:dLbl>
              <c:idx val="132"/>
              <c:tx>
                <c:rich>
                  <a:bodyPr/>
                  <a:lstStyle/>
                  <a:p>
                    <a:fld id="{C53C4D99-2E49-40AB-B563-20560E96F1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DC09-4A1D-8E95-1FFD157A3B64}"/>
                </c:ext>
              </c:extLst>
            </c:dLbl>
            <c:dLbl>
              <c:idx val="133"/>
              <c:tx>
                <c:rich>
                  <a:bodyPr/>
                  <a:lstStyle/>
                  <a:p>
                    <a:fld id="{51F19902-9E9E-4E62-A1B3-F7E85483DE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DC09-4A1D-8E95-1FFD157A3B64}"/>
                </c:ext>
              </c:extLst>
            </c:dLbl>
            <c:dLbl>
              <c:idx val="134"/>
              <c:tx>
                <c:rich>
                  <a:bodyPr/>
                  <a:lstStyle/>
                  <a:p>
                    <a:fld id="{560A2A32-F5F9-4B50-BA4F-761F5D4BEC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DC09-4A1D-8E95-1FFD157A3B64}"/>
                </c:ext>
              </c:extLst>
            </c:dLbl>
            <c:dLbl>
              <c:idx val="135"/>
              <c:tx>
                <c:rich>
                  <a:bodyPr/>
                  <a:lstStyle/>
                  <a:p>
                    <a:fld id="{C981E8A3-E80E-47AC-9BCD-DE5A9C9F9E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DC09-4A1D-8E95-1FFD157A3B64}"/>
                </c:ext>
              </c:extLst>
            </c:dLbl>
            <c:dLbl>
              <c:idx val="136"/>
              <c:tx>
                <c:rich>
                  <a:bodyPr/>
                  <a:lstStyle/>
                  <a:p>
                    <a:fld id="{2300EFDC-C4A8-4308-8ECE-9FC42E1974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DC09-4A1D-8E95-1FFD157A3B64}"/>
                </c:ext>
              </c:extLst>
            </c:dLbl>
            <c:dLbl>
              <c:idx val="137"/>
              <c:tx>
                <c:rich>
                  <a:bodyPr/>
                  <a:lstStyle/>
                  <a:p>
                    <a:fld id="{CC15D1D2-0951-4F0A-A251-D38F434888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DC09-4A1D-8E95-1FFD157A3B64}"/>
                </c:ext>
              </c:extLst>
            </c:dLbl>
            <c:dLbl>
              <c:idx val="138"/>
              <c:tx>
                <c:rich>
                  <a:bodyPr/>
                  <a:lstStyle/>
                  <a:p>
                    <a:fld id="{1AEB9A29-D4E5-4779-83B5-4C057764E6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DC09-4A1D-8E95-1FFD157A3B64}"/>
                </c:ext>
              </c:extLst>
            </c:dLbl>
            <c:dLbl>
              <c:idx val="139"/>
              <c:tx>
                <c:rich>
                  <a:bodyPr/>
                  <a:lstStyle/>
                  <a:p>
                    <a:fld id="{390C89C6-9E81-4B9B-97CD-073E2CBF2A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DC09-4A1D-8E95-1FFD157A3B64}"/>
                </c:ext>
              </c:extLst>
            </c:dLbl>
            <c:dLbl>
              <c:idx val="140"/>
              <c:tx>
                <c:rich>
                  <a:bodyPr/>
                  <a:lstStyle/>
                  <a:p>
                    <a:fld id="{BF609B37-08B8-4B5F-8937-3AC30F5CB0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DC09-4A1D-8E95-1FFD157A3B64}"/>
                </c:ext>
              </c:extLst>
            </c:dLbl>
            <c:dLbl>
              <c:idx val="141"/>
              <c:tx>
                <c:rich>
                  <a:bodyPr/>
                  <a:lstStyle/>
                  <a:p>
                    <a:fld id="{C5D712D5-C536-4221-BF21-37F6366A0C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DC09-4A1D-8E95-1FFD157A3B64}"/>
                </c:ext>
              </c:extLst>
            </c:dLbl>
            <c:dLbl>
              <c:idx val="142"/>
              <c:tx>
                <c:rich>
                  <a:bodyPr/>
                  <a:lstStyle/>
                  <a:p>
                    <a:fld id="{CF57E127-EC5A-4B45-8C03-0A48C4F8BA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DC09-4A1D-8E95-1FFD157A3B64}"/>
                </c:ext>
              </c:extLst>
            </c:dLbl>
            <c:dLbl>
              <c:idx val="143"/>
              <c:tx>
                <c:rich>
                  <a:bodyPr/>
                  <a:lstStyle/>
                  <a:p>
                    <a:fld id="{2E023D32-20FC-4C14-953A-EB2E9ED36C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DC09-4A1D-8E95-1FFD157A3B64}"/>
                </c:ext>
              </c:extLst>
            </c:dLbl>
            <c:dLbl>
              <c:idx val="144"/>
              <c:tx>
                <c:rich>
                  <a:bodyPr/>
                  <a:lstStyle/>
                  <a:p>
                    <a:fld id="{2362C94E-F57C-489F-BCC0-7A13D6434F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DC09-4A1D-8E95-1FFD157A3B64}"/>
                </c:ext>
              </c:extLst>
            </c:dLbl>
            <c:dLbl>
              <c:idx val="145"/>
              <c:tx>
                <c:rich>
                  <a:bodyPr/>
                  <a:lstStyle/>
                  <a:p>
                    <a:fld id="{98A50751-788B-42EF-A711-00B9408F5B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DC09-4A1D-8E95-1FFD157A3B64}"/>
                </c:ext>
              </c:extLst>
            </c:dLbl>
            <c:dLbl>
              <c:idx val="146"/>
              <c:tx>
                <c:rich>
                  <a:bodyPr/>
                  <a:lstStyle/>
                  <a:p>
                    <a:fld id="{B0D99470-72BA-49AB-BD26-A5FD13D39F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DC09-4A1D-8E95-1FFD157A3B64}"/>
                </c:ext>
              </c:extLst>
            </c:dLbl>
            <c:dLbl>
              <c:idx val="147"/>
              <c:tx>
                <c:rich>
                  <a:bodyPr/>
                  <a:lstStyle/>
                  <a:p>
                    <a:fld id="{7A4F13F8-8B11-44E7-8CBB-CF76903D7F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DC09-4A1D-8E95-1FFD157A3B64}"/>
                </c:ext>
              </c:extLst>
            </c:dLbl>
            <c:dLbl>
              <c:idx val="148"/>
              <c:tx>
                <c:rich>
                  <a:bodyPr/>
                  <a:lstStyle/>
                  <a:p>
                    <a:fld id="{8F45E6FF-42F5-48CA-91E7-4C4EE3CE09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DC09-4A1D-8E95-1FFD157A3B64}"/>
                </c:ext>
              </c:extLst>
            </c:dLbl>
            <c:dLbl>
              <c:idx val="149"/>
              <c:tx>
                <c:rich>
                  <a:bodyPr/>
                  <a:lstStyle/>
                  <a:p>
                    <a:fld id="{2423090F-1EBB-4605-A2FD-5DC96B1E89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DC09-4A1D-8E95-1FFD157A3B64}"/>
                </c:ext>
              </c:extLst>
            </c:dLbl>
            <c:dLbl>
              <c:idx val="150"/>
              <c:tx>
                <c:rich>
                  <a:bodyPr/>
                  <a:lstStyle/>
                  <a:p>
                    <a:fld id="{8A0CEEB4-A514-4DA1-818D-89DCC29162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DC09-4A1D-8E95-1FFD157A3B64}"/>
                </c:ext>
              </c:extLst>
            </c:dLbl>
            <c:dLbl>
              <c:idx val="151"/>
              <c:tx>
                <c:rich>
                  <a:bodyPr/>
                  <a:lstStyle/>
                  <a:p>
                    <a:fld id="{4F82FC45-D567-4C2C-A74D-CAFB987A17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DC09-4A1D-8E95-1FFD157A3B64}"/>
                </c:ext>
              </c:extLst>
            </c:dLbl>
            <c:dLbl>
              <c:idx val="152"/>
              <c:tx>
                <c:rich>
                  <a:bodyPr/>
                  <a:lstStyle/>
                  <a:p>
                    <a:fld id="{2CA80735-DBBF-4D44-8029-D59D72E0E6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DC09-4A1D-8E95-1FFD157A3B64}"/>
                </c:ext>
              </c:extLst>
            </c:dLbl>
            <c:dLbl>
              <c:idx val="153"/>
              <c:tx>
                <c:rich>
                  <a:bodyPr/>
                  <a:lstStyle/>
                  <a:p>
                    <a:fld id="{B9E280CC-96FA-4D16-B16E-6897FC4189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DC09-4A1D-8E95-1FFD157A3B64}"/>
                </c:ext>
              </c:extLst>
            </c:dLbl>
            <c:dLbl>
              <c:idx val="154"/>
              <c:tx>
                <c:rich>
                  <a:bodyPr/>
                  <a:lstStyle/>
                  <a:p>
                    <a:fld id="{BA48A030-87E3-4DAA-AFEC-FCF5474E6D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DC09-4A1D-8E95-1FFD157A3B64}"/>
                </c:ext>
              </c:extLst>
            </c:dLbl>
            <c:dLbl>
              <c:idx val="155"/>
              <c:tx>
                <c:rich>
                  <a:bodyPr/>
                  <a:lstStyle/>
                  <a:p>
                    <a:fld id="{C6BAE48A-F6D4-4C88-BD81-7F956AE5A5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DC09-4A1D-8E95-1FFD157A3B64}"/>
                </c:ext>
              </c:extLst>
            </c:dLbl>
            <c:dLbl>
              <c:idx val="156"/>
              <c:tx>
                <c:rich>
                  <a:bodyPr/>
                  <a:lstStyle/>
                  <a:p>
                    <a:fld id="{FE42264E-81C9-46E7-A021-9C3164A84C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DC09-4A1D-8E95-1FFD157A3B64}"/>
                </c:ext>
              </c:extLst>
            </c:dLbl>
            <c:dLbl>
              <c:idx val="157"/>
              <c:tx>
                <c:rich>
                  <a:bodyPr/>
                  <a:lstStyle/>
                  <a:p>
                    <a:fld id="{25BD709F-1D1C-4981-9C35-85FACA61A4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DC09-4A1D-8E95-1FFD157A3B64}"/>
                </c:ext>
              </c:extLst>
            </c:dLbl>
            <c:dLbl>
              <c:idx val="158"/>
              <c:tx>
                <c:rich>
                  <a:bodyPr/>
                  <a:lstStyle/>
                  <a:p>
                    <a:fld id="{AD9FB0C5-AA89-499F-B83F-81452E8B74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DC09-4A1D-8E95-1FFD157A3B64}"/>
                </c:ext>
              </c:extLst>
            </c:dLbl>
            <c:dLbl>
              <c:idx val="159"/>
              <c:tx>
                <c:rich>
                  <a:bodyPr/>
                  <a:lstStyle/>
                  <a:p>
                    <a:fld id="{6C5B55FE-A5C8-4562-8208-4EE38F248B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DC09-4A1D-8E95-1FFD157A3B64}"/>
                </c:ext>
              </c:extLst>
            </c:dLbl>
            <c:dLbl>
              <c:idx val="160"/>
              <c:tx>
                <c:rich>
                  <a:bodyPr/>
                  <a:lstStyle/>
                  <a:p>
                    <a:fld id="{D0A58F86-1A07-4DD1-BEAC-A13A4D0750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DC09-4A1D-8E95-1FFD157A3B64}"/>
                </c:ext>
              </c:extLst>
            </c:dLbl>
            <c:dLbl>
              <c:idx val="161"/>
              <c:tx>
                <c:rich>
                  <a:bodyPr/>
                  <a:lstStyle/>
                  <a:p>
                    <a:fld id="{9EC49A49-8719-43D3-827E-246BDE5068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DC09-4A1D-8E95-1FFD157A3B64}"/>
                </c:ext>
              </c:extLst>
            </c:dLbl>
            <c:dLbl>
              <c:idx val="162"/>
              <c:tx>
                <c:rich>
                  <a:bodyPr/>
                  <a:lstStyle/>
                  <a:p>
                    <a:fld id="{DEDF8ABA-7993-44F9-A6F5-02B03241A7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DC09-4A1D-8E95-1FFD157A3B64}"/>
                </c:ext>
              </c:extLst>
            </c:dLbl>
            <c:dLbl>
              <c:idx val="163"/>
              <c:tx>
                <c:rich>
                  <a:bodyPr/>
                  <a:lstStyle/>
                  <a:p>
                    <a:fld id="{B08499C3-5614-43C4-8409-89A93D3287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DC09-4A1D-8E95-1FFD157A3B64}"/>
                </c:ext>
              </c:extLst>
            </c:dLbl>
            <c:dLbl>
              <c:idx val="164"/>
              <c:tx>
                <c:rich>
                  <a:bodyPr/>
                  <a:lstStyle/>
                  <a:p>
                    <a:fld id="{8690DE90-C71E-416D-A115-C9F2DF5EC7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DC09-4A1D-8E95-1FFD157A3B64}"/>
                </c:ext>
              </c:extLst>
            </c:dLbl>
            <c:dLbl>
              <c:idx val="165"/>
              <c:tx>
                <c:rich>
                  <a:bodyPr/>
                  <a:lstStyle/>
                  <a:p>
                    <a:fld id="{E8CEAC32-6D08-4FA4-A3B6-0897F161E1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DC09-4A1D-8E95-1FFD157A3B64}"/>
                </c:ext>
              </c:extLst>
            </c:dLbl>
            <c:dLbl>
              <c:idx val="166"/>
              <c:tx>
                <c:rich>
                  <a:bodyPr/>
                  <a:lstStyle/>
                  <a:p>
                    <a:fld id="{18A2533B-D642-42DD-8C19-F47B844A5E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DC09-4A1D-8E95-1FFD157A3B64}"/>
                </c:ext>
              </c:extLst>
            </c:dLbl>
            <c:dLbl>
              <c:idx val="167"/>
              <c:tx>
                <c:rich>
                  <a:bodyPr/>
                  <a:lstStyle/>
                  <a:p>
                    <a:fld id="{8625BC15-5AED-46D3-B12A-437C3DC39D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DC09-4A1D-8E95-1FFD157A3B64}"/>
                </c:ext>
              </c:extLst>
            </c:dLbl>
            <c:dLbl>
              <c:idx val="168"/>
              <c:tx>
                <c:rich>
                  <a:bodyPr/>
                  <a:lstStyle/>
                  <a:p>
                    <a:fld id="{58F887CD-6C1F-42F6-B7EF-34153297C4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DC09-4A1D-8E95-1FFD157A3B64}"/>
                </c:ext>
              </c:extLst>
            </c:dLbl>
            <c:dLbl>
              <c:idx val="169"/>
              <c:tx>
                <c:rich>
                  <a:bodyPr/>
                  <a:lstStyle/>
                  <a:p>
                    <a:fld id="{2DA1BB1E-AEC1-4721-B6E0-B1F05B3DDB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DC09-4A1D-8E95-1FFD157A3B64}"/>
                </c:ext>
              </c:extLst>
            </c:dLbl>
            <c:dLbl>
              <c:idx val="170"/>
              <c:tx>
                <c:rich>
                  <a:bodyPr/>
                  <a:lstStyle/>
                  <a:p>
                    <a:fld id="{9C30C94A-7134-4245-9B7B-93139517F4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DC09-4A1D-8E95-1FFD157A3B64}"/>
                </c:ext>
              </c:extLst>
            </c:dLbl>
            <c:dLbl>
              <c:idx val="171"/>
              <c:tx>
                <c:rich>
                  <a:bodyPr/>
                  <a:lstStyle/>
                  <a:p>
                    <a:fld id="{7E4A5700-4ED8-4049-B32E-9F61FE545F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DC09-4A1D-8E95-1FFD157A3B64}"/>
                </c:ext>
              </c:extLst>
            </c:dLbl>
            <c:dLbl>
              <c:idx val="172"/>
              <c:tx>
                <c:rich>
                  <a:bodyPr/>
                  <a:lstStyle/>
                  <a:p>
                    <a:fld id="{EC58F803-CD6E-4CDB-812E-FE013455D4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DC09-4A1D-8E95-1FFD157A3B64}"/>
                </c:ext>
              </c:extLst>
            </c:dLbl>
            <c:dLbl>
              <c:idx val="173"/>
              <c:tx>
                <c:rich>
                  <a:bodyPr/>
                  <a:lstStyle/>
                  <a:p>
                    <a:fld id="{CBD4F93E-ACBF-44B9-914B-1E216985A2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DC09-4A1D-8E95-1FFD157A3B64}"/>
                </c:ext>
              </c:extLst>
            </c:dLbl>
            <c:dLbl>
              <c:idx val="174"/>
              <c:tx>
                <c:rich>
                  <a:bodyPr/>
                  <a:lstStyle/>
                  <a:p>
                    <a:fld id="{357A0CC1-26E2-4906-9521-7B790FBD75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DC09-4A1D-8E95-1FFD157A3B64}"/>
                </c:ext>
              </c:extLst>
            </c:dLbl>
            <c:dLbl>
              <c:idx val="175"/>
              <c:tx>
                <c:rich>
                  <a:bodyPr/>
                  <a:lstStyle/>
                  <a:p>
                    <a:fld id="{DBA76DBC-7444-40B7-8816-2F10C100F9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DC09-4A1D-8E95-1FFD157A3B64}"/>
                </c:ext>
              </c:extLst>
            </c:dLbl>
            <c:dLbl>
              <c:idx val="176"/>
              <c:tx>
                <c:rich>
                  <a:bodyPr/>
                  <a:lstStyle/>
                  <a:p>
                    <a:fld id="{B37321CB-9058-43D1-9FD7-DFB8D99CBC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DC09-4A1D-8E95-1FFD157A3B64}"/>
                </c:ext>
              </c:extLst>
            </c:dLbl>
            <c:dLbl>
              <c:idx val="177"/>
              <c:tx>
                <c:rich>
                  <a:bodyPr/>
                  <a:lstStyle/>
                  <a:p>
                    <a:fld id="{B074D7C7-4682-48B8-B403-0AD46D98F1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DC09-4A1D-8E95-1FFD157A3B64}"/>
                </c:ext>
              </c:extLst>
            </c:dLbl>
            <c:dLbl>
              <c:idx val="178"/>
              <c:tx>
                <c:rich>
                  <a:bodyPr/>
                  <a:lstStyle/>
                  <a:p>
                    <a:fld id="{75C241B4-11CF-4D02-BFA3-F1C4EDC3BC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DC09-4A1D-8E95-1FFD157A3B64}"/>
                </c:ext>
              </c:extLst>
            </c:dLbl>
            <c:dLbl>
              <c:idx val="179"/>
              <c:tx>
                <c:rich>
                  <a:bodyPr/>
                  <a:lstStyle/>
                  <a:p>
                    <a:fld id="{B92C9364-D88C-4A8B-B5B8-D524344813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DC09-4A1D-8E95-1FFD157A3B64}"/>
                </c:ext>
              </c:extLst>
            </c:dLbl>
            <c:dLbl>
              <c:idx val="180"/>
              <c:tx>
                <c:rich>
                  <a:bodyPr/>
                  <a:lstStyle/>
                  <a:p>
                    <a:fld id="{3B804DC7-A19D-4317-BD02-83E72B48B4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DC09-4A1D-8E95-1FFD157A3B64}"/>
                </c:ext>
              </c:extLst>
            </c:dLbl>
            <c:dLbl>
              <c:idx val="181"/>
              <c:tx>
                <c:rich>
                  <a:bodyPr/>
                  <a:lstStyle/>
                  <a:p>
                    <a:fld id="{F109A608-C429-49A7-959E-19A1D6A220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DC09-4A1D-8E95-1FFD157A3B64}"/>
                </c:ext>
              </c:extLst>
            </c:dLbl>
            <c:dLbl>
              <c:idx val="182"/>
              <c:tx>
                <c:rich>
                  <a:bodyPr/>
                  <a:lstStyle/>
                  <a:p>
                    <a:fld id="{9FFC467D-3CB8-4390-A872-734644A23D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DC09-4A1D-8E95-1FFD157A3B64}"/>
                </c:ext>
              </c:extLst>
            </c:dLbl>
            <c:dLbl>
              <c:idx val="183"/>
              <c:tx>
                <c:rich>
                  <a:bodyPr/>
                  <a:lstStyle/>
                  <a:p>
                    <a:fld id="{C813E7BE-7D7B-4773-AD0C-CCA7DDA91A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DC09-4A1D-8E95-1FFD157A3B64}"/>
                </c:ext>
              </c:extLst>
            </c:dLbl>
            <c:dLbl>
              <c:idx val="184"/>
              <c:tx>
                <c:rich>
                  <a:bodyPr/>
                  <a:lstStyle/>
                  <a:p>
                    <a:fld id="{66082EDF-D154-4EE4-9C7D-A090166B18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DC09-4A1D-8E95-1FFD157A3B64}"/>
                </c:ext>
              </c:extLst>
            </c:dLbl>
            <c:dLbl>
              <c:idx val="185"/>
              <c:tx>
                <c:rich>
                  <a:bodyPr/>
                  <a:lstStyle/>
                  <a:p>
                    <a:fld id="{8CDFD55B-6929-466A-A4C2-60C9FDE8A0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DC09-4A1D-8E95-1FFD157A3B64}"/>
                </c:ext>
              </c:extLst>
            </c:dLbl>
            <c:dLbl>
              <c:idx val="186"/>
              <c:tx>
                <c:rich>
                  <a:bodyPr/>
                  <a:lstStyle/>
                  <a:p>
                    <a:fld id="{A678466C-6CAA-4A25-887A-D3C13C2214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DC09-4A1D-8E95-1FFD157A3B64}"/>
                </c:ext>
              </c:extLst>
            </c:dLbl>
            <c:dLbl>
              <c:idx val="187"/>
              <c:tx>
                <c:rich>
                  <a:bodyPr/>
                  <a:lstStyle/>
                  <a:p>
                    <a:fld id="{0519F795-BB41-475C-B62C-98060640F8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DC09-4A1D-8E95-1FFD157A3B64}"/>
                </c:ext>
              </c:extLst>
            </c:dLbl>
            <c:dLbl>
              <c:idx val="188"/>
              <c:tx>
                <c:rich>
                  <a:bodyPr/>
                  <a:lstStyle/>
                  <a:p>
                    <a:fld id="{F1B725EE-F3B3-4EBE-9C24-0BB78E1C50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DC09-4A1D-8E95-1FFD157A3B64}"/>
                </c:ext>
              </c:extLst>
            </c:dLbl>
            <c:dLbl>
              <c:idx val="189"/>
              <c:tx>
                <c:rich>
                  <a:bodyPr/>
                  <a:lstStyle/>
                  <a:p>
                    <a:fld id="{F50B78B0-6C13-4CFB-BB58-E48CCA75FE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DC09-4A1D-8E95-1FFD157A3B64}"/>
                </c:ext>
              </c:extLst>
            </c:dLbl>
            <c:dLbl>
              <c:idx val="190"/>
              <c:tx>
                <c:rich>
                  <a:bodyPr/>
                  <a:lstStyle/>
                  <a:p>
                    <a:fld id="{9559EF38-347F-4B45-865B-96C8DB7D41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DC09-4A1D-8E95-1FFD157A3B64}"/>
                </c:ext>
              </c:extLst>
            </c:dLbl>
            <c:dLbl>
              <c:idx val="191"/>
              <c:tx>
                <c:rich>
                  <a:bodyPr/>
                  <a:lstStyle/>
                  <a:p>
                    <a:fld id="{2C1E48C7-0D8A-4E3A-B6B9-2CB0C9D125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DC09-4A1D-8E95-1FFD157A3B64}"/>
                </c:ext>
              </c:extLst>
            </c:dLbl>
            <c:dLbl>
              <c:idx val="192"/>
              <c:tx>
                <c:rich>
                  <a:bodyPr/>
                  <a:lstStyle/>
                  <a:p>
                    <a:fld id="{A24981F5-9BE9-42A5-9DBF-7B271E9C1B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DC09-4A1D-8E95-1FFD157A3B64}"/>
                </c:ext>
              </c:extLst>
            </c:dLbl>
            <c:dLbl>
              <c:idx val="193"/>
              <c:tx>
                <c:rich>
                  <a:bodyPr/>
                  <a:lstStyle/>
                  <a:p>
                    <a:fld id="{87B1B702-5090-41A1-89E3-513DD6AFFF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DC09-4A1D-8E95-1FFD157A3B64}"/>
                </c:ext>
              </c:extLst>
            </c:dLbl>
            <c:dLbl>
              <c:idx val="194"/>
              <c:tx>
                <c:rich>
                  <a:bodyPr/>
                  <a:lstStyle/>
                  <a:p>
                    <a:fld id="{BC459B86-F992-40CF-A38D-A720434E3E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DC09-4A1D-8E95-1FFD157A3B64}"/>
                </c:ext>
              </c:extLst>
            </c:dLbl>
            <c:dLbl>
              <c:idx val="195"/>
              <c:tx>
                <c:rich>
                  <a:bodyPr/>
                  <a:lstStyle/>
                  <a:p>
                    <a:fld id="{97D24645-EA74-436A-8ADC-BFC9376C38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DC09-4A1D-8E95-1FFD157A3B64}"/>
                </c:ext>
              </c:extLst>
            </c:dLbl>
            <c:dLbl>
              <c:idx val="196"/>
              <c:tx>
                <c:rich>
                  <a:bodyPr/>
                  <a:lstStyle/>
                  <a:p>
                    <a:fld id="{DF0134BA-1344-4920-B958-6D57B0DFD6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DC09-4A1D-8E95-1FFD157A3B64}"/>
                </c:ext>
              </c:extLst>
            </c:dLbl>
            <c:dLbl>
              <c:idx val="197"/>
              <c:tx>
                <c:rich>
                  <a:bodyPr/>
                  <a:lstStyle/>
                  <a:p>
                    <a:fld id="{95668C0E-CC01-4DA8-8584-5D13E515C9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DC09-4A1D-8E95-1FFD157A3B64}"/>
                </c:ext>
              </c:extLst>
            </c:dLbl>
            <c:dLbl>
              <c:idx val="198"/>
              <c:tx>
                <c:rich>
                  <a:bodyPr/>
                  <a:lstStyle/>
                  <a:p>
                    <a:fld id="{CBE118CB-7F41-4A36-92F6-E002E7DD78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DC09-4A1D-8E95-1FFD157A3B64}"/>
                </c:ext>
              </c:extLst>
            </c:dLbl>
            <c:dLbl>
              <c:idx val="199"/>
              <c:tx>
                <c:rich>
                  <a:bodyPr/>
                  <a:lstStyle/>
                  <a:p>
                    <a:fld id="{861A86E4-D93E-471B-9425-7780D00D09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DC09-4A1D-8E95-1FFD157A3B64}"/>
                </c:ext>
              </c:extLst>
            </c:dLbl>
            <c:dLbl>
              <c:idx val="200"/>
              <c:tx>
                <c:rich>
                  <a:bodyPr/>
                  <a:lstStyle/>
                  <a:p>
                    <a:fld id="{D495100E-72AC-4E32-B1B1-F1851394D7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DC09-4A1D-8E95-1FFD157A3B64}"/>
                </c:ext>
              </c:extLst>
            </c:dLbl>
            <c:dLbl>
              <c:idx val="201"/>
              <c:tx>
                <c:rich>
                  <a:bodyPr/>
                  <a:lstStyle/>
                  <a:p>
                    <a:fld id="{BBC25FB2-90C5-46A9-A184-D654C5BE91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DC09-4A1D-8E95-1FFD157A3B64}"/>
                </c:ext>
              </c:extLst>
            </c:dLbl>
            <c:dLbl>
              <c:idx val="202"/>
              <c:tx>
                <c:rich>
                  <a:bodyPr/>
                  <a:lstStyle/>
                  <a:p>
                    <a:fld id="{F882C354-4AAA-4E9E-AFEE-85A62CE277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DC09-4A1D-8E95-1FFD157A3B64}"/>
                </c:ext>
              </c:extLst>
            </c:dLbl>
            <c:dLbl>
              <c:idx val="203"/>
              <c:tx>
                <c:rich>
                  <a:bodyPr/>
                  <a:lstStyle/>
                  <a:p>
                    <a:fld id="{844C6103-AFD2-475E-9B22-70B7F26828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DC09-4A1D-8E95-1FFD157A3B64}"/>
                </c:ext>
              </c:extLst>
            </c:dLbl>
            <c:dLbl>
              <c:idx val="204"/>
              <c:tx>
                <c:rich>
                  <a:bodyPr/>
                  <a:lstStyle/>
                  <a:p>
                    <a:fld id="{1C05903E-37CA-442D-8C2B-80FB34E3BA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DC09-4A1D-8E95-1FFD157A3B64}"/>
                </c:ext>
              </c:extLst>
            </c:dLbl>
            <c:dLbl>
              <c:idx val="205"/>
              <c:tx>
                <c:rich>
                  <a:bodyPr/>
                  <a:lstStyle/>
                  <a:p>
                    <a:fld id="{8BF3A290-7A45-4929-8A94-FFDD886598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DC09-4A1D-8E95-1FFD157A3B64}"/>
                </c:ext>
              </c:extLst>
            </c:dLbl>
            <c:dLbl>
              <c:idx val="206"/>
              <c:tx>
                <c:rich>
                  <a:bodyPr/>
                  <a:lstStyle/>
                  <a:p>
                    <a:fld id="{3EC19C73-A8F7-44E0-8E00-32A04F87C0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DC09-4A1D-8E95-1FFD157A3B64}"/>
                </c:ext>
              </c:extLst>
            </c:dLbl>
            <c:dLbl>
              <c:idx val="207"/>
              <c:tx>
                <c:rich>
                  <a:bodyPr/>
                  <a:lstStyle/>
                  <a:p>
                    <a:fld id="{1F81EADC-0428-4663-B224-97FCC48680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DC09-4A1D-8E95-1FFD157A3B64}"/>
                </c:ext>
              </c:extLst>
            </c:dLbl>
            <c:dLbl>
              <c:idx val="208"/>
              <c:tx>
                <c:rich>
                  <a:bodyPr/>
                  <a:lstStyle/>
                  <a:p>
                    <a:fld id="{B5235C11-3347-4654-857F-A7A389893A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DC09-4A1D-8E95-1FFD157A3B64}"/>
                </c:ext>
              </c:extLst>
            </c:dLbl>
            <c:dLbl>
              <c:idx val="209"/>
              <c:tx>
                <c:rich>
                  <a:bodyPr/>
                  <a:lstStyle/>
                  <a:p>
                    <a:fld id="{EE50C575-8210-4540-B267-023FAD7A39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DC09-4A1D-8E95-1FFD157A3B64}"/>
                </c:ext>
              </c:extLst>
            </c:dLbl>
            <c:dLbl>
              <c:idx val="210"/>
              <c:tx>
                <c:rich>
                  <a:bodyPr/>
                  <a:lstStyle/>
                  <a:p>
                    <a:fld id="{A3EDB5B7-BFF8-41F1-A1F9-9DC5439DC4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DC09-4A1D-8E95-1FFD157A3B64}"/>
                </c:ext>
              </c:extLst>
            </c:dLbl>
            <c:dLbl>
              <c:idx val="211"/>
              <c:tx>
                <c:rich>
                  <a:bodyPr/>
                  <a:lstStyle/>
                  <a:p>
                    <a:fld id="{57CB7206-85E1-4C63-930F-327CF97CCC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DC09-4A1D-8E95-1FFD157A3B64}"/>
                </c:ext>
              </c:extLst>
            </c:dLbl>
            <c:dLbl>
              <c:idx val="212"/>
              <c:tx>
                <c:rich>
                  <a:bodyPr/>
                  <a:lstStyle/>
                  <a:p>
                    <a:fld id="{D5ED48E3-1E51-4ED5-9EA2-D42AEC2CC6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DC09-4A1D-8E95-1FFD157A3B64}"/>
                </c:ext>
              </c:extLst>
            </c:dLbl>
            <c:dLbl>
              <c:idx val="213"/>
              <c:tx>
                <c:rich>
                  <a:bodyPr/>
                  <a:lstStyle/>
                  <a:p>
                    <a:fld id="{5A317461-0813-43BB-B3DD-AD201D420B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DC09-4A1D-8E95-1FFD157A3B64}"/>
                </c:ext>
              </c:extLst>
            </c:dLbl>
            <c:dLbl>
              <c:idx val="214"/>
              <c:tx>
                <c:rich>
                  <a:bodyPr/>
                  <a:lstStyle/>
                  <a:p>
                    <a:fld id="{BAA11CC8-AA07-45FE-8A85-580278853D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DC09-4A1D-8E95-1FFD157A3B64}"/>
                </c:ext>
              </c:extLst>
            </c:dLbl>
            <c:dLbl>
              <c:idx val="215"/>
              <c:tx>
                <c:rich>
                  <a:bodyPr/>
                  <a:lstStyle/>
                  <a:p>
                    <a:fld id="{9E3E6F28-F3B6-4D9D-9E22-199EA2939E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DC09-4A1D-8E95-1FFD157A3B64}"/>
                </c:ext>
              </c:extLst>
            </c:dLbl>
            <c:dLbl>
              <c:idx val="216"/>
              <c:tx>
                <c:rich>
                  <a:bodyPr/>
                  <a:lstStyle/>
                  <a:p>
                    <a:fld id="{DC3C7F02-4851-493B-A75A-C3983BD958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DC09-4A1D-8E95-1FFD157A3B64}"/>
                </c:ext>
              </c:extLst>
            </c:dLbl>
            <c:dLbl>
              <c:idx val="217"/>
              <c:tx>
                <c:rich>
                  <a:bodyPr/>
                  <a:lstStyle/>
                  <a:p>
                    <a:fld id="{9F6A3FC8-702D-4936-A982-867E643D5B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DC09-4A1D-8E95-1FFD157A3B64}"/>
                </c:ext>
              </c:extLst>
            </c:dLbl>
            <c:dLbl>
              <c:idx val="218"/>
              <c:tx>
                <c:rich>
                  <a:bodyPr/>
                  <a:lstStyle/>
                  <a:p>
                    <a:fld id="{9A4359D6-FDB9-40A8-BE36-65B430C04C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DC09-4A1D-8E95-1FFD157A3B64}"/>
                </c:ext>
              </c:extLst>
            </c:dLbl>
            <c:dLbl>
              <c:idx val="219"/>
              <c:tx>
                <c:rich>
                  <a:bodyPr/>
                  <a:lstStyle/>
                  <a:p>
                    <a:fld id="{01D8F6B9-958A-4DD8-8DB9-AC4BFE17F8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DC09-4A1D-8E95-1FFD157A3B64}"/>
                </c:ext>
              </c:extLst>
            </c:dLbl>
            <c:dLbl>
              <c:idx val="220"/>
              <c:tx>
                <c:rich>
                  <a:bodyPr/>
                  <a:lstStyle/>
                  <a:p>
                    <a:fld id="{ABFFCD14-AFD0-4D99-9375-72E08C86E3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DC09-4A1D-8E95-1FFD157A3B64}"/>
                </c:ext>
              </c:extLst>
            </c:dLbl>
            <c:dLbl>
              <c:idx val="221"/>
              <c:tx>
                <c:rich>
                  <a:bodyPr/>
                  <a:lstStyle/>
                  <a:p>
                    <a:fld id="{0330E3C1-E30C-4A1E-890D-129D7FDDF4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DC09-4A1D-8E95-1FFD157A3B64}"/>
                </c:ext>
              </c:extLst>
            </c:dLbl>
            <c:dLbl>
              <c:idx val="222"/>
              <c:tx>
                <c:rich>
                  <a:bodyPr/>
                  <a:lstStyle/>
                  <a:p>
                    <a:fld id="{3585F903-0613-4421-9548-F0BB1291BE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DC09-4A1D-8E95-1FFD157A3B64}"/>
                </c:ext>
              </c:extLst>
            </c:dLbl>
            <c:dLbl>
              <c:idx val="223"/>
              <c:tx>
                <c:rich>
                  <a:bodyPr/>
                  <a:lstStyle/>
                  <a:p>
                    <a:fld id="{E8A0CE2B-7266-4376-8F1C-D9392DB075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DC09-4A1D-8E95-1FFD157A3B64}"/>
                </c:ext>
              </c:extLst>
            </c:dLbl>
            <c:dLbl>
              <c:idx val="224"/>
              <c:tx>
                <c:rich>
                  <a:bodyPr/>
                  <a:lstStyle/>
                  <a:p>
                    <a:fld id="{9C676942-ABB4-49E0-A8F1-826B2E6C2B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DC09-4A1D-8E95-1FFD157A3B64}"/>
                </c:ext>
              </c:extLst>
            </c:dLbl>
            <c:dLbl>
              <c:idx val="225"/>
              <c:tx>
                <c:rich>
                  <a:bodyPr/>
                  <a:lstStyle/>
                  <a:p>
                    <a:fld id="{B5768867-1226-47B8-BF85-6631E44F29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DC09-4A1D-8E95-1FFD157A3B64}"/>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DC09-4A1D-8E95-1FFD157A3B64}"/>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DC09-4A1D-8E95-1FFD157A3B64}"/>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DC09-4A1D-8E95-1FFD157A3B64}"/>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DC09-4A1D-8E95-1FFD157A3B64}"/>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DC09-4A1D-8E95-1FFD157A3B64}"/>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DC09-4A1D-8E95-1FFD157A3B64}"/>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DC09-4A1D-8E95-1FFD157A3B64}"/>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DC09-4A1D-8E95-1FFD157A3B64}"/>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DC09-4A1D-8E95-1FFD157A3B64}"/>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DC09-4A1D-8E95-1FFD157A3B64}"/>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DC09-4A1D-8E95-1FFD157A3B64}"/>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DC09-4A1D-8E95-1FFD157A3B64}"/>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DC09-4A1D-8E95-1FFD157A3B64}"/>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DC09-4A1D-8E95-1FFD157A3B64}"/>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DC09-4A1D-8E95-1FFD157A3B64}"/>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DC09-4A1D-8E95-1FFD157A3B64}"/>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DC09-4A1D-8E95-1FFD157A3B64}"/>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DC09-4A1D-8E95-1FFD157A3B64}"/>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DC09-4A1D-8E95-1FFD157A3B64}"/>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DC09-4A1D-8E95-1FFD157A3B64}"/>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DC09-4A1D-8E95-1FFD157A3B64}"/>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DC09-4A1D-8E95-1FFD157A3B64}"/>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DC09-4A1D-8E95-1FFD157A3B64}"/>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DC09-4A1D-8E95-1FFD157A3B64}"/>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DC09-4A1D-8E95-1FFD157A3B64}"/>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DC09-4A1D-8E95-1FFD157A3B64}"/>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DC09-4A1D-8E95-1FFD157A3B64}"/>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DC09-4A1D-8E95-1FFD157A3B64}"/>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DC09-4A1D-8E95-1FFD157A3B64}"/>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DC09-4A1D-8E95-1FFD157A3B64}"/>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DC09-4A1D-8E95-1FFD157A3B64}"/>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DC09-4A1D-8E95-1FFD157A3B64}"/>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DC09-4A1D-8E95-1FFD157A3B64}"/>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DC09-4A1D-8E95-1FFD157A3B64}"/>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DC09-4A1D-8E95-1FFD157A3B64}"/>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DC09-4A1D-8E95-1FFD157A3B64}"/>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DC09-4A1D-8E95-1FFD157A3B64}"/>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DC09-4A1D-8E95-1FFD157A3B64}"/>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DC09-4A1D-8E95-1FFD157A3B64}"/>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DC09-4A1D-8E95-1FFD157A3B64}"/>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DC09-4A1D-8E95-1FFD157A3B64}"/>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DC09-4A1D-8E95-1FFD157A3B64}"/>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DC09-4A1D-8E95-1FFD157A3B64}"/>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DC09-4A1D-8E95-1FFD157A3B64}"/>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DC09-4A1D-8E95-1FFD157A3B64}"/>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DC09-4A1D-8E95-1FFD157A3B64}"/>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DC09-4A1D-8E95-1FFD157A3B64}"/>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DC09-4A1D-8E95-1FFD157A3B64}"/>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DC09-4A1D-8E95-1FFD157A3B64}"/>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DC09-4A1D-8E95-1FFD157A3B64}"/>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DC09-4A1D-8E95-1FFD157A3B64}"/>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DC09-4A1D-8E95-1FFD157A3B64}"/>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DC09-4A1D-8E95-1FFD157A3B64}"/>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DC09-4A1D-8E95-1FFD157A3B64}"/>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DC09-4A1D-8E95-1FFD157A3B64}"/>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DC09-4A1D-8E95-1FFD157A3B64}"/>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DC09-4A1D-8E95-1FFD157A3B64}"/>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DC09-4A1D-8E95-1FFD157A3B64}"/>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DC09-4A1D-8E95-1FFD157A3B64}"/>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DC09-4A1D-8E95-1FFD157A3B64}"/>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DC09-4A1D-8E95-1FFD157A3B64}"/>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DC09-4A1D-8E95-1FFD157A3B64}"/>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DC09-4A1D-8E95-1FFD157A3B64}"/>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DC09-4A1D-8E95-1FFD157A3B64}"/>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DC09-4A1D-8E95-1FFD157A3B64}"/>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DC09-4A1D-8E95-1FFD157A3B64}"/>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DC09-4A1D-8E95-1FFD157A3B64}"/>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DC09-4A1D-8E95-1FFD157A3B64}"/>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DC09-4A1D-8E95-1FFD157A3B64}"/>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DC09-4A1D-8E95-1FFD157A3B64}"/>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DC09-4A1D-8E95-1FFD157A3B64}"/>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DC09-4A1D-8E95-1FFD157A3B64}"/>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DC09-4A1D-8E95-1FFD157A3B64}"/>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100</c:v>
                </c:pt>
                <c:pt idx="1">
                  <c:v>98.479629516601563</c:v>
                </c:pt>
                <c:pt idx="2">
                  <c:v>92.706459045410156</c:v>
                </c:pt>
                <c:pt idx="3">
                  <c:v>87.413429260253906</c:v>
                </c:pt>
                <c:pt idx="4">
                  <c:v>82.660682678222656</c:v>
                </c:pt>
                <c:pt idx="5">
                  <c:v>78.284286499023438</c:v>
                </c:pt>
                <c:pt idx="6">
                  <c:v>74.062919616699219</c:v>
                </c:pt>
                <c:pt idx="7">
                  <c:v>70.749809265136719</c:v>
                </c:pt>
                <c:pt idx="8">
                  <c:v>68.57098388671875</c:v>
                </c:pt>
                <c:pt idx="9">
                  <c:v>66.4552001953125</c:v>
                </c:pt>
                <c:pt idx="10">
                  <c:v>64.656791687011719</c:v>
                </c:pt>
                <c:pt idx="11">
                  <c:v>62.559169769287109</c:v>
                </c:pt>
                <c:pt idx="12">
                  <c:v>59.810138702392578</c:v>
                </c:pt>
                <c:pt idx="13">
                  <c:v>57.320663452148438</c:v>
                </c:pt>
                <c:pt idx="14">
                  <c:v>55.822067260742188</c:v>
                </c:pt>
                <c:pt idx="15">
                  <c:v>56.538337707519531</c:v>
                </c:pt>
                <c:pt idx="16">
                  <c:v>60.184284210205078</c:v>
                </c:pt>
                <c:pt idx="17">
                  <c:v>65.436058044433594</c:v>
                </c:pt>
                <c:pt idx="18">
                  <c:v>71.331771850585938</c:v>
                </c:pt>
                <c:pt idx="19">
                  <c:v>77.482246398925781</c:v>
                </c:pt>
                <c:pt idx="20">
                  <c:v>82.433013916015625</c:v>
                </c:pt>
                <c:pt idx="21">
                  <c:v>85.10345458984375</c:v>
                </c:pt>
                <c:pt idx="22">
                  <c:v>85.009361267089844</c:v>
                </c:pt>
                <c:pt idx="23">
                  <c:v>82.212203979492188</c:v>
                </c:pt>
                <c:pt idx="24">
                  <c:v>77.546882629394531</c:v>
                </c:pt>
                <c:pt idx="25">
                  <c:v>72.504989624023438</c:v>
                </c:pt>
                <c:pt idx="26">
                  <c:v>67.593467712402344</c:v>
                </c:pt>
                <c:pt idx="27">
                  <c:v>62.511547088623047</c:v>
                </c:pt>
                <c:pt idx="28">
                  <c:v>56.121875762939453</c:v>
                </c:pt>
                <c:pt idx="29">
                  <c:v>49.225677490234375</c:v>
                </c:pt>
                <c:pt idx="30">
                  <c:v>42.148689270019531</c:v>
                </c:pt>
                <c:pt idx="31">
                  <c:v>35.860572814941406</c:v>
                </c:pt>
                <c:pt idx="32">
                  <c:v>30.322669982910156</c:v>
                </c:pt>
                <c:pt idx="33">
                  <c:v>26.107429504394531</c:v>
                </c:pt>
                <c:pt idx="34">
                  <c:v>23.192209243774414</c:v>
                </c:pt>
                <c:pt idx="35">
                  <c:v>21.425365447998047</c:v>
                </c:pt>
                <c:pt idx="36">
                  <c:v>20.400728225708008</c:v>
                </c:pt>
                <c:pt idx="37">
                  <c:v>19.437068939208984</c:v>
                </c:pt>
                <c:pt idx="38">
                  <c:v>18.66425895690918</c:v>
                </c:pt>
                <c:pt idx="39">
                  <c:v>18.006952285766602</c:v>
                </c:pt>
                <c:pt idx="40">
                  <c:v>17.643739700317383</c:v>
                </c:pt>
                <c:pt idx="41">
                  <c:v>17.206785202026367</c:v>
                </c:pt>
                <c:pt idx="42">
                  <c:v>16.636119842529297</c:v>
                </c:pt>
                <c:pt idx="43">
                  <c:v>16.478437423706055</c:v>
                </c:pt>
                <c:pt idx="44">
                  <c:v>16.090293884277344</c:v>
                </c:pt>
                <c:pt idx="45">
                  <c:v>15.756722450256348</c:v>
                </c:pt>
                <c:pt idx="46">
                  <c:v>15.849813461303711</c:v>
                </c:pt>
                <c:pt idx="47">
                  <c:v>16.182376861572266</c:v>
                </c:pt>
                <c:pt idx="48">
                  <c:v>16.263711929321289</c:v>
                </c:pt>
                <c:pt idx="49">
                  <c:v>16.826417922973633</c:v>
                </c:pt>
                <c:pt idx="50">
                  <c:v>17.855354309082031</c:v>
                </c:pt>
                <c:pt idx="51">
                  <c:v>19.003501892089844</c:v>
                </c:pt>
                <c:pt idx="52">
                  <c:v>20.281196594238281</c:v>
                </c:pt>
                <c:pt idx="53">
                  <c:v>21.537256240844727</c:v>
                </c:pt>
                <c:pt idx="54">
                  <c:v>23.109228134155273</c:v>
                </c:pt>
                <c:pt idx="55">
                  <c:v>24.9923095703125</c:v>
                </c:pt>
                <c:pt idx="56">
                  <c:v>27.006404876708984</c:v>
                </c:pt>
                <c:pt idx="57">
                  <c:v>29.074251174926758</c:v>
                </c:pt>
                <c:pt idx="58">
                  <c:v>31.332302093505859</c:v>
                </c:pt>
                <c:pt idx="59">
                  <c:v>33.528919219970703</c:v>
                </c:pt>
                <c:pt idx="60">
                  <c:v>35.107936859130859</c:v>
                </c:pt>
                <c:pt idx="61">
                  <c:v>36.332569122314453</c:v>
                </c:pt>
                <c:pt idx="62">
                  <c:v>37.106430053710938</c:v>
                </c:pt>
                <c:pt idx="63">
                  <c:v>37.693153381347656</c:v>
                </c:pt>
                <c:pt idx="64">
                  <c:v>37.827827453613281</c:v>
                </c:pt>
                <c:pt idx="65">
                  <c:v>37.336071014404297</c:v>
                </c:pt>
                <c:pt idx="66">
                  <c:v>36.455116271972656</c:v>
                </c:pt>
                <c:pt idx="67">
                  <c:v>34.715309143066406</c:v>
                </c:pt>
                <c:pt idx="68">
                  <c:v>32.700893402099609</c:v>
                </c:pt>
                <c:pt idx="69">
                  <c:v>30.275873184204102</c:v>
                </c:pt>
                <c:pt idx="70">
                  <c:v>27.807899475097656</c:v>
                </c:pt>
                <c:pt idx="71">
                  <c:v>25.432924270629883</c:v>
                </c:pt>
                <c:pt idx="72">
                  <c:v>22.913074493408203</c:v>
                </c:pt>
                <c:pt idx="73">
                  <c:v>20.198810577392578</c:v>
                </c:pt>
                <c:pt idx="74">
                  <c:v>17.834447860717773</c:v>
                </c:pt>
                <c:pt idx="75">
                  <c:v>15.802192687988281</c:v>
                </c:pt>
                <c:pt idx="76">
                  <c:v>13.78411865234375</c:v>
                </c:pt>
                <c:pt idx="77">
                  <c:v>11.99284553527832</c:v>
                </c:pt>
                <c:pt idx="78">
                  <c:v>10.730291366577148</c:v>
                </c:pt>
                <c:pt idx="79">
                  <c:v>9.8607749938964844</c:v>
                </c:pt>
                <c:pt idx="80">
                  <c:v>8.5264930725097656</c:v>
                </c:pt>
                <c:pt idx="81">
                  <c:v>7.674863338470459</c:v>
                </c:pt>
                <c:pt idx="82">
                  <c:v>7.6666746139526367</c:v>
                </c:pt>
                <c:pt idx="83">
                  <c:v>7.5534567832946777</c:v>
                </c:pt>
                <c:pt idx="84">
                  <c:v>7.2751455307006836</c:v>
                </c:pt>
                <c:pt idx="85">
                  <c:v>7.2703423500061035</c:v>
                </c:pt>
                <c:pt idx="86">
                  <c:v>7.2409286499023438</c:v>
                </c:pt>
                <c:pt idx="87">
                  <c:v>7.1558432579040527</c:v>
                </c:pt>
                <c:pt idx="88">
                  <c:v>7.440284252166748</c:v>
                </c:pt>
                <c:pt idx="89">
                  <c:v>7.9468154907226563</c:v>
                </c:pt>
                <c:pt idx="90">
                  <c:v>7.9263219833374023</c:v>
                </c:pt>
                <c:pt idx="91">
                  <c:v>7.6314973831176758</c:v>
                </c:pt>
                <c:pt idx="92">
                  <c:v>8.267486572265625</c:v>
                </c:pt>
                <c:pt idx="93">
                  <c:v>8.6822080612182617</c:v>
                </c:pt>
                <c:pt idx="94">
                  <c:v>8.295710563659668</c:v>
                </c:pt>
                <c:pt idx="95">
                  <c:v>8.5578737258911133</c:v>
                </c:pt>
                <c:pt idx="96">
                  <c:v>8.9492197036743164</c:v>
                </c:pt>
                <c:pt idx="97">
                  <c:v>8.9787712097167969</c:v>
                </c:pt>
                <c:pt idx="98">
                  <c:v>9.149627685546875</c:v>
                </c:pt>
                <c:pt idx="99">
                  <c:v>9.4624757766723633</c:v>
                </c:pt>
                <c:pt idx="100">
                  <c:v>10.055418968200684</c:v>
                </c:pt>
                <c:pt idx="101">
                  <c:v>10.352943420410156</c:v>
                </c:pt>
                <c:pt idx="102">
                  <c:v>10.695845603942871</c:v>
                </c:pt>
                <c:pt idx="103">
                  <c:v>11.217884063720703</c:v>
                </c:pt>
                <c:pt idx="104">
                  <c:v>10.980195045471191</c:v>
                </c:pt>
                <c:pt idx="105">
                  <c:v>11.403973579406738</c:v>
                </c:pt>
                <c:pt idx="106">
                  <c:v>12.040420532226563</c:v>
                </c:pt>
                <c:pt idx="107">
                  <c:v>12.126283645629883</c:v>
                </c:pt>
                <c:pt idx="108">
                  <c:v>12.681670188903809</c:v>
                </c:pt>
                <c:pt idx="109">
                  <c:v>12.810304641723633</c:v>
                </c:pt>
                <c:pt idx="110">
                  <c:v>13.226856231689453</c:v>
                </c:pt>
                <c:pt idx="111">
                  <c:v>14.053143501281738</c:v>
                </c:pt>
                <c:pt idx="112">
                  <c:v>14.248061180114746</c:v>
                </c:pt>
                <c:pt idx="113">
                  <c:v>14.577789306640625</c:v>
                </c:pt>
                <c:pt idx="114">
                  <c:v>14.761317253112793</c:v>
                </c:pt>
                <c:pt idx="115">
                  <c:v>15.070643424987793</c:v>
                </c:pt>
                <c:pt idx="116">
                  <c:v>15.550139427185059</c:v>
                </c:pt>
                <c:pt idx="117">
                  <c:v>15.853289604187012</c:v>
                </c:pt>
                <c:pt idx="118">
                  <c:v>16.677244186401367</c:v>
                </c:pt>
                <c:pt idx="119">
                  <c:v>17.795017242431641</c:v>
                </c:pt>
                <c:pt idx="120">
                  <c:v>18.481416702270508</c:v>
                </c:pt>
                <c:pt idx="121">
                  <c:v>19.141696929931641</c:v>
                </c:pt>
                <c:pt idx="122">
                  <c:v>19.582630157470703</c:v>
                </c:pt>
                <c:pt idx="123">
                  <c:v>19.804216384887695</c:v>
                </c:pt>
                <c:pt idx="124">
                  <c:v>20.31879997253418</c:v>
                </c:pt>
                <c:pt idx="125">
                  <c:v>21.005702972412109</c:v>
                </c:pt>
                <c:pt idx="126">
                  <c:v>21.61822509765625</c:v>
                </c:pt>
                <c:pt idx="127">
                  <c:v>22.588470458984375</c:v>
                </c:pt>
                <c:pt idx="128">
                  <c:v>23.372489929199219</c:v>
                </c:pt>
                <c:pt idx="129">
                  <c:v>24.506685256958008</c:v>
                </c:pt>
                <c:pt idx="130">
                  <c:v>25.598428726196289</c:v>
                </c:pt>
                <c:pt idx="131">
                  <c:v>25.876373291015625</c:v>
                </c:pt>
                <c:pt idx="132">
                  <c:v>26.513277053833008</c:v>
                </c:pt>
                <c:pt idx="133">
                  <c:v>27.88630485534668</c:v>
                </c:pt>
                <c:pt idx="134">
                  <c:v>28.019468307495117</c:v>
                </c:pt>
                <c:pt idx="135">
                  <c:v>28.482267379760742</c:v>
                </c:pt>
                <c:pt idx="136">
                  <c:v>35.043296813964844</c:v>
                </c:pt>
                <c:pt idx="137">
                  <c:v>37.930889129638672</c:v>
                </c:pt>
                <c:pt idx="138">
                  <c:v>32.566082000732422</c:v>
                </c:pt>
                <c:pt idx="139">
                  <c:v>28.943466186523438</c:v>
                </c:pt>
                <c:pt idx="140">
                  <c:v>28.971736907958984</c:v>
                </c:pt>
                <c:pt idx="141">
                  <c:v>28.326370239257813</c:v>
                </c:pt>
                <c:pt idx="142">
                  <c:v>28.461545944213867</c:v>
                </c:pt>
                <c:pt idx="143">
                  <c:v>30.672250747680664</c:v>
                </c:pt>
                <c:pt idx="144">
                  <c:v>31.807041168212891</c:v>
                </c:pt>
                <c:pt idx="145">
                  <c:v>31.136560440063477</c:v>
                </c:pt>
                <c:pt idx="146">
                  <c:v>33.333999633789063</c:v>
                </c:pt>
                <c:pt idx="147">
                  <c:v>33.891307830810547</c:v>
                </c:pt>
                <c:pt idx="148">
                  <c:v>31.993816375732422</c:v>
                </c:pt>
                <c:pt idx="149">
                  <c:v>32.094959259033203</c:v>
                </c:pt>
                <c:pt idx="150">
                  <c:v>33.815143585205078</c:v>
                </c:pt>
                <c:pt idx="151">
                  <c:v>33.704898834228516</c:v>
                </c:pt>
                <c:pt idx="152">
                  <c:v>33.008571624755859</c:v>
                </c:pt>
                <c:pt idx="153">
                  <c:v>31.484724044799805</c:v>
                </c:pt>
                <c:pt idx="154">
                  <c:v>30.6865234375</c:v>
                </c:pt>
                <c:pt idx="155">
                  <c:v>29.393320083618164</c:v>
                </c:pt>
                <c:pt idx="156">
                  <c:v>27.206584930419922</c:v>
                </c:pt>
                <c:pt idx="157">
                  <c:v>26.203083038330078</c:v>
                </c:pt>
                <c:pt idx="158">
                  <c:v>26.310583114624023</c:v>
                </c:pt>
                <c:pt idx="159">
                  <c:v>25.126663208007813</c:v>
                </c:pt>
                <c:pt idx="160">
                  <c:v>23.756607055664063</c:v>
                </c:pt>
                <c:pt idx="161">
                  <c:v>24.268720626831055</c:v>
                </c:pt>
                <c:pt idx="162">
                  <c:v>24.37983512878418</c:v>
                </c:pt>
                <c:pt idx="163">
                  <c:v>23.298612594604492</c:v>
                </c:pt>
                <c:pt idx="164">
                  <c:v>23.678476333618164</c:v>
                </c:pt>
                <c:pt idx="165">
                  <c:v>24.448406219482422</c:v>
                </c:pt>
                <c:pt idx="166">
                  <c:v>23.920419692993164</c:v>
                </c:pt>
                <c:pt idx="167">
                  <c:v>24.866191864013672</c:v>
                </c:pt>
                <c:pt idx="168">
                  <c:v>25.525007247924805</c:v>
                </c:pt>
                <c:pt idx="169">
                  <c:v>25.708215713500977</c:v>
                </c:pt>
                <c:pt idx="170">
                  <c:v>24.388936996459961</c:v>
                </c:pt>
                <c:pt idx="171">
                  <c:v>22.798805236816406</c:v>
                </c:pt>
                <c:pt idx="172">
                  <c:v>21.498052597045898</c:v>
                </c:pt>
                <c:pt idx="173">
                  <c:v>19.008350372314453</c:v>
                </c:pt>
                <c:pt idx="174">
                  <c:v>16.437816619873047</c:v>
                </c:pt>
                <c:pt idx="175">
                  <c:v>12.959066390991211</c:v>
                </c:pt>
                <c:pt idx="176">
                  <c:v>11.124153137207031</c:v>
                </c:pt>
                <c:pt idx="177">
                  <c:v>9.9491081237792969</c:v>
                </c:pt>
                <c:pt idx="178">
                  <c:v>7.8562870025634766</c:v>
                </c:pt>
                <c:pt idx="179">
                  <c:v>6.9692964553833008</c:v>
                </c:pt>
                <c:pt idx="180">
                  <c:v>6.5145478248596191</c:v>
                </c:pt>
                <c:pt idx="181">
                  <c:v>5.585472583770752</c:v>
                </c:pt>
                <c:pt idx="182">
                  <c:v>5.2723956108093262</c:v>
                </c:pt>
                <c:pt idx="183">
                  <c:v>5.5650701522827148</c:v>
                </c:pt>
                <c:pt idx="184">
                  <c:v>4.768425464630127</c:v>
                </c:pt>
                <c:pt idx="185">
                  <c:v>3.7286934852600098</c:v>
                </c:pt>
                <c:pt idx="186">
                  <c:v>3.5785136222839355</c:v>
                </c:pt>
                <c:pt idx="187">
                  <c:v>3.8398532867431641</c:v>
                </c:pt>
                <c:pt idx="188">
                  <c:v>4.9855756759643555</c:v>
                </c:pt>
                <c:pt idx="189">
                  <c:v>4.7595510482788086</c:v>
                </c:pt>
                <c:pt idx="190">
                  <c:v>4.8289918899536133</c:v>
                </c:pt>
                <c:pt idx="191">
                  <c:v>5.2049217224121094</c:v>
                </c:pt>
                <c:pt idx="192">
                  <c:v>5.1283450126647949</c:v>
                </c:pt>
                <c:pt idx="193">
                  <c:v>5.2054252624511719</c:v>
                </c:pt>
                <c:pt idx="194">
                  <c:v>4.809596061706543</c:v>
                </c:pt>
                <c:pt idx="195">
                  <c:v>5.3511676788330078</c:v>
                </c:pt>
                <c:pt idx="196">
                  <c:v>4.474790096282959</c:v>
                </c:pt>
                <c:pt idx="197">
                  <c:v>4.0067758560180664</c:v>
                </c:pt>
                <c:pt idx="198">
                  <c:v>4.1810173988342285</c:v>
                </c:pt>
                <c:pt idx="199">
                  <c:v>4.7202563285827637</c:v>
                </c:pt>
                <c:pt idx="200">
                  <c:v>4.4700326919555664</c:v>
                </c:pt>
                <c:pt idx="201">
                  <c:v>4.9494833946228027</c:v>
                </c:pt>
                <c:pt idx="202">
                  <c:v>5.4631052017211914</c:v>
                </c:pt>
                <c:pt idx="203">
                  <c:v>4.1328024864196777</c:v>
                </c:pt>
                <c:pt idx="204">
                  <c:v>4.2161951065063477</c:v>
                </c:pt>
                <c:pt idx="205">
                  <c:v>3.7890307903289795</c:v>
                </c:pt>
                <c:pt idx="206">
                  <c:v>4.4256601333618164</c:v>
                </c:pt>
                <c:pt idx="207">
                  <c:v>3.8951129913330078</c:v>
                </c:pt>
                <c:pt idx="208">
                  <c:v>4.1918134689331055</c:v>
                </c:pt>
                <c:pt idx="209">
                  <c:v>3.727961540222168</c:v>
                </c:pt>
                <c:pt idx="210">
                  <c:v>4.1880621910095215</c:v>
                </c:pt>
                <c:pt idx="211">
                  <c:v>5.7456245422363281</c:v>
                </c:pt>
                <c:pt idx="212">
                  <c:v>4.6338448524475098</c:v>
                </c:pt>
                <c:pt idx="213">
                  <c:v>4.0312490463256836</c:v>
                </c:pt>
                <c:pt idx="214">
                  <c:v>3.1097671985626221</c:v>
                </c:pt>
                <c:pt idx="215">
                  <c:v>3.3556909561157227</c:v>
                </c:pt>
                <c:pt idx="216">
                  <c:v>3.3364324569702148</c:v>
                </c:pt>
                <c:pt idx="217">
                  <c:v>3.8275022506713867</c:v>
                </c:pt>
                <c:pt idx="218">
                  <c:v>4.2452888488769531</c:v>
                </c:pt>
                <c:pt idx="219">
                  <c:v>3.5130529403686523</c:v>
                </c:pt>
                <c:pt idx="220">
                  <c:v>4.2679781913757324</c:v>
                </c:pt>
                <c:pt idx="221">
                  <c:v>4.8881855010986328</c:v>
                </c:pt>
                <c:pt idx="222">
                  <c:v>6.5150966644287109</c:v>
                </c:pt>
                <c:pt idx="223">
                  <c:v>5.4253201484680176</c:v>
                </c:pt>
                <c:pt idx="224">
                  <c:v>2</c:v>
                </c:pt>
                <c:pt idx="225">
                  <c:v>4.7030563354492188</c:v>
                </c:pt>
              </c:numCache>
            </c:numRef>
          </c:yVal>
          <c:smooth val="1"/>
          <c:extLst>
            <c:ext xmlns:c15="http://schemas.microsoft.com/office/drawing/2012/chart" uri="{02D57815-91ED-43cb-92C2-25804820EDAC}">
              <c15:datalabelsRange>
                <c15:f>PeakLabels!$D$2:$D$300</c15:f>
                <c15:dlblRangeCache>
                  <c:ptCount val="299"/>
                  <c:pt idx="21">
                    <c:v>232</c:v>
                  </c:pt>
                  <c:pt idx="64">
                    <c:v>318</c:v>
                  </c:pt>
                  <c:pt idx="93">
                    <c:v>376</c:v>
                  </c:pt>
                  <c:pt idx="103">
                    <c:v>396</c:v>
                  </c:pt>
                  <c:pt idx="137">
                    <c:v>464</c:v>
                  </c:pt>
                  <c:pt idx="147">
                    <c:v>484</c:v>
                  </c:pt>
                  <c:pt idx="158">
                    <c:v>506</c:v>
                  </c:pt>
                  <c:pt idx="169">
                    <c:v>528</c:v>
                  </c:pt>
                </c15:dlblRangeCache>
              </c15:datalabelsRange>
            </c:ext>
            <c:ext xmlns:c16="http://schemas.microsoft.com/office/drawing/2014/chart" uri="{C3380CC4-5D6E-409C-BE32-E72D297353CC}">
              <c16:uniqueId val="{00000000-E32E-4E94-AD62-9B15C91FD271}"/>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1195C089-DB05-45DA-ABEF-7DA68775008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2E-4E94-AD62-9B15C91FD271}"/>
                </c:ext>
              </c:extLst>
            </c:dLbl>
            <c:dLbl>
              <c:idx val="1"/>
              <c:tx>
                <c:rich>
                  <a:bodyPr/>
                  <a:lstStyle/>
                  <a:p>
                    <a:fld id="{4F1D3410-8A5A-4271-A07F-3A7882539F04}"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32E-4E94-AD62-9B15C91FD271}"/>
                </c:ext>
              </c:extLst>
            </c:dLbl>
            <c:dLbl>
              <c:idx val="2"/>
              <c:tx>
                <c:rich>
                  <a:bodyPr/>
                  <a:lstStyle/>
                  <a:p>
                    <a:fld id="{AF39411F-C63B-4E1B-96B5-4E1B196A972C}"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32E-4E94-AD62-9B15C91FD271}"/>
                </c:ext>
              </c:extLst>
            </c:dLbl>
            <c:dLbl>
              <c:idx val="3"/>
              <c:tx>
                <c:rich>
                  <a:bodyPr/>
                  <a:lstStyle/>
                  <a:p>
                    <a:fld id="{248BDE14-2206-43AA-8CEE-69394FD6DBE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32E-4E94-AD62-9B15C91FD271}"/>
                </c:ext>
              </c:extLst>
            </c:dLbl>
            <c:dLbl>
              <c:idx val="4"/>
              <c:tx>
                <c:rich>
                  <a:bodyPr/>
                  <a:lstStyle/>
                  <a:p>
                    <a:fld id="{3EC8C4DC-C73E-43C8-B1B7-B883540501F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32E-4E94-AD62-9B15C91FD271}"/>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E32E-4E94-AD62-9B15C91FD271}"/>
            </c:ext>
          </c:extLst>
        </c:ser>
        <c:dLbls>
          <c:showLegendKey val="0"/>
          <c:showVal val="0"/>
          <c:showCatName val="0"/>
          <c:showSerName val="0"/>
          <c:showPercent val="0"/>
          <c:showBubbleSize val="0"/>
        </c:dLbls>
        <c:axId val="1569265744"/>
        <c:axId val="1569266288"/>
      </c:scatterChart>
      <c:valAx>
        <c:axId val="156926574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6288"/>
        <c:crossesAt val="0"/>
        <c:crossBetween val="midCat"/>
        <c:majorUnit val="100"/>
      </c:valAx>
      <c:valAx>
        <c:axId val="1569266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574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66270B1F-9801-48E4-8DEF-4D9ADD76ED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209-40F3-AD75-43F7E998C017}"/>
                </c:ext>
              </c:extLst>
            </c:dLbl>
            <c:dLbl>
              <c:idx val="1"/>
              <c:tx>
                <c:rich>
                  <a:bodyPr/>
                  <a:lstStyle/>
                  <a:p>
                    <a:fld id="{B8DF9DF0-1A6B-43DA-8D5C-3525B91ABE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209-40F3-AD75-43F7E998C017}"/>
                </c:ext>
              </c:extLst>
            </c:dLbl>
            <c:dLbl>
              <c:idx val="2"/>
              <c:tx>
                <c:rich>
                  <a:bodyPr/>
                  <a:lstStyle/>
                  <a:p>
                    <a:fld id="{7FFFADA6-A6C2-48D1-86E2-B400F74A06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209-40F3-AD75-43F7E998C017}"/>
                </c:ext>
              </c:extLst>
            </c:dLbl>
            <c:dLbl>
              <c:idx val="3"/>
              <c:tx>
                <c:rich>
                  <a:bodyPr/>
                  <a:lstStyle/>
                  <a:p>
                    <a:fld id="{60CEB579-D531-48CC-ABD6-EFE5F0F799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209-40F3-AD75-43F7E998C017}"/>
                </c:ext>
              </c:extLst>
            </c:dLbl>
            <c:dLbl>
              <c:idx val="4"/>
              <c:tx>
                <c:rich>
                  <a:bodyPr/>
                  <a:lstStyle/>
                  <a:p>
                    <a:fld id="{607927D5-55C5-4498-8CF8-201CB70B15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209-40F3-AD75-43F7E998C017}"/>
                </c:ext>
              </c:extLst>
            </c:dLbl>
            <c:dLbl>
              <c:idx val="5"/>
              <c:tx>
                <c:rich>
                  <a:bodyPr/>
                  <a:lstStyle/>
                  <a:p>
                    <a:fld id="{95A35F0C-6A2D-4A48-A4B5-5974613589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209-40F3-AD75-43F7E998C017}"/>
                </c:ext>
              </c:extLst>
            </c:dLbl>
            <c:dLbl>
              <c:idx val="6"/>
              <c:tx>
                <c:rich>
                  <a:bodyPr/>
                  <a:lstStyle/>
                  <a:p>
                    <a:fld id="{989BDCB9-6013-43C6-B479-1FB46AAC99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209-40F3-AD75-43F7E998C017}"/>
                </c:ext>
              </c:extLst>
            </c:dLbl>
            <c:dLbl>
              <c:idx val="7"/>
              <c:tx>
                <c:rich>
                  <a:bodyPr/>
                  <a:lstStyle/>
                  <a:p>
                    <a:fld id="{3E54884E-B7A3-4593-A7F4-B3FFA7A6A2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209-40F3-AD75-43F7E998C017}"/>
                </c:ext>
              </c:extLst>
            </c:dLbl>
            <c:dLbl>
              <c:idx val="8"/>
              <c:tx>
                <c:rich>
                  <a:bodyPr/>
                  <a:lstStyle/>
                  <a:p>
                    <a:fld id="{BE84B15F-2FB8-4A77-A6A1-C614CB17D3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209-40F3-AD75-43F7E998C017}"/>
                </c:ext>
              </c:extLst>
            </c:dLbl>
            <c:dLbl>
              <c:idx val="9"/>
              <c:tx>
                <c:rich>
                  <a:bodyPr/>
                  <a:lstStyle/>
                  <a:p>
                    <a:fld id="{E5A5AB6F-B8D9-497B-B190-0ED51107F4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209-40F3-AD75-43F7E998C017}"/>
                </c:ext>
              </c:extLst>
            </c:dLbl>
            <c:dLbl>
              <c:idx val="10"/>
              <c:tx>
                <c:rich>
                  <a:bodyPr/>
                  <a:lstStyle/>
                  <a:p>
                    <a:fld id="{91B172C4-8491-4FEB-885C-5D706241FC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209-40F3-AD75-43F7E998C017}"/>
                </c:ext>
              </c:extLst>
            </c:dLbl>
            <c:dLbl>
              <c:idx val="11"/>
              <c:tx>
                <c:rich>
                  <a:bodyPr/>
                  <a:lstStyle/>
                  <a:p>
                    <a:fld id="{E0533792-FF40-46AD-ADD7-DA159704A4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209-40F3-AD75-43F7E998C017}"/>
                </c:ext>
              </c:extLst>
            </c:dLbl>
            <c:dLbl>
              <c:idx val="12"/>
              <c:tx>
                <c:rich>
                  <a:bodyPr/>
                  <a:lstStyle/>
                  <a:p>
                    <a:fld id="{61CBAF87-0D11-4E43-B2CE-9C25BFD125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209-40F3-AD75-43F7E998C017}"/>
                </c:ext>
              </c:extLst>
            </c:dLbl>
            <c:dLbl>
              <c:idx val="13"/>
              <c:tx>
                <c:rich>
                  <a:bodyPr/>
                  <a:lstStyle/>
                  <a:p>
                    <a:fld id="{01FD10DD-0840-4B8B-980D-64E441ED4C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B209-40F3-AD75-43F7E998C017}"/>
                </c:ext>
              </c:extLst>
            </c:dLbl>
            <c:dLbl>
              <c:idx val="14"/>
              <c:tx>
                <c:rich>
                  <a:bodyPr/>
                  <a:lstStyle/>
                  <a:p>
                    <a:fld id="{B333BD80-AB19-432C-8483-1F8DF7E660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209-40F3-AD75-43F7E998C017}"/>
                </c:ext>
              </c:extLst>
            </c:dLbl>
            <c:dLbl>
              <c:idx val="15"/>
              <c:tx>
                <c:rich>
                  <a:bodyPr/>
                  <a:lstStyle/>
                  <a:p>
                    <a:fld id="{25B2AA9B-6C35-4D4B-9806-C2597236A1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B209-40F3-AD75-43F7E998C017}"/>
                </c:ext>
              </c:extLst>
            </c:dLbl>
            <c:dLbl>
              <c:idx val="16"/>
              <c:tx>
                <c:rich>
                  <a:bodyPr/>
                  <a:lstStyle/>
                  <a:p>
                    <a:fld id="{E5AFC3C0-8146-458D-A70B-395D7BBDB4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209-40F3-AD75-43F7E998C017}"/>
                </c:ext>
              </c:extLst>
            </c:dLbl>
            <c:dLbl>
              <c:idx val="17"/>
              <c:tx>
                <c:rich>
                  <a:bodyPr/>
                  <a:lstStyle/>
                  <a:p>
                    <a:fld id="{7658DF4E-4744-4F89-8E45-6EA8A9C8A8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B209-40F3-AD75-43F7E998C017}"/>
                </c:ext>
              </c:extLst>
            </c:dLbl>
            <c:dLbl>
              <c:idx val="18"/>
              <c:tx>
                <c:rich>
                  <a:bodyPr/>
                  <a:lstStyle/>
                  <a:p>
                    <a:fld id="{75584BBE-D1E6-4FB7-B621-61EBDF8A19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209-40F3-AD75-43F7E998C017}"/>
                </c:ext>
              </c:extLst>
            </c:dLbl>
            <c:dLbl>
              <c:idx val="19"/>
              <c:tx>
                <c:rich>
                  <a:bodyPr/>
                  <a:lstStyle/>
                  <a:p>
                    <a:fld id="{B4BE3D04-52B8-4BD3-9E98-B18BACDCC4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B209-40F3-AD75-43F7E998C017}"/>
                </c:ext>
              </c:extLst>
            </c:dLbl>
            <c:dLbl>
              <c:idx val="20"/>
              <c:tx>
                <c:rich>
                  <a:bodyPr/>
                  <a:lstStyle/>
                  <a:p>
                    <a:fld id="{225FE8E5-56AC-45AE-B6F4-79CB639773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B209-40F3-AD75-43F7E998C017}"/>
                </c:ext>
              </c:extLst>
            </c:dLbl>
            <c:dLbl>
              <c:idx val="21"/>
              <c:tx>
                <c:rich>
                  <a:bodyPr/>
                  <a:lstStyle/>
                  <a:p>
                    <a:fld id="{08B55B92-BAEB-41A4-A829-3D4F2F909E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B209-40F3-AD75-43F7E998C017}"/>
                </c:ext>
              </c:extLst>
            </c:dLbl>
            <c:dLbl>
              <c:idx val="22"/>
              <c:tx>
                <c:rich>
                  <a:bodyPr/>
                  <a:lstStyle/>
                  <a:p>
                    <a:fld id="{C37DBFBA-C82E-4FC1-BD13-E8D732416B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B209-40F3-AD75-43F7E998C017}"/>
                </c:ext>
              </c:extLst>
            </c:dLbl>
            <c:dLbl>
              <c:idx val="23"/>
              <c:tx>
                <c:rich>
                  <a:bodyPr/>
                  <a:lstStyle/>
                  <a:p>
                    <a:fld id="{22939684-67E6-4A8C-81BA-60756A3D09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B209-40F3-AD75-43F7E998C017}"/>
                </c:ext>
              </c:extLst>
            </c:dLbl>
            <c:dLbl>
              <c:idx val="24"/>
              <c:tx>
                <c:rich>
                  <a:bodyPr/>
                  <a:lstStyle/>
                  <a:p>
                    <a:fld id="{9B9DD4BE-A254-441C-A751-47AC180E0B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B209-40F3-AD75-43F7E998C017}"/>
                </c:ext>
              </c:extLst>
            </c:dLbl>
            <c:dLbl>
              <c:idx val="25"/>
              <c:tx>
                <c:rich>
                  <a:bodyPr/>
                  <a:lstStyle/>
                  <a:p>
                    <a:fld id="{5AFF5EAB-2C97-41B1-9BBE-42AAE2E120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B209-40F3-AD75-43F7E998C017}"/>
                </c:ext>
              </c:extLst>
            </c:dLbl>
            <c:dLbl>
              <c:idx val="26"/>
              <c:tx>
                <c:rich>
                  <a:bodyPr/>
                  <a:lstStyle/>
                  <a:p>
                    <a:fld id="{354FE1F0-9E2E-4BD4-A045-7652D51807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B209-40F3-AD75-43F7E998C017}"/>
                </c:ext>
              </c:extLst>
            </c:dLbl>
            <c:dLbl>
              <c:idx val="27"/>
              <c:tx>
                <c:rich>
                  <a:bodyPr/>
                  <a:lstStyle/>
                  <a:p>
                    <a:fld id="{4BCD149B-D20D-471C-B513-0CA5FA7507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B209-40F3-AD75-43F7E998C017}"/>
                </c:ext>
              </c:extLst>
            </c:dLbl>
            <c:dLbl>
              <c:idx val="28"/>
              <c:tx>
                <c:rich>
                  <a:bodyPr/>
                  <a:lstStyle/>
                  <a:p>
                    <a:fld id="{7C26103D-46C2-46A1-A850-1275727B7E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B209-40F3-AD75-43F7E998C017}"/>
                </c:ext>
              </c:extLst>
            </c:dLbl>
            <c:dLbl>
              <c:idx val="29"/>
              <c:tx>
                <c:rich>
                  <a:bodyPr/>
                  <a:lstStyle/>
                  <a:p>
                    <a:fld id="{AD12AD97-3D2A-4940-BB3E-40063256DB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B209-40F3-AD75-43F7E998C017}"/>
                </c:ext>
              </c:extLst>
            </c:dLbl>
            <c:dLbl>
              <c:idx val="30"/>
              <c:tx>
                <c:rich>
                  <a:bodyPr/>
                  <a:lstStyle/>
                  <a:p>
                    <a:fld id="{AF0A7E4E-577E-4A53-9371-956BCBBD4C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B209-40F3-AD75-43F7E998C017}"/>
                </c:ext>
              </c:extLst>
            </c:dLbl>
            <c:dLbl>
              <c:idx val="31"/>
              <c:tx>
                <c:rich>
                  <a:bodyPr/>
                  <a:lstStyle/>
                  <a:p>
                    <a:fld id="{D0AA0170-CFBE-4E9E-AFE2-75701DAB62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B209-40F3-AD75-43F7E998C017}"/>
                </c:ext>
              </c:extLst>
            </c:dLbl>
            <c:dLbl>
              <c:idx val="32"/>
              <c:tx>
                <c:rich>
                  <a:bodyPr/>
                  <a:lstStyle/>
                  <a:p>
                    <a:fld id="{7546CDF4-AC26-452E-B8A9-43947CC88D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B209-40F3-AD75-43F7E998C017}"/>
                </c:ext>
              </c:extLst>
            </c:dLbl>
            <c:dLbl>
              <c:idx val="33"/>
              <c:tx>
                <c:rich>
                  <a:bodyPr/>
                  <a:lstStyle/>
                  <a:p>
                    <a:fld id="{9411EC12-DCEA-4A3F-BF67-F1F430AA1E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B209-40F3-AD75-43F7E998C017}"/>
                </c:ext>
              </c:extLst>
            </c:dLbl>
            <c:dLbl>
              <c:idx val="34"/>
              <c:tx>
                <c:rich>
                  <a:bodyPr/>
                  <a:lstStyle/>
                  <a:p>
                    <a:fld id="{DFC9144A-193F-4599-A04C-B492761ABB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B209-40F3-AD75-43F7E998C017}"/>
                </c:ext>
              </c:extLst>
            </c:dLbl>
            <c:dLbl>
              <c:idx val="35"/>
              <c:tx>
                <c:rich>
                  <a:bodyPr/>
                  <a:lstStyle/>
                  <a:p>
                    <a:fld id="{9F325707-5AE4-489C-909B-CB09019F4C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B209-40F3-AD75-43F7E998C017}"/>
                </c:ext>
              </c:extLst>
            </c:dLbl>
            <c:dLbl>
              <c:idx val="36"/>
              <c:tx>
                <c:rich>
                  <a:bodyPr/>
                  <a:lstStyle/>
                  <a:p>
                    <a:fld id="{5FA838EF-07C3-4971-9CE9-37B2275957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B209-40F3-AD75-43F7E998C017}"/>
                </c:ext>
              </c:extLst>
            </c:dLbl>
            <c:dLbl>
              <c:idx val="37"/>
              <c:tx>
                <c:rich>
                  <a:bodyPr/>
                  <a:lstStyle/>
                  <a:p>
                    <a:fld id="{CE9B8DD3-1198-4D08-81FF-A1E178A154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B209-40F3-AD75-43F7E998C017}"/>
                </c:ext>
              </c:extLst>
            </c:dLbl>
            <c:dLbl>
              <c:idx val="38"/>
              <c:tx>
                <c:rich>
                  <a:bodyPr/>
                  <a:lstStyle/>
                  <a:p>
                    <a:fld id="{63864C1A-4D74-4C12-976C-382B4B6A89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B209-40F3-AD75-43F7E998C017}"/>
                </c:ext>
              </c:extLst>
            </c:dLbl>
            <c:dLbl>
              <c:idx val="39"/>
              <c:tx>
                <c:rich>
                  <a:bodyPr/>
                  <a:lstStyle/>
                  <a:p>
                    <a:fld id="{7BDC206A-BD17-4B93-BBDA-104E64DDA8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B209-40F3-AD75-43F7E998C017}"/>
                </c:ext>
              </c:extLst>
            </c:dLbl>
            <c:dLbl>
              <c:idx val="40"/>
              <c:tx>
                <c:rich>
                  <a:bodyPr/>
                  <a:lstStyle/>
                  <a:p>
                    <a:fld id="{E13FEC59-6C38-40B5-A983-FC0FEE61BB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B209-40F3-AD75-43F7E998C017}"/>
                </c:ext>
              </c:extLst>
            </c:dLbl>
            <c:dLbl>
              <c:idx val="41"/>
              <c:tx>
                <c:rich>
                  <a:bodyPr/>
                  <a:lstStyle/>
                  <a:p>
                    <a:fld id="{6578D031-B74F-4B3A-9577-EDF9610C37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B209-40F3-AD75-43F7E998C017}"/>
                </c:ext>
              </c:extLst>
            </c:dLbl>
            <c:dLbl>
              <c:idx val="42"/>
              <c:tx>
                <c:rich>
                  <a:bodyPr/>
                  <a:lstStyle/>
                  <a:p>
                    <a:fld id="{96591F9D-9D1A-4258-8377-65B887B8C3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B209-40F3-AD75-43F7E998C017}"/>
                </c:ext>
              </c:extLst>
            </c:dLbl>
            <c:dLbl>
              <c:idx val="43"/>
              <c:tx>
                <c:rich>
                  <a:bodyPr/>
                  <a:lstStyle/>
                  <a:p>
                    <a:fld id="{A6B46CC1-5D91-4DFE-B4F6-62F509CAF6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B209-40F3-AD75-43F7E998C017}"/>
                </c:ext>
              </c:extLst>
            </c:dLbl>
            <c:dLbl>
              <c:idx val="44"/>
              <c:tx>
                <c:rich>
                  <a:bodyPr/>
                  <a:lstStyle/>
                  <a:p>
                    <a:fld id="{61217086-C48B-4F78-B525-A3DDE37D2D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B209-40F3-AD75-43F7E998C017}"/>
                </c:ext>
              </c:extLst>
            </c:dLbl>
            <c:dLbl>
              <c:idx val="45"/>
              <c:tx>
                <c:rich>
                  <a:bodyPr/>
                  <a:lstStyle/>
                  <a:p>
                    <a:fld id="{4D576933-2362-4E77-A55F-D96AFFB55C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B209-40F3-AD75-43F7E998C017}"/>
                </c:ext>
              </c:extLst>
            </c:dLbl>
            <c:dLbl>
              <c:idx val="46"/>
              <c:tx>
                <c:rich>
                  <a:bodyPr/>
                  <a:lstStyle/>
                  <a:p>
                    <a:fld id="{4C9EBC64-3708-4222-A3F4-683A6EBD3E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B209-40F3-AD75-43F7E998C017}"/>
                </c:ext>
              </c:extLst>
            </c:dLbl>
            <c:dLbl>
              <c:idx val="47"/>
              <c:tx>
                <c:rich>
                  <a:bodyPr/>
                  <a:lstStyle/>
                  <a:p>
                    <a:fld id="{EC9142E9-5BAC-422E-B90D-5FAA576B5C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B209-40F3-AD75-43F7E998C017}"/>
                </c:ext>
              </c:extLst>
            </c:dLbl>
            <c:dLbl>
              <c:idx val="48"/>
              <c:tx>
                <c:rich>
                  <a:bodyPr/>
                  <a:lstStyle/>
                  <a:p>
                    <a:fld id="{FE5F03C5-C02A-4A9E-932E-FB4A97BD67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B209-40F3-AD75-43F7E998C017}"/>
                </c:ext>
              </c:extLst>
            </c:dLbl>
            <c:dLbl>
              <c:idx val="49"/>
              <c:tx>
                <c:rich>
                  <a:bodyPr/>
                  <a:lstStyle/>
                  <a:p>
                    <a:fld id="{8C040E49-36A2-4FC5-A2C3-2C7C755FD6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B209-40F3-AD75-43F7E998C017}"/>
                </c:ext>
              </c:extLst>
            </c:dLbl>
            <c:dLbl>
              <c:idx val="50"/>
              <c:tx>
                <c:rich>
                  <a:bodyPr/>
                  <a:lstStyle/>
                  <a:p>
                    <a:fld id="{FA800641-F47A-4BA0-BA99-2571079A8E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B209-40F3-AD75-43F7E998C017}"/>
                </c:ext>
              </c:extLst>
            </c:dLbl>
            <c:dLbl>
              <c:idx val="51"/>
              <c:tx>
                <c:rich>
                  <a:bodyPr/>
                  <a:lstStyle/>
                  <a:p>
                    <a:fld id="{CDC682D0-B6F6-49C1-BB6A-A3A5DF4482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B209-40F3-AD75-43F7E998C017}"/>
                </c:ext>
              </c:extLst>
            </c:dLbl>
            <c:dLbl>
              <c:idx val="52"/>
              <c:tx>
                <c:rich>
                  <a:bodyPr/>
                  <a:lstStyle/>
                  <a:p>
                    <a:fld id="{4DFCEC78-2CDC-461A-A6A9-76556A2B3A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B209-40F3-AD75-43F7E998C017}"/>
                </c:ext>
              </c:extLst>
            </c:dLbl>
            <c:dLbl>
              <c:idx val="53"/>
              <c:tx>
                <c:rich>
                  <a:bodyPr/>
                  <a:lstStyle/>
                  <a:p>
                    <a:fld id="{82205CFE-2B9B-49DD-8F07-1C50551B5F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B209-40F3-AD75-43F7E998C017}"/>
                </c:ext>
              </c:extLst>
            </c:dLbl>
            <c:dLbl>
              <c:idx val="54"/>
              <c:tx>
                <c:rich>
                  <a:bodyPr/>
                  <a:lstStyle/>
                  <a:p>
                    <a:fld id="{0EFB9EF6-051C-4BD8-8191-C6BD9A9923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B209-40F3-AD75-43F7E998C017}"/>
                </c:ext>
              </c:extLst>
            </c:dLbl>
            <c:dLbl>
              <c:idx val="55"/>
              <c:tx>
                <c:rich>
                  <a:bodyPr/>
                  <a:lstStyle/>
                  <a:p>
                    <a:fld id="{2A0AEA24-8F9B-4975-A686-2670EDF288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B209-40F3-AD75-43F7E998C017}"/>
                </c:ext>
              </c:extLst>
            </c:dLbl>
            <c:dLbl>
              <c:idx val="56"/>
              <c:tx>
                <c:rich>
                  <a:bodyPr/>
                  <a:lstStyle/>
                  <a:p>
                    <a:fld id="{DD85C32D-9CA6-49F5-AF2A-0E736D9D5A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B209-40F3-AD75-43F7E998C017}"/>
                </c:ext>
              </c:extLst>
            </c:dLbl>
            <c:dLbl>
              <c:idx val="57"/>
              <c:tx>
                <c:rich>
                  <a:bodyPr/>
                  <a:lstStyle/>
                  <a:p>
                    <a:fld id="{F6F77903-242A-4FCA-B7EF-D063561A22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B209-40F3-AD75-43F7E998C017}"/>
                </c:ext>
              </c:extLst>
            </c:dLbl>
            <c:dLbl>
              <c:idx val="58"/>
              <c:tx>
                <c:rich>
                  <a:bodyPr/>
                  <a:lstStyle/>
                  <a:p>
                    <a:fld id="{C4FF31F4-C541-47B4-A7ED-9085F79449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B209-40F3-AD75-43F7E998C017}"/>
                </c:ext>
              </c:extLst>
            </c:dLbl>
            <c:dLbl>
              <c:idx val="59"/>
              <c:tx>
                <c:rich>
                  <a:bodyPr/>
                  <a:lstStyle/>
                  <a:p>
                    <a:fld id="{9B1BE052-4C72-4CCF-8366-C060FEABEB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B209-40F3-AD75-43F7E998C017}"/>
                </c:ext>
              </c:extLst>
            </c:dLbl>
            <c:dLbl>
              <c:idx val="60"/>
              <c:tx>
                <c:rich>
                  <a:bodyPr/>
                  <a:lstStyle/>
                  <a:p>
                    <a:fld id="{78BAAF8E-AF04-4DE8-9C17-1DB3048A71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B209-40F3-AD75-43F7E998C017}"/>
                </c:ext>
              </c:extLst>
            </c:dLbl>
            <c:dLbl>
              <c:idx val="61"/>
              <c:tx>
                <c:rich>
                  <a:bodyPr/>
                  <a:lstStyle/>
                  <a:p>
                    <a:fld id="{7F30B290-0106-4C55-BD35-93E8F67E87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B209-40F3-AD75-43F7E998C017}"/>
                </c:ext>
              </c:extLst>
            </c:dLbl>
            <c:dLbl>
              <c:idx val="62"/>
              <c:tx>
                <c:rich>
                  <a:bodyPr/>
                  <a:lstStyle/>
                  <a:p>
                    <a:fld id="{B9417AF0-B808-4A0A-8164-51660CF71A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B209-40F3-AD75-43F7E998C017}"/>
                </c:ext>
              </c:extLst>
            </c:dLbl>
            <c:dLbl>
              <c:idx val="63"/>
              <c:tx>
                <c:rich>
                  <a:bodyPr/>
                  <a:lstStyle/>
                  <a:p>
                    <a:fld id="{D0A9B5CF-2B55-4772-9182-49283D0271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B209-40F3-AD75-43F7E998C017}"/>
                </c:ext>
              </c:extLst>
            </c:dLbl>
            <c:dLbl>
              <c:idx val="64"/>
              <c:tx>
                <c:rich>
                  <a:bodyPr/>
                  <a:lstStyle/>
                  <a:p>
                    <a:fld id="{93C58A77-54C0-468C-9249-1355E0E79C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B209-40F3-AD75-43F7E998C017}"/>
                </c:ext>
              </c:extLst>
            </c:dLbl>
            <c:dLbl>
              <c:idx val="65"/>
              <c:tx>
                <c:rich>
                  <a:bodyPr/>
                  <a:lstStyle/>
                  <a:p>
                    <a:fld id="{6FDD4C22-2E78-4E4A-A846-5D1F26D5DD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B209-40F3-AD75-43F7E998C017}"/>
                </c:ext>
              </c:extLst>
            </c:dLbl>
            <c:dLbl>
              <c:idx val="66"/>
              <c:tx>
                <c:rich>
                  <a:bodyPr/>
                  <a:lstStyle/>
                  <a:p>
                    <a:fld id="{88BAC8DA-D53C-4DB3-823E-6EE713A9C8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B209-40F3-AD75-43F7E998C017}"/>
                </c:ext>
              </c:extLst>
            </c:dLbl>
            <c:dLbl>
              <c:idx val="67"/>
              <c:tx>
                <c:rich>
                  <a:bodyPr/>
                  <a:lstStyle/>
                  <a:p>
                    <a:fld id="{21EF9CB1-843F-4474-8A58-320714BD23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B209-40F3-AD75-43F7E998C017}"/>
                </c:ext>
              </c:extLst>
            </c:dLbl>
            <c:dLbl>
              <c:idx val="68"/>
              <c:tx>
                <c:rich>
                  <a:bodyPr/>
                  <a:lstStyle/>
                  <a:p>
                    <a:fld id="{F9A46E8D-8998-41AE-B6BC-6759E5CD71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B209-40F3-AD75-43F7E998C017}"/>
                </c:ext>
              </c:extLst>
            </c:dLbl>
            <c:dLbl>
              <c:idx val="69"/>
              <c:tx>
                <c:rich>
                  <a:bodyPr/>
                  <a:lstStyle/>
                  <a:p>
                    <a:fld id="{6F1ABBFC-1DB7-4E79-809E-0681C861BD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B209-40F3-AD75-43F7E998C017}"/>
                </c:ext>
              </c:extLst>
            </c:dLbl>
            <c:dLbl>
              <c:idx val="70"/>
              <c:tx>
                <c:rich>
                  <a:bodyPr/>
                  <a:lstStyle/>
                  <a:p>
                    <a:fld id="{66248440-0832-4C82-B067-DF6CEC0B7C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B209-40F3-AD75-43F7E998C017}"/>
                </c:ext>
              </c:extLst>
            </c:dLbl>
            <c:dLbl>
              <c:idx val="71"/>
              <c:tx>
                <c:rich>
                  <a:bodyPr/>
                  <a:lstStyle/>
                  <a:p>
                    <a:fld id="{D69205A3-728C-4F6B-8678-7DF69C285E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B209-40F3-AD75-43F7E998C017}"/>
                </c:ext>
              </c:extLst>
            </c:dLbl>
            <c:dLbl>
              <c:idx val="72"/>
              <c:tx>
                <c:rich>
                  <a:bodyPr/>
                  <a:lstStyle/>
                  <a:p>
                    <a:fld id="{E61E1CA5-1BC8-4ECB-BD11-990F438E6B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B209-40F3-AD75-43F7E998C017}"/>
                </c:ext>
              </c:extLst>
            </c:dLbl>
            <c:dLbl>
              <c:idx val="73"/>
              <c:tx>
                <c:rich>
                  <a:bodyPr/>
                  <a:lstStyle/>
                  <a:p>
                    <a:fld id="{5F2239B1-A51C-49D4-B0AF-8A68FEFFFC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B209-40F3-AD75-43F7E998C017}"/>
                </c:ext>
              </c:extLst>
            </c:dLbl>
            <c:dLbl>
              <c:idx val="74"/>
              <c:tx>
                <c:rich>
                  <a:bodyPr/>
                  <a:lstStyle/>
                  <a:p>
                    <a:fld id="{D5D1F9DD-9DD6-4F41-9F08-57CF37929A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B209-40F3-AD75-43F7E998C017}"/>
                </c:ext>
              </c:extLst>
            </c:dLbl>
            <c:dLbl>
              <c:idx val="75"/>
              <c:tx>
                <c:rich>
                  <a:bodyPr/>
                  <a:lstStyle/>
                  <a:p>
                    <a:fld id="{28A58A09-F5EA-4CD8-9E57-14404CDD01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B209-40F3-AD75-43F7E998C017}"/>
                </c:ext>
              </c:extLst>
            </c:dLbl>
            <c:dLbl>
              <c:idx val="76"/>
              <c:tx>
                <c:rich>
                  <a:bodyPr/>
                  <a:lstStyle/>
                  <a:p>
                    <a:fld id="{6B80CA87-2AA5-49DE-8BE0-800D735C9E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B209-40F3-AD75-43F7E998C017}"/>
                </c:ext>
              </c:extLst>
            </c:dLbl>
            <c:dLbl>
              <c:idx val="77"/>
              <c:tx>
                <c:rich>
                  <a:bodyPr/>
                  <a:lstStyle/>
                  <a:p>
                    <a:fld id="{B130D0A4-7EEA-4AFE-94A9-C399998517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B209-40F3-AD75-43F7E998C017}"/>
                </c:ext>
              </c:extLst>
            </c:dLbl>
            <c:dLbl>
              <c:idx val="78"/>
              <c:tx>
                <c:rich>
                  <a:bodyPr/>
                  <a:lstStyle/>
                  <a:p>
                    <a:fld id="{E17C4256-6872-47F1-B186-B5B49DF6F9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B209-40F3-AD75-43F7E998C017}"/>
                </c:ext>
              </c:extLst>
            </c:dLbl>
            <c:dLbl>
              <c:idx val="79"/>
              <c:tx>
                <c:rich>
                  <a:bodyPr/>
                  <a:lstStyle/>
                  <a:p>
                    <a:fld id="{BA5B093B-CBEA-4EEE-A720-15BC6E09D6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B209-40F3-AD75-43F7E998C017}"/>
                </c:ext>
              </c:extLst>
            </c:dLbl>
            <c:dLbl>
              <c:idx val="80"/>
              <c:tx>
                <c:rich>
                  <a:bodyPr/>
                  <a:lstStyle/>
                  <a:p>
                    <a:fld id="{FA344614-2D9D-4642-A14D-7867BA5474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B209-40F3-AD75-43F7E998C017}"/>
                </c:ext>
              </c:extLst>
            </c:dLbl>
            <c:dLbl>
              <c:idx val="81"/>
              <c:tx>
                <c:rich>
                  <a:bodyPr/>
                  <a:lstStyle/>
                  <a:p>
                    <a:fld id="{F82B0172-C430-49D0-8602-72698DDC63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B209-40F3-AD75-43F7E998C017}"/>
                </c:ext>
              </c:extLst>
            </c:dLbl>
            <c:dLbl>
              <c:idx val="82"/>
              <c:tx>
                <c:rich>
                  <a:bodyPr/>
                  <a:lstStyle/>
                  <a:p>
                    <a:fld id="{C251AEC8-D8CC-4851-B1B6-6C882F46C8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B209-40F3-AD75-43F7E998C017}"/>
                </c:ext>
              </c:extLst>
            </c:dLbl>
            <c:dLbl>
              <c:idx val="83"/>
              <c:tx>
                <c:rich>
                  <a:bodyPr/>
                  <a:lstStyle/>
                  <a:p>
                    <a:fld id="{7D692F43-BCFA-444C-8D6C-EF22819006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B209-40F3-AD75-43F7E998C017}"/>
                </c:ext>
              </c:extLst>
            </c:dLbl>
            <c:dLbl>
              <c:idx val="84"/>
              <c:tx>
                <c:rich>
                  <a:bodyPr/>
                  <a:lstStyle/>
                  <a:p>
                    <a:fld id="{7E745D53-BC68-4491-92A1-EDCC64E6C0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B209-40F3-AD75-43F7E998C017}"/>
                </c:ext>
              </c:extLst>
            </c:dLbl>
            <c:dLbl>
              <c:idx val="85"/>
              <c:tx>
                <c:rich>
                  <a:bodyPr/>
                  <a:lstStyle/>
                  <a:p>
                    <a:fld id="{D3443717-4EFA-4D3C-BF61-B99F3C7CB2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B209-40F3-AD75-43F7E998C017}"/>
                </c:ext>
              </c:extLst>
            </c:dLbl>
            <c:dLbl>
              <c:idx val="86"/>
              <c:tx>
                <c:rich>
                  <a:bodyPr/>
                  <a:lstStyle/>
                  <a:p>
                    <a:fld id="{720C3CA5-CB4D-46BE-AF8F-E2DC0C9E3D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B209-40F3-AD75-43F7E998C017}"/>
                </c:ext>
              </c:extLst>
            </c:dLbl>
            <c:dLbl>
              <c:idx val="87"/>
              <c:tx>
                <c:rich>
                  <a:bodyPr/>
                  <a:lstStyle/>
                  <a:p>
                    <a:fld id="{CF582690-2EFE-465F-A306-279A77907E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B209-40F3-AD75-43F7E998C017}"/>
                </c:ext>
              </c:extLst>
            </c:dLbl>
            <c:dLbl>
              <c:idx val="88"/>
              <c:tx>
                <c:rich>
                  <a:bodyPr/>
                  <a:lstStyle/>
                  <a:p>
                    <a:fld id="{0749B9B7-2081-45A3-87C6-92EDA6FD8B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B209-40F3-AD75-43F7E998C017}"/>
                </c:ext>
              </c:extLst>
            </c:dLbl>
            <c:dLbl>
              <c:idx val="89"/>
              <c:tx>
                <c:rich>
                  <a:bodyPr/>
                  <a:lstStyle/>
                  <a:p>
                    <a:fld id="{BE64A152-0993-46F5-BC24-3B277C8756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B209-40F3-AD75-43F7E998C017}"/>
                </c:ext>
              </c:extLst>
            </c:dLbl>
            <c:dLbl>
              <c:idx val="90"/>
              <c:tx>
                <c:rich>
                  <a:bodyPr/>
                  <a:lstStyle/>
                  <a:p>
                    <a:fld id="{77451CCD-BA32-4F4C-8768-275683E0A5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B209-40F3-AD75-43F7E998C017}"/>
                </c:ext>
              </c:extLst>
            </c:dLbl>
            <c:dLbl>
              <c:idx val="91"/>
              <c:tx>
                <c:rich>
                  <a:bodyPr/>
                  <a:lstStyle/>
                  <a:p>
                    <a:fld id="{9E79657C-9214-45D3-8A62-537CC8F188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B209-40F3-AD75-43F7E998C017}"/>
                </c:ext>
              </c:extLst>
            </c:dLbl>
            <c:dLbl>
              <c:idx val="92"/>
              <c:tx>
                <c:rich>
                  <a:bodyPr/>
                  <a:lstStyle/>
                  <a:p>
                    <a:fld id="{8AE22D97-7908-43E6-8170-AEBCD866C9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B209-40F3-AD75-43F7E998C017}"/>
                </c:ext>
              </c:extLst>
            </c:dLbl>
            <c:dLbl>
              <c:idx val="93"/>
              <c:tx>
                <c:rich>
                  <a:bodyPr/>
                  <a:lstStyle/>
                  <a:p>
                    <a:fld id="{7F855D8A-2A75-406F-A18F-74CC195A1F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B209-40F3-AD75-43F7E998C017}"/>
                </c:ext>
              </c:extLst>
            </c:dLbl>
            <c:dLbl>
              <c:idx val="94"/>
              <c:tx>
                <c:rich>
                  <a:bodyPr/>
                  <a:lstStyle/>
                  <a:p>
                    <a:fld id="{F55E9792-3375-48BA-A764-916ABE3A1A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B209-40F3-AD75-43F7E998C017}"/>
                </c:ext>
              </c:extLst>
            </c:dLbl>
            <c:dLbl>
              <c:idx val="95"/>
              <c:tx>
                <c:rich>
                  <a:bodyPr/>
                  <a:lstStyle/>
                  <a:p>
                    <a:fld id="{C79CD039-E92F-4437-AC7D-05558CBFBA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B209-40F3-AD75-43F7E998C017}"/>
                </c:ext>
              </c:extLst>
            </c:dLbl>
            <c:dLbl>
              <c:idx val="96"/>
              <c:tx>
                <c:rich>
                  <a:bodyPr/>
                  <a:lstStyle/>
                  <a:p>
                    <a:fld id="{01B1D926-C415-4839-B831-4495FC35F1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B209-40F3-AD75-43F7E998C017}"/>
                </c:ext>
              </c:extLst>
            </c:dLbl>
            <c:dLbl>
              <c:idx val="97"/>
              <c:tx>
                <c:rich>
                  <a:bodyPr/>
                  <a:lstStyle/>
                  <a:p>
                    <a:fld id="{46544F25-A864-4382-8E5C-92EC74749A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B209-40F3-AD75-43F7E998C017}"/>
                </c:ext>
              </c:extLst>
            </c:dLbl>
            <c:dLbl>
              <c:idx val="98"/>
              <c:tx>
                <c:rich>
                  <a:bodyPr/>
                  <a:lstStyle/>
                  <a:p>
                    <a:fld id="{14826599-C4D4-422D-87AA-D95D32395E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B209-40F3-AD75-43F7E998C017}"/>
                </c:ext>
              </c:extLst>
            </c:dLbl>
            <c:dLbl>
              <c:idx val="99"/>
              <c:tx>
                <c:rich>
                  <a:bodyPr/>
                  <a:lstStyle/>
                  <a:p>
                    <a:fld id="{ACA6931F-D0DE-4130-AD07-5B78966CF2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B209-40F3-AD75-43F7E998C017}"/>
                </c:ext>
              </c:extLst>
            </c:dLbl>
            <c:dLbl>
              <c:idx val="100"/>
              <c:tx>
                <c:rich>
                  <a:bodyPr/>
                  <a:lstStyle/>
                  <a:p>
                    <a:fld id="{B058E044-5A2A-4EC9-9EBF-44C300BF80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B209-40F3-AD75-43F7E998C017}"/>
                </c:ext>
              </c:extLst>
            </c:dLbl>
            <c:dLbl>
              <c:idx val="101"/>
              <c:tx>
                <c:rich>
                  <a:bodyPr/>
                  <a:lstStyle/>
                  <a:p>
                    <a:fld id="{DCA20331-AF78-4977-B3C1-A73D1E3F48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B209-40F3-AD75-43F7E998C017}"/>
                </c:ext>
              </c:extLst>
            </c:dLbl>
            <c:dLbl>
              <c:idx val="102"/>
              <c:tx>
                <c:rich>
                  <a:bodyPr/>
                  <a:lstStyle/>
                  <a:p>
                    <a:fld id="{9661CE76-8895-459E-8940-FE70793554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B209-40F3-AD75-43F7E998C017}"/>
                </c:ext>
              </c:extLst>
            </c:dLbl>
            <c:dLbl>
              <c:idx val="103"/>
              <c:tx>
                <c:rich>
                  <a:bodyPr/>
                  <a:lstStyle/>
                  <a:p>
                    <a:fld id="{888EC456-6440-4A08-87AE-22541B179B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B209-40F3-AD75-43F7E998C017}"/>
                </c:ext>
              </c:extLst>
            </c:dLbl>
            <c:dLbl>
              <c:idx val="104"/>
              <c:tx>
                <c:rich>
                  <a:bodyPr/>
                  <a:lstStyle/>
                  <a:p>
                    <a:fld id="{07BBA9D8-ADE3-4922-8CDE-FE9A6B5830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B209-40F3-AD75-43F7E998C017}"/>
                </c:ext>
              </c:extLst>
            </c:dLbl>
            <c:dLbl>
              <c:idx val="105"/>
              <c:tx>
                <c:rich>
                  <a:bodyPr/>
                  <a:lstStyle/>
                  <a:p>
                    <a:fld id="{3C82551C-4EC7-4CE0-83AB-757FA2FE85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B209-40F3-AD75-43F7E998C017}"/>
                </c:ext>
              </c:extLst>
            </c:dLbl>
            <c:dLbl>
              <c:idx val="106"/>
              <c:tx>
                <c:rich>
                  <a:bodyPr/>
                  <a:lstStyle/>
                  <a:p>
                    <a:fld id="{F22202EE-6D71-4DC5-A1F8-D1199FA3DB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B209-40F3-AD75-43F7E998C017}"/>
                </c:ext>
              </c:extLst>
            </c:dLbl>
            <c:dLbl>
              <c:idx val="107"/>
              <c:tx>
                <c:rich>
                  <a:bodyPr/>
                  <a:lstStyle/>
                  <a:p>
                    <a:fld id="{3589EC37-8F58-4ACC-93AD-4A0B512760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B209-40F3-AD75-43F7E998C017}"/>
                </c:ext>
              </c:extLst>
            </c:dLbl>
            <c:dLbl>
              <c:idx val="108"/>
              <c:tx>
                <c:rich>
                  <a:bodyPr/>
                  <a:lstStyle/>
                  <a:p>
                    <a:fld id="{3641E443-9BB5-4C57-A9B2-FD2A3C73A6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B209-40F3-AD75-43F7E998C017}"/>
                </c:ext>
              </c:extLst>
            </c:dLbl>
            <c:dLbl>
              <c:idx val="109"/>
              <c:tx>
                <c:rich>
                  <a:bodyPr/>
                  <a:lstStyle/>
                  <a:p>
                    <a:fld id="{B068AA0B-0D39-4448-9AA7-EE371B9E57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B209-40F3-AD75-43F7E998C017}"/>
                </c:ext>
              </c:extLst>
            </c:dLbl>
            <c:dLbl>
              <c:idx val="110"/>
              <c:tx>
                <c:rich>
                  <a:bodyPr/>
                  <a:lstStyle/>
                  <a:p>
                    <a:fld id="{336FFECA-C18A-423E-91AA-0780BACDEA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B209-40F3-AD75-43F7E998C017}"/>
                </c:ext>
              </c:extLst>
            </c:dLbl>
            <c:dLbl>
              <c:idx val="111"/>
              <c:tx>
                <c:rich>
                  <a:bodyPr/>
                  <a:lstStyle/>
                  <a:p>
                    <a:fld id="{A98A59E4-D206-4233-9DA2-97EECE25CE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B209-40F3-AD75-43F7E998C017}"/>
                </c:ext>
              </c:extLst>
            </c:dLbl>
            <c:dLbl>
              <c:idx val="112"/>
              <c:tx>
                <c:rich>
                  <a:bodyPr/>
                  <a:lstStyle/>
                  <a:p>
                    <a:fld id="{443355AA-C0B5-40AB-862F-29F1169F03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B209-40F3-AD75-43F7E998C017}"/>
                </c:ext>
              </c:extLst>
            </c:dLbl>
            <c:dLbl>
              <c:idx val="113"/>
              <c:tx>
                <c:rich>
                  <a:bodyPr/>
                  <a:lstStyle/>
                  <a:p>
                    <a:fld id="{BFE35664-6B2B-42B8-9198-2E52F7A676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B209-40F3-AD75-43F7E998C017}"/>
                </c:ext>
              </c:extLst>
            </c:dLbl>
            <c:dLbl>
              <c:idx val="114"/>
              <c:tx>
                <c:rich>
                  <a:bodyPr/>
                  <a:lstStyle/>
                  <a:p>
                    <a:fld id="{4027DA3B-02C9-417F-92A6-11C0BBD7A9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B209-40F3-AD75-43F7E998C017}"/>
                </c:ext>
              </c:extLst>
            </c:dLbl>
            <c:dLbl>
              <c:idx val="115"/>
              <c:tx>
                <c:rich>
                  <a:bodyPr/>
                  <a:lstStyle/>
                  <a:p>
                    <a:fld id="{90787531-336B-4E4F-97B8-AB98A19041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B209-40F3-AD75-43F7E998C017}"/>
                </c:ext>
              </c:extLst>
            </c:dLbl>
            <c:dLbl>
              <c:idx val="116"/>
              <c:tx>
                <c:rich>
                  <a:bodyPr/>
                  <a:lstStyle/>
                  <a:p>
                    <a:fld id="{0D0E26F9-E483-4D77-91D0-57F359C1BB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B209-40F3-AD75-43F7E998C017}"/>
                </c:ext>
              </c:extLst>
            </c:dLbl>
            <c:dLbl>
              <c:idx val="117"/>
              <c:tx>
                <c:rich>
                  <a:bodyPr/>
                  <a:lstStyle/>
                  <a:p>
                    <a:fld id="{21527BC2-B247-48F1-BE3A-EDDFF562F0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B209-40F3-AD75-43F7E998C017}"/>
                </c:ext>
              </c:extLst>
            </c:dLbl>
            <c:dLbl>
              <c:idx val="118"/>
              <c:tx>
                <c:rich>
                  <a:bodyPr/>
                  <a:lstStyle/>
                  <a:p>
                    <a:fld id="{D8709507-CC01-4A3C-B941-0D78056C1A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B209-40F3-AD75-43F7E998C017}"/>
                </c:ext>
              </c:extLst>
            </c:dLbl>
            <c:dLbl>
              <c:idx val="119"/>
              <c:tx>
                <c:rich>
                  <a:bodyPr/>
                  <a:lstStyle/>
                  <a:p>
                    <a:fld id="{68393844-C1B4-4818-BD95-24DCE73C1E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B209-40F3-AD75-43F7E998C017}"/>
                </c:ext>
              </c:extLst>
            </c:dLbl>
            <c:dLbl>
              <c:idx val="120"/>
              <c:tx>
                <c:rich>
                  <a:bodyPr/>
                  <a:lstStyle/>
                  <a:p>
                    <a:fld id="{8DBE1A4B-C04B-4881-B792-64019ABADD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B209-40F3-AD75-43F7E998C017}"/>
                </c:ext>
              </c:extLst>
            </c:dLbl>
            <c:dLbl>
              <c:idx val="121"/>
              <c:tx>
                <c:rich>
                  <a:bodyPr/>
                  <a:lstStyle/>
                  <a:p>
                    <a:fld id="{A402C863-19D1-43F9-8C33-B43AF9E3C0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B209-40F3-AD75-43F7E998C017}"/>
                </c:ext>
              </c:extLst>
            </c:dLbl>
            <c:dLbl>
              <c:idx val="122"/>
              <c:tx>
                <c:rich>
                  <a:bodyPr/>
                  <a:lstStyle/>
                  <a:p>
                    <a:fld id="{6B29F98C-1BDE-4535-B4BB-7C8819D3BE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B209-40F3-AD75-43F7E998C017}"/>
                </c:ext>
              </c:extLst>
            </c:dLbl>
            <c:dLbl>
              <c:idx val="123"/>
              <c:tx>
                <c:rich>
                  <a:bodyPr/>
                  <a:lstStyle/>
                  <a:p>
                    <a:fld id="{28760A85-9F39-41A1-80BD-471758C7FF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B209-40F3-AD75-43F7E998C017}"/>
                </c:ext>
              </c:extLst>
            </c:dLbl>
            <c:dLbl>
              <c:idx val="124"/>
              <c:tx>
                <c:rich>
                  <a:bodyPr/>
                  <a:lstStyle/>
                  <a:p>
                    <a:fld id="{761A1644-C80A-4B12-B442-9D869386DC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B209-40F3-AD75-43F7E998C017}"/>
                </c:ext>
              </c:extLst>
            </c:dLbl>
            <c:dLbl>
              <c:idx val="125"/>
              <c:tx>
                <c:rich>
                  <a:bodyPr/>
                  <a:lstStyle/>
                  <a:p>
                    <a:fld id="{F56780C7-14B2-465B-9A92-4E03586462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B209-40F3-AD75-43F7E998C017}"/>
                </c:ext>
              </c:extLst>
            </c:dLbl>
            <c:dLbl>
              <c:idx val="126"/>
              <c:tx>
                <c:rich>
                  <a:bodyPr/>
                  <a:lstStyle/>
                  <a:p>
                    <a:fld id="{ACFE8FAA-B8B2-4355-98E1-83CBC6AD13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B209-40F3-AD75-43F7E998C017}"/>
                </c:ext>
              </c:extLst>
            </c:dLbl>
            <c:dLbl>
              <c:idx val="127"/>
              <c:tx>
                <c:rich>
                  <a:bodyPr/>
                  <a:lstStyle/>
                  <a:p>
                    <a:fld id="{CDA84E6D-E046-4360-BD6C-C4B8A61433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B209-40F3-AD75-43F7E998C017}"/>
                </c:ext>
              </c:extLst>
            </c:dLbl>
            <c:dLbl>
              <c:idx val="128"/>
              <c:tx>
                <c:rich>
                  <a:bodyPr/>
                  <a:lstStyle/>
                  <a:p>
                    <a:fld id="{9704108B-6089-4D33-B27C-109A2CFEF7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B209-40F3-AD75-43F7E998C017}"/>
                </c:ext>
              </c:extLst>
            </c:dLbl>
            <c:dLbl>
              <c:idx val="129"/>
              <c:tx>
                <c:rich>
                  <a:bodyPr/>
                  <a:lstStyle/>
                  <a:p>
                    <a:fld id="{D9CAE11F-F3A3-4033-94B3-BC3A60C6D5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B209-40F3-AD75-43F7E998C017}"/>
                </c:ext>
              </c:extLst>
            </c:dLbl>
            <c:dLbl>
              <c:idx val="130"/>
              <c:tx>
                <c:rich>
                  <a:bodyPr/>
                  <a:lstStyle/>
                  <a:p>
                    <a:fld id="{15C3951C-8E94-4F63-AD03-77329E8663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B209-40F3-AD75-43F7E998C017}"/>
                </c:ext>
              </c:extLst>
            </c:dLbl>
            <c:dLbl>
              <c:idx val="131"/>
              <c:tx>
                <c:rich>
                  <a:bodyPr/>
                  <a:lstStyle/>
                  <a:p>
                    <a:fld id="{6F4426FC-1CE3-4508-B64C-F0B73C17D0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B209-40F3-AD75-43F7E998C017}"/>
                </c:ext>
              </c:extLst>
            </c:dLbl>
            <c:dLbl>
              <c:idx val="132"/>
              <c:tx>
                <c:rich>
                  <a:bodyPr/>
                  <a:lstStyle/>
                  <a:p>
                    <a:fld id="{2BA9EF4B-8898-4A96-A515-401AA96468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B209-40F3-AD75-43F7E998C017}"/>
                </c:ext>
              </c:extLst>
            </c:dLbl>
            <c:dLbl>
              <c:idx val="133"/>
              <c:tx>
                <c:rich>
                  <a:bodyPr/>
                  <a:lstStyle/>
                  <a:p>
                    <a:fld id="{490A55F7-2574-4629-BFB3-9FF5ABC600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B209-40F3-AD75-43F7E998C017}"/>
                </c:ext>
              </c:extLst>
            </c:dLbl>
            <c:dLbl>
              <c:idx val="134"/>
              <c:tx>
                <c:rich>
                  <a:bodyPr/>
                  <a:lstStyle/>
                  <a:p>
                    <a:fld id="{A9EB962F-EB94-4382-A264-438A5B721D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B209-40F3-AD75-43F7E998C017}"/>
                </c:ext>
              </c:extLst>
            </c:dLbl>
            <c:dLbl>
              <c:idx val="135"/>
              <c:tx>
                <c:rich>
                  <a:bodyPr/>
                  <a:lstStyle/>
                  <a:p>
                    <a:fld id="{00754CF3-50A4-429C-8654-2280EB2A46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B209-40F3-AD75-43F7E998C017}"/>
                </c:ext>
              </c:extLst>
            </c:dLbl>
            <c:dLbl>
              <c:idx val="136"/>
              <c:tx>
                <c:rich>
                  <a:bodyPr/>
                  <a:lstStyle/>
                  <a:p>
                    <a:fld id="{6303EAE9-2814-411A-BD29-F7FE04EF45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B209-40F3-AD75-43F7E998C017}"/>
                </c:ext>
              </c:extLst>
            </c:dLbl>
            <c:dLbl>
              <c:idx val="137"/>
              <c:tx>
                <c:rich>
                  <a:bodyPr/>
                  <a:lstStyle/>
                  <a:p>
                    <a:fld id="{D158A65E-E723-45A6-BB52-86BD64B011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B209-40F3-AD75-43F7E998C017}"/>
                </c:ext>
              </c:extLst>
            </c:dLbl>
            <c:dLbl>
              <c:idx val="138"/>
              <c:tx>
                <c:rich>
                  <a:bodyPr/>
                  <a:lstStyle/>
                  <a:p>
                    <a:fld id="{226B6226-8FFF-4587-B378-E822FB9354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B209-40F3-AD75-43F7E998C017}"/>
                </c:ext>
              </c:extLst>
            </c:dLbl>
            <c:dLbl>
              <c:idx val="139"/>
              <c:tx>
                <c:rich>
                  <a:bodyPr/>
                  <a:lstStyle/>
                  <a:p>
                    <a:fld id="{38A1322A-FFD1-4314-8678-33F402EDAF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B209-40F3-AD75-43F7E998C017}"/>
                </c:ext>
              </c:extLst>
            </c:dLbl>
            <c:dLbl>
              <c:idx val="140"/>
              <c:tx>
                <c:rich>
                  <a:bodyPr/>
                  <a:lstStyle/>
                  <a:p>
                    <a:fld id="{15953389-DDE8-410F-9282-757AE9410A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B209-40F3-AD75-43F7E998C017}"/>
                </c:ext>
              </c:extLst>
            </c:dLbl>
            <c:dLbl>
              <c:idx val="141"/>
              <c:tx>
                <c:rich>
                  <a:bodyPr/>
                  <a:lstStyle/>
                  <a:p>
                    <a:fld id="{CEB1B528-F114-4D32-B221-A106A1867D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B209-40F3-AD75-43F7E998C017}"/>
                </c:ext>
              </c:extLst>
            </c:dLbl>
            <c:dLbl>
              <c:idx val="142"/>
              <c:tx>
                <c:rich>
                  <a:bodyPr/>
                  <a:lstStyle/>
                  <a:p>
                    <a:fld id="{5908A15A-3AC3-4CCA-BFE7-6A300205AF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B209-40F3-AD75-43F7E998C017}"/>
                </c:ext>
              </c:extLst>
            </c:dLbl>
            <c:dLbl>
              <c:idx val="143"/>
              <c:tx>
                <c:rich>
                  <a:bodyPr/>
                  <a:lstStyle/>
                  <a:p>
                    <a:fld id="{ED837C26-70B2-4D03-B21D-7AA269A0D1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B209-40F3-AD75-43F7E998C017}"/>
                </c:ext>
              </c:extLst>
            </c:dLbl>
            <c:dLbl>
              <c:idx val="144"/>
              <c:tx>
                <c:rich>
                  <a:bodyPr/>
                  <a:lstStyle/>
                  <a:p>
                    <a:fld id="{01FDCA2A-FA8A-4544-9AE3-90985E8CD7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B209-40F3-AD75-43F7E998C017}"/>
                </c:ext>
              </c:extLst>
            </c:dLbl>
            <c:dLbl>
              <c:idx val="145"/>
              <c:tx>
                <c:rich>
                  <a:bodyPr/>
                  <a:lstStyle/>
                  <a:p>
                    <a:fld id="{DD89C713-B16D-4AF6-810A-266D678268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B209-40F3-AD75-43F7E998C017}"/>
                </c:ext>
              </c:extLst>
            </c:dLbl>
            <c:dLbl>
              <c:idx val="146"/>
              <c:tx>
                <c:rich>
                  <a:bodyPr/>
                  <a:lstStyle/>
                  <a:p>
                    <a:fld id="{9C0D037D-30E0-45CB-AE6E-F54B622F31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B209-40F3-AD75-43F7E998C017}"/>
                </c:ext>
              </c:extLst>
            </c:dLbl>
            <c:dLbl>
              <c:idx val="147"/>
              <c:tx>
                <c:rich>
                  <a:bodyPr/>
                  <a:lstStyle/>
                  <a:p>
                    <a:fld id="{9A5865F3-B7A7-49A8-B2BE-41C252E365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B209-40F3-AD75-43F7E998C017}"/>
                </c:ext>
              </c:extLst>
            </c:dLbl>
            <c:dLbl>
              <c:idx val="148"/>
              <c:tx>
                <c:rich>
                  <a:bodyPr/>
                  <a:lstStyle/>
                  <a:p>
                    <a:fld id="{6BD53FCF-2E2B-405E-9154-D5F3FB0CC3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B209-40F3-AD75-43F7E998C017}"/>
                </c:ext>
              </c:extLst>
            </c:dLbl>
            <c:dLbl>
              <c:idx val="149"/>
              <c:tx>
                <c:rich>
                  <a:bodyPr/>
                  <a:lstStyle/>
                  <a:p>
                    <a:fld id="{92FAF440-0110-4081-A305-C3C2B4A409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B209-40F3-AD75-43F7E998C017}"/>
                </c:ext>
              </c:extLst>
            </c:dLbl>
            <c:dLbl>
              <c:idx val="150"/>
              <c:tx>
                <c:rich>
                  <a:bodyPr/>
                  <a:lstStyle/>
                  <a:p>
                    <a:fld id="{84D1538B-BB21-4650-973C-10C4DE3AB6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B209-40F3-AD75-43F7E998C017}"/>
                </c:ext>
              </c:extLst>
            </c:dLbl>
            <c:dLbl>
              <c:idx val="151"/>
              <c:tx>
                <c:rich>
                  <a:bodyPr/>
                  <a:lstStyle/>
                  <a:p>
                    <a:fld id="{23C83493-D717-44E6-9924-6E69C4F3C4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B209-40F3-AD75-43F7E998C017}"/>
                </c:ext>
              </c:extLst>
            </c:dLbl>
            <c:dLbl>
              <c:idx val="152"/>
              <c:tx>
                <c:rich>
                  <a:bodyPr/>
                  <a:lstStyle/>
                  <a:p>
                    <a:fld id="{1F651E0A-4BF0-4493-B4EA-CE343E2C13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B209-40F3-AD75-43F7E998C017}"/>
                </c:ext>
              </c:extLst>
            </c:dLbl>
            <c:dLbl>
              <c:idx val="153"/>
              <c:tx>
                <c:rich>
                  <a:bodyPr/>
                  <a:lstStyle/>
                  <a:p>
                    <a:fld id="{54F2E5CC-243D-4C18-ADD1-A38A05F652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B209-40F3-AD75-43F7E998C017}"/>
                </c:ext>
              </c:extLst>
            </c:dLbl>
            <c:dLbl>
              <c:idx val="154"/>
              <c:tx>
                <c:rich>
                  <a:bodyPr/>
                  <a:lstStyle/>
                  <a:p>
                    <a:fld id="{E615115D-0C95-4F5E-98F5-788C96AC6B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B209-40F3-AD75-43F7E998C017}"/>
                </c:ext>
              </c:extLst>
            </c:dLbl>
            <c:dLbl>
              <c:idx val="155"/>
              <c:tx>
                <c:rich>
                  <a:bodyPr/>
                  <a:lstStyle/>
                  <a:p>
                    <a:fld id="{3869B601-C3BB-4D7E-9236-692E4B3138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B209-40F3-AD75-43F7E998C017}"/>
                </c:ext>
              </c:extLst>
            </c:dLbl>
            <c:dLbl>
              <c:idx val="156"/>
              <c:tx>
                <c:rich>
                  <a:bodyPr/>
                  <a:lstStyle/>
                  <a:p>
                    <a:fld id="{0AF0D2F5-D194-4D9C-9A74-5D028AA39F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B209-40F3-AD75-43F7E998C017}"/>
                </c:ext>
              </c:extLst>
            </c:dLbl>
            <c:dLbl>
              <c:idx val="157"/>
              <c:tx>
                <c:rich>
                  <a:bodyPr/>
                  <a:lstStyle/>
                  <a:p>
                    <a:fld id="{164D58CF-5078-4731-ADD1-13EA3FF953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B209-40F3-AD75-43F7E998C017}"/>
                </c:ext>
              </c:extLst>
            </c:dLbl>
            <c:dLbl>
              <c:idx val="158"/>
              <c:tx>
                <c:rich>
                  <a:bodyPr/>
                  <a:lstStyle/>
                  <a:p>
                    <a:fld id="{C6E68450-B6DA-49B9-A275-65F81AD0D5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B209-40F3-AD75-43F7E998C017}"/>
                </c:ext>
              </c:extLst>
            </c:dLbl>
            <c:dLbl>
              <c:idx val="159"/>
              <c:tx>
                <c:rich>
                  <a:bodyPr/>
                  <a:lstStyle/>
                  <a:p>
                    <a:fld id="{67528DF3-7807-448D-B026-AAAE07C792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B209-40F3-AD75-43F7E998C017}"/>
                </c:ext>
              </c:extLst>
            </c:dLbl>
            <c:dLbl>
              <c:idx val="160"/>
              <c:tx>
                <c:rich>
                  <a:bodyPr/>
                  <a:lstStyle/>
                  <a:p>
                    <a:fld id="{FFE06B44-E2A5-4A96-901D-F8BF88CB2D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B209-40F3-AD75-43F7E998C017}"/>
                </c:ext>
              </c:extLst>
            </c:dLbl>
            <c:dLbl>
              <c:idx val="161"/>
              <c:tx>
                <c:rich>
                  <a:bodyPr/>
                  <a:lstStyle/>
                  <a:p>
                    <a:fld id="{FF0F6797-209D-489C-9076-EBA9CBE9C2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B209-40F3-AD75-43F7E998C017}"/>
                </c:ext>
              </c:extLst>
            </c:dLbl>
            <c:dLbl>
              <c:idx val="162"/>
              <c:tx>
                <c:rich>
                  <a:bodyPr/>
                  <a:lstStyle/>
                  <a:p>
                    <a:fld id="{B93A6003-0788-4C51-B05D-33A2DD309E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B209-40F3-AD75-43F7E998C017}"/>
                </c:ext>
              </c:extLst>
            </c:dLbl>
            <c:dLbl>
              <c:idx val="163"/>
              <c:tx>
                <c:rich>
                  <a:bodyPr/>
                  <a:lstStyle/>
                  <a:p>
                    <a:fld id="{E8E4532B-1A2A-401B-A616-D4C6567F4B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B209-40F3-AD75-43F7E998C017}"/>
                </c:ext>
              </c:extLst>
            </c:dLbl>
            <c:dLbl>
              <c:idx val="164"/>
              <c:tx>
                <c:rich>
                  <a:bodyPr/>
                  <a:lstStyle/>
                  <a:p>
                    <a:fld id="{0AF9F164-B448-421B-B86D-EA64D2F582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B209-40F3-AD75-43F7E998C017}"/>
                </c:ext>
              </c:extLst>
            </c:dLbl>
            <c:dLbl>
              <c:idx val="165"/>
              <c:tx>
                <c:rich>
                  <a:bodyPr/>
                  <a:lstStyle/>
                  <a:p>
                    <a:fld id="{5FDE5600-4084-44BB-B659-DBDA7D4AEE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B209-40F3-AD75-43F7E998C017}"/>
                </c:ext>
              </c:extLst>
            </c:dLbl>
            <c:dLbl>
              <c:idx val="166"/>
              <c:tx>
                <c:rich>
                  <a:bodyPr/>
                  <a:lstStyle/>
                  <a:p>
                    <a:fld id="{ECB06A33-2EC9-4108-BB38-28F73C0BD2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B209-40F3-AD75-43F7E998C017}"/>
                </c:ext>
              </c:extLst>
            </c:dLbl>
            <c:dLbl>
              <c:idx val="167"/>
              <c:tx>
                <c:rich>
                  <a:bodyPr/>
                  <a:lstStyle/>
                  <a:p>
                    <a:fld id="{C134242A-B7F8-4C60-9693-946BEABA7A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B209-40F3-AD75-43F7E998C017}"/>
                </c:ext>
              </c:extLst>
            </c:dLbl>
            <c:dLbl>
              <c:idx val="168"/>
              <c:tx>
                <c:rich>
                  <a:bodyPr/>
                  <a:lstStyle/>
                  <a:p>
                    <a:fld id="{8F6CE942-B054-4B88-9F3B-E0167F7AB1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B209-40F3-AD75-43F7E998C017}"/>
                </c:ext>
              </c:extLst>
            </c:dLbl>
            <c:dLbl>
              <c:idx val="169"/>
              <c:tx>
                <c:rich>
                  <a:bodyPr/>
                  <a:lstStyle/>
                  <a:p>
                    <a:fld id="{DB2BA1CF-FBB1-4A4F-BB71-E1CE9A0772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B209-40F3-AD75-43F7E998C017}"/>
                </c:ext>
              </c:extLst>
            </c:dLbl>
            <c:dLbl>
              <c:idx val="170"/>
              <c:tx>
                <c:rich>
                  <a:bodyPr/>
                  <a:lstStyle/>
                  <a:p>
                    <a:fld id="{06DFEC24-88A2-4645-9E9A-BC2013354C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B209-40F3-AD75-43F7E998C017}"/>
                </c:ext>
              </c:extLst>
            </c:dLbl>
            <c:dLbl>
              <c:idx val="171"/>
              <c:tx>
                <c:rich>
                  <a:bodyPr/>
                  <a:lstStyle/>
                  <a:p>
                    <a:fld id="{4070D5EC-EE7D-4B2A-9075-6914256B36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B209-40F3-AD75-43F7E998C017}"/>
                </c:ext>
              </c:extLst>
            </c:dLbl>
            <c:dLbl>
              <c:idx val="172"/>
              <c:tx>
                <c:rich>
                  <a:bodyPr/>
                  <a:lstStyle/>
                  <a:p>
                    <a:fld id="{44FCEC4D-D584-462A-905F-E4658989C1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B209-40F3-AD75-43F7E998C017}"/>
                </c:ext>
              </c:extLst>
            </c:dLbl>
            <c:dLbl>
              <c:idx val="173"/>
              <c:tx>
                <c:rich>
                  <a:bodyPr/>
                  <a:lstStyle/>
                  <a:p>
                    <a:fld id="{00D2DF30-7CFD-4CAF-A484-1ECE2400BF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B209-40F3-AD75-43F7E998C017}"/>
                </c:ext>
              </c:extLst>
            </c:dLbl>
            <c:dLbl>
              <c:idx val="174"/>
              <c:tx>
                <c:rich>
                  <a:bodyPr/>
                  <a:lstStyle/>
                  <a:p>
                    <a:fld id="{D6B9ED6A-AEDA-4E37-A3D0-53063C80FC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B209-40F3-AD75-43F7E998C017}"/>
                </c:ext>
              </c:extLst>
            </c:dLbl>
            <c:dLbl>
              <c:idx val="175"/>
              <c:tx>
                <c:rich>
                  <a:bodyPr/>
                  <a:lstStyle/>
                  <a:p>
                    <a:fld id="{2660AE45-826A-420B-B545-75C3D0908B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B209-40F3-AD75-43F7E998C017}"/>
                </c:ext>
              </c:extLst>
            </c:dLbl>
            <c:dLbl>
              <c:idx val="176"/>
              <c:tx>
                <c:rich>
                  <a:bodyPr/>
                  <a:lstStyle/>
                  <a:p>
                    <a:fld id="{F637BF26-E201-4A70-AB20-E9C23B71C7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B209-40F3-AD75-43F7E998C017}"/>
                </c:ext>
              </c:extLst>
            </c:dLbl>
            <c:dLbl>
              <c:idx val="177"/>
              <c:tx>
                <c:rich>
                  <a:bodyPr/>
                  <a:lstStyle/>
                  <a:p>
                    <a:fld id="{3949EB88-B424-4CAF-8A81-4FDA3A14AA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B209-40F3-AD75-43F7E998C017}"/>
                </c:ext>
              </c:extLst>
            </c:dLbl>
            <c:dLbl>
              <c:idx val="178"/>
              <c:tx>
                <c:rich>
                  <a:bodyPr/>
                  <a:lstStyle/>
                  <a:p>
                    <a:fld id="{5F0C13B4-199E-476A-95B6-F0AA710E6F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B209-40F3-AD75-43F7E998C017}"/>
                </c:ext>
              </c:extLst>
            </c:dLbl>
            <c:dLbl>
              <c:idx val="179"/>
              <c:tx>
                <c:rich>
                  <a:bodyPr/>
                  <a:lstStyle/>
                  <a:p>
                    <a:fld id="{BE918A03-132D-4006-88F4-D26B59E77C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B209-40F3-AD75-43F7E998C017}"/>
                </c:ext>
              </c:extLst>
            </c:dLbl>
            <c:dLbl>
              <c:idx val="180"/>
              <c:tx>
                <c:rich>
                  <a:bodyPr/>
                  <a:lstStyle/>
                  <a:p>
                    <a:fld id="{BF613123-410E-451D-B856-CD85E0E17E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B209-40F3-AD75-43F7E998C017}"/>
                </c:ext>
              </c:extLst>
            </c:dLbl>
            <c:dLbl>
              <c:idx val="181"/>
              <c:tx>
                <c:rich>
                  <a:bodyPr/>
                  <a:lstStyle/>
                  <a:p>
                    <a:fld id="{340EEAEC-1F4E-4364-881F-D8EB7FD66E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B209-40F3-AD75-43F7E998C017}"/>
                </c:ext>
              </c:extLst>
            </c:dLbl>
            <c:dLbl>
              <c:idx val="182"/>
              <c:tx>
                <c:rich>
                  <a:bodyPr/>
                  <a:lstStyle/>
                  <a:p>
                    <a:fld id="{A2F526E8-2B42-46F5-8307-13C6F40E99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B209-40F3-AD75-43F7E998C017}"/>
                </c:ext>
              </c:extLst>
            </c:dLbl>
            <c:dLbl>
              <c:idx val="183"/>
              <c:tx>
                <c:rich>
                  <a:bodyPr/>
                  <a:lstStyle/>
                  <a:p>
                    <a:fld id="{7BBE2A2B-EB92-4AE8-89A4-C5CA0F54B3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B209-40F3-AD75-43F7E998C017}"/>
                </c:ext>
              </c:extLst>
            </c:dLbl>
            <c:dLbl>
              <c:idx val="184"/>
              <c:tx>
                <c:rich>
                  <a:bodyPr/>
                  <a:lstStyle/>
                  <a:p>
                    <a:fld id="{2DD147B4-8EF1-4E0E-BFB8-8677B9C0B5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B209-40F3-AD75-43F7E998C017}"/>
                </c:ext>
              </c:extLst>
            </c:dLbl>
            <c:dLbl>
              <c:idx val="185"/>
              <c:tx>
                <c:rich>
                  <a:bodyPr/>
                  <a:lstStyle/>
                  <a:p>
                    <a:fld id="{46082B89-F72C-4D39-AFD2-0A2E9A6F7B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B209-40F3-AD75-43F7E998C017}"/>
                </c:ext>
              </c:extLst>
            </c:dLbl>
            <c:dLbl>
              <c:idx val="186"/>
              <c:tx>
                <c:rich>
                  <a:bodyPr/>
                  <a:lstStyle/>
                  <a:p>
                    <a:fld id="{740FF766-EEFC-4FEC-8354-B1CB2F1BF5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B209-40F3-AD75-43F7E998C017}"/>
                </c:ext>
              </c:extLst>
            </c:dLbl>
            <c:dLbl>
              <c:idx val="187"/>
              <c:tx>
                <c:rich>
                  <a:bodyPr/>
                  <a:lstStyle/>
                  <a:p>
                    <a:fld id="{6D843536-D41A-4EDC-B613-B0A36CB4C0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B209-40F3-AD75-43F7E998C017}"/>
                </c:ext>
              </c:extLst>
            </c:dLbl>
            <c:dLbl>
              <c:idx val="188"/>
              <c:tx>
                <c:rich>
                  <a:bodyPr/>
                  <a:lstStyle/>
                  <a:p>
                    <a:fld id="{EC31F889-461E-46B5-BBFB-DA0F373045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B209-40F3-AD75-43F7E998C017}"/>
                </c:ext>
              </c:extLst>
            </c:dLbl>
            <c:dLbl>
              <c:idx val="189"/>
              <c:tx>
                <c:rich>
                  <a:bodyPr/>
                  <a:lstStyle/>
                  <a:p>
                    <a:fld id="{444940A9-837E-49FA-B158-7017327779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B209-40F3-AD75-43F7E998C017}"/>
                </c:ext>
              </c:extLst>
            </c:dLbl>
            <c:dLbl>
              <c:idx val="190"/>
              <c:tx>
                <c:rich>
                  <a:bodyPr/>
                  <a:lstStyle/>
                  <a:p>
                    <a:fld id="{5F7E4ECB-2278-4C6F-874D-231F97563F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B209-40F3-AD75-43F7E998C017}"/>
                </c:ext>
              </c:extLst>
            </c:dLbl>
            <c:dLbl>
              <c:idx val="191"/>
              <c:tx>
                <c:rich>
                  <a:bodyPr/>
                  <a:lstStyle/>
                  <a:p>
                    <a:fld id="{CA77932F-5DD3-4413-B152-3032EC73B6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B209-40F3-AD75-43F7E998C017}"/>
                </c:ext>
              </c:extLst>
            </c:dLbl>
            <c:dLbl>
              <c:idx val="192"/>
              <c:tx>
                <c:rich>
                  <a:bodyPr/>
                  <a:lstStyle/>
                  <a:p>
                    <a:fld id="{585700B3-0DC1-4B3E-B8AA-458DD70186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B209-40F3-AD75-43F7E998C017}"/>
                </c:ext>
              </c:extLst>
            </c:dLbl>
            <c:dLbl>
              <c:idx val="193"/>
              <c:tx>
                <c:rich>
                  <a:bodyPr/>
                  <a:lstStyle/>
                  <a:p>
                    <a:fld id="{03A4975C-17D7-4F89-B09E-B047B582CA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B209-40F3-AD75-43F7E998C017}"/>
                </c:ext>
              </c:extLst>
            </c:dLbl>
            <c:dLbl>
              <c:idx val="194"/>
              <c:tx>
                <c:rich>
                  <a:bodyPr/>
                  <a:lstStyle/>
                  <a:p>
                    <a:fld id="{795C53A7-D0B4-4C9D-B024-30EAAEC2C3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B209-40F3-AD75-43F7E998C017}"/>
                </c:ext>
              </c:extLst>
            </c:dLbl>
            <c:dLbl>
              <c:idx val="195"/>
              <c:tx>
                <c:rich>
                  <a:bodyPr/>
                  <a:lstStyle/>
                  <a:p>
                    <a:fld id="{7EA537DB-847C-4F62-80F2-F9210F030C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B209-40F3-AD75-43F7E998C017}"/>
                </c:ext>
              </c:extLst>
            </c:dLbl>
            <c:dLbl>
              <c:idx val="196"/>
              <c:tx>
                <c:rich>
                  <a:bodyPr/>
                  <a:lstStyle/>
                  <a:p>
                    <a:fld id="{9D8AD5CE-1E77-40AB-90FA-A688288489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B209-40F3-AD75-43F7E998C017}"/>
                </c:ext>
              </c:extLst>
            </c:dLbl>
            <c:dLbl>
              <c:idx val="197"/>
              <c:tx>
                <c:rich>
                  <a:bodyPr/>
                  <a:lstStyle/>
                  <a:p>
                    <a:fld id="{ACD5FF39-DFCC-4A2F-AD39-16C65F9F0C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B209-40F3-AD75-43F7E998C017}"/>
                </c:ext>
              </c:extLst>
            </c:dLbl>
            <c:dLbl>
              <c:idx val="198"/>
              <c:tx>
                <c:rich>
                  <a:bodyPr/>
                  <a:lstStyle/>
                  <a:p>
                    <a:fld id="{F8672186-B3B3-46B9-99C7-9C74FFBCAD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B209-40F3-AD75-43F7E998C017}"/>
                </c:ext>
              </c:extLst>
            </c:dLbl>
            <c:dLbl>
              <c:idx val="199"/>
              <c:tx>
                <c:rich>
                  <a:bodyPr/>
                  <a:lstStyle/>
                  <a:p>
                    <a:fld id="{A3F9CF80-E2B4-45AD-A6C7-0F4BD64403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B209-40F3-AD75-43F7E998C017}"/>
                </c:ext>
              </c:extLst>
            </c:dLbl>
            <c:dLbl>
              <c:idx val="200"/>
              <c:tx>
                <c:rich>
                  <a:bodyPr/>
                  <a:lstStyle/>
                  <a:p>
                    <a:fld id="{60D8963D-5461-4559-823B-EEF24F0603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B209-40F3-AD75-43F7E998C017}"/>
                </c:ext>
              </c:extLst>
            </c:dLbl>
            <c:dLbl>
              <c:idx val="201"/>
              <c:tx>
                <c:rich>
                  <a:bodyPr/>
                  <a:lstStyle/>
                  <a:p>
                    <a:fld id="{3EEC43BF-6EB2-448B-B8AD-C3C78F9C61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B209-40F3-AD75-43F7E998C017}"/>
                </c:ext>
              </c:extLst>
            </c:dLbl>
            <c:dLbl>
              <c:idx val="202"/>
              <c:tx>
                <c:rich>
                  <a:bodyPr/>
                  <a:lstStyle/>
                  <a:p>
                    <a:fld id="{C0FF1B4E-D014-43C3-B336-01D33A3FA0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B209-40F3-AD75-43F7E998C017}"/>
                </c:ext>
              </c:extLst>
            </c:dLbl>
            <c:dLbl>
              <c:idx val="203"/>
              <c:tx>
                <c:rich>
                  <a:bodyPr/>
                  <a:lstStyle/>
                  <a:p>
                    <a:fld id="{8A12D8B7-125D-44A6-B198-E479847A8C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B209-40F3-AD75-43F7E998C017}"/>
                </c:ext>
              </c:extLst>
            </c:dLbl>
            <c:dLbl>
              <c:idx val="204"/>
              <c:tx>
                <c:rich>
                  <a:bodyPr/>
                  <a:lstStyle/>
                  <a:p>
                    <a:fld id="{9779017D-EDB3-466A-B980-0BC638C917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B209-40F3-AD75-43F7E998C017}"/>
                </c:ext>
              </c:extLst>
            </c:dLbl>
            <c:dLbl>
              <c:idx val="205"/>
              <c:tx>
                <c:rich>
                  <a:bodyPr/>
                  <a:lstStyle/>
                  <a:p>
                    <a:fld id="{BD3D2EB6-0FF8-451D-A58E-8B6F7D1236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B209-40F3-AD75-43F7E998C017}"/>
                </c:ext>
              </c:extLst>
            </c:dLbl>
            <c:dLbl>
              <c:idx val="206"/>
              <c:tx>
                <c:rich>
                  <a:bodyPr/>
                  <a:lstStyle/>
                  <a:p>
                    <a:fld id="{4C7262BE-EBAE-4502-A300-75D67069FA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B209-40F3-AD75-43F7E998C017}"/>
                </c:ext>
              </c:extLst>
            </c:dLbl>
            <c:dLbl>
              <c:idx val="207"/>
              <c:tx>
                <c:rich>
                  <a:bodyPr/>
                  <a:lstStyle/>
                  <a:p>
                    <a:fld id="{C7AB1BAC-1FFF-4BBD-8AD3-49C36D489F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B209-40F3-AD75-43F7E998C017}"/>
                </c:ext>
              </c:extLst>
            </c:dLbl>
            <c:dLbl>
              <c:idx val="208"/>
              <c:tx>
                <c:rich>
                  <a:bodyPr/>
                  <a:lstStyle/>
                  <a:p>
                    <a:fld id="{9F99D1A5-388A-49C8-98FF-F08F46A7AA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B209-40F3-AD75-43F7E998C017}"/>
                </c:ext>
              </c:extLst>
            </c:dLbl>
            <c:dLbl>
              <c:idx val="209"/>
              <c:tx>
                <c:rich>
                  <a:bodyPr/>
                  <a:lstStyle/>
                  <a:p>
                    <a:fld id="{0AF0B801-11FD-4E1B-929E-1F8305AE4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B209-40F3-AD75-43F7E998C017}"/>
                </c:ext>
              </c:extLst>
            </c:dLbl>
            <c:dLbl>
              <c:idx val="210"/>
              <c:tx>
                <c:rich>
                  <a:bodyPr/>
                  <a:lstStyle/>
                  <a:p>
                    <a:fld id="{FA84C833-FFE6-4B13-AAD7-1FABC30BC1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B209-40F3-AD75-43F7E998C017}"/>
                </c:ext>
              </c:extLst>
            </c:dLbl>
            <c:dLbl>
              <c:idx val="211"/>
              <c:tx>
                <c:rich>
                  <a:bodyPr/>
                  <a:lstStyle/>
                  <a:p>
                    <a:fld id="{C7CD2CF9-E021-49E3-84B0-F6FDF43318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B209-40F3-AD75-43F7E998C017}"/>
                </c:ext>
              </c:extLst>
            </c:dLbl>
            <c:dLbl>
              <c:idx val="212"/>
              <c:tx>
                <c:rich>
                  <a:bodyPr/>
                  <a:lstStyle/>
                  <a:p>
                    <a:fld id="{97DFED1A-3892-49F3-9A3F-5C7CBD1499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B209-40F3-AD75-43F7E998C017}"/>
                </c:ext>
              </c:extLst>
            </c:dLbl>
            <c:dLbl>
              <c:idx val="213"/>
              <c:tx>
                <c:rich>
                  <a:bodyPr/>
                  <a:lstStyle/>
                  <a:p>
                    <a:fld id="{CC6EFCED-2404-4E04-9835-4AABDD4B6B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B209-40F3-AD75-43F7E998C017}"/>
                </c:ext>
              </c:extLst>
            </c:dLbl>
            <c:dLbl>
              <c:idx val="214"/>
              <c:tx>
                <c:rich>
                  <a:bodyPr/>
                  <a:lstStyle/>
                  <a:p>
                    <a:fld id="{B65C67C4-A2FB-4F87-BE12-CCFDD7BADA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B209-40F3-AD75-43F7E998C017}"/>
                </c:ext>
              </c:extLst>
            </c:dLbl>
            <c:dLbl>
              <c:idx val="215"/>
              <c:tx>
                <c:rich>
                  <a:bodyPr/>
                  <a:lstStyle/>
                  <a:p>
                    <a:fld id="{49F6740C-A0F8-4635-B6FF-DE55853034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B209-40F3-AD75-43F7E998C017}"/>
                </c:ext>
              </c:extLst>
            </c:dLbl>
            <c:dLbl>
              <c:idx val="216"/>
              <c:tx>
                <c:rich>
                  <a:bodyPr/>
                  <a:lstStyle/>
                  <a:p>
                    <a:fld id="{6D2095A5-82E8-440C-8E88-D03E54E627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B209-40F3-AD75-43F7E998C017}"/>
                </c:ext>
              </c:extLst>
            </c:dLbl>
            <c:dLbl>
              <c:idx val="217"/>
              <c:tx>
                <c:rich>
                  <a:bodyPr/>
                  <a:lstStyle/>
                  <a:p>
                    <a:fld id="{1E27E965-CA5A-446D-9441-628C59315C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B209-40F3-AD75-43F7E998C017}"/>
                </c:ext>
              </c:extLst>
            </c:dLbl>
            <c:dLbl>
              <c:idx val="218"/>
              <c:tx>
                <c:rich>
                  <a:bodyPr/>
                  <a:lstStyle/>
                  <a:p>
                    <a:fld id="{CA2CC4E3-4098-4235-9BB9-454458907B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B209-40F3-AD75-43F7E998C017}"/>
                </c:ext>
              </c:extLst>
            </c:dLbl>
            <c:dLbl>
              <c:idx val="219"/>
              <c:tx>
                <c:rich>
                  <a:bodyPr/>
                  <a:lstStyle/>
                  <a:p>
                    <a:fld id="{751B1236-C27E-47BA-BEF0-CF8E14B171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B209-40F3-AD75-43F7E998C017}"/>
                </c:ext>
              </c:extLst>
            </c:dLbl>
            <c:dLbl>
              <c:idx val="220"/>
              <c:tx>
                <c:rich>
                  <a:bodyPr/>
                  <a:lstStyle/>
                  <a:p>
                    <a:fld id="{3A03667C-2868-41C4-A20C-87AE3E8C4C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B209-40F3-AD75-43F7E998C017}"/>
                </c:ext>
              </c:extLst>
            </c:dLbl>
            <c:dLbl>
              <c:idx val="221"/>
              <c:tx>
                <c:rich>
                  <a:bodyPr/>
                  <a:lstStyle/>
                  <a:p>
                    <a:fld id="{24F8BDAF-8555-4118-A69B-0FFE42D5CE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B209-40F3-AD75-43F7E998C017}"/>
                </c:ext>
              </c:extLst>
            </c:dLbl>
            <c:dLbl>
              <c:idx val="222"/>
              <c:tx>
                <c:rich>
                  <a:bodyPr/>
                  <a:lstStyle/>
                  <a:p>
                    <a:fld id="{0879E786-7734-408B-B2EA-53B49890B0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B209-40F3-AD75-43F7E998C017}"/>
                </c:ext>
              </c:extLst>
            </c:dLbl>
            <c:dLbl>
              <c:idx val="223"/>
              <c:tx>
                <c:rich>
                  <a:bodyPr/>
                  <a:lstStyle/>
                  <a:p>
                    <a:fld id="{C459B65E-7703-480D-BEEC-2E6CE4FC8B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B209-40F3-AD75-43F7E998C017}"/>
                </c:ext>
              </c:extLst>
            </c:dLbl>
            <c:dLbl>
              <c:idx val="224"/>
              <c:tx>
                <c:rich>
                  <a:bodyPr/>
                  <a:lstStyle/>
                  <a:p>
                    <a:fld id="{F663B5C3-4671-42E1-A0C7-2509C00191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B209-40F3-AD75-43F7E998C017}"/>
                </c:ext>
              </c:extLst>
            </c:dLbl>
            <c:dLbl>
              <c:idx val="225"/>
              <c:tx>
                <c:rich>
                  <a:bodyPr/>
                  <a:lstStyle/>
                  <a:p>
                    <a:fld id="{DE38BAC1-F885-48A6-AB99-46F91AAB2E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B209-40F3-AD75-43F7E998C017}"/>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B209-40F3-AD75-43F7E998C017}"/>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B209-40F3-AD75-43F7E998C017}"/>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B209-40F3-AD75-43F7E998C017}"/>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B209-40F3-AD75-43F7E998C017}"/>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B209-40F3-AD75-43F7E998C017}"/>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B209-40F3-AD75-43F7E998C017}"/>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B209-40F3-AD75-43F7E998C017}"/>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B209-40F3-AD75-43F7E998C017}"/>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B209-40F3-AD75-43F7E998C017}"/>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B209-40F3-AD75-43F7E998C017}"/>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B209-40F3-AD75-43F7E998C017}"/>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B209-40F3-AD75-43F7E998C017}"/>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B209-40F3-AD75-43F7E998C017}"/>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B209-40F3-AD75-43F7E998C017}"/>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B209-40F3-AD75-43F7E998C017}"/>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B209-40F3-AD75-43F7E998C017}"/>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B209-40F3-AD75-43F7E998C017}"/>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B209-40F3-AD75-43F7E998C017}"/>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B209-40F3-AD75-43F7E998C017}"/>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B209-40F3-AD75-43F7E998C017}"/>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B209-40F3-AD75-43F7E998C017}"/>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B209-40F3-AD75-43F7E998C017}"/>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B209-40F3-AD75-43F7E998C017}"/>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B209-40F3-AD75-43F7E998C017}"/>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B209-40F3-AD75-43F7E998C017}"/>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B209-40F3-AD75-43F7E998C017}"/>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B209-40F3-AD75-43F7E998C017}"/>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B209-40F3-AD75-43F7E998C017}"/>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B209-40F3-AD75-43F7E998C017}"/>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B209-40F3-AD75-43F7E998C017}"/>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B209-40F3-AD75-43F7E998C017}"/>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B209-40F3-AD75-43F7E998C017}"/>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B209-40F3-AD75-43F7E998C017}"/>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B209-40F3-AD75-43F7E998C017}"/>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B209-40F3-AD75-43F7E998C017}"/>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B209-40F3-AD75-43F7E998C017}"/>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B209-40F3-AD75-43F7E998C017}"/>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B209-40F3-AD75-43F7E998C017}"/>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B209-40F3-AD75-43F7E998C017}"/>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B209-40F3-AD75-43F7E998C017}"/>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B209-40F3-AD75-43F7E998C017}"/>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B209-40F3-AD75-43F7E998C017}"/>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B209-40F3-AD75-43F7E998C017}"/>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B209-40F3-AD75-43F7E998C017}"/>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B209-40F3-AD75-43F7E998C017}"/>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B209-40F3-AD75-43F7E998C017}"/>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B209-40F3-AD75-43F7E998C017}"/>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B209-40F3-AD75-43F7E998C017}"/>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B209-40F3-AD75-43F7E998C017}"/>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B209-40F3-AD75-43F7E998C017}"/>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B209-40F3-AD75-43F7E998C017}"/>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B209-40F3-AD75-43F7E998C017}"/>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B209-40F3-AD75-43F7E998C017}"/>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B209-40F3-AD75-43F7E998C017}"/>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B209-40F3-AD75-43F7E998C017}"/>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B209-40F3-AD75-43F7E998C017}"/>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B209-40F3-AD75-43F7E998C017}"/>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B209-40F3-AD75-43F7E998C017}"/>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B209-40F3-AD75-43F7E998C017}"/>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B209-40F3-AD75-43F7E998C017}"/>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B209-40F3-AD75-43F7E998C017}"/>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B209-40F3-AD75-43F7E998C017}"/>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B209-40F3-AD75-43F7E998C017}"/>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B209-40F3-AD75-43F7E998C017}"/>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B209-40F3-AD75-43F7E998C017}"/>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B209-40F3-AD75-43F7E998C017}"/>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B209-40F3-AD75-43F7E998C017}"/>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B209-40F3-AD75-43F7E998C017}"/>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B209-40F3-AD75-43F7E998C017}"/>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B209-40F3-AD75-43F7E998C017}"/>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B209-40F3-AD75-43F7E998C017}"/>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B209-40F3-AD75-43F7E998C017}"/>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B209-40F3-AD75-43F7E998C017}"/>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50.523117065429688</c:v>
                </c:pt>
                <c:pt idx="1">
                  <c:v>58.153018951416016</c:v>
                </c:pt>
                <c:pt idx="2">
                  <c:v>60.616897583007813</c:v>
                </c:pt>
                <c:pt idx="3">
                  <c:v>61.750778198242188</c:v>
                </c:pt>
                <c:pt idx="4">
                  <c:v>61.539337158203125</c:v>
                </c:pt>
                <c:pt idx="5">
                  <c:v>61.403224945068359</c:v>
                </c:pt>
                <c:pt idx="6">
                  <c:v>61.2900390625</c:v>
                </c:pt>
                <c:pt idx="7">
                  <c:v>61.533592224121094</c:v>
                </c:pt>
                <c:pt idx="8">
                  <c:v>61.285701751708984</c:v>
                </c:pt>
                <c:pt idx="9">
                  <c:v>61.369869232177734</c:v>
                </c:pt>
                <c:pt idx="10">
                  <c:v>61.985771179199219</c:v>
                </c:pt>
                <c:pt idx="11">
                  <c:v>63.021339416503906</c:v>
                </c:pt>
                <c:pt idx="12">
                  <c:v>66.164276123046875</c:v>
                </c:pt>
                <c:pt idx="13">
                  <c:v>71.650077819824219</c:v>
                </c:pt>
                <c:pt idx="14">
                  <c:v>79.338348388671875</c:v>
                </c:pt>
                <c:pt idx="15">
                  <c:v>87.847419738769531</c:v>
                </c:pt>
                <c:pt idx="16">
                  <c:v>95.246269226074219</c:v>
                </c:pt>
                <c:pt idx="17">
                  <c:v>100</c:v>
                </c:pt>
                <c:pt idx="18">
                  <c:v>99.995437622070313</c:v>
                </c:pt>
                <c:pt idx="19">
                  <c:v>95.475067138671875</c:v>
                </c:pt>
                <c:pt idx="20">
                  <c:v>86.97021484375</c:v>
                </c:pt>
                <c:pt idx="21">
                  <c:v>76.244987487792969</c:v>
                </c:pt>
                <c:pt idx="22">
                  <c:v>65.126960754394531</c:v>
                </c:pt>
                <c:pt idx="23">
                  <c:v>55.03656005859375</c:v>
                </c:pt>
                <c:pt idx="24">
                  <c:v>46.496669769287109</c:v>
                </c:pt>
                <c:pt idx="25">
                  <c:v>39.918003082275391</c:v>
                </c:pt>
                <c:pt idx="26">
                  <c:v>34.994522094726563</c:v>
                </c:pt>
                <c:pt idx="27">
                  <c:v>31.5911865234375</c:v>
                </c:pt>
                <c:pt idx="28">
                  <c:v>29.124208450317383</c:v>
                </c:pt>
                <c:pt idx="29">
                  <c:v>27.643726348876953</c:v>
                </c:pt>
                <c:pt idx="30">
                  <c:v>26.344602584838867</c:v>
                </c:pt>
                <c:pt idx="31">
                  <c:v>25.473543167114258</c:v>
                </c:pt>
                <c:pt idx="32">
                  <c:v>24.985757827758789</c:v>
                </c:pt>
                <c:pt idx="33">
                  <c:v>24.766654968261719</c:v>
                </c:pt>
                <c:pt idx="34">
                  <c:v>24.960912704467773</c:v>
                </c:pt>
                <c:pt idx="35">
                  <c:v>25.534557342529297</c:v>
                </c:pt>
                <c:pt idx="36">
                  <c:v>25.950115203857422</c:v>
                </c:pt>
                <c:pt idx="37">
                  <c:v>26.527254104614258</c:v>
                </c:pt>
                <c:pt idx="38">
                  <c:v>27.669193267822266</c:v>
                </c:pt>
                <c:pt idx="39">
                  <c:v>28.722396850585938</c:v>
                </c:pt>
                <c:pt idx="40">
                  <c:v>29.818023681640625</c:v>
                </c:pt>
                <c:pt idx="41">
                  <c:v>31.241884231567383</c:v>
                </c:pt>
                <c:pt idx="42">
                  <c:v>33.017242431640625</c:v>
                </c:pt>
                <c:pt idx="43">
                  <c:v>34.622066497802734</c:v>
                </c:pt>
                <c:pt idx="44">
                  <c:v>36.421592712402344</c:v>
                </c:pt>
                <c:pt idx="45">
                  <c:v>38.45318603515625</c:v>
                </c:pt>
                <c:pt idx="46">
                  <c:v>40.085891723632813</c:v>
                </c:pt>
                <c:pt idx="47">
                  <c:v>41.697700500488281</c:v>
                </c:pt>
                <c:pt idx="48">
                  <c:v>43.143306732177734</c:v>
                </c:pt>
                <c:pt idx="49">
                  <c:v>44.812015533447266</c:v>
                </c:pt>
                <c:pt idx="50">
                  <c:v>46.050857543945313</c:v>
                </c:pt>
                <c:pt idx="51">
                  <c:v>46.902030944824219</c:v>
                </c:pt>
                <c:pt idx="52">
                  <c:v>48.102672576904297</c:v>
                </c:pt>
                <c:pt idx="53">
                  <c:v>48.999591827392578</c:v>
                </c:pt>
                <c:pt idx="54">
                  <c:v>49.307655334472656</c:v>
                </c:pt>
                <c:pt idx="55">
                  <c:v>49.266471862792969</c:v>
                </c:pt>
                <c:pt idx="56">
                  <c:v>48.765727996826172</c:v>
                </c:pt>
                <c:pt idx="57">
                  <c:v>47.97906494140625</c:v>
                </c:pt>
                <c:pt idx="58">
                  <c:v>46.801353454589844</c:v>
                </c:pt>
                <c:pt idx="59">
                  <c:v>45.253433227539063</c:v>
                </c:pt>
                <c:pt idx="60">
                  <c:v>43.027191162109375</c:v>
                </c:pt>
                <c:pt idx="61">
                  <c:v>40.131752014160156</c:v>
                </c:pt>
                <c:pt idx="62">
                  <c:v>37.472320556640625</c:v>
                </c:pt>
                <c:pt idx="63">
                  <c:v>34.796489715576172</c:v>
                </c:pt>
                <c:pt idx="64">
                  <c:v>32.247989654541016</c:v>
                </c:pt>
                <c:pt idx="65">
                  <c:v>29.321001052856445</c:v>
                </c:pt>
                <c:pt idx="66">
                  <c:v>26.44432258605957</c:v>
                </c:pt>
                <c:pt idx="67">
                  <c:v>23.472545623779297</c:v>
                </c:pt>
                <c:pt idx="68">
                  <c:v>20.464822769165039</c:v>
                </c:pt>
                <c:pt idx="69">
                  <c:v>18.064323425292969</c:v>
                </c:pt>
                <c:pt idx="70">
                  <c:v>16.273189544677734</c:v>
                </c:pt>
                <c:pt idx="71">
                  <c:v>14.917949676513672</c:v>
                </c:pt>
                <c:pt idx="72">
                  <c:v>13.478371620178223</c:v>
                </c:pt>
                <c:pt idx="73">
                  <c:v>12.290291786193848</c:v>
                </c:pt>
                <c:pt idx="74">
                  <c:v>11.775576591491699</c:v>
                </c:pt>
                <c:pt idx="75">
                  <c:v>11.075393676757813</c:v>
                </c:pt>
                <c:pt idx="76">
                  <c:v>10.32985782623291</c:v>
                </c:pt>
                <c:pt idx="77">
                  <c:v>9.5685462951660156</c:v>
                </c:pt>
                <c:pt idx="78">
                  <c:v>9.0860576629638672</c:v>
                </c:pt>
                <c:pt idx="79">
                  <c:v>8.9318017959594727</c:v>
                </c:pt>
                <c:pt idx="80">
                  <c:v>8.1785469055175781</c:v>
                </c:pt>
                <c:pt idx="81">
                  <c:v>7.7064247131347656</c:v>
                </c:pt>
                <c:pt idx="82">
                  <c:v>7.3636569976806641</c:v>
                </c:pt>
                <c:pt idx="83">
                  <c:v>6.864098072052002</c:v>
                </c:pt>
                <c:pt idx="84">
                  <c:v>6.8820700645446777</c:v>
                </c:pt>
                <c:pt idx="85">
                  <c:v>7.0538482666015625</c:v>
                </c:pt>
                <c:pt idx="86">
                  <c:v>6.9097328186035156</c:v>
                </c:pt>
                <c:pt idx="87">
                  <c:v>6.6602625846862793</c:v>
                </c:pt>
                <c:pt idx="88">
                  <c:v>5.9793477058410645</c:v>
                </c:pt>
                <c:pt idx="89">
                  <c:v>5.7645263671875</c:v>
                </c:pt>
                <c:pt idx="90">
                  <c:v>5.6997365951538086</c:v>
                </c:pt>
                <c:pt idx="91">
                  <c:v>5.6837363243103027</c:v>
                </c:pt>
                <c:pt idx="92">
                  <c:v>5.3365178108215332</c:v>
                </c:pt>
                <c:pt idx="93">
                  <c:v>5.4583230018615723</c:v>
                </c:pt>
                <c:pt idx="94">
                  <c:v>5.7749490737915039</c:v>
                </c:pt>
                <c:pt idx="95">
                  <c:v>5.8865571022033691</c:v>
                </c:pt>
                <c:pt idx="96">
                  <c:v>6.0992374420166016</c:v>
                </c:pt>
                <c:pt idx="97">
                  <c:v>6.56488037109375</c:v>
                </c:pt>
                <c:pt idx="98">
                  <c:v>6.5771627426147461</c:v>
                </c:pt>
                <c:pt idx="99">
                  <c:v>6.8658442497253418</c:v>
                </c:pt>
                <c:pt idx="100">
                  <c:v>7.2646694183349609</c:v>
                </c:pt>
                <c:pt idx="101">
                  <c:v>6.9985232353210449</c:v>
                </c:pt>
                <c:pt idx="102">
                  <c:v>7.0909194946289063</c:v>
                </c:pt>
                <c:pt idx="103">
                  <c:v>6.7904062271118164</c:v>
                </c:pt>
                <c:pt idx="104">
                  <c:v>6.8884363174438477</c:v>
                </c:pt>
                <c:pt idx="105">
                  <c:v>7.4164471626281738</c:v>
                </c:pt>
                <c:pt idx="106">
                  <c:v>7.401179313659668</c:v>
                </c:pt>
                <c:pt idx="107">
                  <c:v>8.0379247665405273</c:v>
                </c:pt>
                <c:pt idx="108">
                  <c:v>8.5068912506103516</c:v>
                </c:pt>
                <c:pt idx="109">
                  <c:v>8.4044666290283203</c:v>
                </c:pt>
                <c:pt idx="110">
                  <c:v>9.241215705871582</c:v>
                </c:pt>
                <c:pt idx="111">
                  <c:v>9.9731740951538086</c:v>
                </c:pt>
                <c:pt idx="112">
                  <c:v>9.7946920394897461</c:v>
                </c:pt>
                <c:pt idx="113">
                  <c:v>9.9770059585571289</c:v>
                </c:pt>
                <c:pt idx="114">
                  <c:v>10.338027000427246</c:v>
                </c:pt>
                <c:pt idx="115">
                  <c:v>10.66783618927002</c:v>
                </c:pt>
                <c:pt idx="116">
                  <c:v>11.213312149047852</c:v>
                </c:pt>
                <c:pt idx="117">
                  <c:v>11.565657615661621</c:v>
                </c:pt>
                <c:pt idx="118">
                  <c:v>12.133442878723145</c:v>
                </c:pt>
                <c:pt idx="119">
                  <c:v>12.814865112304688</c:v>
                </c:pt>
                <c:pt idx="120">
                  <c:v>13.092279434204102</c:v>
                </c:pt>
                <c:pt idx="121">
                  <c:v>13.775955200195313</c:v>
                </c:pt>
                <c:pt idx="122">
                  <c:v>14.355403900146484</c:v>
                </c:pt>
                <c:pt idx="123">
                  <c:v>14.64870548248291</c:v>
                </c:pt>
                <c:pt idx="124">
                  <c:v>15.339141845703125</c:v>
                </c:pt>
                <c:pt idx="125">
                  <c:v>16.264625549316406</c:v>
                </c:pt>
                <c:pt idx="126">
                  <c:v>16.719339370727539</c:v>
                </c:pt>
                <c:pt idx="127">
                  <c:v>17.278392791748047</c:v>
                </c:pt>
                <c:pt idx="128">
                  <c:v>18.063760757446289</c:v>
                </c:pt>
                <c:pt idx="129">
                  <c:v>19.014934539794922</c:v>
                </c:pt>
                <c:pt idx="130">
                  <c:v>19.620241165161133</c:v>
                </c:pt>
                <c:pt idx="131">
                  <c:v>19.060342788696289</c:v>
                </c:pt>
                <c:pt idx="132">
                  <c:v>18.870199203491211</c:v>
                </c:pt>
                <c:pt idx="133">
                  <c:v>20.62054443359375</c:v>
                </c:pt>
                <c:pt idx="134">
                  <c:v>21.469181060791016</c:v>
                </c:pt>
                <c:pt idx="135">
                  <c:v>20.808773040771484</c:v>
                </c:pt>
                <c:pt idx="136">
                  <c:v>29.065952301025391</c:v>
                </c:pt>
                <c:pt idx="137">
                  <c:v>34.703533172607422</c:v>
                </c:pt>
                <c:pt idx="138">
                  <c:v>27.908576965332031</c:v>
                </c:pt>
                <c:pt idx="139">
                  <c:v>23.441896438598633</c:v>
                </c:pt>
                <c:pt idx="140">
                  <c:v>24.070697784423828</c:v>
                </c:pt>
                <c:pt idx="141">
                  <c:v>25.111337661743164</c:v>
                </c:pt>
                <c:pt idx="142">
                  <c:v>25.036745071411133</c:v>
                </c:pt>
                <c:pt idx="143">
                  <c:v>24.776063919067383</c:v>
                </c:pt>
                <c:pt idx="144">
                  <c:v>25.457712173461914</c:v>
                </c:pt>
                <c:pt idx="145">
                  <c:v>25.225988388061523</c:v>
                </c:pt>
                <c:pt idx="146">
                  <c:v>24.916799545288086</c:v>
                </c:pt>
                <c:pt idx="147">
                  <c:v>25.474388122558594</c:v>
                </c:pt>
                <c:pt idx="148">
                  <c:v>25.681039810180664</c:v>
                </c:pt>
                <c:pt idx="149">
                  <c:v>25.97242546081543</c:v>
                </c:pt>
                <c:pt idx="150">
                  <c:v>26.560268402099609</c:v>
                </c:pt>
                <c:pt idx="151">
                  <c:v>25.826789855957031</c:v>
                </c:pt>
                <c:pt idx="152">
                  <c:v>26.094570159912109</c:v>
                </c:pt>
                <c:pt idx="153">
                  <c:v>27.618093490600586</c:v>
                </c:pt>
                <c:pt idx="154">
                  <c:v>27.563726425170898</c:v>
                </c:pt>
                <c:pt idx="155">
                  <c:v>26.515310287475586</c:v>
                </c:pt>
                <c:pt idx="156">
                  <c:v>26.474859237670898</c:v>
                </c:pt>
                <c:pt idx="157">
                  <c:v>25.598052978515625</c:v>
                </c:pt>
                <c:pt idx="158">
                  <c:v>24.469184875488281</c:v>
                </c:pt>
                <c:pt idx="159">
                  <c:v>24.53312873840332</c:v>
                </c:pt>
                <c:pt idx="160">
                  <c:v>23.639308929443359</c:v>
                </c:pt>
                <c:pt idx="161">
                  <c:v>22.109588623046875</c:v>
                </c:pt>
                <c:pt idx="162">
                  <c:v>20.788602828979492</c:v>
                </c:pt>
                <c:pt idx="163">
                  <c:v>20.036306381225586</c:v>
                </c:pt>
                <c:pt idx="164">
                  <c:v>20.428709030151367</c:v>
                </c:pt>
                <c:pt idx="165">
                  <c:v>18.839662551879883</c:v>
                </c:pt>
                <c:pt idx="166">
                  <c:v>16.840692520141602</c:v>
                </c:pt>
                <c:pt idx="167">
                  <c:v>17.845333099365234</c:v>
                </c:pt>
                <c:pt idx="168">
                  <c:v>18.477119445800781</c:v>
                </c:pt>
                <c:pt idx="169">
                  <c:v>19.193923950195313</c:v>
                </c:pt>
                <c:pt idx="170">
                  <c:v>18.543544769287109</c:v>
                </c:pt>
                <c:pt idx="171">
                  <c:v>17.209827423095703</c:v>
                </c:pt>
                <c:pt idx="172">
                  <c:v>17.438226699829102</c:v>
                </c:pt>
                <c:pt idx="173">
                  <c:v>17.363407135009766</c:v>
                </c:pt>
                <c:pt idx="174">
                  <c:v>16.513418197631836</c:v>
                </c:pt>
                <c:pt idx="175">
                  <c:v>15.704726219177246</c:v>
                </c:pt>
                <c:pt idx="176">
                  <c:v>15.374748229980469</c:v>
                </c:pt>
                <c:pt idx="177">
                  <c:v>14.579689979553223</c:v>
                </c:pt>
                <c:pt idx="178">
                  <c:v>13.167943000793457</c:v>
                </c:pt>
                <c:pt idx="179">
                  <c:v>11.801323890686035</c:v>
                </c:pt>
                <c:pt idx="180">
                  <c:v>9.6126604080200195</c:v>
                </c:pt>
                <c:pt idx="181">
                  <c:v>8.5635690689086914</c:v>
                </c:pt>
                <c:pt idx="182">
                  <c:v>8.7635164260864258</c:v>
                </c:pt>
                <c:pt idx="183">
                  <c:v>7.5381960868835449</c:v>
                </c:pt>
                <c:pt idx="184">
                  <c:v>6.3062276840209961</c:v>
                </c:pt>
                <c:pt idx="185">
                  <c:v>5.2022614479064941</c:v>
                </c:pt>
                <c:pt idx="186">
                  <c:v>5.1915574073791504</c:v>
                </c:pt>
                <c:pt idx="187">
                  <c:v>4.9292984008789063</c:v>
                </c:pt>
                <c:pt idx="188">
                  <c:v>4.2261857986450195</c:v>
                </c:pt>
                <c:pt idx="189">
                  <c:v>3.8519246578216553</c:v>
                </c:pt>
                <c:pt idx="190">
                  <c:v>3.7826838493347168</c:v>
                </c:pt>
                <c:pt idx="191">
                  <c:v>3.5332703590393066</c:v>
                </c:pt>
                <c:pt idx="192">
                  <c:v>3.3932111263275146</c:v>
                </c:pt>
                <c:pt idx="193">
                  <c:v>3.074782133102417</c:v>
                </c:pt>
                <c:pt idx="194">
                  <c:v>3.4364233016967773</c:v>
                </c:pt>
                <c:pt idx="195">
                  <c:v>3.8336143493652344</c:v>
                </c:pt>
                <c:pt idx="196">
                  <c:v>3.1735446453094482</c:v>
                </c:pt>
                <c:pt idx="197">
                  <c:v>2.8309462070465088</c:v>
                </c:pt>
                <c:pt idx="198">
                  <c:v>2.7625505924224854</c:v>
                </c:pt>
                <c:pt idx="199">
                  <c:v>3.2614901065826416</c:v>
                </c:pt>
                <c:pt idx="200">
                  <c:v>3.8218395709991455</c:v>
                </c:pt>
                <c:pt idx="201">
                  <c:v>3.5025091171264648</c:v>
                </c:pt>
                <c:pt idx="202">
                  <c:v>3.0239078998565674</c:v>
                </c:pt>
                <c:pt idx="203">
                  <c:v>3.6608221530914307</c:v>
                </c:pt>
                <c:pt idx="204">
                  <c:v>3.1410369873046875</c:v>
                </c:pt>
                <c:pt idx="205">
                  <c:v>2.8792853355407715</c:v>
                </c:pt>
                <c:pt idx="206">
                  <c:v>3.347069263458252</c:v>
                </c:pt>
                <c:pt idx="207">
                  <c:v>2.8522987365722656</c:v>
                </c:pt>
                <c:pt idx="208">
                  <c:v>2.9671742916107178</c:v>
                </c:pt>
                <c:pt idx="209">
                  <c:v>2.6658725738525391</c:v>
                </c:pt>
                <c:pt idx="210">
                  <c:v>3.0594015121459961</c:v>
                </c:pt>
                <c:pt idx="211">
                  <c:v>2.9107224941253662</c:v>
                </c:pt>
                <c:pt idx="212">
                  <c:v>3.0566411018371582</c:v>
                </c:pt>
                <c:pt idx="213">
                  <c:v>2.8930883407592773</c:v>
                </c:pt>
                <c:pt idx="214">
                  <c:v>2.5488560199737549</c:v>
                </c:pt>
                <c:pt idx="215">
                  <c:v>3.0988953113555908</c:v>
                </c:pt>
                <c:pt idx="216">
                  <c:v>2.6849715709686279</c:v>
                </c:pt>
                <c:pt idx="217">
                  <c:v>2.5252499580383301</c:v>
                </c:pt>
                <c:pt idx="218">
                  <c:v>2.1081712245941162</c:v>
                </c:pt>
                <c:pt idx="219">
                  <c:v>2.003831148147583</c:v>
                </c:pt>
                <c:pt idx="220">
                  <c:v>2.542377233505249</c:v>
                </c:pt>
                <c:pt idx="221">
                  <c:v>2</c:v>
                </c:pt>
                <c:pt idx="222">
                  <c:v>3.2034609317779541</c:v>
                </c:pt>
                <c:pt idx="223">
                  <c:v>3.0144991874694824</c:v>
                </c:pt>
                <c:pt idx="224">
                  <c:v>3.5241434574127197</c:v>
                </c:pt>
                <c:pt idx="225">
                  <c:v>6.0260529518127441</c:v>
                </c:pt>
              </c:numCache>
            </c:numRef>
          </c:yVal>
          <c:smooth val="1"/>
          <c:extLst>
            <c:ext xmlns:c15="http://schemas.microsoft.com/office/drawing/2012/chart" uri="{02D57815-91ED-43cb-92C2-25804820EDAC}">
              <c15:datalabelsRange>
                <c15:f>PeakLabels!$E$2:$E$300</c15:f>
                <c15:dlblRangeCache>
                  <c:ptCount val="299"/>
                  <c:pt idx="3">
                    <c:v>196</c:v>
                  </c:pt>
                  <c:pt idx="17">
                    <c:v>224</c:v>
                  </c:pt>
                  <c:pt idx="54">
                    <c:v>298</c:v>
                  </c:pt>
                  <c:pt idx="76">
                    <c:v>344s</c:v>
                  </c:pt>
                  <c:pt idx="111">
                    <c:v>412</c:v>
                  </c:pt>
                  <c:pt idx="137">
                    <c:v>464</c:v>
                  </c:pt>
                  <c:pt idx="144">
                    <c:v>478</c:v>
                  </c:pt>
                  <c:pt idx="153">
                    <c:v>496</c:v>
                  </c:pt>
                  <c:pt idx="159">
                    <c:v>508</c:v>
                  </c:pt>
                  <c:pt idx="169">
                    <c:v>528</c:v>
                  </c:pt>
                </c15:dlblRangeCache>
              </c15:datalabelsRange>
            </c:ext>
            <c:ext xmlns:c16="http://schemas.microsoft.com/office/drawing/2014/chart" uri="{C3380CC4-5D6E-409C-BE32-E72D297353CC}">
              <c16:uniqueId val="{00000000-AAAE-4C4E-B521-E0B9974BDE0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385107B5-F1E0-4A48-ADA8-C808732B5DA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AAE-4C4E-B521-E0B9974BDE05}"/>
                </c:ext>
              </c:extLst>
            </c:dLbl>
            <c:dLbl>
              <c:idx val="1"/>
              <c:tx>
                <c:rich>
                  <a:bodyPr/>
                  <a:lstStyle/>
                  <a:p>
                    <a:fld id="{260091AC-DD48-4F18-8234-34E14010C48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AE-4C4E-B521-E0B9974BDE05}"/>
                </c:ext>
              </c:extLst>
            </c:dLbl>
            <c:dLbl>
              <c:idx val="2"/>
              <c:tx>
                <c:rich>
                  <a:bodyPr/>
                  <a:lstStyle/>
                  <a:p>
                    <a:fld id="{0B2ECB58-DDD0-4915-A064-40D9196A550A}"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AE-4C4E-B521-E0B9974BDE05}"/>
                </c:ext>
              </c:extLst>
            </c:dLbl>
            <c:dLbl>
              <c:idx val="3"/>
              <c:tx>
                <c:rich>
                  <a:bodyPr/>
                  <a:lstStyle/>
                  <a:p>
                    <a:fld id="{30CA446D-9F3A-4B20-A791-7A7D772F321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AE-4C4E-B521-E0B9974BDE05}"/>
                </c:ext>
              </c:extLst>
            </c:dLbl>
            <c:dLbl>
              <c:idx val="4"/>
              <c:tx>
                <c:rich>
                  <a:bodyPr/>
                  <a:lstStyle/>
                  <a:p>
                    <a:fld id="{3A99886C-AE05-4168-A643-76B744B27E2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AE-4C4E-B521-E0B9974BDE0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AAAE-4C4E-B521-E0B9974BDE05}"/>
            </c:ext>
          </c:extLst>
        </c:ser>
        <c:dLbls>
          <c:showLegendKey val="0"/>
          <c:showVal val="0"/>
          <c:showCatName val="0"/>
          <c:showSerName val="0"/>
          <c:showPercent val="0"/>
          <c:showBubbleSize val="0"/>
        </c:dLbls>
        <c:axId val="1569266832"/>
        <c:axId val="1569267920"/>
      </c:scatterChart>
      <c:valAx>
        <c:axId val="1569266832"/>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7920"/>
        <c:crossesAt val="0"/>
        <c:crossBetween val="midCat"/>
        <c:majorUnit val="100"/>
      </c:valAx>
      <c:valAx>
        <c:axId val="156926792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6832"/>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35412BDB-7BD5-408F-B4BC-259E6C6328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702-42E1-BC6A-CC2A16F6F6E6}"/>
                </c:ext>
              </c:extLst>
            </c:dLbl>
            <c:dLbl>
              <c:idx val="1"/>
              <c:tx>
                <c:rich>
                  <a:bodyPr/>
                  <a:lstStyle/>
                  <a:p>
                    <a:fld id="{56284E8D-4B6D-4407-832F-BD20A6D26F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702-42E1-BC6A-CC2A16F6F6E6}"/>
                </c:ext>
              </c:extLst>
            </c:dLbl>
            <c:dLbl>
              <c:idx val="2"/>
              <c:tx>
                <c:rich>
                  <a:bodyPr/>
                  <a:lstStyle/>
                  <a:p>
                    <a:fld id="{3DBD707A-55B7-4EAD-ACD8-34FDFD7C35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702-42E1-BC6A-CC2A16F6F6E6}"/>
                </c:ext>
              </c:extLst>
            </c:dLbl>
            <c:dLbl>
              <c:idx val="3"/>
              <c:tx>
                <c:rich>
                  <a:bodyPr/>
                  <a:lstStyle/>
                  <a:p>
                    <a:fld id="{6165CD48-A822-4205-BAA6-08265E0B76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702-42E1-BC6A-CC2A16F6F6E6}"/>
                </c:ext>
              </c:extLst>
            </c:dLbl>
            <c:dLbl>
              <c:idx val="4"/>
              <c:tx>
                <c:rich>
                  <a:bodyPr/>
                  <a:lstStyle/>
                  <a:p>
                    <a:fld id="{6117DA63-FF96-47BC-BA3E-5174A25043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702-42E1-BC6A-CC2A16F6F6E6}"/>
                </c:ext>
              </c:extLst>
            </c:dLbl>
            <c:dLbl>
              <c:idx val="5"/>
              <c:tx>
                <c:rich>
                  <a:bodyPr/>
                  <a:lstStyle/>
                  <a:p>
                    <a:fld id="{755924BD-2E25-4B5F-9FF2-46B1C703D2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702-42E1-BC6A-CC2A16F6F6E6}"/>
                </c:ext>
              </c:extLst>
            </c:dLbl>
            <c:dLbl>
              <c:idx val="6"/>
              <c:tx>
                <c:rich>
                  <a:bodyPr/>
                  <a:lstStyle/>
                  <a:p>
                    <a:fld id="{775F5668-3721-49D2-ACDA-C72156092C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702-42E1-BC6A-CC2A16F6F6E6}"/>
                </c:ext>
              </c:extLst>
            </c:dLbl>
            <c:dLbl>
              <c:idx val="7"/>
              <c:tx>
                <c:rich>
                  <a:bodyPr/>
                  <a:lstStyle/>
                  <a:p>
                    <a:fld id="{B64D0B1A-67F3-4D09-AED7-3979FD9B3C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702-42E1-BC6A-CC2A16F6F6E6}"/>
                </c:ext>
              </c:extLst>
            </c:dLbl>
            <c:dLbl>
              <c:idx val="8"/>
              <c:tx>
                <c:rich>
                  <a:bodyPr/>
                  <a:lstStyle/>
                  <a:p>
                    <a:fld id="{BE9576B1-4CD5-457B-96FE-1F2632EE1A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702-42E1-BC6A-CC2A16F6F6E6}"/>
                </c:ext>
              </c:extLst>
            </c:dLbl>
            <c:dLbl>
              <c:idx val="9"/>
              <c:tx>
                <c:rich>
                  <a:bodyPr/>
                  <a:lstStyle/>
                  <a:p>
                    <a:fld id="{AF324B90-2061-4C49-8EC4-6AAB8D742A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702-42E1-BC6A-CC2A16F6F6E6}"/>
                </c:ext>
              </c:extLst>
            </c:dLbl>
            <c:dLbl>
              <c:idx val="10"/>
              <c:tx>
                <c:rich>
                  <a:bodyPr/>
                  <a:lstStyle/>
                  <a:p>
                    <a:fld id="{A79BD31D-5EED-42A7-B1A4-184963445E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702-42E1-BC6A-CC2A16F6F6E6}"/>
                </c:ext>
              </c:extLst>
            </c:dLbl>
            <c:dLbl>
              <c:idx val="11"/>
              <c:tx>
                <c:rich>
                  <a:bodyPr/>
                  <a:lstStyle/>
                  <a:p>
                    <a:fld id="{C9986331-E0EC-419B-8111-581CFF33C4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702-42E1-BC6A-CC2A16F6F6E6}"/>
                </c:ext>
              </c:extLst>
            </c:dLbl>
            <c:dLbl>
              <c:idx val="12"/>
              <c:tx>
                <c:rich>
                  <a:bodyPr/>
                  <a:lstStyle/>
                  <a:p>
                    <a:fld id="{4F32977A-24A3-4B8E-AFF2-BE1C6C8B4D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702-42E1-BC6A-CC2A16F6F6E6}"/>
                </c:ext>
              </c:extLst>
            </c:dLbl>
            <c:dLbl>
              <c:idx val="13"/>
              <c:tx>
                <c:rich>
                  <a:bodyPr/>
                  <a:lstStyle/>
                  <a:p>
                    <a:fld id="{83F6A173-E672-4EEB-A53A-5AEDA78F74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702-42E1-BC6A-CC2A16F6F6E6}"/>
                </c:ext>
              </c:extLst>
            </c:dLbl>
            <c:dLbl>
              <c:idx val="14"/>
              <c:tx>
                <c:rich>
                  <a:bodyPr/>
                  <a:lstStyle/>
                  <a:p>
                    <a:fld id="{9AEFB247-399C-43A0-A2F9-0E205232D1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702-42E1-BC6A-CC2A16F6F6E6}"/>
                </c:ext>
              </c:extLst>
            </c:dLbl>
            <c:dLbl>
              <c:idx val="15"/>
              <c:tx>
                <c:rich>
                  <a:bodyPr/>
                  <a:lstStyle/>
                  <a:p>
                    <a:fld id="{C64755E6-1D3C-4458-974D-21BD003773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702-42E1-BC6A-CC2A16F6F6E6}"/>
                </c:ext>
              </c:extLst>
            </c:dLbl>
            <c:dLbl>
              <c:idx val="16"/>
              <c:tx>
                <c:rich>
                  <a:bodyPr/>
                  <a:lstStyle/>
                  <a:p>
                    <a:fld id="{0DABA636-3DE4-4035-9A03-F9E23910BB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702-42E1-BC6A-CC2A16F6F6E6}"/>
                </c:ext>
              </c:extLst>
            </c:dLbl>
            <c:dLbl>
              <c:idx val="17"/>
              <c:tx>
                <c:rich>
                  <a:bodyPr/>
                  <a:lstStyle/>
                  <a:p>
                    <a:fld id="{E9FDF3A3-2D0C-43DE-B5B3-B109E4064A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702-42E1-BC6A-CC2A16F6F6E6}"/>
                </c:ext>
              </c:extLst>
            </c:dLbl>
            <c:dLbl>
              <c:idx val="18"/>
              <c:tx>
                <c:rich>
                  <a:bodyPr/>
                  <a:lstStyle/>
                  <a:p>
                    <a:fld id="{B5B1C60B-4616-4D76-811B-C09BD1B197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702-42E1-BC6A-CC2A16F6F6E6}"/>
                </c:ext>
              </c:extLst>
            </c:dLbl>
            <c:dLbl>
              <c:idx val="19"/>
              <c:tx>
                <c:rich>
                  <a:bodyPr/>
                  <a:lstStyle/>
                  <a:p>
                    <a:fld id="{B034A518-63AA-4DBD-A8ED-9006FD3377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702-42E1-BC6A-CC2A16F6F6E6}"/>
                </c:ext>
              </c:extLst>
            </c:dLbl>
            <c:dLbl>
              <c:idx val="20"/>
              <c:tx>
                <c:rich>
                  <a:bodyPr/>
                  <a:lstStyle/>
                  <a:p>
                    <a:fld id="{E9ADA6EE-8619-47BA-9D0A-B4256A99CD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702-42E1-BC6A-CC2A16F6F6E6}"/>
                </c:ext>
              </c:extLst>
            </c:dLbl>
            <c:dLbl>
              <c:idx val="21"/>
              <c:tx>
                <c:rich>
                  <a:bodyPr/>
                  <a:lstStyle/>
                  <a:p>
                    <a:fld id="{1C3DA60E-CCC7-47B9-9F97-8FA18FA87E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702-42E1-BC6A-CC2A16F6F6E6}"/>
                </c:ext>
              </c:extLst>
            </c:dLbl>
            <c:dLbl>
              <c:idx val="22"/>
              <c:tx>
                <c:rich>
                  <a:bodyPr/>
                  <a:lstStyle/>
                  <a:p>
                    <a:fld id="{A9258A3A-4D55-4742-86CD-053093DAA1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702-42E1-BC6A-CC2A16F6F6E6}"/>
                </c:ext>
              </c:extLst>
            </c:dLbl>
            <c:dLbl>
              <c:idx val="23"/>
              <c:tx>
                <c:rich>
                  <a:bodyPr/>
                  <a:lstStyle/>
                  <a:p>
                    <a:fld id="{992B1678-47CC-430A-A5FD-5C5D46F7E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702-42E1-BC6A-CC2A16F6F6E6}"/>
                </c:ext>
              </c:extLst>
            </c:dLbl>
            <c:dLbl>
              <c:idx val="24"/>
              <c:tx>
                <c:rich>
                  <a:bodyPr/>
                  <a:lstStyle/>
                  <a:p>
                    <a:fld id="{FC14F976-2303-42A5-8C4F-DAF052F66B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702-42E1-BC6A-CC2A16F6F6E6}"/>
                </c:ext>
              </c:extLst>
            </c:dLbl>
            <c:dLbl>
              <c:idx val="25"/>
              <c:tx>
                <c:rich>
                  <a:bodyPr/>
                  <a:lstStyle/>
                  <a:p>
                    <a:fld id="{5C30E3C0-5CEF-4B4C-BAFB-0E61B9DC53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702-42E1-BC6A-CC2A16F6F6E6}"/>
                </c:ext>
              </c:extLst>
            </c:dLbl>
            <c:dLbl>
              <c:idx val="26"/>
              <c:tx>
                <c:rich>
                  <a:bodyPr/>
                  <a:lstStyle/>
                  <a:p>
                    <a:fld id="{63EF2B38-8CCA-4AE0-A41C-6877A68C7F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702-42E1-BC6A-CC2A16F6F6E6}"/>
                </c:ext>
              </c:extLst>
            </c:dLbl>
            <c:dLbl>
              <c:idx val="27"/>
              <c:tx>
                <c:rich>
                  <a:bodyPr/>
                  <a:lstStyle/>
                  <a:p>
                    <a:fld id="{CC20600D-002D-4107-9918-4290F81108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702-42E1-BC6A-CC2A16F6F6E6}"/>
                </c:ext>
              </c:extLst>
            </c:dLbl>
            <c:dLbl>
              <c:idx val="28"/>
              <c:tx>
                <c:rich>
                  <a:bodyPr/>
                  <a:lstStyle/>
                  <a:p>
                    <a:fld id="{AB80A92B-B0BE-45EB-9921-DA798EF95D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702-42E1-BC6A-CC2A16F6F6E6}"/>
                </c:ext>
              </c:extLst>
            </c:dLbl>
            <c:dLbl>
              <c:idx val="29"/>
              <c:tx>
                <c:rich>
                  <a:bodyPr/>
                  <a:lstStyle/>
                  <a:p>
                    <a:fld id="{DA52AD38-E371-44E4-A229-949088B069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702-42E1-BC6A-CC2A16F6F6E6}"/>
                </c:ext>
              </c:extLst>
            </c:dLbl>
            <c:dLbl>
              <c:idx val="30"/>
              <c:tx>
                <c:rich>
                  <a:bodyPr/>
                  <a:lstStyle/>
                  <a:p>
                    <a:fld id="{9161BA71-CB3A-4481-9D21-39B5FCEE6C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702-42E1-BC6A-CC2A16F6F6E6}"/>
                </c:ext>
              </c:extLst>
            </c:dLbl>
            <c:dLbl>
              <c:idx val="31"/>
              <c:tx>
                <c:rich>
                  <a:bodyPr/>
                  <a:lstStyle/>
                  <a:p>
                    <a:fld id="{17D5C0F4-367A-41F8-81DC-D1A2EC94C3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702-42E1-BC6A-CC2A16F6F6E6}"/>
                </c:ext>
              </c:extLst>
            </c:dLbl>
            <c:dLbl>
              <c:idx val="32"/>
              <c:tx>
                <c:rich>
                  <a:bodyPr/>
                  <a:lstStyle/>
                  <a:p>
                    <a:fld id="{2C48D954-E0A8-4C56-BE63-D55F865CB6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702-42E1-BC6A-CC2A16F6F6E6}"/>
                </c:ext>
              </c:extLst>
            </c:dLbl>
            <c:dLbl>
              <c:idx val="33"/>
              <c:tx>
                <c:rich>
                  <a:bodyPr/>
                  <a:lstStyle/>
                  <a:p>
                    <a:fld id="{0745CBA6-BF77-4376-BD62-E6FA1E444C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702-42E1-BC6A-CC2A16F6F6E6}"/>
                </c:ext>
              </c:extLst>
            </c:dLbl>
            <c:dLbl>
              <c:idx val="34"/>
              <c:tx>
                <c:rich>
                  <a:bodyPr/>
                  <a:lstStyle/>
                  <a:p>
                    <a:fld id="{0D8AB905-E547-4AEF-BF80-B7F796E0D2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702-42E1-BC6A-CC2A16F6F6E6}"/>
                </c:ext>
              </c:extLst>
            </c:dLbl>
            <c:dLbl>
              <c:idx val="35"/>
              <c:tx>
                <c:rich>
                  <a:bodyPr/>
                  <a:lstStyle/>
                  <a:p>
                    <a:fld id="{224D112F-41AA-40C1-AB95-7AAD5E05B0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702-42E1-BC6A-CC2A16F6F6E6}"/>
                </c:ext>
              </c:extLst>
            </c:dLbl>
            <c:dLbl>
              <c:idx val="36"/>
              <c:tx>
                <c:rich>
                  <a:bodyPr/>
                  <a:lstStyle/>
                  <a:p>
                    <a:fld id="{75D7003A-060B-47EB-AD42-A97F40533A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4702-42E1-BC6A-CC2A16F6F6E6}"/>
                </c:ext>
              </c:extLst>
            </c:dLbl>
            <c:dLbl>
              <c:idx val="37"/>
              <c:tx>
                <c:rich>
                  <a:bodyPr/>
                  <a:lstStyle/>
                  <a:p>
                    <a:fld id="{18CCCB8A-0CF4-4F56-924D-5B5D234B67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4702-42E1-BC6A-CC2A16F6F6E6}"/>
                </c:ext>
              </c:extLst>
            </c:dLbl>
            <c:dLbl>
              <c:idx val="38"/>
              <c:tx>
                <c:rich>
                  <a:bodyPr/>
                  <a:lstStyle/>
                  <a:p>
                    <a:fld id="{89BC7657-34C1-4B73-A1C0-2190B41265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4702-42E1-BC6A-CC2A16F6F6E6}"/>
                </c:ext>
              </c:extLst>
            </c:dLbl>
            <c:dLbl>
              <c:idx val="39"/>
              <c:tx>
                <c:rich>
                  <a:bodyPr/>
                  <a:lstStyle/>
                  <a:p>
                    <a:fld id="{2AC4F271-D361-4451-AA98-3F54B8B999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4702-42E1-BC6A-CC2A16F6F6E6}"/>
                </c:ext>
              </c:extLst>
            </c:dLbl>
            <c:dLbl>
              <c:idx val="40"/>
              <c:tx>
                <c:rich>
                  <a:bodyPr/>
                  <a:lstStyle/>
                  <a:p>
                    <a:fld id="{D6966EB3-AC9C-4D44-B600-673B8C54E8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4702-42E1-BC6A-CC2A16F6F6E6}"/>
                </c:ext>
              </c:extLst>
            </c:dLbl>
            <c:dLbl>
              <c:idx val="41"/>
              <c:tx>
                <c:rich>
                  <a:bodyPr/>
                  <a:lstStyle/>
                  <a:p>
                    <a:fld id="{18D13DEA-C5E7-45B0-8F7D-CB60C39A16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4702-42E1-BC6A-CC2A16F6F6E6}"/>
                </c:ext>
              </c:extLst>
            </c:dLbl>
            <c:dLbl>
              <c:idx val="42"/>
              <c:tx>
                <c:rich>
                  <a:bodyPr/>
                  <a:lstStyle/>
                  <a:p>
                    <a:fld id="{3BFBF1D0-56D4-4BF3-8D1E-3FE0589A53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4702-42E1-BC6A-CC2A16F6F6E6}"/>
                </c:ext>
              </c:extLst>
            </c:dLbl>
            <c:dLbl>
              <c:idx val="43"/>
              <c:tx>
                <c:rich>
                  <a:bodyPr/>
                  <a:lstStyle/>
                  <a:p>
                    <a:fld id="{47E48014-E3ED-4548-A482-7A3EF16DAC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4702-42E1-BC6A-CC2A16F6F6E6}"/>
                </c:ext>
              </c:extLst>
            </c:dLbl>
            <c:dLbl>
              <c:idx val="44"/>
              <c:tx>
                <c:rich>
                  <a:bodyPr/>
                  <a:lstStyle/>
                  <a:p>
                    <a:fld id="{F45CD838-6675-4FC6-A230-C825B9A430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4702-42E1-BC6A-CC2A16F6F6E6}"/>
                </c:ext>
              </c:extLst>
            </c:dLbl>
            <c:dLbl>
              <c:idx val="45"/>
              <c:tx>
                <c:rich>
                  <a:bodyPr/>
                  <a:lstStyle/>
                  <a:p>
                    <a:fld id="{FB05270A-3BE1-4A67-AAA8-C667DD7A38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4702-42E1-BC6A-CC2A16F6F6E6}"/>
                </c:ext>
              </c:extLst>
            </c:dLbl>
            <c:dLbl>
              <c:idx val="46"/>
              <c:tx>
                <c:rich>
                  <a:bodyPr/>
                  <a:lstStyle/>
                  <a:p>
                    <a:fld id="{2593E566-7F7A-4D1E-A5A8-9FDFEE47D5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4702-42E1-BC6A-CC2A16F6F6E6}"/>
                </c:ext>
              </c:extLst>
            </c:dLbl>
            <c:dLbl>
              <c:idx val="47"/>
              <c:tx>
                <c:rich>
                  <a:bodyPr/>
                  <a:lstStyle/>
                  <a:p>
                    <a:fld id="{A395E405-B2F2-49EA-A471-2CE1C7EAA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4702-42E1-BC6A-CC2A16F6F6E6}"/>
                </c:ext>
              </c:extLst>
            </c:dLbl>
            <c:dLbl>
              <c:idx val="48"/>
              <c:tx>
                <c:rich>
                  <a:bodyPr/>
                  <a:lstStyle/>
                  <a:p>
                    <a:fld id="{FAA7DB66-8296-4FE2-A7ED-21D1A8A887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4702-42E1-BC6A-CC2A16F6F6E6}"/>
                </c:ext>
              </c:extLst>
            </c:dLbl>
            <c:dLbl>
              <c:idx val="49"/>
              <c:tx>
                <c:rich>
                  <a:bodyPr/>
                  <a:lstStyle/>
                  <a:p>
                    <a:fld id="{8E5907B4-58D6-4873-A974-D3B12510AC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4702-42E1-BC6A-CC2A16F6F6E6}"/>
                </c:ext>
              </c:extLst>
            </c:dLbl>
            <c:dLbl>
              <c:idx val="50"/>
              <c:tx>
                <c:rich>
                  <a:bodyPr/>
                  <a:lstStyle/>
                  <a:p>
                    <a:fld id="{35834909-8DD7-469A-839D-8DC599E3BE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4702-42E1-BC6A-CC2A16F6F6E6}"/>
                </c:ext>
              </c:extLst>
            </c:dLbl>
            <c:dLbl>
              <c:idx val="51"/>
              <c:tx>
                <c:rich>
                  <a:bodyPr/>
                  <a:lstStyle/>
                  <a:p>
                    <a:fld id="{FBDBD2C6-CFDA-4B81-BE53-51CC9FAAF1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4702-42E1-BC6A-CC2A16F6F6E6}"/>
                </c:ext>
              </c:extLst>
            </c:dLbl>
            <c:dLbl>
              <c:idx val="52"/>
              <c:tx>
                <c:rich>
                  <a:bodyPr/>
                  <a:lstStyle/>
                  <a:p>
                    <a:fld id="{BA56C8E1-7D19-4153-BE51-19B168C73C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4702-42E1-BC6A-CC2A16F6F6E6}"/>
                </c:ext>
              </c:extLst>
            </c:dLbl>
            <c:dLbl>
              <c:idx val="53"/>
              <c:tx>
                <c:rich>
                  <a:bodyPr/>
                  <a:lstStyle/>
                  <a:p>
                    <a:fld id="{2D691C18-EE38-40F9-9AB2-E94D497B6B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4702-42E1-BC6A-CC2A16F6F6E6}"/>
                </c:ext>
              </c:extLst>
            </c:dLbl>
            <c:dLbl>
              <c:idx val="54"/>
              <c:tx>
                <c:rich>
                  <a:bodyPr/>
                  <a:lstStyle/>
                  <a:p>
                    <a:fld id="{86ACBB69-EA6B-4BE3-8550-D7ACF936DF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4702-42E1-BC6A-CC2A16F6F6E6}"/>
                </c:ext>
              </c:extLst>
            </c:dLbl>
            <c:dLbl>
              <c:idx val="55"/>
              <c:tx>
                <c:rich>
                  <a:bodyPr/>
                  <a:lstStyle/>
                  <a:p>
                    <a:fld id="{EA556242-919A-498D-9D5B-3C18657385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4702-42E1-BC6A-CC2A16F6F6E6}"/>
                </c:ext>
              </c:extLst>
            </c:dLbl>
            <c:dLbl>
              <c:idx val="56"/>
              <c:tx>
                <c:rich>
                  <a:bodyPr/>
                  <a:lstStyle/>
                  <a:p>
                    <a:fld id="{4BECBEB9-14A9-4C94-B078-A1BE5FF049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4702-42E1-BC6A-CC2A16F6F6E6}"/>
                </c:ext>
              </c:extLst>
            </c:dLbl>
            <c:dLbl>
              <c:idx val="57"/>
              <c:tx>
                <c:rich>
                  <a:bodyPr/>
                  <a:lstStyle/>
                  <a:p>
                    <a:fld id="{BE654898-ABC9-4DB6-AF07-5BCA61373C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4702-42E1-BC6A-CC2A16F6F6E6}"/>
                </c:ext>
              </c:extLst>
            </c:dLbl>
            <c:dLbl>
              <c:idx val="58"/>
              <c:tx>
                <c:rich>
                  <a:bodyPr/>
                  <a:lstStyle/>
                  <a:p>
                    <a:fld id="{483ACB01-EE04-4970-B54A-CEF7A652D1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4702-42E1-BC6A-CC2A16F6F6E6}"/>
                </c:ext>
              </c:extLst>
            </c:dLbl>
            <c:dLbl>
              <c:idx val="59"/>
              <c:tx>
                <c:rich>
                  <a:bodyPr/>
                  <a:lstStyle/>
                  <a:p>
                    <a:fld id="{87C792CE-9C09-4850-9C2B-B4103AB114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4702-42E1-BC6A-CC2A16F6F6E6}"/>
                </c:ext>
              </c:extLst>
            </c:dLbl>
            <c:dLbl>
              <c:idx val="60"/>
              <c:tx>
                <c:rich>
                  <a:bodyPr/>
                  <a:lstStyle/>
                  <a:p>
                    <a:fld id="{2E9F4E4E-8408-458D-9058-B9A9058F8E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4702-42E1-BC6A-CC2A16F6F6E6}"/>
                </c:ext>
              </c:extLst>
            </c:dLbl>
            <c:dLbl>
              <c:idx val="61"/>
              <c:tx>
                <c:rich>
                  <a:bodyPr/>
                  <a:lstStyle/>
                  <a:p>
                    <a:fld id="{F04C24F0-2E9A-445D-AFC0-977E716495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4702-42E1-BC6A-CC2A16F6F6E6}"/>
                </c:ext>
              </c:extLst>
            </c:dLbl>
            <c:dLbl>
              <c:idx val="62"/>
              <c:tx>
                <c:rich>
                  <a:bodyPr/>
                  <a:lstStyle/>
                  <a:p>
                    <a:fld id="{95018C07-7D3A-40B9-823D-63F94952E4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4702-42E1-BC6A-CC2A16F6F6E6}"/>
                </c:ext>
              </c:extLst>
            </c:dLbl>
            <c:dLbl>
              <c:idx val="63"/>
              <c:tx>
                <c:rich>
                  <a:bodyPr/>
                  <a:lstStyle/>
                  <a:p>
                    <a:fld id="{B38D90FD-E393-45CE-B81D-AFD8F594F6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4702-42E1-BC6A-CC2A16F6F6E6}"/>
                </c:ext>
              </c:extLst>
            </c:dLbl>
            <c:dLbl>
              <c:idx val="64"/>
              <c:tx>
                <c:rich>
                  <a:bodyPr/>
                  <a:lstStyle/>
                  <a:p>
                    <a:fld id="{5CB0C160-6F17-4D0F-9E4E-4688001ECA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4702-42E1-BC6A-CC2A16F6F6E6}"/>
                </c:ext>
              </c:extLst>
            </c:dLbl>
            <c:dLbl>
              <c:idx val="65"/>
              <c:tx>
                <c:rich>
                  <a:bodyPr/>
                  <a:lstStyle/>
                  <a:p>
                    <a:fld id="{77F8B1DF-DC2C-4D7E-B7FA-129DE5E3B3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4702-42E1-BC6A-CC2A16F6F6E6}"/>
                </c:ext>
              </c:extLst>
            </c:dLbl>
            <c:dLbl>
              <c:idx val="66"/>
              <c:tx>
                <c:rich>
                  <a:bodyPr/>
                  <a:lstStyle/>
                  <a:p>
                    <a:fld id="{E861C6CF-8C4E-4E87-801A-54F8B7B531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4702-42E1-BC6A-CC2A16F6F6E6}"/>
                </c:ext>
              </c:extLst>
            </c:dLbl>
            <c:dLbl>
              <c:idx val="67"/>
              <c:tx>
                <c:rich>
                  <a:bodyPr/>
                  <a:lstStyle/>
                  <a:p>
                    <a:fld id="{86E6C29B-ADF9-45C6-BD64-56E84CB8A1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4702-42E1-BC6A-CC2A16F6F6E6}"/>
                </c:ext>
              </c:extLst>
            </c:dLbl>
            <c:dLbl>
              <c:idx val="68"/>
              <c:tx>
                <c:rich>
                  <a:bodyPr/>
                  <a:lstStyle/>
                  <a:p>
                    <a:fld id="{6BE8F636-03C9-4551-999D-808CAE3947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4702-42E1-BC6A-CC2A16F6F6E6}"/>
                </c:ext>
              </c:extLst>
            </c:dLbl>
            <c:dLbl>
              <c:idx val="69"/>
              <c:tx>
                <c:rich>
                  <a:bodyPr/>
                  <a:lstStyle/>
                  <a:p>
                    <a:fld id="{50D82026-E4A7-439F-ABFE-5F9038794B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4702-42E1-BC6A-CC2A16F6F6E6}"/>
                </c:ext>
              </c:extLst>
            </c:dLbl>
            <c:dLbl>
              <c:idx val="70"/>
              <c:tx>
                <c:rich>
                  <a:bodyPr/>
                  <a:lstStyle/>
                  <a:p>
                    <a:fld id="{7FED128F-BED3-43BD-B8C9-6474064356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4702-42E1-BC6A-CC2A16F6F6E6}"/>
                </c:ext>
              </c:extLst>
            </c:dLbl>
            <c:dLbl>
              <c:idx val="71"/>
              <c:tx>
                <c:rich>
                  <a:bodyPr/>
                  <a:lstStyle/>
                  <a:p>
                    <a:fld id="{2026A480-5BC3-418E-994C-9E1FFB0F28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4702-42E1-BC6A-CC2A16F6F6E6}"/>
                </c:ext>
              </c:extLst>
            </c:dLbl>
            <c:dLbl>
              <c:idx val="72"/>
              <c:tx>
                <c:rich>
                  <a:bodyPr/>
                  <a:lstStyle/>
                  <a:p>
                    <a:fld id="{6CBD8583-19AF-4AE6-84B5-89D5379F90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4702-42E1-BC6A-CC2A16F6F6E6}"/>
                </c:ext>
              </c:extLst>
            </c:dLbl>
            <c:dLbl>
              <c:idx val="73"/>
              <c:tx>
                <c:rich>
                  <a:bodyPr/>
                  <a:lstStyle/>
                  <a:p>
                    <a:fld id="{B2F30BCD-C93B-4B16-8A5D-5436D4AEF3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4702-42E1-BC6A-CC2A16F6F6E6}"/>
                </c:ext>
              </c:extLst>
            </c:dLbl>
            <c:dLbl>
              <c:idx val="74"/>
              <c:tx>
                <c:rich>
                  <a:bodyPr/>
                  <a:lstStyle/>
                  <a:p>
                    <a:fld id="{49F171D5-6AA0-4123-B4CB-73F91D4592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4702-42E1-BC6A-CC2A16F6F6E6}"/>
                </c:ext>
              </c:extLst>
            </c:dLbl>
            <c:dLbl>
              <c:idx val="75"/>
              <c:tx>
                <c:rich>
                  <a:bodyPr/>
                  <a:lstStyle/>
                  <a:p>
                    <a:fld id="{DC744C69-FDED-4A72-9C4C-97591EF91B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4702-42E1-BC6A-CC2A16F6F6E6}"/>
                </c:ext>
              </c:extLst>
            </c:dLbl>
            <c:dLbl>
              <c:idx val="76"/>
              <c:tx>
                <c:rich>
                  <a:bodyPr/>
                  <a:lstStyle/>
                  <a:p>
                    <a:fld id="{E453AA13-2F51-4236-A6BD-34900044BF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4702-42E1-BC6A-CC2A16F6F6E6}"/>
                </c:ext>
              </c:extLst>
            </c:dLbl>
            <c:dLbl>
              <c:idx val="77"/>
              <c:tx>
                <c:rich>
                  <a:bodyPr/>
                  <a:lstStyle/>
                  <a:p>
                    <a:fld id="{D97980B8-A9A1-49C5-BDAC-A8671BE4C5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4702-42E1-BC6A-CC2A16F6F6E6}"/>
                </c:ext>
              </c:extLst>
            </c:dLbl>
            <c:dLbl>
              <c:idx val="78"/>
              <c:tx>
                <c:rich>
                  <a:bodyPr/>
                  <a:lstStyle/>
                  <a:p>
                    <a:fld id="{D4273376-5BCA-4124-8094-53069EDDCE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4702-42E1-BC6A-CC2A16F6F6E6}"/>
                </c:ext>
              </c:extLst>
            </c:dLbl>
            <c:dLbl>
              <c:idx val="79"/>
              <c:tx>
                <c:rich>
                  <a:bodyPr/>
                  <a:lstStyle/>
                  <a:p>
                    <a:fld id="{26588B8C-5A1C-41D7-9720-4B102CA833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4702-42E1-BC6A-CC2A16F6F6E6}"/>
                </c:ext>
              </c:extLst>
            </c:dLbl>
            <c:dLbl>
              <c:idx val="80"/>
              <c:tx>
                <c:rich>
                  <a:bodyPr/>
                  <a:lstStyle/>
                  <a:p>
                    <a:fld id="{79BE02FD-FCB6-4B41-8352-EC14AEC8D6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4702-42E1-BC6A-CC2A16F6F6E6}"/>
                </c:ext>
              </c:extLst>
            </c:dLbl>
            <c:dLbl>
              <c:idx val="81"/>
              <c:tx>
                <c:rich>
                  <a:bodyPr/>
                  <a:lstStyle/>
                  <a:p>
                    <a:fld id="{9DB173DB-6E8F-406E-A5A5-0D9AD001F7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4702-42E1-BC6A-CC2A16F6F6E6}"/>
                </c:ext>
              </c:extLst>
            </c:dLbl>
            <c:dLbl>
              <c:idx val="82"/>
              <c:tx>
                <c:rich>
                  <a:bodyPr/>
                  <a:lstStyle/>
                  <a:p>
                    <a:fld id="{AE07032D-342B-4567-8000-5C60A470A5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4702-42E1-BC6A-CC2A16F6F6E6}"/>
                </c:ext>
              </c:extLst>
            </c:dLbl>
            <c:dLbl>
              <c:idx val="83"/>
              <c:tx>
                <c:rich>
                  <a:bodyPr/>
                  <a:lstStyle/>
                  <a:p>
                    <a:fld id="{9E3D11A4-7FEB-4C53-9A86-3EC65B8082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4702-42E1-BC6A-CC2A16F6F6E6}"/>
                </c:ext>
              </c:extLst>
            </c:dLbl>
            <c:dLbl>
              <c:idx val="84"/>
              <c:tx>
                <c:rich>
                  <a:bodyPr/>
                  <a:lstStyle/>
                  <a:p>
                    <a:fld id="{BADBF5B6-AAEE-4720-9BAC-B4710928E7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4702-42E1-BC6A-CC2A16F6F6E6}"/>
                </c:ext>
              </c:extLst>
            </c:dLbl>
            <c:dLbl>
              <c:idx val="85"/>
              <c:tx>
                <c:rich>
                  <a:bodyPr/>
                  <a:lstStyle/>
                  <a:p>
                    <a:fld id="{555BAC17-BEE1-4952-9F99-F4344DB11D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4702-42E1-BC6A-CC2A16F6F6E6}"/>
                </c:ext>
              </c:extLst>
            </c:dLbl>
            <c:dLbl>
              <c:idx val="86"/>
              <c:tx>
                <c:rich>
                  <a:bodyPr/>
                  <a:lstStyle/>
                  <a:p>
                    <a:fld id="{18AFE505-3B44-4921-AEFD-EE756FB2E7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4702-42E1-BC6A-CC2A16F6F6E6}"/>
                </c:ext>
              </c:extLst>
            </c:dLbl>
            <c:dLbl>
              <c:idx val="87"/>
              <c:tx>
                <c:rich>
                  <a:bodyPr/>
                  <a:lstStyle/>
                  <a:p>
                    <a:fld id="{667F1110-6A03-4BA6-B1DA-B4D5052F3E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4702-42E1-BC6A-CC2A16F6F6E6}"/>
                </c:ext>
              </c:extLst>
            </c:dLbl>
            <c:dLbl>
              <c:idx val="88"/>
              <c:tx>
                <c:rich>
                  <a:bodyPr/>
                  <a:lstStyle/>
                  <a:p>
                    <a:fld id="{8B2C6151-A3EF-4295-8E6D-A8447206A9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4702-42E1-BC6A-CC2A16F6F6E6}"/>
                </c:ext>
              </c:extLst>
            </c:dLbl>
            <c:dLbl>
              <c:idx val="89"/>
              <c:tx>
                <c:rich>
                  <a:bodyPr/>
                  <a:lstStyle/>
                  <a:p>
                    <a:fld id="{3E749F8E-67F5-42C8-AEAB-04F73019BF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4702-42E1-BC6A-CC2A16F6F6E6}"/>
                </c:ext>
              </c:extLst>
            </c:dLbl>
            <c:dLbl>
              <c:idx val="90"/>
              <c:tx>
                <c:rich>
                  <a:bodyPr/>
                  <a:lstStyle/>
                  <a:p>
                    <a:fld id="{FF233658-BFC7-4914-B606-4423D95ED3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4702-42E1-BC6A-CC2A16F6F6E6}"/>
                </c:ext>
              </c:extLst>
            </c:dLbl>
            <c:dLbl>
              <c:idx val="91"/>
              <c:tx>
                <c:rich>
                  <a:bodyPr/>
                  <a:lstStyle/>
                  <a:p>
                    <a:fld id="{FDAAA072-5979-42B5-9B63-01B232A3AE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4702-42E1-BC6A-CC2A16F6F6E6}"/>
                </c:ext>
              </c:extLst>
            </c:dLbl>
            <c:dLbl>
              <c:idx val="92"/>
              <c:tx>
                <c:rich>
                  <a:bodyPr/>
                  <a:lstStyle/>
                  <a:p>
                    <a:fld id="{E0236A29-F6AC-4412-A4CB-7BB8D69DC9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4702-42E1-BC6A-CC2A16F6F6E6}"/>
                </c:ext>
              </c:extLst>
            </c:dLbl>
            <c:dLbl>
              <c:idx val="93"/>
              <c:tx>
                <c:rich>
                  <a:bodyPr/>
                  <a:lstStyle/>
                  <a:p>
                    <a:fld id="{A6EAC273-98B2-41E4-90C0-0F636C5C1A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4702-42E1-BC6A-CC2A16F6F6E6}"/>
                </c:ext>
              </c:extLst>
            </c:dLbl>
            <c:dLbl>
              <c:idx val="94"/>
              <c:tx>
                <c:rich>
                  <a:bodyPr/>
                  <a:lstStyle/>
                  <a:p>
                    <a:fld id="{D88CD593-9F6B-4FDA-802F-48D26BFA16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4702-42E1-BC6A-CC2A16F6F6E6}"/>
                </c:ext>
              </c:extLst>
            </c:dLbl>
            <c:dLbl>
              <c:idx val="95"/>
              <c:tx>
                <c:rich>
                  <a:bodyPr/>
                  <a:lstStyle/>
                  <a:p>
                    <a:fld id="{7D401545-54DC-4946-8E92-869C730AE9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4702-42E1-BC6A-CC2A16F6F6E6}"/>
                </c:ext>
              </c:extLst>
            </c:dLbl>
            <c:dLbl>
              <c:idx val="96"/>
              <c:tx>
                <c:rich>
                  <a:bodyPr/>
                  <a:lstStyle/>
                  <a:p>
                    <a:fld id="{3D07A510-35EE-49EC-8FD1-7C884CCDDE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4702-42E1-BC6A-CC2A16F6F6E6}"/>
                </c:ext>
              </c:extLst>
            </c:dLbl>
            <c:dLbl>
              <c:idx val="97"/>
              <c:tx>
                <c:rich>
                  <a:bodyPr/>
                  <a:lstStyle/>
                  <a:p>
                    <a:fld id="{81BA13F1-9EB2-4551-A1D8-47CFB58597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4702-42E1-BC6A-CC2A16F6F6E6}"/>
                </c:ext>
              </c:extLst>
            </c:dLbl>
            <c:dLbl>
              <c:idx val="98"/>
              <c:tx>
                <c:rich>
                  <a:bodyPr/>
                  <a:lstStyle/>
                  <a:p>
                    <a:fld id="{17CB3ACF-583F-4882-AE70-A4AE547D8E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4702-42E1-BC6A-CC2A16F6F6E6}"/>
                </c:ext>
              </c:extLst>
            </c:dLbl>
            <c:dLbl>
              <c:idx val="99"/>
              <c:tx>
                <c:rich>
                  <a:bodyPr/>
                  <a:lstStyle/>
                  <a:p>
                    <a:fld id="{7DF82C01-B73E-4F59-8881-69DC8FD9A8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4702-42E1-BC6A-CC2A16F6F6E6}"/>
                </c:ext>
              </c:extLst>
            </c:dLbl>
            <c:dLbl>
              <c:idx val="100"/>
              <c:tx>
                <c:rich>
                  <a:bodyPr/>
                  <a:lstStyle/>
                  <a:p>
                    <a:fld id="{C38D2EEE-BC60-4115-9A8F-C4B6937AD9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4702-42E1-BC6A-CC2A16F6F6E6}"/>
                </c:ext>
              </c:extLst>
            </c:dLbl>
            <c:dLbl>
              <c:idx val="101"/>
              <c:tx>
                <c:rich>
                  <a:bodyPr/>
                  <a:lstStyle/>
                  <a:p>
                    <a:fld id="{87BD2AA0-F50B-4A78-A454-E0B5DABB27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4702-42E1-BC6A-CC2A16F6F6E6}"/>
                </c:ext>
              </c:extLst>
            </c:dLbl>
            <c:dLbl>
              <c:idx val="102"/>
              <c:tx>
                <c:rich>
                  <a:bodyPr/>
                  <a:lstStyle/>
                  <a:p>
                    <a:fld id="{D1BB3549-9262-4206-A333-545981A7A8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4702-42E1-BC6A-CC2A16F6F6E6}"/>
                </c:ext>
              </c:extLst>
            </c:dLbl>
            <c:dLbl>
              <c:idx val="103"/>
              <c:tx>
                <c:rich>
                  <a:bodyPr/>
                  <a:lstStyle/>
                  <a:p>
                    <a:fld id="{593DFE66-3E20-4D4B-9C81-84E4D78DE8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4702-42E1-BC6A-CC2A16F6F6E6}"/>
                </c:ext>
              </c:extLst>
            </c:dLbl>
            <c:dLbl>
              <c:idx val="104"/>
              <c:tx>
                <c:rich>
                  <a:bodyPr/>
                  <a:lstStyle/>
                  <a:p>
                    <a:fld id="{F62C6C17-E909-4A28-A81F-A9850A037B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4702-42E1-BC6A-CC2A16F6F6E6}"/>
                </c:ext>
              </c:extLst>
            </c:dLbl>
            <c:dLbl>
              <c:idx val="105"/>
              <c:tx>
                <c:rich>
                  <a:bodyPr/>
                  <a:lstStyle/>
                  <a:p>
                    <a:fld id="{BCC8019F-D57C-44C9-A43C-485C1B854A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4702-42E1-BC6A-CC2A16F6F6E6}"/>
                </c:ext>
              </c:extLst>
            </c:dLbl>
            <c:dLbl>
              <c:idx val="106"/>
              <c:tx>
                <c:rich>
                  <a:bodyPr/>
                  <a:lstStyle/>
                  <a:p>
                    <a:fld id="{3F131C20-8305-4F30-A456-0707D19F0A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4702-42E1-BC6A-CC2A16F6F6E6}"/>
                </c:ext>
              </c:extLst>
            </c:dLbl>
            <c:dLbl>
              <c:idx val="107"/>
              <c:tx>
                <c:rich>
                  <a:bodyPr/>
                  <a:lstStyle/>
                  <a:p>
                    <a:fld id="{68DE069B-5950-43F6-8823-B76F9E7260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4702-42E1-BC6A-CC2A16F6F6E6}"/>
                </c:ext>
              </c:extLst>
            </c:dLbl>
            <c:dLbl>
              <c:idx val="108"/>
              <c:tx>
                <c:rich>
                  <a:bodyPr/>
                  <a:lstStyle/>
                  <a:p>
                    <a:fld id="{9750D830-777A-4975-8162-D2A3FB0903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4702-42E1-BC6A-CC2A16F6F6E6}"/>
                </c:ext>
              </c:extLst>
            </c:dLbl>
            <c:dLbl>
              <c:idx val="109"/>
              <c:tx>
                <c:rich>
                  <a:bodyPr/>
                  <a:lstStyle/>
                  <a:p>
                    <a:fld id="{4CC6E923-3AF6-4CCA-9846-64AC5DB727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4702-42E1-BC6A-CC2A16F6F6E6}"/>
                </c:ext>
              </c:extLst>
            </c:dLbl>
            <c:dLbl>
              <c:idx val="110"/>
              <c:tx>
                <c:rich>
                  <a:bodyPr/>
                  <a:lstStyle/>
                  <a:p>
                    <a:fld id="{11D07101-4EB2-4A3E-A4F2-B075887EA0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4702-42E1-BC6A-CC2A16F6F6E6}"/>
                </c:ext>
              </c:extLst>
            </c:dLbl>
            <c:dLbl>
              <c:idx val="111"/>
              <c:tx>
                <c:rich>
                  <a:bodyPr/>
                  <a:lstStyle/>
                  <a:p>
                    <a:fld id="{78962623-0C79-4083-936A-803AFEABAA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4702-42E1-BC6A-CC2A16F6F6E6}"/>
                </c:ext>
              </c:extLst>
            </c:dLbl>
            <c:dLbl>
              <c:idx val="112"/>
              <c:tx>
                <c:rich>
                  <a:bodyPr/>
                  <a:lstStyle/>
                  <a:p>
                    <a:fld id="{8C9934D7-0B6A-4FBA-B023-77D9677382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4702-42E1-BC6A-CC2A16F6F6E6}"/>
                </c:ext>
              </c:extLst>
            </c:dLbl>
            <c:dLbl>
              <c:idx val="113"/>
              <c:tx>
                <c:rich>
                  <a:bodyPr/>
                  <a:lstStyle/>
                  <a:p>
                    <a:fld id="{0ACBF809-870B-4D8B-9FBB-0E19D4C313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4702-42E1-BC6A-CC2A16F6F6E6}"/>
                </c:ext>
              </c:extLst>
            </c:dLbl>
            <c:dLbl>
              <c:idx val="114"/>
              <c:tx>
                <c:rich>
                  <a:bodyPr/>
                  <a:lstStyle/>
                  <a:p>
                    <a:fld id="{84E9C390-79E7-437B-B0B9-F1588E90A0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4702-42E1-BC6A-CC2A16F6F6E6}"/>
                </c:ext>
              </c:extLst>
            </c:dLbl>
            <c:dLbl>
              <c:idx val="115"/>
              <c:tx>
                <c:rich>
                  <a:bodyPr/>
                  <a:lstStyle/>
                  <a:p>
                    <a:fld id="{C5441DEB-397A-4A4D-8465-EA9597E4B6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4702-42E1-BC6A-CC2A16F6F6E6}"/>
                </c:ext>
              </c:extLst>
            </c:dLbl>
            <c:dLbl>
              <c:idx val="116"/>
              <c:tx>
                <c:rich>
                  <a:bodyPr/>
                  <a:lstStyle/>
                  <a:p>
                    <a:fld id="{61418BFE-3E8D-411A-B73C-BFBDE46FF0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4702-42E1-BC6A-CC2A16F6F6E6}"/>
                </c:ext>
              </c:extLst>
            </c:dLbl>
            <c:dLbl>
              <c:idx val="117"/>
              <c:tx>
                <c:rich>
                  <a:bodyPr/>
                  <a:lstStyle/>
                  <a:p>
                    <a:fld id="{3810425F-10B4-4342-9FCB-7255563ADB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4702-42E1-BC6A-CC2A16F6F6E6}"/>
                </c:ext>
              </c:extLst>
            </c:dLbl>
            <c:dLbl>
              <c:idx val="118"/>
              <c:tx>
                <c:rich>
                  <a:bodyPr/>
                  <a:lstStyle/>
                  <a:p>
                    <a:fld id="{B8472CCA-F080-4722-8758-13E2162F75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4702-42E1-BC6A-CC2A16F6F6E6}"/>
                </c:ext>
              </c:extLst>
            </c:dLbl>
            <c:dLbl>
              <c:idx val="119"/>
              <c:tx>
                <c:rich>
                  <a:bodyPr/>
                  <a:lstStyle/>
                  <a:p>
                    <a:fld id="{72EB52B5-B9EE-47D2-8CEE-513E1DF17C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4702-42E1-BC6A-CC2A16F6F6E6}"/>
                </c:ext>
              </c:extLst>
            </c:dLbl>
            <c:dLbl>
              <c:idx val="120"/>
              <c:tx>
                <c:rich>
                  <a:bodyPr/>
                  <a:lstStyle/>
                  <a:p>
                    <a:fld id="{CB0A7A68-EB8E-41A7-9276-3CCE4AD710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4702-42E1-BC6A-CC2A16F6F6E6}"/>
                </c:ext>
              </c:extLst>
            </c:dLbl>
            <c:dLbl>
              <c:idx val="121"/>
              <c:tx>
                <c:rich>
                  <a:bodyPr/>
                  <a:lstStyle/>
                  <a:p>
                    <a:fld id="{FE3470FB-0D69-4C54-9E56-DE37A7ACAC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4702-42E1-BC6A-CC2A16F6F6E6}"/>
                </c:ext>
              </c:extLst>
            </c:dLbl>
            <c:dLbl>
              <c:idx val="122"/>
              <c:tx>
                <c:rich>
                  <a:bodyPr/>
                  <a:lstStyle/>
                  <a:p>
                    <a:fld id="{15700FB4-D0A6-4472-9E9D-EBDAB45CBD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4702-42E1-BC6A-CC2A16F6F6E6}"/>
                </c:ext>
              </c:extLst>
            </c:dLbl>
            <c:dLbl>
              <c:idx val="123"/>
              <c:tx>
                <c:rich>
                  <a:bodyPr/>
                  <a:lstStyle/>
                  <a:p>
                    <a:fld id="{90C21FE6-4ECC-4F74-97CB-26B63F7EE3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4702-42E1-BC6A-CC2A16F6F6E6}"/>
                </c:ext>
              </c:extLst>
            </c:dLbl>
            <c:dLbl>
              <c:idx val="124"/>
              <c:tx>
                <c:rich>
                  <a:bodyPr/>
                  <a:lstStyle/>
                  <a:p>
                    <a:fld id="{C0865E1E-3ADC-4C24-BC65-BBDBF06166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4702-42E1-BC6A-CC2A16F6F6E6}"/>
                </c:ext>
              </c:extLst>
            </c:dLbl>
            <c:dLbl>
              <c:idx val="125"/>
              <c:tx>
                <c:rich>
                  <a:bodyPr/>
                  <a:lstStyle/>
                  <a:p>
                    <a:fld id="{596C517C-AD79-4C48-9C77-5E3F7C0D37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4702-42E1-BC6A-CC2A16F6F6E6}"/>
                </c:ext>
              </c:extLst>
            </c:dLbl>
            <c:dLbl>
              <c:idx val="126"/>
              <c:tx>
                <c:rich>
                  <a:bodyPr/>
                  <a:lstStyle/>
                  <a:p>
                    <a:fld id="{8CBBB7CB-B21E-4DF8-92C5-DA34B01822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4702-42E1-BC6A-CC2A16F6F6E6}"/>
                </c:ext>
              </c:extLst>
            </c:dLbl>
            <c:dLbl>
              <c:idx val="127"/>
              <c:tx>
                <c:rich>
                  <a:bodyPr/>
                  <a:lstStyle/>
                  <a:p>
                    <a:fld id="{2D41579C-AB11-4ACE-AEF6-FF24BA202F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4702-42E1-BC6A-CC2A16F6F6E6}"/>
                </c:ext>
              </c:extLst>
            </c:dLbl>
            <c:dLbl>
              <c:idx val="128"/>
              <c:tx>
                <c:rich>
                  <a:bodyPr/>
                  <a:lstStyle/>
                  <a:p>
                    <a:fld id="{144B0A92-92DE-4438-916B-0EDAC20F90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4702-42E1-BC6A-CC2A16F6F6E6}"/>
                </c:ext>
              </c:extLst>
            </c:dLbl>
            <c:dLbl>
              <c:idx val="129"/>
              <c:tx>
                <c:rich>
                  <a:bodyPr/>
                  <a:lstStyle/>
                  <a:p>
                    <a:fld id="{EDD5663E-5B9D-4492-AEF5-BA21CF6C93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4702-42E1-BC6A-CC2A16F6F6E6}"/>
                </c:ext>
              </c:extLst>
            </c:dLbl>
            <c:dLbl>
              <c:idx val="130"/>
              <c:tx>
                <c:rich>
                  <a:bodyPr/>
                  <a:lstStyle/>
                  <a:p>
                    <a:fld id="{F638B433-CDC3-40CB-B832-A93C3DB75A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4702-42E1-BC6A-CC2A16F6F6E6}"/>
                </c:ext>
              </c:extLst>
            </c:dLbl>
            <c:dLbl>
              <c:idx val="131"/>
              <c:tx>
                <c:rich>
                  <a:bodyPr/>
                  <a:lstStyle/>
                  <a:p>
                    <a:fld id="{F1E9DE1A-12ED-41B8-A44D-904C0C13D7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4702-42E1-BC6A-CC2A16F6F6E6}"/>
                </c:ext>
              </c:extLst>
            </c:dLbl>
            <c:dLbl>
              <c:idx val="132"/>
              <c:tx>
                <c:rich>
                  <a:bodyPr/>
                  <a:lstStyle/>
                  <a:p>
                    <a:fld id="{FDCC2159-B918-4E4B-A780-4794AAE138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4702-42E1-BC6A-CC2A16F6F6E6}"/>
                </c:ext>
              </c:extLst>
            </c:dLbl>
            <c:dLbl>
              <c:idx val="133"/>
              <c:tx>
                <c:rich>
                  <a:bodyPr/>
                  <a:lstStyle/>
                  <a:p>
                    <a:fld id="{D5712BE9-E56B-47B2-B385-A495C2BB56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4702-42E1-BC6A-CC2A16F6F6E6}"/>
                </c:ext>
              </c:extLst>
            </c:dLbl>
            <c:dLbl>
              <c:idx val="134"/>
              <c:tx>
                <c:rich>
                  <a:bodyPr/>
                  <a:lstStyle/>
                  <a:p>
                    <a:fld id="{D3794419-4DE9-4D0E-9EC2-FD11CF1515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4702-42E1-BC6A-CC2A16F6F6E6}"/>
                </c:ext>
              </c:extLst>
            </c:dLbl>
            <c:dLbl>
              <c:idx val="135"/>
              <c:tx>
                <c:rich>
                  <a:bodyPr/>
                  <a:lstStyle/>
                  <a:p>
                    <a:fld id="{BAE8FAB9-9638-4D02-81D6-425F0D8AFF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4702-42E1-BC6A-CC2A16F6F6E6}"/>
                </c:ext>
              </c:extLst>
            </c:dLbl>
            <c:dLbl>
              <c:idx val="136"/>
              <c:tx>
                <c:rich>
                  <a:bodyPr/>
                  <a:lstStyle/>
                  <a:p>
                    <a:fld id="{6F6040D4-895C-4DB3-82FD-94B3B5868F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4702-42E1-BC6A-CC2A16F6F6E6}"/>
                </c:ext>
              </c:extLst>
            </c:dLbl>
            <c:dLbl>
              <c:idx val="137"/>
              <c:tx>
                <c:rich>
                  <a:bodyPr/>
                  <a:lstStyle/>
                  <a:p>
                    <a:fld id="{FA2A2730-0C6F-4D62-88B4-4EE4710EA6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4702-42E1-BC6A-CC2A16F6F6E6}"/>
                </c:ext>
              </c:extLst>
            </c:dLbl>
            <c:dLbl>
              <c:idx val="138"/>
              <c:tx>
                <c:rich>
                  <a:bodyPr/>
                  <a:lstStyle/>
                  <a:p>
                    <a:fld id="{F4B0CD58-2A3D-4C5D-930B-5B5C3FE71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4702-42E1-BC6A-CC2A16F6F6E6}"/>
                </c:ext>
              </c:extLst>
            </c:dLbl>
            <c:dLbl>
              <c:idx val="139"/>
              <c:tx>
                <c:rich>
                  <a:bodyPr/>
                  <a:lstStyle/>
                  <a:p>
                    <a:fld id="{970CBAEB-56FE-475E-9F76-489449C417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4702-42E1-BC6A-CC2A16F6F6E6}"/>
                </c:ext>
              </c:extLst>
            </c:dLbl>
            <c:dLbl>
              <c:idx val="140"/>
              <c:tx>
                <c:rich>
                  <a:bodyPr/>
                  <a:lstStyle/>
                  <a:p>
                    <a:fld id="{2752059A-E245-49C9-9B39-22928BA497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4702-42E1-BC6A-CC2A16F6F6E6}"/>
                </c:ext>
              </c:extLst>
            </c:dLbl>
            <c:dLbl>
              <c:idx val="141"/>
              <c:tx>
                <c:rich>
                  <a:bodyPr/>
                  <a:lstStyle/>
                  <a:p>
                    <a:fld id="{2F287C56-74A8-43B2-81FF-9C5140B6F7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4702-42E1-BC6A-CC2A16F6F6E6}"/>
                </c:ext>
              </c:extLst>
            </c:dLbl>
            <c:dLbl>
              <c:idx val="142"/>
              <c:tx>
                <c:rich>
                  <a:bodyPr/>
                  <a:lstStyle/>
                  <a:p>
                    <a:fld id="{41B7C77C-B1A2-4B38-8838-0B32B208BA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4702-42E1-BC6A-CC2A16F6F6E6}"/>
                </c:ext>
              </c:extLst>
            </c:dLbl>
            <c:dLbl>
              <c:idx val="143"/>
              <c:tx>
                <c:rich>
                  <a:bodyPr/>
                  <a:lstStyle/>
                  <a:p>
                    <a:fld id="{0CAF0E91-7F36-4B6C-9390-B8A233D2F9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4702-42E1-BC6A-CC2A16F6F6E6}"/>
                </c:ext>
              </c:extLst>
            </c:dLbl>
            <c:dLbl>
              <c:idx val="144"/>
              <c:tx>
                <c:rich>
                  <a:bodyPr/>
                  <a:lstStyle/>
                  <a:p>
                    <a:fld id="{09D1DFC9-4091-49D0-8277-8A2DBF279E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4702-42E1-BC6A-CC2A16F6F6E6}"/>
                </c:ext>
              </c:extLst>
            </c:dLbl>
            <c:dLbl>
              <c:idx val="145"/>
              <c:tx>
                <c:rich>
                  <a:bodyPr/>
                  <a:lstStyle/>
                  <a:p>
                    <a:fld id="{3129B435-3CF9-401A-A120-4130930066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4702-42E1-BC6A-CC2A16F6F6E6}"/>
                </c:ext>
              </c:extLst>
            </c:dLbl>
            <c:dLbl>
              <c:idx val="146"/>
              <c:tx>
                <c:rich>
                  <a:bodyPr/>
                  <a:lstStyle/>
                  <a:p>
                    <a:fld id="{96463626-3FB0-421D-8E4E-9B269E75F6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4702-42E1-BC6A-CC2A16F6F6E6}"/>
                </c:ext>
              </c:extLst>
            </c:dLbl>
            <c:dLbl>
              <c:idx val="147"/>
              <c:tx>
                <c:rich>
                  <a:bodyPr/>
                  <a:lstStyle/>
                  <a:p>
                    <a:fld id="{B026DCCE-F9A0-4FEB-9799-40C2C184BD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4702-42E1-BC6A-CC2A16F6F6E6}"/>
                </c:ext>
              </c:extLst>
            </c:dLbl>
            <c:dLbl>
              <c:idx val="148"/>
              <c:tx>
                <c:rich>
                  <a:bodyPr/>
                  <a:lstStyle/>
                  <a:p>
                    <a:fld id="{81CEB8CD-3D6E-4138-83B9-375CC1BE18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4702-42E1-BC6A-CC2A16F6F6E6}"/>
                </c:ext>
              </c:extLst>
            </c:dLbl>
            <c:dLbl>
              <c:idx val="149"/>
              <c:tx>
                <c:rich>
                  <a:bodyPr/>
                  <a:lstStyle/>
                  <a:p>
                    <a:fld id="{0C0F891E-D1F6-4637-B76D-8F0F1C3FED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4702-42E1-BC6A-CC2A16F6F6E6}"/>
                </c:ext>
              </c:extLst>
            </c:dLbl>
            <c:dLbl>
              <c:idx val="150"/>
              <c:tx>
                <c:rich>
                  <a:bodyPr/>
                  <a:lstStyle/>
                  <a:p>
                    <a:fld id="{FEF9B73E-59FD-41AB-B3D2-0B21D51D80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4702-42E1-BC6A-CC2A16F6F6E6}"/>
                </c:ext>
              </c:extLst>
            </c:dLbl>
            <c:dLbl>
              <c:idx val="151"/>
              <c:tx>
                <c:rich>
                  <a:bodyPr/>
                  <a:lstStyle/>
                  <a:p>
                    <a:fld id="{78766F00-F092-46B2-B72E-BE58082343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4702-42E1-BC6A-CC2A16F6F6E6}"/>
                </c:ext>
              </c:extLst>
            </c:dLbl>
            <c:dLbl>
              <c:idx val="152"/>
              <c:tx>
                <c:rich>
                  <a:bodyPr/>
                  <a:lstStyle/>
                  <a:p>
                    <a:fld id="{92DFC1B3-BB88-452B-9CF2-7905DE5DA6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4702-42E1-BC6A-CC2A16F6F6E6}"/>
                </c:ext>
              </c:extLst>
            </c:dLbl>
            <c:dLbl>
              <c:idx val="153"/>
              <c:tx>
                <c:rich>
                  <a:bodyPr/>
                  <a:lstStyle/>
                  <a:p>
                    <a:fld id="{7C9C5821-956C-4B88-90D9-34793D7F66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4702-42E1-BC6A-CC2A16F6F6E6}"/>
                </c:ext>
              </c:extLst>
            </c:dLbl>
            <c:dLbl>
              <c:idx val="154"/>
              <c:tx>
                <c:rich>
                  <a:bodyPr/>
                  <a:lstStyle/>
                  <a:p>
                    <a:fld id="{188C81DD-F283-419B-8CE5-B652AC61F1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4702-42E1-BC6A-CC2A16F6F6E6}"/>
                </c:ext>
              </c:extLst>
            </c:dLbl>
            <c:dLbl>
              <c:idx val="155"/>
              <c:tx>
                <c:rich>
                  <a:bodyPr/>
                  <a:lstStyle/>
                  <a:p>
                    <a:fld id="{381CF2F2-0E64-4772-913C-112F1FBAA1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4702-42E1-BC6A-CC2A16F6F6E6}"/>
                </c:ext>
              </c:extLst>
            </c:dLbl>
            <c:dLbl>
              <c:idx val="156"/>
              <c:tx>
                <c:rich>
                  <a:bodyPr/>
                  <a:lstStyle/>
                  <a:p>
                    <a:fld id="{062534CA-1CC2-452E-80F6-9B43CE63BD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4702-42E1-BC6A-CC2A16F6F6E6}"/>
                </c:ext>
              </c:extLst>
            </c:dLbl>
            <c:dLbl>
              <c:idx val="157"/>
              <c:tx>
                <c:rich>
                  <a:bodyPr/>
                  <a:lstStyle/>
                  <a:p>
                    <a:fld id="{9FB8EF1D-BCC1-4998-8801-1C4042169D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4702-42E1-BC6A-CC2A16F6F6E6}"/>
                </c:ext>
              </c:extLst>
            </c:dLbl>
            <c:dLbl>
              <c:idx val="158"/>
              <c:tx>
                <c:rich>
                  <a:bodyPr/>
                  <a:lstStyle/>
                  <a:p>
                    <a:fld id="{2409A31D-2FD8-4B3F-93C0-1CC0FF4147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4702-42E1-BC6A-CC2A16F6F6E6}"/>
                </c:ext>
              </c:extLst>
            </c:dLbl>
            <c:dLbl>
              <c:idx val="159"/>
              <c:tx>
                <c:rich>
                  <a:bodyPr/>
                  <a:lstStyle/>
                  <a:p>
                    <a:fld id="{28FBD40C-B6B9-4167-A157-2758A6A442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4702-42E1-BC6A-CC2A16F6F6E6}"/>
                </c:ext>
              </c:extLst>
            </c:dLbl>
            <c:dLbl>
              <c:idx val="160"/>
              <c:tx>
                <c:rich>
                  <a:bodyPr/>
                  <a:lstStyle/>
                  <a:p>
                    <a:fld id="{D0D0B679-9D45-40B1-8A48-172DC7B899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4702-42E1-BC6A-CC2A16F6F6E6}"/>
                </c:ext>
              </c:extLst>
            </c:dLbl>
            <c:dLbl>
              <c:idx val="161"/>
              <c:tx>
                <c:rich>
                  <a:bodyPr/>
                  <a:lstStyle/>
                  <a:p>
                    <a:fld id="{AD258BB5-633F-48A0-8DF5-E1892F7573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4702-42E1-BC6A-CC2A16F6F6E6}"/>
                </c:ext>
              </c:extLst>
            </c:dLbl>
            <c:dLbl>
              <c:idx val="162"/>
              <c:tx>
                <c:rich>
                  <a:bodyPr/>
                  <a:lstStyle/>
                  <a:p>
                    <a:fld id="{78623D34-DE6D-4BBA-8170-4BB8D0F820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4702-42E1-BC6A-CC2A16F6F6E6}"/>
                </c:ext>
              </c:extLst>
            </c:dLbl>
            <c:dLbl>
              <c:idx val="163"/>
              <c:tx>
                <c:rich>
                  <a:bodyPr/>
                  <a:lstStyle/>
                  <a:p>
                    <a:fld id="{746400AB-E4F3-4F3F-90A6-3C0F41198A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4702-42E1-BC6A-CC2A16F6F6E6}"/>
                </c:ext>
              </c:extLst>
            </c:dLbl>
            <c:dLbl>
              <c:idx val="164"/>
              <c:tx>
                <c:rich>
                  <a:bodyPr/>
                  <a:lstStyle/>
                  <a:p>
                    <a:fld id="{28EA2AFE-6F52-49D9-936F-29A571F631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4702-42E1-BC6A-CC2A16F6F6E6}"/>
                </c:ext>
              </c:extLst>
            </c:dLbl>
            <c:dLbl>
              <c:idx val="165"/>
              <c:tx>
                <c:rich>
                  <a:bodyPr/>
                  <a:lstStyle/>
                  <a:p>
                    <a:fld id="{46964708-7A2F-402F-AFFC-852C47F798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4702-42E1-BC6A-CC2A16F6F6E6}"/>
                </c:ext>
              </c:extLst>
            </c:dLbl>
            <c:dLbl>
              <c:idx val="166"/>
              <c:tx>
                <c:rich>
                  <a:bodyPr/>
                  <a:lstStyle/>
                  <a:p>
                    <a:fld id="{72FF7BF3-AC28-4252-9766-22FCDD206C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4702-42E1-BC6A-CC2A16F6F6E6}"/>
                </c:ext>
              </c:extLst>
            </c:dLbl>
            <c:dLbl>
              <c:idx val="167"/>
              <c:tx>
                <c:rich>
                  <a:bodyPr/>
                  <a:lstStyle/>
                  <a:p>
                    <a:fld id="{676B6554-1846-4186-9E4F-C338A635D4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4702-42E1-BC6A-CC2A16F6F6E6}"/>
                </c:ext>
              </c:extLst>
            </c:dLbl>
            <c:dLbl>
              <c:idx val="168"/>
              <c:tx>
                <c:rich>
                  <a:bodyPr/>
                  <a:lstStyle/>
                  <a:p>
                    <a:fld id="{7D374C22-FCEB-4C06-B7C7-9C85C896ED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4702-42E1-BC6A-CC2A16F6F6E6}"/>
                </c:ext>
              </c:extLst>
            </c:dLbl>
            <c:dLbl>
              <c:idx val="169"/>
              <c:tx>
                <c:rich>
                  <a:bodyPr/>
                  <a:lstStyle/>
                  <a:p>
                    <a:fld id="{D0C58579-284F-4857-A94B-D705FFD355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4702-42E1-BC6A-CC2A16F6F6E6}"/>
                </c:ext>
              </c:extLst>
            </c:dLbl>
            <c:dLbl>
              <c:idx val="170"/>
              <c:tx>
                <c:rich>
                  <a:bodyPr/>
                  <a:lstStyle/>
                  <a:p>
                    <a:fld id="{19475BD1-7BA3-4155-B680-587CB8059B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4702-42E1-BC6A-CC2A16F6F6E6}"/>
                </c:ext>
              </c:extLst>
            </c:dLbl>
            <c:dLbl>
              <c:idx val="171"/>
              <c:tx>
                <c:rich>
                  <a:bodyPr/>
                  <a:lstStyle/>
                  <a:p>
                    <a:fld id="{AAACEBCB-593E-41DD-A26A-E55ACC3893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4702-42E1-BC6A-CC2A16F6F6E6}"/>
                </c:ext>
              </c:extLst>
            </c:dLbl>
            <c:dLbl>
              <c:idx val="172"/>
              <c:tx>
                <c:rich>
                  <a:bodyPr/>
                  <a:lstStyle/>
                  <a:p>
                    <a:fld id="{F40EEA75-2ECD-4AE2-93C7-B265D0C3F0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4702-42E1-BC6A-CC2A16F6F6E6}"/>
                </c:ext>
              </c:extLst>
            </c:dLbl>
            <c:dLbl>
              <c:idx val="173"/>
              <c:tx>
                <c:rich>
                  <a:bodyPr/>
                  <a:lstStyle/>
                  <a:p>
                    <a:fld id="{F0B51930-D0B8-42B6-ADBC-C04D4672F4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4702-42E1-BC6A-CC2A16F6F6E6}"/>
                </c:ext>
              </c:extLst>
            </c:dLbl>
            <c:dLbl>
              <c:idx val="174"/>
              <c:tx>
                <c:rich>
                  <a:bodyPr/>
                  <a:lstStyle/>
                  <a:p>
                    <a:fld id="{CD0AA133-9050-480C-908B-ECA4BF89F2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4702-42E1-BC6A-CC2A16F6F6E6}"/>
                </c:ext>
              </c:extLst>
            </c:dLbl>
            <c:dLbl>
              <c:idx val="175"/>
              <c:tx>
                <c:rich>
                  <a:bodyPr/>
                  <a:lstStyle/>
                  <a:p>
                    <a:fld id="{33A44DA6-B6A3-4494-B374-0708B5E7B4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4702-42E1-BC6A-CC2A16F6F6E6}"/>
                </c:ext>
              </c:extLst>
            </c:dLbl>
            <c:dLbl>
              <c:idx val="176"/>
              <c:tx>
                <c:rich>
                  <a:bodyPr/>
                  <a:lstStyle/>
                  <a:p>
                    <a:fld id="{AD7565A6-5FE3-4B0E-AA7A-BE569E2942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4702-42E1-BC6A-CC2A16F6F6E6}"/>
                </c:ext>
              </c:extLst>
            </c:dLbl>
            <c:dLbl>
              <c:idx val="177"/>
              <c:tx>
                <c:rich>
                  <a:bodyPr/>
                  <a:lstStyle/>
                  <a:p>
                    <a:fld id="{BF72B09D-F5B0-4CB4-B6D6-6C50478471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4702-42E1-BC6A-CC2A16F6F6E6}"/>
                </c:ext>
              </c:extLst>
            </c:dLbl>
            <c:dLbl>
              <c:idx val="178"/>
              <c:tx>
                <c:rich>
                  <a:bodyPr/>
                  <a:lstStyle/>
                  <a:p>
                    <a:fld id="{25B5BA05-4850-482F-9EEC-AEB7C2C959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4702-42E1-BC6A-CC2A16F6F6E6}"/>
                </c:ext>
              </c:extLst>
            </c:dLbl>
            <c:dLbl>
              <c:idx val="179"/>
              <c:tx>
                <c:rich>
                  <a:bodyPr/>
                  <a:lstStyle/>
                  <a:p>
                    <a:fld id="{4380A7A3-6214-4A31-80C9-98FB945166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4702-42E1-BC6A-CC2A16F6F6E6}"/>
                </c:ext>
              </c:extLst>
            </c:dLbl>
            <c:dLbl>
              <c:idx val="180"/>
              <c:tx>
                <c:rich>
                  <a:bodyPr/>
                  <a:lstStyle/>
                  <a:p>
                    <a:fld id="{68DC96B4-8489-4B6C-91D0-093DC4ED19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4702-42E1-BC6A-CC2A16F6F6E6}"/>
                </c:ext>
              </c:extLst>
            </c:dLbl>
            <c:dLbl>
              <c:idx val="181"/>
              <c:tx>
                <c:rich>
                  <a:bodyPr/>
                  <a:lstStyle/>
                  <a:p>
                    <a:fld id="{1807FC97-EEDC-420D-98D5-25D38D2E4B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4702-42E1-BC6A-CC2A16F6F6E6}"/>
                </c:ext>
              </c:extLst>
            </c:dLbl>
            <c:dLbl>
              <c:idx val="182"/>
              <c:tx>
                <c:rich>
                  <a:bodyPr/>
                  <a:lstStyle/>
                  <a:p>
                    <a:fld id="{62889CAB-FCF8-4961-9A22-C3FC0D8556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4702-42E1-BC6A-CC2A16F6F6E6}"/>
                </c:ext>
              </c:extLst>
            </c:dLbl>
            <c:dLbl>
              <c:idx val="183"/>
              <c:tx>
                <c:rich>
                  <a:bodyPr/>
                  <a:lstStyle/>
                  <a:p>
                    <a:fld id="{CD99BAFC-9137-4B73-997C-0AAC59FB87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4702-42E1-BC6A-CC2A16F6F6E6}"/>
                </c:ext>
              </c:extLst>
            </c:dLbl>
            <c:dLbl>
              <c:idx val="184"/>
              <c:tx>
                <c:rich>
                  <a:bodyPr/>
                  <a:lstStyle/>
                  <a:p>
                    <a:fld id="{8C8846A7-2C1A-404C-8DC0-821DDF8D13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4702-42E1-BC6A-CC2A16F6F6E6}"/>
                </c:ext>
              </c:extLst>
            </c:dLbl>
            <c:dLbl>
              <c:idx val="185"/>
              <c:tx>
                <c:rich>
                  <a:bodyPr/>
                  <a:lstStyle/>
                  <a:p>
                    <a:fld id="{C8C92AEA-8560-4D64-9FE0-EAC01C8FA4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4702-42E1-BC6A-CC2A16F6F6E6}"/>
                </c:ext>
              </c:extLst>
            </c:dLbl>
            <c:dLbl>
              <c:idx val="186"/>
              <c:tx>
                <c:rich>
                  <a:bodyPr/>
                  <a:lstStyle/>
                  <a:p>
                    <a:fld id="{AE4A4310-EFFD-48DC-9979-E4FEEB6E95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4702-42E1-BC6A-CC2A16F6F6E6}"/>
                </c:ext>
              </c:extLst>
            </c:dLbl>
            <c:dLbl>
              <c:idx val="187"/>
              <c:tx>
                <c:rich>
                  <a:bodyPr/>
                  <a:lstStyle/>
                  <a:p>
                    <a:fld id="{96E3357D-BCA3-4E45-99AA-B93C7D2635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4702-42E1-BC6A-CC2A16F6F6E6}"/>
                </c:ext>
              </c:extLst>
            </c:dLbl>
            <c:dLbl>
              <c:idx val="188"/>
              <c:tx>
                <c:rich>
                  <a:bodyPr/>
                  <a:lstStyle/>
                  <a:p>
                    <a:fld id="{3BA182E3-AF2B-4FBB-84E3-C69B0D3273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4702-42E1-BC6A-CC2A16F6F6E6}"/>
                </c:ext>
              </c:extLst>
            </c:dLbl>
            <c:dLbl>
              <c:idx val="189"/>
              <c:tx>
                <c:rich>
                  <a:bodyPr/>
                  <a:lstStyle/>
                  <a:p>
                    <a:fld id="{3975B697-8180-4108-9EB6-FB247788ED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4702-42E1-BC6A-CC2A16F6F6E6}"/>
                </c:ext>
              </c:extLst>
            </c:dLbl>
            <c:dLbl>
              <c:idx val="190"/>
              <c:tx>
                <c:rich>
                  <a:bodyPr/>
                  <a:lstStyle/>
                  <a:p>
                    <a:fld id="{1B553E85-5C96-495F-B37E-21D43BDBF3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4702-42E1-BC6A-CC2A16F6F6E6}"/>
                </c:ext>
              </c:extLst>
            </c:dLbl>
            <c:dLbl>
              <c:idx val="191"/>
              <c:tx>
                <c:rich>
                  <a:bodyPr/>
                  <a:lstStyle/>
                  <a:p>
                    <a:fld id="{09147083-9389-4E33-A952-86151E4A7B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4702-42E1-BC6A-CC2A16F6F6E6}"/>
                </c:ext>
              </c:extLst>
            </c:dLbl>
            <c:dLbl>
              <c:idx val="192"/>
              <c:tx>
                <c:rich>
                  <a:bodyPr/>
                  <a:lstStyle/>
                  <a:p>
                    <a:fld id="{A344247E-15AE-4B31-9418-C4204CB589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4702-42E1-BC6A-CC2A16F6F6E6}"/>
                </c:ext>
              </c:extLst>
            </c:dLbl>
            <c:dLbl>
              <c:idx val="193"/>
              <c:tx>
                <c:rich>
                  <a:bodyPr/>
                  <a:lstStyle/>
                  <a:p>
                    <a:fld id="{BEC76CAC-791A-41D3-A7D1-D8CB9325C8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4702-42E1-BC6A-CC2A16F6F6E6}"/>
                </c:ext>
              </c:extLst>
            </c:dLbl>
            <c:dLbl>
              <c:idx val="194"/>
              <c:tx>
                <c:rich>
                  <a:bodyPr/>
                  <a:lstStyle/>
                  <a:p>
                    <a:fld id="{A704049D-3709-428D-9206-9AD6F12ABB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4702-42E1-BC6A-CC2A16F6F6E6}"/>
                </c:ext>
              </c:extLst>
            </c:dLbl>
            <c:dLbl>
              <c:idx val="195"/>
              <c:tx>
                <c:rich>
                  <a:bodyPr/>
                  <a:lstStyle/>
                  <a:p>
                    <a:fld id="{EEF38A0D-CD2F-4308-B2E2-8EDE65BE9B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4702-42E1-BC6A-CC2A16F6F6E6}"/>
                </c:ext>
              </c:extLst>
            </c:dLbl>
            <c:dLbl>
              <c:idx val="196"/>
              <c:tx>
                <c:rich>
                  <a:bodyPr/>
                  <a:lstStyle/>
                  <a:p>
                    <a:fld id="{CD802828-9401-4712-A6EF-EBF9E1277D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4702-42E1-BC6A-CC2A16F6F6E6}"/>
                </c:ext>
              </c:extLst>
            </c:dLbl>
            <c:dLbl>
              <c:idx val="197"/>
              <c:tx>
                <c:rich>
                  <a:bodyPr/>
                  <a:lstStyle/>
                  <a:p>
                    <a:fld id="{ACDD6B5E-DF81-4526-AA87-6BB739F308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4702-42E1-BC6A-CC2A16F6F6E6}"/>
                </c:ext>
              </c:extLst>
            </c:dLbl>
            <c:dLbl>
              <c:idx val="198"/>
              <c:tx>
                <c:rich>
                  <a:bodyPr/>
                  <a:lstStyle/>
                  <a:p>
                    <a:fld id="{A0578131-ED61-4B0B-AE07-3DDA245E22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4702-42E1-BC6A-CC2A16F6F6E6}"/>
                </c:ext>
              </c:extLst>
            </c:dLbl>
            <c:dLbl>
              <c:idx val="199"/>
              <c:tx>
                <c:rich>
                  <a:bodyPr/>
                  <a:lstStyle/>
                  <a:p>
                    <a:fld id="{325C3166-A4C9-418D-88B4-E1B4BBD170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4702-42E1-BC6A-CC2A16F6F6E6}"/>
                </c:ext>
              </c:extLst>
            </c:dLbl>
            <c:dLbl>
              <c:idx val="200"/>
              <c:tx>
                <c:rich>
                  <a:bodyPr/>
                  <a:lstStyle/>
                  <a:p>
                    <a:fld id="{F298895D-05AB-4303-A69F-0DB9595ED2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4702-42E1-BC6A-CC2A16F6F6E6}"/>
                </c:ext>
              </c:extLst>
            </c:dLbl>
            <c:dLbl>
              <c:idx val="201"/>
              <c:tx>
                <c:rich>
                  <a:bodyPr/>
                  <a:lstStyle/>
                  <a:p>
                    <a:fld id="{1A67E469-F6FC-4EBD-9DBD-92477F206D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4702-42E1-BC6A-CC2A16F6F6E6}"/>
                </c:ext>
              </c:extLst>
            </c:dLbl>
            <c:dLbl>
              <c:idx val="202"/>
              <c:tx>
                <c:rich>
                  <a:bodyPr/>
                  <a:lstStyle/>
                  <a:p>
                    <a:fld id="{F1A5ADF0-9B5B-4057-A03F-378CA0DA35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4702-42E1-BC6A-CC2A16F6F6E6}"/>
                </c:ext>
              </c:extLst>
            </c:dLbl>
            <c:dLbl>
              <c:idx val="203"/>
              <c:tx>
                <c:rich>
                  <a:bodyPr/>
                  <a:lstStyle/>
                  <a:p>
                    <a:fld id="{9103A550-F0BE-42AE-849C-2A7F3B6320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4702-42E1-BC6A-CC2A16F6F6E6}"/>
                </c:ext>
              </c:extLst>
            </c:dLbl>
            <c:dLbl>
              <c:idx val="204"/>
              <c:tx>
                <c:rich>
                  <a:bodyPr/>
                  <a:lstStyle/>
                  <a:p>
                    <a:fld id="{557EF148-00B5-4417-9097-13FC0766EC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4702-42E1-BC6A-CC2A16F6F6E6}"/>
                </c:ext>
              </c:extLst>
            </c:dLbl>
            <c:dLbl>
              <c:idx val="205"/>
              <c:tx>
                <c:rich>
                  <a:bodyPr/>
                  <a:lstStyle/>
                  <a:p>
                    <a:fld id="{F17DE30A-798A-4612-BD3C-DAE2880462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4702-42E1-BC6A-CC2A16F6F6E6}"/>
                </c:ext>
              </c:extLst>
            </c:dLbl>
            <c:dLbl>
              <c:idx val="206"/>
              <c:tx>
                <c:rich>
                  <a:bodyPr/>
                  <a:lstStyle/>
                  <a:p>
                    <a:fld id="{A9218929-38AA-45B2-8895-9AFA17CCBF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4702-42E1-BC6A-CC2A16F6F6E6}"/>
                </c:ext>
              </c:extLst>
            </c:dLbl>
            <c:dLbl>
              <c:idx val="207"/>
              <c:tx>
                <c:rich>
                  <a:bodyPr/>
                  <a:lstStyle/>
                  <a:p>
                    <a:fld id="{C9604BB2-AE13-4366-BA6C-20A75BC3B3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4702-42E1-BC6A-CC2A16F6F6E6}"/>
                </c:ext>
              </c:extLst>
            </c:dLbl>
            <c:dLbl>
              <c:idx val="208"/>
              <c:tx>
                <c:rich>
                  <a:bodyPr/>
                  <a:lstStyle/>
                  <a:p>
                    <a:fld id="{7C544490-DB3A-48FB-8305-9FB4E61F9A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4702-42E1-BC6A-CC2A16F6F6E6}"/>
                </c:ext>
              </c:extLst>
            </c:dLbl>
            <c:dLbl>
              <c:idx val="209"/>
              <c:tx>
                <c:rich>
                  <a:bodyPr/>
                  <a:lstStyle/>
                  <a:p>
                    <a:fld id="{B43A7EBD-2108-41FE-AB74-B2D0A16F1E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4702-42E1-BC6A-CC2A16F6F6E6}"/>
                </c:ext>
              </c:extLst>
            </c:dLbl>
            <c:dLbl>
              <c:idx val="210"/>
              <c:tx>
                <c:rich>
                  <a:bodyPr/>
                  <a:lstStyle/>
                  <a:p>
                    <a:fld id="{7BFEB8B2-BB88-4B8D-B1EE-B126F55198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4702-42E1-BC6A-CC2A16F6F6E6}"/>
                </c:ext>
              </c:extLst>
            </c:dLbl>
            <c:dLbl>
              <c:idx val="211"/>
              <c:tx>
                <c:rich>
                  <a:bodyPr/>
                  <a:lstStyle/>
                  <a:p>
                    <a:fld id="{3B9349B2-B068-4B0F-AA42-E69FDE0E67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4702-42E1-BC6A-CC2A16F6F6E6}"/>
                </c:ext>
              </c:extLst>
            </c:dLbl>
            <c:dLbl>
              <c:idx val="212"/>
              <c:tx>
                <c:rich>
                  <a:bodyPr/>
                  <a:lstStyle/>
                  <a:p>
                    <a:fld id="{50FEFEFA-C284-49DB-BC43-2A41D1A13E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4702-42E1-BC6A-CC2A16F6F6E6}"/>
                </c:ext>
              </c:extLst>
            </c:dLbl>
            <c:dLbl>
              <c:idx val="213"/>
              <c:tx>
                <c:rich>
                  <a:bodyPr/>
                  <a:lstStyle/>
                  <a:p>
                    <a:fld id="{EA20281D-130C-40C8-BDFA-E34D733073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4702-42E1-BC6A-CC2A16F6F6E6}"/>
                </c:ext>
              </c:extLst>
            </c:dLbl>
            <c:dLbl>
              <c:idx val="214"/>
              <c:tx>
                <c:rich>
                  <a:bodyPr/>
                  <a:lstStyle/>
                  <a:p>
                    <a:fld id="{00D37E81-1525-4236-8FDF-9E637E4D59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4702-42E1-BC6A-CC2A16F6F6E6}"/>
                </c:ext>
              </c:extLst>
            </c:dLbl>
            <c:dLbl>
              <c:idx val="215"/>
              <c:tx>
                <c:rich>
                  <a:bodyPr/>
                  <a:lstStyle/>
                  <a:p>
                    <a:fld id="{95DF7B6E-A741-4258-869E-6E3B4FE264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4702-42E1-BC6A-CC2A16F6F6E6}"/>
                </c:ext>
              </c:extLst>
            </c:dLbl>
            <c:dLbl>
              <c:idx val="216"/>
              <c:tx>
                <c:rich>
                  <a:bodyPr/>
                  <a:lstStyle/>
                  <a:p>
                    <a:fld id="{3CB64897-793D-4842-922D-A5F29CE802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4702-42E1-BC6A-CC2A16F6F6E6}"/>
                </c:ext>
              </c:extLst>
            </c:dLbl>
            <c:dLbl>
              <c:idx val="217"/>
              <c:tx>
                <c:rich>
                  <a:bodyPr/>
                  <a:lstStyle/>
                  <a:p>
                    <a:fld id="{5E3A7C4B-FEB3-467C-AA0F-7301A7CD68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4702-42E1-BC6A-CC2A16F6F6E6}"/>
                </c:ext>
              </c:extLst>
            </c:dLbl>
            <c:dLbl>
              <c:idx val="218"/>
              <c:tx>
                <c:rich>
                  <a:bodyPr/>
                  <a:lstStyle/>
                  <a:p>
                    <a:fld id="{4F12FC02-98E6-4E44-93FC-0F063BB884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4702-42E1-BC6A-CC2A16F6F6E6}"/>
                </c:ext>
              </c:extLst>
            </c:dLbl>
            <c:dLbl>
              <c:idx val="219"/>
              <c:tx>
                <c:rich>
                  <a:bodyPr/>
                  <a:lstStyle/>
                  <a:p>
                    <a:fld id="{D3740324-080E-44E5-98A7-102551D197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4702-42E1-BC6A-CC2A16F6F6E6}"/>
                </c:ext>
              </c:extLst>
            </c:dLbl>
            <c:dLbl>
              <c:idx val="220"/>
              <c:tx>
                <c:rich>
                  <a:bodyPr/>
                  <a:lstStyle/>
                  <a:p>
                    <a:fld id="{BAB2C551-4E98-4D43-A034-5508862863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4702-42E1-BC6A-CC2A16F6F6E6}"/>
                </c:ext>
              </c:extLst>
            </c:dLbl>
            <c:dLbl>
              <c:idx val="221"/>
              <c:tx>
                <c:rich>
                  <a:bodyPr/>
                  <a:lstStyle/>
                  <a:p>
                    <a:fld id="{354488A4-DEE9-4506-A4F3-E31EF064A0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4702-42E1-BC6A-CC2A16F6F6E6}"/>
                </c:ext>
              </c:extLst>
            </c:dLbl>
            <c:dLbl>
              <c:idx val="222"/>
              <c:tx>
                <c:rich>
                  <a:bodyPr/>
                  <a:lstStyle/>
                  <a:p>
                    <a:fld id="{663C9AB2-1E87-4BD2-83F1-4221813E4B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4702-42E1-BC6A-CC2A16F6F6E6}"/>
                </c:ext>
              </c:extLst>
            </c:dLbl>
            <c:dLbl>
              <c:idx val="223"/>
              <c:tx>
                <c:rich>
                  <a:bodyPr/>
                  <a:lstStyle/>
                  <a:p>
                    <a:fld id="{4B45399B-CCAF-4C26-B88C-9529475A92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4702-42E1-BC6A-CC2A16F6F6E6}"/>
                </c:ext>
              </c:extLst>
            </c:dLbl>
            <c:dLbl>
              <c:idx val="224"/>
              <c:tx>
                <c:rich>
                  <a:bodyPr/>
                  <a:lstStyle/>
                  <a:p>
                    <a:fld id="{7683C782-D96A-4EF1-AAD2-2D4DCB7ED1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4702-42E1-BC6A-CC2A16F6F6E6}"/>
                </c:ext>
              </c:extLst>
            </c:dLbl>
            <c:dLbl>
              <c:idx val="225"/>
              <c:tx>
                <c:rich>
                  <a:bodyPr/>
                  <a:lstStyle/>
                  <a:p>
                    <a:fld id="{4EBCC541-567E-40D6-9405-E02D047761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4702-42E1-BC6A-CC2A16F6F6E6}"/>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4702-42E1-BC6A-CC2A16F6F6E6}"/>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4702-42E1-BC6A-CC2A16F6F6E6}"/>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4702-42E1-BC6A-CC2A16F6F6E6}"/>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4702-42E1-BC6A-CC2A16F6F6E6}"/>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4702-42E1-BC6A-CC2A16F6F6E6}"/>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4702-42E1-BC6A-CC2A16F6F6E6}"/>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4702-42E1-BC6A-CC2A16F6F6E6}"/>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4702-42E1-BC6A-CC2A16F6F6E6}"/>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4702-42E1-BC6A-CC2A16F6F6E6}"/>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4702-42E1-BC6A-CC2A16F6F6E6}"/>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4702-42E1-BC6A-CC2A16F6F6E6}"/>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4702-42E1-BC6A-CC2A16F6F6E6}"/>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4702-42E1-BC6A-CC2A16F6F6E6}"/>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4702-42E1-BC6A-CC2A16F6F6E6}"/>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4702-42E1-BC6A-CC2A16F6F6E6}"/>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4702-42E1-BC6A-CC2A16F6F6E6}"/>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4702-42E1-BC6A-CC2A16F6F6E6}"/>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4702-42E1-BC6A-CC2A16F6F6E6}"/>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4702-42E1-BC6A-CC2A16F6F6E6}"/>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4702-42E1-BC6A-CC2A16F6F6E6}"/>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4702-42E1-BC6A-CC2A16F6F6E6}"/>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4702-42E1-BC6A-CC2A16F6F6E6}"/>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4702-42E1-BC6A-CC2A16F6F6E6}"/>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4702-42E1-BC6A-CC2A16F6F6E6}"/>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4702-42E1-BC6A-CC2A16F6F6E6}"/>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4702-42E1-BC6A-CC2A16F6F6E6}"/>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4702-42E1-BC6A-CC2A16F6F6E6}"/>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4702-42E1-BC6A-CC2A16F6F6E6}"/>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4702-42E1-BC6A-CC2A16F6F6E6}"/>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4702-42E1-BC6A-CC2A16F6F6E6}"/>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4702-42E1-BC6A-CC2A16F6F6E6}"/>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4702-42E1-BC6A-CC2A16F6F6E6}"/>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4702-42E1-BC6A-CC2A16F6F6E6}"/>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4702-42E1-BC6A-CC2A16F6F6E6}"/>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4702-42E1-BC6A-CC2A16F6F6E6}"/>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4702-42E1-BC6A-CC2A16F6F6E6}"/>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4702-42E1-BC6A-CC2A16F6F6E6}"/>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4702-42E1-BC6A-CC2A16F6F6E6}"/>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4702-42E1-BC6A-CC2A16F6F6E6}"/>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4702-42E1-BC6A-CC2A16F6F6E6}"/>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4702-42E1-BC6A-CC2A16F6F6E6}"/>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4702-42E1-BC6A-CC2A16F6F6E6}"/>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4702-42E1-BC6A-CC2A16F6F6E6}"/>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4702-42E1-BC6A-CC2A16F6F6E6}"/>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4702-42E1-BC6A-CC2A16F6F6E6}"/>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4702-42E1-BC6A-CC2A16F6F6E6}"/>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4702-42E1-BC6A-CC2A16F6F6E6}"/>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4702-42E1-BC6A-CC2A16F6F6E6}"/>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4702-42E1-BC6A-CC2A16F6F6E6}"/>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4702-42E1-BC6A-CC2A16F6F6E6}"/>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4702-42E1-BC6A-CC2A16F6F6E6}"/>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4702-42E1-BC6A-CC2A16F6F6E6}"/>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4702-42E1-BC6A-CC2A16F6F6E6}"/>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4702-42E1-BC6A-CC2A16F6F6E6}"/>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4702-42E1-BC6A-CC2A16F6F6E6}"/>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4702-42E1-BC6A-CC2A16F6F6E6}"/>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4702-42E1-BC6A-CC2A16F6F6E6}"/>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4702-42E1-BC6A-CC2A16F6F6E6}"/>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4702-42E1-BC6A-CC2A16F6F6E6}"/>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4702-42E1-BC6A-CC2A16F6F6E6}"/>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4702-42E1-BC6A-CC2A16F6F6E6}"/>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4702-42E1-BC6A-CC2A16F6F6E6}"/>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4702-42E1-BC6A-CC2A16F6F6E6}"/>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4702-42E1-BC6A-CC2A16F6F6E6}"/>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4702-42E1-BC6A-CC2A16F6F6E6}"/>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4702-42E1-BC6A-CC2A16F6F6E6}"/>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4702-42E1-BC6A-CC2A16F6F6E6}"/>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4702-42E1-BC6A-CC2A16F6F6E6}"/>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4702-42E1-BC6A-CC2A16F6F6E6}"/>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4702-42E1-BC6A-CC2A16F6F6E6}"/>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4702-42E1-BC6A-CC2A16F6F6E6}"/>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4702-42E1-BC6A-CC2A16F6F6E6}"/>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4702-42E1-BC6A-CC2A16F6F6E6}"/>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55.585727691650391</c:v>
                </c:pt>
                <c:pt idx="1">
                  <c:v>55.741680145263672</c:v>
                </c:pt>
                <c:pt idx="2">
                  <c:v>54.860397338867188</c:v>
                </c:pt>
                <c:pt idx="3">
                  <c:v>53.489048004150391</c:v>
                </c:pt>
                <c:pt idx="4">
                  <c:v>51.678470611572266</c:v>
                </c:pt>
                <c:pt idx="5">
                  <c:v>49.409534454345703</c:v>
                </c:pt>
                <c:pt idx="6">
                  <c:v>46.666027069091797</c:v>
                </c:pt>
                <c:pt idx="7">
                  <c:v>43.942905426025391</c:v>
                </c:pt>
                <c:pt idx="8">
                  <c:v>41.745586395263672</c:v>
                </c:pt>
                <c:pt idx="9">
                  <c:v>40.272445678710938</c:v>
                </c:pt>
                <c:pt idx="10">
                  <c:v>39.548824310302734</c:v>
                </c:pt>
                <c:pt idx="11">
                  <c:v>39.103271484375</c:v>
                </c:pt>
                <c:pt idx="12">
                  <c:v>38.605094909667969</c:v>
                </c:pt>
                <c:pt idx="13">
                  <c:v>37.873004913330078</c:v>
                </c:pt>
                <c:pt idx="14">
                  <c:v>36.719593048095703</c:v>
                </c:pt>
                <c:pt idx="15">
                  <c:v>35.194301605224609</c:v>
                </c:pt>
                <c:pt idx="16">
                  <c:v>33.558895111083984</c:v>
                </c:pt>
                <c:pt idx="17">
                  <c:v>31.705888748168945</c:v>
                </c:pt>
                <c:pt idx="18">
                  <c:v>29.83262825012207</c:v>
                </c:pt>
                <c:pt idx="19">
                  <c:v>28.19573974609375</c:v>
                </c:pt>
                <c:pt idx="20">
                  <c:v>27.129753112792969</c:v>
                </c:pt>
                <c:pt idx="21">
                  <c:v>26.713335037231445</c:v>
                </c:pt>
                <c:pt idx="22">
                  <c:v>26.938266754150391</c:v>
                </c:pt>
                <c:pt idx="23">
                  <c:v>27.817346572875977</c:v>
                </c:pt>
                <c:pt idx="24">
                  <c:v>29.358501434326172</c:v>
                </c:pt>
                <c:pt idx="25">
                  <c:v>31.511222839355469</c:v>
                </c:pt>
                <c:pt idx="26">
                  <c:v>34.385646820068359</c:v>
                </c:pt>
                <c:pt idx="27">
                  <c:v>37.804580688476563</c:v>
                </c:pt>
                <c:pt idx="28">
                  <c:v>41.849880218505859</c:v>
                </c:pt>
                <c:pt idx="29">
                  <c:v>46.155139923095703</c:v>
                </c:pt>
                <c:pt idx="30">
                  <c:v>50.914756774902344</c:v>
                </c:pt>
                <c:pt idx="31">
                  <c:v>55.7218017578125</c:v>
                </c:pt>
                <c:pt idx="32">
                  <c:v>60.7567138671875</c:v>
                </c:pt>
                <c:pt idx="33">
                  <c:v>65.785987854003906</c:v>
                </c:pt>
                <c:pt idx="34">
                  <c:v>70.629806518554688</c:v>
                </c:pt>
                <c:pt idx="35">
                  <c:v>75.479888916015625</c:v>
                </c:pt>
                <c:pt idx="36">
                  <c:v>80.146926879882813</c:v>
                </c:pt>
                <c:pt idx="37">
                  <c:v>84.582931518554688</c:v>
                </c:pt>
                <c:pt idx="38">
                  <c:v>88.592002868652344</c:v>
                </c:pt>
                <c:pt idx="39">
                  <c:v>92.285377502441406</c:v>
                </c:pt>
                <c:pt idx="40">
                  <c:v>95.475006103515625</c:v>
                </c:pt>
                <c:pt idx="41">
                  <c:v>97.927017211914063</c:v>
                </c:pt>
                <c:pt idx="42">
                  <c:v>99.461822509765625</c:v>
                </c:pt>
                <c:pt idx="43">
                  <c:v>100</c:v>
                </c:pt>
                <c:pt idx="44">
                  <c:v>99.577461242675781</c:v>
                </c:pt>
                <c:pt idx="45">
                  <c:v>98.180755615234375</c:v>
                </c:pt>
                <c:pt idx="46">
                  <c:v>95.780128479003906</c:v>
                </c:pt>
                <c:pt idx="47">
                  <c:v>92.524032592773438</c:v>
                </c:pt>
                <c:pt idx="48">
                  <c:v>88.421676635742188</c:v>
                </c:pt>
                <c:pt idx="49">
                  <c:v>83.60394287109375</c:v>
                </c:pt>
                <c:pt idx="50">
                  <c:v>78.111061096191406</c:v>
                </c:pt>
                <c:pt idx="51">
                  <c:v>72.124336242675781</c:v>
                </c:pt>
                <c:pt idx="52">
                  <c:v>65.840965270996094</c:v>
                </c:pt>
                <c:pt idx="53">
                  <c:v>59.363887786865234</c:v>
                </c:pt>
                <c:pt idx="54">
                  <c:v>52.670646667480469</c:v>
                </c:pt>
                <c:pt idx="55">
                  <c:v>46.243637084960938</c:v>
                </c:pt>
                <c:pt idx="56">
                  <c:v>40.000480651855469</c:v>
                </c:pt>
                <c:pt idx="57">
                  <c:v>34.138027191162109</c:v>
                </c:pt>
                <c:pt idx="58">
                  <c:v>28.595794677734375</c:v>
                </c:pt>
                <c:pt idx="59">
                  <c:v>23.798246383666992</c:v>
                </c:pt>
                <c:pt idx="60">
                  <c:v>19.630956649780273</c:v>
                </c:pt>
                <c:pt idx="61">
                  <c:v>15.934002876281738</c:v>
                </c:pt>
                <c:pt idx="62">
                  <c:v>12.965081214904785</c:v>
                </c:pt>
                <c:pt idx="63">
                  <c:v>10.422237396240234</c:v>
                </c:pt>
                <c:pt idx="64">
                  <c:v>8.3316764831542969</c:v>
                </c:pt>
                <c:pt idx="65">
                  <c:v>6.7249665260314941</c:v>
                </c:pt>
                <c:pt idx="66">
                  <c:v>5.5986394882202148</c:v>
                </c:pt>
                <c:pt idx="67">
                  <c:v>4.6970558166503906</c:v>
                </c:pt>
                <c:pt idx="68">
                  <c:v>4.0904669761657715</c:v>
                </c:pt>
                <c:pt idx="69">
                  <c:v>3.6819748878479004</c:v>
                </c:pt>
                <c:pt idx="70">
                  <c:v>3.3271710872650146</c:v>
                </c:pt>
                <c:pt idx="71">
                  <c:v>3.0091691017150879</c:v>
                </c:pt>
                <c:pt idx="72">
                  <c:v>2.8273477554321289</c:v>
                </c:pt>
                <c:pt idx="73">
                  <c:v>2.7176334857940674</c:v>
                </c:pt>
                <c:pt idx="74">
                  <c:v>2.6193044185638428</c:v>
                </c:pt>
                <c:pt idx="75">
                  <c:v>2.5967142581939697</c:v>
                </c:pt>
                <c:pt idx="76">
                  <c:v>2.6196999549865723</c:v>
                </c:pt>
                <c:pt idx="77">
                  <c:v>2.5642063617706299</c:v>
                </c:pt>
                <c:pt idx="78">
                  <c:v>2.4529242515563965</c:v>
                </c:pt>
                <c:pt idx="79">
                  <c:v>2.4389142990112305</c:v>
                </c:pt>
                <c:pt idx="80">
                  <c:v>2.4686892032623291</c:v>
                </c:pt>
                <c:pt idx="81">
                  <c:v>2.4520251750946045</c:v>
                </c:pt>
                <c:pt idx="82">
                  <c:v>2.4055361747741699</c:v>
                </c:pt>
                <c:pt idx="83">
                  <c:v>2.4144830703735352</c:v>
                </c:pt>
                <c:pt idx="84">
                  <c:v>2.4550602436065674</c:v>
                </c:pt>
                <c:pt idx="85">
                  <c:v>2.4318230152130127</c:v>
                </c:pt>
                <c:pt idx="86">
                  <c:v>2.3104865550994873</c:v>
                </c:pt>
                <c:pt idx="87">
                  <c:v>2.2582077980041504</c:v>
                </c:pt>
                <c:pt idx="88">
                  <c:v>2.2872633934020996</c:v>
                </c:pt>
                <c:pt idx="89">
                  <c:v>2.3550913333892822</c:v>
                </c:pt>
                <c:pt idx="90">
                  <c:v>2.425544261932373</c:v>
                </c:pt>
                <c:pt idx="91">
                  <c:v>2.3524374961853027</c:v>
                </c:pt>
                <c:pt idx="92">
                  <c:v>2.281099796295166</c:v>
                </c:pt>
                <c:pt idx="93">
                  <c:v>2.2590131759643555</c:v>
                </c:pt>
                <c:pt idx="94">
                  <c:v>2.3436200618743896</c:v>
                </c:pt>
                <c:pt idx="95">
                  <c:v>2.3640382289886475</c:v>
                </c:pt>
                <c:pt idx="96">
                  <c:v>2.2394869327545166</c:v>
                </c:pt>
                <c:pt idx="97">
                  <c:v>2.2084605693817139</c:v>
                </c:pt>
                <c:pt idx="98">
                  <c:v>2.2267642021179199</c:v>
                </c:pt>
                <c:pt idx="99">
                  <c:v>2.2249231338500977</c:v>
                </c:pt>
                <c:pt idx="100">
                  <c:v>2.2691969871520996</c:v>
                </c:pt>
                <c:pt idx="101">
                  <c:v>2.2658240795135498</c:v>
                </c:pt>
                <c:pt idx="102">
                  <c:v>2.2609333992004395</c:v>
                </c:pt>
                <c:pt idx="103">
                  <c:v>2.3089690208435059</c:v>
                </c:pt>
                <c:pt idx="104">
                  <c:v>2.2911975383758545</c:v>
                </c:pt>
                <c:pt idx="105">
                  <c:v>2.2788057327270508</c:v>
                </c:pt>
                <c:pt idx="106">
                  <c:v>2.3207135200500488</c:v>
                </c:pt>
                <c:pt idx="107">
                  <c:v>2.3134424686431885</c:v>
                </c:pt>
                <c:pt idx="108">
                  <c:v>2.3428144454956055</c:v>
                </c:pt>
                <c:pt idx="109">
                  <c:v>2.3590757846832275</c:v>
                </c:pt>
                <c:pt idx="110">
                  <c:v>2.3378305435180664</c:v>
                </c:pt>
                <c:pt idx="111">
                  <c:v>2.3493521213531494</c:v>
                </c:pt>
                <c:pt idx="112">
                  <c:v>2.310227632522583</c:v>
                </c:pt>
                <c:pt idx="113">
                  <c:v>2.2508070468902588</c:v>
                </c:pt>
                <c:pt idx="114">
                  <c:v>2.2118983268737793</c:v>
                </c:pt>
                <c:pt idx="115">
                  <c:v>2.1583034992218018</c:v>
                </c:pt>
                <c:pt idx="116">
                  <c:v>2.2282600402832031</c:v>
                </c:pt>
                <c:pt idx="117">
                  <c:v>2.2929162979125977</c:v>
                </c:pt>
                <c:pt idx="118">
                  <c:v>2.2473478317260742</c:v>
                </c:pt>
                <c:pt idx="119">
                  <c:v>2.329315185546875</c:v>
                </c:pt>
                <c:pt idx="120">
                  <c:v>2.3409590721130371</c:v>
                </c:pt>
                <c:pt idx="121">
                  <c:v>2.2122147083282471</c:v>
                </c:pt>
                <c:pt idx="122">
                  <c:v>2.2273972034454346</c:v>
                </c:pt>
                <c:pt idx="123">
                  <c:v>2.2305614948272705</c:v>
                </c:pt>
                <c:pt idx="124">
                  <c:v>2.2206509113311768</c:v>
                </c:pt>
                <c:pt idx="125">
                  <c:v>2.3290777206420898</c:v>
                </c:pt>
                <c:pt idx="126">
                  <c:v>2.3883616924285889</c:v>
                </c:pt>
                <c:pt idx="127">
                  <c:v>2.3553574085235596</c:v>
                </c:pt>
                <c:pt idx="128">
                  <c:v>2.2352075576782227</c:v>
                </c:pt>
                <c:pt idx="129">
                  <c:v>2.126600980758667</c:v>
                </c:pt>
                <c:pt idx="130">
                  <c:v>2.2113158702850342</c:v>
                </c:pt>
                <c:pt idx="131">
                  <c:v>2.262242317199707</c:v>
                </c:pt>
                <c:pt idx="132">
                  <c:v>2.2311010360717773</c:v>
                </c:pt>
                <c:pt idx="133">
                  <c:v>2.2368762493133545</c:v>
                </c:pt>
                <c:pt idx="134">
                  <c:v>2.2670466899871826</c:v>
                </c:pt>
                <c:pt idx="135">
                  <c:v>2.2907588481903076</c:v>
                </c:pt>
                <c:pt idx="136">
                  <c:v>2.2641770839691162</c:v>
                </c:pt>
                <c:pt idx="137">
                  <c:v>2.3125936985015869</c:v>
                </c:pt>
                <c:pt idx="138">
                  <c:v>2.2551295757293701</c:v>
                </c:pt>
                <c:pt idx="139">
                  <c:v>2.1281616687774658</c:v>
                </c:pt>
                <c:pt idx="140">
                  <c:v>2.1140508651733398</c:v>
                </c:pt>
                <c:pt idx="141">
                  <c:v>2.0830750465393066</c:v>
                </c:pt>
                <c:pt idx="142">
                  <c:v>2.1300532817840576</c:v>
                </c:pt>
                <c:pt idx="143">
                  <c:v>2.2489588260650635</c:v>
                </c:pt>
                <c:pt idx="144">
                  <c:v>2.3115508556365967</c:v>
                </c:pt>
                <c:pt idx="145">
                  <c:v>2.2523534297943115</c:v>
                </c:pt>
                <c:pt idx="146">
                  <c:v>2.3678572177886963</c:v>
                </c:pt>
                <c:pt idx="147">
                  <c:v>2.2672264575958252</c:v>
                </c:pt>
                <c:pt idx="148">
                  <c:v>2.1545851230621338</c:v>
                </c:pt>
                <c:pt idx="149">
                  <c:v>2.1877620220184326</c:v>
                </c:pt>
                <c:pt idx="150">
                  <c:v>2.1247742176055908</c:v>
                </c:pt>
                <c:pt idx="151">
                  <c:v>2.1211709976196289</c:v>
                </c:pt>
                <c:pt idx="152">
                  <c:v>2.1216959953308105</c:v>
                </c:pt>
                <c:pt idx="153">
                  <c:v>2.2124807834625244</c:v>
                </c:pt>
                <c:pt idx="154">
                  <c:v>2.2590563297271729</c:v>
                </c:pt>
                <c:pt idx="155">
                  <c:v>2.2258365154266357</c:v>
                </c:pt>
                <c:pt idx="156">
                  <c:v>2.1060175895690918</c:v>
                </c:pt>
                <c:pt idx="157">
                  <c:v>2.0774579048156738</c:v>
                </c:pt>
                <c:pt idx="158">
                  <c:v>2.1471414566040039</c:v>
                </c:pt>
                <c:pt idx="159">
                  <c:v>2.063347339630127</c:v>
                </c:pt>
                <c:pt idx="160">
                  <c:v>2.0534079074859619</c:v>
                </c:pt>
                <c:pt idx="161">
                  <c:v>2.1446385383605957</c:v>
                </c:pt>
                <c:pt idx="162">
                  <c:v>2.2221901416778564</c:v>
                </c:pt>
                <c:pt idx="163">
                  <c:v>2.1981112957000732</c:v>
                </c:pt>
                <c:pt idx="164">
                  <c:v>2.1757152080535889</c:v>
                </c:pt>
                <c:pt idx="165">
                  <c:v>2.2297418117523193</c:v>
                </c:pt>
                <c:pt idx="166">
                  <c:v>2.1347136497497559</c:v>
                </c:pt>
                <c:pt idx="167">
                  <c:v>2.0995302200317383</c:v>
                </c:pt>
                <c:pt idx="168">
                  <c:v>2.2538061141967773</c:v>
                </c:pt>
                <c:pt idx="169">
                  <c:v>2.2019517421722412</c:v>
                </c:pt>
                <c:pt idx="170">
                  <c:v>2.1352169513702393</c:v>
                </c:pt>
                <c:pt idx="171">
                  <c:v>2.0266823768615723</c:v>
                </c:pt>
                <c:pt idx="172">
                  <c:v>2</c:v>
                </c:pt>
                <c:pt idx="173">
                  <c:v>2.1308372020721436</c:v>
                </c:pt>
                <c:pt idx="174">
                  <c:v>2.1478533744812012</c:v>
                </c:pt>
                <c:pt idx="175">
                  <c:v>2.085944652557373</c:v>
                </c:pt>
                <c:pt idx="176">
                  <c:v>2.1606407165527344</c:v>
                </c:pt>
                <c:pt idx="177">
                  <c:v>2.3118312358856201</c:v>
                </c:pt>
                <c:pt idx="178">
                  <c:v>2.1580014228820801</c:v>
                </c:pt>
                <c:pt idx="179">
                  <c:v>2.1055786609649658</c:v>
                </c:pt>
                <c:pt idx="180">
                  <c:v>2.1131374835968018</c:v>
                </c:pt>
                <c:pt idx="181">
                  <c:v>2.0638937950134277</c:v>
                </c:pt>
                <c:pt idx="182">
                  <c:v>2.1354904174804688</c:v>
                </c:pt>
                <c:pt idx="183">
                  <c:v>2.073178768157959</c:v>
                </c:pt>
                <c:pt idx="184">
                  <c:v>2.034902811050415</c:v>
                </c:pt>
                <c:pt idx="185">
                  <c:v>2.1074342727661133</c:v>
                </c:pt>
                <c:pt idx="186">
                  <c:v>2.2215068340301514</c:v>
                </c:pt>
                <c:pt idx="187">
                  <c:v>2.3371689319610596</c:v>
                </c:pt>
                <c:pt idx="188">
                  <c:v>2.1671783924102783</c:v>
                </c:pt>
                <c:pt idx="189">
                  <c:v>2.1650855541229248</c:v>
                </c:pt>
                <c:pt idx="190">
                  <c:v>2.2232761383056641</c:v>
                </c:pt>
                <c:pt idx="191">
                  <c:v>2.2367322444915771</c:v>
                </c:pt>
                <c:pt idx="192">
                  <c:v>2.2108986377716064</c:v>
                </c:pt>
                <c:pt idx="193">
                  <c:v>2.2100858688354492</c:v>
                </c:pt>
                <c:pt idx="194">
                  <c:v>2.2182776927947998</c:v>
                </c:pt>
                <c:pt idx="195">
                  <c:v>2.1601014137268066</c:v>
                </c:pt>
                <c:pt idx="196">
                  <c:v>2.3312785625457764</c:v>
                </c:pt>
                <c:pt idx="197">
                  <c:v>2.2750225067138672</c:v>
                </c:pt>
                <c:pt idx="198">
                  <c:v>2.1883227825164795</c:v>
                </c:pt>
                <c:pt idx="199">
                  <c:v>2.2347977161407471</c:v>
                </c:pt>
                <c:pt idx="200">
                  <c:v>2.2348983287811279</c:v>
                </c:pt>
                <c:pt idx="201">
                  <c:v>2.2748212814331055</c:v>
                </c:pt>
                <c:pt idx="202">
                  <c:v>2.2064683437347412</c:v>
                </c:pt>
                <c:pt idx="203">
                  <c:v>2.2815384864807129</c:v>
                </c:pt>
                <c:pt idx="204">
                  <c:v>2.2478151321411133</c:v>
                </c:pt>
                <c:pt idx="205">
                  <c:v>2.2975263595581055</c:v>
                </c:pt>
                <c:pt idx="206">
                  <c:v>2.2273323535919189</c:v>
                </c:pt>
                <c:pt idx="207">
                  <c:v>2.2594015598297119</c:v>
                </c:pt>
                <c:pt idx="208">
                  <c:v>2.2309212684631348</c:v>
                </c:pt>
                <c:pt idx="209">
                  <c:v>2.3167147636413574</c:v>
                </c:pt>
                <c:pt idx="210">
                  <c:v>2.3391034603118896</c:v>
                </c:pt>
                <c:pt idx="211">
                  <c:v>2.1941053867340088</c:v>
                </c:pt>
                <c:pt idx="212">
                  <c:v>2.159353494644165</c:v>
                </c:pt>
                <c:pt idx="213">
                  <c:v>2.1549952030181885</c:v>
                </c:pt>
                <c:pt idx="214">
                  <c:v>2.1994562149047852</c:v>
                </c:pt>
                <c:pt idx="215">
                  <c:v>2.037384033203125</c:v>
                </c:pt>
                <c:pt idx="216">
                  <c:v>2.2121212482452393</c:v>
                </c:pt>
                <c:pt idx="217">
                  <c:v>2.2262032032012939</c:v>
                </c:pt>
                <c:pt idx="218">
                  <c:v>2.0761275291442871</c:v>
                </c:pt>
                <c:pt idx="219">
                  <c:v>2.2205502986907959</c:v>
                </c:pt>
                <c:pt idx="220">
                  <c:v>2.2110495567321777</c:v>
                </c:pt>
                <c:pt idx="221">
                  <c:v>2.3186135292053223</c:v>
                </c:pt>
                <c:pt idx="222">
                  <c:v>2.3934175968170166</c:v>
                </c:pt>
                <c:pt idx="223">
                  <c:v>2.3500785827636719</c:v>
                </c:pt>
                <c:pt idx="224">
                  <c:v>2.4086430072784424</c:v>
                </c:pt>
                <c:pt idx="225">
                  <c:v>2.1079521179199219</c:v>
                </c:pt>
              </c:numCache>
            </c:numRef>
          </c:yVal>
          <c:smooth val="1"/>
          <c:extLst>
            <c:ext xmlns:c15="http://schemas.microsoft.com/office/drawing/2012/chart" uri="{02D57815-91ED-43cb-92C2-25804820EDAC}">
              <c15:datalabelsRange>
                <c15:f>PeakLabels!$F$2:$F$300</c15:f>
                <c15:dlblRangeCache>
                  <c:ptCount val="299"/>
                  <c:pt idx="1">
                    <c:v>192</c:v>
                  </c:pt>
                  <c:pt idx="43">
                    <c:v>276</c:v>
                  </c:pt>
                </c15:dlblRangeCache>
              </c15:datalabelsRange>
            </c:ext>
            <c:ext xmlns:c16="http://schemas.microsoft.com/office/drawing/2014/chart" uri="{C3380CC4-5D6E-409C-BE32-E72D297353CC}">
              <c16:uniqueId val="{00000000-9522-4649-85B0-3ECCE8C0D8BF}"/>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A5492F6E-CA2B-49E2-A6E3-C6661CAC5447}"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522-4649-85B0-3ECCE8C0D8BF}"/>
                </c:ext>
              </c:extLst>
            </c:dLbl>
            <c:dLbl>
              <c:idx val="1"/>
              <c:tx>
                <c:rich>
                  <a:bodyPr/>
                  <a:lstStyle/>
                  <a:p>
                    <a:fld id="{2D907AFC-C146-4F8F-A05C-D1466C054DD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522-4649-85B0-3ECCE8C0D8BF}"/>
                </c:ext>
              </c:extLst>
            </c:dLbl>
            <c:dLbl>
              <c:idx val="2"/>
              <c:tx>
                <c:rich>
                  <a:bodyPr/>
                  <a:lstStyle/>
                  <a:p>
                    <a:fld id="{E81F8942-E39B-4BFF-9CA5-DBA50BFDFEE4}"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522-4649-85B0-3ECCE8C0D8BF}"/>
                </c:ext>
              </c:extLst>
            </c:dLbl>
            <c:dLbl>
              <c:idx val="3"/>
              <c:tx>
                <c:rich>
                  <a:bodyPr/>
                  <a:lstStyle/>
                  <a:p>
                    <a:fld id="{B58A93BB-F750-47A2-A747-897AEEBC416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522-4649-85B0-3ECCE8C0D8BF}"/>
                </c:ext>
              </c:extLst>
            </c:dLbl>
            <c:dLbl>
              <c:idx val="4"/>
              <c:tx>
                <c:rich>
                  <a:bodyPr/>
                  <a:lstStyle/>
                  <a:p>
                    <a:fld id="{2DAC9A46-9F2E-4B86-BF00-BEBD927B617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522-4649-85B0-3ECCE8C0D8BF}"/>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522-4649-85B0-3ECCE8C0D8BF}"/>
            </c:ext>
          </c:extLst>
        </c:ser>
        <c:dLbls>
          <c:showLegendKey val="0"/>
          <c:showVal val="0"/>
          <c:showCatName val="0"/>
          <c:showSerName val="0"/>
          <c:showPercent val="0"/>
          <c:showBubbleSize val="0"/>
        </c:dLbls>
        <c:axId val="1767905184"/>
        <c:axId val="1767909536"/>
      </c:scatterChart>
      <c:valAx>
        <c:axId val="176790518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9536"/>
        <c:crossesAt val="0"/>
        <c:crossBetween val="midCat"/>
        <c:majorUnit val="100"/>
      </c:valAx>
      <c:valAx>
        <c:axId val="1767909536"/>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518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D3DE5A3F-4E65-496E-8339-EC75896C9A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47F-4083-855C-289EC8F7CFBA}"/>
                </c:ext>
              </c:extLst>
            </c:dLbl>
            <c:dLbl>
              <c:idx val="1"/>
              <c:tx>
                <c:rich>
                  <a:bodyPr/>
                  <a:lstStyle/>
                  <a:p>
                    <a:fld id="{99C0442D-F8A6-4D9E-BF66-328C64C721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47F-4083-855C-289EC8F7CFBA}"/>
                </c:ext>
              </c:extLst>
            </c:dLbl>
            <c:dLbl>
              <c:idx val="2"/>
              <c:tx>
                <c:rich>
                  <a:bodyPr/>
                  <a:lstStyle/>
                  <a:p>
                    <a:fld id="{65F55FFE-DE3A-4BE7-9CBF-AAFDDE5B65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47F-4083-855C-289EC8F7CFBA}"/>
                </c:ext>
              </c:extLst>
            </c:dLbl>
            <c:dLbl>
              <c:idx val="3"/>
              <c:tx>
                <c:rich>
                  <a:bodyPr/>
                  <a:lstStyle/>
                  <a:p>
                    <a:fld id="{C49A4CEC-3C4D-4883-A858-6D93535822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47F-4083-855C-289EC8F7CFBA}"/>
                </c:ext>
              </c:extLst>
            </c:dLbl>
            <c:dLbl>
              <c:idx val="4"/>
              <c:tx>
                <c:rich>
                  <a:bodyPr/>
                  <a:lstStyle/>
                  <a:p>
                    <a:fld id="{9B2DE7DE-A0BC-4294-AE3C-E36A7F9E5D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47F-4083-855C-289EC8F7CFBA}"/>
                </c:ext>
              </c:extLst>
            </c:dLbl>
            <c:dLbl>
              <c:idx val="5"/>
              <c:tx>
                <c:rich>
                  <a:bodyPr/>
                  <a:lstStyle/>
                  <a:p>
                    <a:fld id="{B17AAF42-E8CB-4368-903A-B40F7137F5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47F-4083-855C-289EC8F7CFBA}"/>
                </c:ext>
              </c:extLst>
            </c:dLbl>
            <c:dLbl>
              <c:idx val="6"/>
              <c:tx>
                <c:rich>
                  <a:bodyPr/>
                  <a:lstStyle/>
                  <a:p>
                    <a:fld id="{E35A6092-0DE5-4AE7-AFEF-69D1DAF905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47F-4083-855C-289EC8F7CFBA}"/>
                </c:ext>
              </c:extLst>
            </c:dLbl>
            <c:dLbl>
              <c:idx val="7"/>
              <c:tx>
                <c:rich>
                  <a:bodyPr/>
                  <a:lstStyle/>
                  <a:p>
                    <a:fld id="{771AFE8A-BDC3-49BB-A827-5D195AEDDA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47F-4083-855C-289EC8F7CFBA}"/>
                </c:ext>
              </c:extLst>
            </c:dLbl>
            <c:dLbl>
              <c:idx val="8"/>
              <c:tx>
                <c:rich>
                  <a:bodyPr/>
                  <a:lstStyle/>
                  <a:p>
                    <a:fld id="{463A84ED-B56F-482D-BBA7-6FAF182B03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47F-4083-855C-289EC8F7CFBA}"/>
                </c:ext>
              </c:extLst>
            </c:dLbl>
            <c:dLbl>
              <c:idx val="9"/>
              <c:tx>
                <c:rich>
                  <a:bodyPr/>
                  <a:lstStyle/>
                  <a:p>
                    <a:fld id="{A10431CA-186A-4B6E-975A-CC32448C97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47F-4083-855C-289EC8F7CFBA}"/>
                </c:ext>
              </c:extLst>
            </c:dLbl>
            <c:dLbl>
              <c:idx val="10"/>
              <c:tx>
                <c:rich>
                  <a:bodyPr/>
                  <a:lstStyle/>
                  <a:p>
                    <a:fld id="{7A884718-188C-4898-854A-C89706437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47F-4083-855C-289EC8F7CFBA}"/>
                </c:ext>
              </c:extLst>
            </c:dLbl>
            <c:dLbl>
              <c:idx val="11"/>
              <c:tx>
                <c:rich>
                  <a:bodyPr/>
                  <a:lstStyle/>
                  <a:p>
                    <a:fld id="{A001E5BC-7D7F-4CD6-BF3D-D740989074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47F-4083-855C-289EC8F7CFBA}"/>
                </c:ext>
              </c:extLst>
            </c:dLbl>
            <c:dLbl>
              <c:idx val="12"/>
              <c:tx>
                <c:rich>
                  <a:bodyPr/>
                  <a:lstStyle/>
                  <a:p>
                    <a:fld id="{648212F0-8F6D-42E4-B303-86B6E4275E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47F-4083-855C-289EC8F7CFBA}"/>
                </c:ext>
              </c:extLst>
            </c:dLbl>
            <c:dLbl>
              <c:idx val="13"/>
              <c:tx>
                <c:rich>
                  <a:bodyPr/>
                  <a:lstStyle/>
                  <a:p>
                    <a:fld id="{82A2C37F-23AA-4F0E-B578-16A049E34C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47F-4083-855C-289EC8F7CFBA}"/>
                </c:ext>
              </c:extLst>
            </c:dLbl>
            <c:dLbl>
              <c:idx val="14"/>
              <c:tx>
                <c:rich>
                  <a:bodyPr/>
                  <a:lstStyle/>
                  <a:p>
                    <a:fld id="{3D434933-C141-4C66-AB56-D87A685FB2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47F-4083-855C-289EC8F7CFBA}"/>
                </c:ext>
              </c:extLst>
            </c:dLbl>
            <c:dLbl>
              <c:idx val="15"/>
              <c:tx>
                <c:rich>
                  <a:bodyPr/>
                  <a:lstStyle/>
                  <a:p>
                    <a:fld id="{08922272-C05C-40CB-9A66-2235AF61D0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47F-4083-855C-289EC8F7CFBA}"/>
                </c:ext>
              </c:extLst>
            </c:dLbl>
            <c:dLbl>
              <c:idx val="16"/>
              <c:tx>
                <c:rich>
                  <a:bodyPr/>
                  <a:lstStyle/>
                  <a:p>
                    <a:fld id="{53CA8310-E4D8-4BFB-A064-A5ADD60CEB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47F-4083-855C-289EC8F7CFBA}"/>
                </c:ext>
              </c:extLst>
            </c:dLbl>
            <c:dLbl>
              <c:idx val="17"/>
              <c:tx>
                <c:rich>
                  <a:bodyPr/>
                  <a:lstStyle/>
                  <a:p>
                    <a:fld id="{89F184F4-2E52-42A6-B433-CBDB6E0E6F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47F-4083-855C-289EC8F7CFBA}"/>
                </c:ext>
              </c:extLst>
            </c:dLbl>
            <c:dLbl>
              <c:idx val="18"/>
              <c:tx>
                <c:rich>
                  <a:bodyPr/>
                  <a:lstStyle/>
                  <a:p>
                    <a:fld id="{7670FA66-6882-4BED-A94B-884A117A5D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47F-4083-855C-289EC8F7CFBA}"/>
                </c:ext>
              </c:extLst>
            </c:dLbl>
            <c:dLbl>
              <c:idx val="19"/>
              <c:tx>
                <c:rich>
                  <a:bodyPr/>
                  <a:lstStyle/>
                  <a:p>
                    <a:fld id="{EBB39D59-91E9-4A06-9BB2-7033A85E7D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47F-4083-855C-289EC8F7CFBA}"/>
                </c:ext>
              </c:extLst>
            </c:dLbl>
            <c:dLbl>
              <c:idx val="20"/>
              <c:tx>
                <c:rich>
                  <a:bodyPr/>
                  <a:lstStyle/>
                  <a:p>
                    <a:fld id="{896A6387-902C-460F-A0E9-E2B562D055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47F-4083-855C-289EC8F7CFBA}"/>
                </c:ext>
              </c:extLst>
            </c:dLbl>
            <c:dLbl>
              <c:idx val="21"/>
              <c:tx>
                <c:rich>
                  <a:bodyPr/>
                  <a:lstStyle/>
                  <a:p>
                    <a:fld id="{0D3C58C8-205E-4851-A5C9-9FDDF83EA8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47F-4083-855C-289EC8F7CFBA}"/>
                </c:ext>
              </c:extLst>
            </c:dLbl>
            <c:dLbl>
              <c:idx val="22"/>
              <c:tx>
                <c:rich>
                  <a:bodyPr/>
                  <a:lstStyle/>
                  <a:p>
                    <a:fld id="{877BD683-BBB3-4A66-9305-52494B9ACC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47F-4083-855C-289EC8F7CFBA}"/>
                </c:ext>
              </c:extLst>
            </c:dLbl>
            <c:dLbl>
              <c:idx val="23"/>
              <c:tx>
                <c:rich>
                  <a:bodyPr/>
                  <a:lstStyle/>
                  <a:p>
                    <a:fld id="{D5C09087-D464-4B11-BAD5-801C90D361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47F-4083-855C-289EC8F7CFBA}"/>
                </c:ext>
              </c:extLst>
            </c:dLbl>
            <c:dLbl>
              <c:idx val="24"/>
              <c:tx>
                <c:rich>
                  <a:bodyPr/>
                  <a:lstStyle/>
                  <a:p>
                    <a:fld id="{DA76172F-0BBA-4303-B116-111CFC5B57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47F-4083-855C-289EC8F7CFBA}"/>
                </c:ext>
              </c:extLst>
            </c:dLbl>
            <c:dLbl>
              <c:idx val="25"/>
              <c:tx>
                <c:rich>
                  <a:bodyPr/>
                  <a:lstStyle/>
                  <a:p>
                    <a:fld id="{51528CF8-35EE-4FAC-A68A-0E3F2565BC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47F-4083-855C-289EC8F7CFBA}"/>
                </c:ext>
              </c:extLst>
            </c:dLbl>
            <c:dLbl>
              <c:idx val="26"/>
              <c:tx>
                <c:rich>
                  <a:bodyPr/>
                  <a:lstStyle/>
                  <a:p>
                    <a:fld id="{47B08C6D-9C46-49EF-8AC4-311DAD252E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47F-4083-855C-289EC8F7CFBA}"/>
                </c:ext>
              </c:extLst>
            </c:dLbl>
            <c:dLbl>
              <c:idx val="27"/>
              <c:tx>
                <c:rich>
                  <a:bodyPr/>
                  <a:lstStyle/>
                  <a:p>
                    <a:fld id="{2E72852E-7EAE-4EDC-A312-510642C2C5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47F-4083-855C-289EC8F7CFBA}"/>
                </c:ext>
              </c:extLst>
            </c:dLbl>
            <c:dLbl>
              <c:idx val="28"/>
              <c:tx>
                <c:rich>
                  <a:bodyPr/>
                  <a:lstStyle/>
                  <a:p>
                    <a:fld id="{B42B5699-6BCD-4944-BCF3-733B33A83E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47F-4083-855C-289EC8F7CFBA}"/>
                </c:ext>
              </c:extLst>
            </c:dLbl>
            <c:dLbl>
              <c:idx val="29"/>
              <c:tx>
                <c:rich>
                  <a:bodyPr/>
                  <a:lstStyle/>
                  <a:p>
                    <a:fld id="{A414C424-68E1-4529-9972-783E192246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47F-4083-855C-289EC8F7CFBA}"/>
                </c:ext>
              </c:extLst>
            </c:dLbl>
            <c:dLbl>
              <c:idx val="30"/>
              <c:tx>
                <c:rich>
                  <a:bodyPr/>
                  <a:lstStyle/>
                  <a:p>
                    <a:fld id="{8192E16D-6111-4394-B50D-094443E593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47F-4083-855C-289EC8F7CFBA}"/>
                </c:ext>
              </c:extLst>
            </c:dLbl>
            <c:dLbl>
              <c:idx val="31"/>
              <c:tx>
                <c:rich>
                  <a:bodyPr/>
                  <a:lstStyle/>
                  <a:p>
                    <a:fld id="{D79270A4-77BA-4468-B7EF-E7EED1F41B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47F-4083-855C-289EC8F7CFBA}"/>
                </c:ext>
              </c:extLst>
            </c:dLbl>
            <c:dLbl>
              <c:idx val="32"/>
              <c:tx>
                <c:rich>
                  <a:bodyPr/>
                  <a:lstStyle/>
                  <a:p>
                    <a:fld id="{3F87029A-66E2-42DD-9A51-5AF80A8CE9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47F-4083-855C-289EC8F7CFBA}"/>
                </c:ext>
              </c:extLst>
            </c:dLbl>
            <c:dLbl>
              <c:idx val="33"/>
              <c:tx>
                <c:rich>
                  <a:bodyPr/>
                  <a:lstStyle/>
                  <a:p>
                    <a:fld id="{78D63EC6-BBA8-49A1-9ED6-D96A3B6C44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47F-4083-855C-289EC8F7CFBA}"/>
                </c:ext>
              </c:extLst>
            </c:dLbl>
            <c:dLbl>
              <c:idx val="34"/>
              <c:tx>
                <c:rich>
                  <a:bodyPr/>
                  <a:lstStyle/>
                  <a:p>
                    <a:fld id="{AA7D9830-FA72-480D-B8CB-8B9CD9D06A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47F-4083-855C-289EC8F7CFBA}"/>
                </c:ext>
              </c:extLst>
            </c:dLbl>
            <c:dLbl>
              <c:idx val="35"/>
              <c:tx>
                <c:rich>
                  <a:bodyPr/>
                  <a:lstStyle/>
                  <a:p>
                    <a:fld id="{CD71BCFC-9A6F-4C44-9EB9-DCFE789B68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47F-4083-855C-289EC8F7CFBA}"/>
                </c:ext>
              </c:extLst>
            </c:dLbl>
            <c:dLbl>
              <c:idx val="36"/>
              <c:tx>
                <c:rich>
                  <a:bodyPr/>
                  <a:lstStyle/>
                  <a:p>
                    <a:fld id="{A68D622D-33C4-4528-A1DB-A357C9B27A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47F-4083-855C-289EC8F7CFBA}"/>
                </c:ext>
              </c:extLst>
            </c:dLbl>
            <c:dLbl>
              <c:idx val="37"/>
              <c:tx>
                <c:rich>
                  <a:bodyPr/>
                  <a:lstStyle/>
                  <a:p>
                    <a:fld id="{36C642D0-7C39-4F4B-99F1-559B70CC5D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47F-4083-855C-289EC8F7CFBA}"/>
                </c:ext>
              </c:extLst>
            </c:dLbl>
            <c:dLbl>
              <c:idx val="38"/>
              <c:tx>
                <c:rich>
                  <a:bodyPr/>
                  <a:lstStyle/>
                  <a:p>
                    <a:fld id="{60A18D4E-68E7-4703-9EAF-6A17C25B17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47F-4083-855C-289EC8F7CFBA}"/>
                </c:ext>
              </c:extLst>
            </c:dLbl>
            <c:dLbl>
              <c:idx val="39"/>
              <c:tx>
                <c:rich>
                  <a:bodyPr/>
                  <a:lstStyle/>
                  <a:p>
                    <a:fld id="{C0B79510-27AD-4C77-89FF-2F89E1918D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47F-4083-855C-289EC8F7CFBA}"/>
                </c:ext>
              </c:extLst>
            </c:dLbl>
            <c:dLbl>
              <c:idx val="40"/>
              <c:tx>
                <c:rich>
                  <a:bodyPr/>
                  <a:lstStyle/>
                  <a:p>
                    <a:fld id="{4F82992F-0132-4ED2-9728-6EF48D9E6E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47F-4083-855C-289EC8F7CFBA}"/>
                </c:ext>
              </c:extLst>
            </c:dLbl>
            <c:dLbl>
              <c:idx val="41"/>
              <c:tx>
                <c:rich>
                  <a:bodyPr/>
                  <a:lstStyle/>
                  <a:p>
                    <a:fld id="{928E63F3-97EE-4CA0-B907-2877EEA2D8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47F-4083-855C-289EC8F7CFBA}"/>
                </c:ext>
              </c:extLst>
            </c:dLbl>
            <c:dLbl>
              <c:idx val="42"/>
              <c:tx>
                <c:rich>
                  <a:bodyPr/>
                  <a:lstStyle/>
                  <a:p>
                    <a:fld id="{4845EEBE-4A7D-4507-8BE1-E225B2F25D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47F-4083-855C-289EC8F7CFBA}"/>
                </c:ext>
              </c:extLst>
            </c:dLbl>
            <c:dLbl>
              <c:idx val="43"/>
              <c:tx>
                <c:rich>
                  <a:bodyPr/>
                  <a:lstStyle/>
                  <a:p>
                    <a:fld id="{9CA3AA32-4F7A-472E-892D-2D3E65C72F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247F-4083-855C-289EC8F7CFBA}"/>
                </c:ext>
              </c:extLst>
            </c:dLbl>
            <c:dLbl>
              <c:idx val="44"/>
              <c:tx>
                <c:rich>
                  <a:bodyPr/>
                  <a:lstStyle/>
                  <a:p>
                    <a:fld id="{CE043A03-BF27-4111-97A3-82D00D64C9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47F-4083-855C-289EC8F7CFBA}"/>
                </c:ext>
              </c:extLst>
            </c:dLbl>
            <c:dLbl>
              <c:idx val="45"/>
              <c:tx>
                <c:rich>
                  <a:bodyPr/>
                  <a:lstStyle/>
                  <a:p>
                    <a:fld id="{E234AB0D-65A2-4BA2-9EA1-683800BA30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247F-4083-855C-289EC8F7CFBA}"/>
                </c:ext>
              </c:extLst>
            </c:dLbl>
            <c:dLbl>
              <c:idx val="46"/>
              <c:tx>
                <c:rich>
                  <a:bodyPr/>
                  <a:lstStyle/>
                  <a:p>
                    <a:fld id="{F97619AA-CFFF-43B1-BC7D-607F655EF9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47F-4083-855C-289EC8F7CFBA}"/>
                </c:ext>
              </c:extLst>
            </c:dLbl>
            <c:dLbl>
              <c:idx val="47"/>
              <c:tx>
                <c:rich>
                  <a:bodyPr/>
                  <a:lstStyle/>
                  <a:p>
                    <a:fld id="{B0F92868-1566-40A1-AB8E-7A76389A47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47F-4083-855C-289EC8F7CFBA}"/>
                </c:ext>
              </c:extLst>
            </c:dLbl>
            <c:dLbl>
              <c:idx val="48"/>
              <c:tx>
                <c:rich>
                  <a:bodyPr/>
                  <a:lstStyle/>
                  <a:p>
                    <a:fld id="{53280218-071D-4DD9-8E3C-92464F9874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47F-4083-855C-289EC8F7CFBA}"/>
                </c:ext>
              </c:extLst>
            </c:dLbl>
            <c:dLbl>
              <c:idx val="49"/>
              <c:tx>
                <c:rich>
                  <a:bodyPr/>
                  <a:lstStyle/>
                  <a:p>
                    <a:fld id="{A25A0F98-4F02-4714-B322-A875F903BA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47F-4083-855C-289EC8F7CFBA}"/>
                </c:ext>
              </c:extLst>
            </c:dLbl>
            <c:dLbl>
              <c:idx val="50"/>
              <c:tx>
                <c:rich>
                  <a:bodyPr/>
                  <a:lstStyle/>
                  <a:p>
                    <a:fld id="{ABB7BFF5-9ABC-47C1-A23B-54630DF2DD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47F-4083-855C-289EC8F7CFBA}"/>
                </c:ext>
              </c:extLst>
            </c:dLbl>
            <c:dLbl>
              <c:idx val="51"/>
              <c:tx>
                <c:rich>
                  <a:bodyPr/>
                  <a:lstStyle/>
                  <a:p>
                    <a:fld id="{41C84BA0-A4A0-4CF0-947C-569C5DE2F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247F-4083-855C-289EC8F7CFBA}"/>
                </c:ext>
              </c:extLst>
            </c:dLbl>
            <c:dLbl>
              <c:idx val="52"/>
              <c:tx>
                <c:rich>
                  <a:bodyPr/>
                  <a:lstStyle/>
                  <a:p>
                    <a:fld id="{2DEF3268-41FC-4A5D-9365-A1A3EC9442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47F-4083-855C-289EC8F7CFBA}"/>
                </c:ext>
              </c:extLst>
            </c:dLbl>
            <c:dLbl>
              <c:idx val="53"/>
              <c:tx>
                <c:rich>
                  <a:bodyPr/>
                  <a:lstStyle/>
                  <a:p>
                    <a:fld id="{5A46E6DF-B6F5-42B7-9BD9-D0A0D965A8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247F-4083-855C-289EC8F7CFBA}"/>
                </c:ext>
              </c:extLst>
            </c:dLbl>
            <c:dLbl>
              <c:idx val="54"/>
              <c:tx>
                <c:rich>
                  <a:bodyPr/>
                  <a:lstStyle/>
                  <a:p>
                    <a:fld id="{499E9A06-AF40-44AC-BE7D-325CF0085D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47F-4083-855C-289EC8F7CFBA}"/>
                </c:ext>
              </c:extLst>
            </c:dLbl>
            <c:dLbl>
              <c:idx val="55"/>
              <c:tx>
                <c:rich>
                  <a:bodyPr/>
                  <a:lstStyle/>
                  <a:p>
                    <a:fld id="{73564CDF-A51C-4488-B240-FBA68E7107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47F-4083-855C-289EC8F7CFBA}"/>
                </c:ext>
              </c:extLst>
            </c:dLbl>
            <c:dLbl>
              <c:idx val="56"/>
              <c:tx>
                <c:rich>
                  <a:bodyPr/>
                  <a:lstStyle/>
                  <a:p>
                    <a:fld id="{56EE85E3-9F92-4240-8126-64A5DFBFBD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47F-4083-855C-289EC8F7CFBA}"/>
                </c:ext>
              </c:extLst>
            </c:dLbl>
            <c:dLbl>
              <c:idx val="57"/>
              <c:tx>
                <c:rich>
                  <a:bodyPr/>
                  <a:lstStyle/>
                  <a:p>
                    <a:fld id="{F19FB67F-873C-4B71-A8F9-CFD54A065C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47F-4083-855C-289EC8F7CFBA}"/>
                </c:ext>
              </c:extLst>
            </c:dLbl>
            <c:dLbl>
              <c:idx val="58"/>
              <c:tx>
                <c:rich>
                  <a:bodyPr/>
                  <a:lstStyle/>
                  <a:p>
                    <a:fld id="{139586B4-0CA6-4FC9-BFD8-C54A4DEF1E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47F-4083-855C-289EC8F7CFBA}"/>
                </c:ext>
              </c:extLst>
            </c:dLbl>
            <c:dLbl>
              <c:idx val="59"/>
              <c:tx>
                <c:rich>
                  <a:bodyPr/>
                  <a:lstStyle/>
                  <a:p>
                    <a:fld id="{CB43BF02-0133-414B-8061-08BA035838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47F-4083-855C-289EC8F7CFBA}"/>
                </c:ext>
              </c:extLst>
            </c:dLbl>
            <c:dLbl>
              <c:idx val="60"/>
              <c:tx>
                <c:rich>
                  <a:bodyPr/>
                  <a:lstStyle/>
                  <a:p>
                    <a:fld id="{D369BF9F-FFDF-4AB9-9F6E-0E970FD6A9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47F-4083-855C-289EC8F7CFBA}"/>
                </c:ext>
              </c:extLst>
            </c:dLbl>
            <c:dLbl>
              <c:idx val="61"/>
              <c:tx>
                <c:rich>
                  <a:bodyPr/>
                  <a:lstStyle/>
                  <a:p>
                    <a:fld id="{516A1C92-4063-456D-94B1-A053954F79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47F-4083-855C-289EC8F7CFBA}"/>
                </c:ext>
              </c:extLst>
            </c:dLbl>
            <c:dLbl>
              <c:idx val="62"/>
              <c:tx>
                <c:rich>
                  <a:bodyPr/>
                  <a:lstStyle/>
                  <a:p>
                    <a:fld id="{78862016-CC36-4B84-AF89-3B4E989865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47F-4083-855C-289EC8F7CFBA}"/>
                </c:ext>
              </c:extLst>
            </c:dLbl>
            <c:dLbl>
              <c:idx val="63"/>
              <c:tx>
                <c:rich>
                  <a:bodyPr/>
                  <a:lstStyle/>
                  <a:p>
                    <a:fld id="{F69A53F8-9402-40F4-90D8-0152930326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47F-4083-855C-289EC8F7CFBA}"/>
                </c:ext>
              </c:extLst>
            </c:dLbl>
            <c:dLbl>
              <c:idx val="64"/>
              <c:tx>
                <c:rich>
                  <a:bodyPr/>
                  <a:lstStyle/>
                  <a:p>
                    <a:fld id="{CC37CF2B-5401-46E9-A1EB-A1F619BACC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47F-4083-855C-289EC8F7CFBA}"/>
                </c:ext>
              </c:extLst>
            </c:dLbl>
            <c:dLbl>
              <c:idx val="65"/>
              <c:tx>
                <c:rich>
                  <a:bodyPr/>
                  <a:lstStyle/>
                  <a:p>
                    <a:fld id="{08DFF55C-074A-4654-860A-CA9B583AF1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247F-4083-855C-289EC8F7CFBA}"/>
                </c:ext>
              </c:extLst>
            </c:dLbl>
            <c:dLbl>
              <c:idx val="66"/>
              <c:tx>
                <c:rich>
                  <a:bodyPr/>
                  <a:lstStyle/>
                  <a:p>
                    <a:fld id="{C2055C3E-F4AC-42FB-AC77-FB01874BF0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247F-4083-855C-289EC8F7CFBA}"/>
                </c:ext>
              </c:extLst>
            </c:dLbl>
            <c:dLbl>
              <c:idx val="67"/>
              <c:tx>
                <c:rich>
                  <a:bodyPr/>
                  <a:lstStyle/>
                  <a:p>
                    <a:fld id="{18064DA8-F34F-428E-8639-02D00C80B2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247F-4083-855C-289EC8F7CFBA}"/>
                </c:ext>
              </c:extLst>
            </c:dLbl>
            <c:dLbl>
              <c:idx val="68"/>
              <c:tx>
                <c:rich>
                  <a:bodyPr/>
                  <a:lstStyle/>
                  <a:p>
                    <a:fld id="{64EE6FC6-7074-45AA-93AA-FE6D5332C4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247F-4083-855C-289EC8F7CFBA}"/>
                </c:ext>
              </c:extLst>
            </c:dLbl>
            <c:dLbl>
              <c:idx val="69"/>
              <c:tx>
                <c:rich>
                  <a:bodyPr/>
                  <a:lstStyle/>
                  <a:p>
                    <a:fld id="{99CE94A6-1A30-48EE-9380-ED722B139F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247F-4083-855C-289EC8F7CFBA}"/>
                </c:ext>
              </c:extLst>
            </c:dLbl>
            <c:dLbl>
              <c:idx val="70"/>
              <c:tx>
                <c:rich>
                  <a:bodyPr/>
                  <a:lstStyle/>
                  <a:p>
                    <a:fld id="{06875E09-B1FF-4C4D-8731-21A59A6850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247F-4083-855C-289EC8F7CFBA}"/>
                </c:ext>
              </c:extLst>
            </c:dLbl>
            <c:dLbl>
              <c:idx val="71"/>
              <c:tx>
                <c:rich>
                  <a:bodyPr/>
                  <a:lstStyle/>
                  <a:p>
                    <a:fld id="{046442C0-6371-4256-8FA1-5878F6B4E9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247F-4083-855C-289EC8F7CFBA}"/>
                </c:ext>
              </c:extLst>
            </c:dLbl>
            <c:dLbl>
              <c:idx val="72"/>
              <c:tx>
                <c:rich>
                  <a:bodyPr/>
                  <a:lstStyle/>
                  <a:p>
                    <a:fld id="{776F9A51-6D2A-482D-BC4E-C38DB88869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247F-4083-855C-289EC8F7CFBA}"/>
                </c:ext>
              </c:extLst>
            </c:dLbl>
            <c:dLbl>
              <c:idx val="73"/>
              <c:tx>
                <c:rich>
                  <a:bodyPr/>
                  <a:lstStyle/>
                  <a:p>
                    <a:fld id="{1B3C3231-6E2E-4686-9788-91692BCACD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247F-4083-855C-289EC8F7CFBA}"/>
                </c:ext>
              </c:extLst>
            </c:dLbl>
            <c:dLbl>
              <c:idx val="74"/>
              <c:tx>
                <c:rich>
                  <a:bodyPr/>
                  <a:lstStyle/>
                  <a:p>
                    <a:fld id="{F3AFE4E0-7EEA-4E90-953D-56B88C965A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247F-4083-855C-289EC8F7CFBA}"/>
                </c:ext>
              </c:extLst>
            </c:dLbl>
            <c:dLbl>
              <c:idx val="75"/>
              <c:tx>
                <c:rich>
                  <a:bodyPr/>
                  <a:lstStyle/>
                  <a:p>
                    <a:fld id="{0512AD0B-0DAE-4BFB-9F57-5ADAA072DD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247F-4083-855C-289EC8F7CFBA}"/>
                </c:ext>
              </c:extLst>
            </c:dLbl>
            <c:dLbl>
              <c:idx val="76"/>
              <c:tx>
                <c:rich>
                  <a:bodyPr/>
                  <a:lstStyle/>
                  <a:p>
                    <a:fld id="{A2BF1963-BB21-4623-92D9-1973D1D9E4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247F-4083-855C-289EC8F7CFBA}"/>
                </c:ext>
              </c:extLst>
            </c:dLbl>
            <c:dLbl>
              <c:idx val="77"/>
              <c:tx>
                <c:rich>
                  <a:bodyPr/>
                  <a:lstStyle/>
                  <a:p>
                    <a:fld id="{79C0DB73-BB62-4B55-8E60-C4C1BB85A5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247F-4083-855C-289EC8F7CFBA}"/>
                </c:ext>
              </c:extLst>
            </c:dLbl>
            <c:dLbl>
              <c:idx val="78"/>
              <c:tx>
                <c:rich>
                  <a:bodyPr/>
                  <a:lstStyle/>
                  <a:p>
                    <a:fld id="{3F82B6A0-0DCF-4F48-BF52-B488671E21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247F-4083-855C-289EC8F7CFBA}"/>
                </c:ext>
              </c:extLst>
            </c:dLbl>
            <c:dLbl>
              <c:idx val="79"/>
              <c:tx>
                <c:rich>
                  <a:bodyPr/>
                  <a:lstStyle/>
                  <a:p>
                    <a:fld id="{E5A29ECA-0E7E-4E04-87EE-3EB3025195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247F-4083-855C-289EC8F7CFBA}"/>
                </c:ext>
              </c:extLst>
            </c:dLbl>
            <c:dLbl>
              <c:idx val="80"/>
              <c:tx>
                <c:rich>
                  <a:bodyPr/>
                  <a:lstStyle/>
                  <a:p>
                    <a:fld id="{29DEB039-42F7-425A-992D-A9F23B18C9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247F-4083-855C-289EC8F7CFBA}"/>
                </c:ext>
              </c:extLst>
            </c:dLbl>
            <c:dLbl>
              <c:idx val="81"/>
              <c:tx>
                <c:rich>
                  <a:bodyPr/>
                  <a:lstStyle/>
                  <a:p>
                    <a:fld id="{C20FEF22-2AB1-479C-BFBC-CCF98E8A67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247F-4083-855C-289EC8F7CFBA}"/>
                </c:ext>
              </c:extLst>
            </c:dLbl>
            <c:dLbl>
              <c:idx val="82"/>
              <c:tx>
                <c:rich>
                  <a:bodyPr/>
                  <a:lstStyle/>
                  <a:p>
                    <a:fld id="{CF2A7CD4-6F21-4585-99EE-A9FF4AA1A9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247F-4083-855C-289EC8F7CFBA}"/>
                </c:ext>
              </c:extLst>
            </c:dLbl>
            <c:dLbl>
              <c:idx val="83"/>
              <c:tx>
                <c:rich>
                  <a:bodyPr/>
                  <a:lstStyle/>
                  <a:p>
                    <a:fld id="{40953439-2F0F-4571-A603-021A0C4355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247F-4083-855C-289EC8F7CFBA}"/>
                </c:ext>
              </c:extLst>
            </c:dLbl>
            <c:dLbl>
              <c:idx val="84"/>
              <c:tx>
                <c:rich>
                  <a:bodyPr/>
                  <a:lstStyle/>
                  <a:p>
                    <a:fld id="{AC01C8AA-5754-49E5-BCCA-C82D9B1012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247F-4083-855C-289EC8F7CFBA}"/>
                </c:ext>
              </c:extLst>
            </c:dLbl>
            <c:dLbl>
              <c:idx val="85"/>
              <c:tx>
                <c:rich>
                  <a:bodyPr/>
                  <a:lstStyle/>
                  <a:p>
                    <a:fld id="{F7B3A909-4490-41DC-B169-7C545BCBF7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247F-4083-855C-289EC8F7CFBA}"/>
                </c:ext>
              </c:extLst>
            </c:dLbl>
            <c:dLbl>
              <c:idx val="86"/>
              <c:tx>
                <c:rich>
                  <a:bodyPr/>
                  <a:lstStyle/>
                  <a:p>
                    <a:fld id="{F00CD54D-9566-4D4E-8024-C4505606D3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247F-4083-855C-289EC8F7CFBA}"/>
                </c:ext>
              </c:extLst>
            </c:dLbl>
            <c:dLbl>
              <c:idx val="87"/>
              <c:tx>
                <c:rich>
                  <a:bodyPr/>
                  <a:lstStyle/>
                  <a:p>
                    <a:fld id="{6866269A-7683-4C91-B62F-518771106D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247F-4083-855C-289EC8F7CFBA}"/>
                </c:ext>
              </c:extLst>
            </c:dLbl>
            <c:dLbl>
              <c:idx val="88"/>
              <c:tx>
                <c:rich>
                  <a:bodyPr/>
                  <a:lstStyle/>
                  <a:p>
                    <a:fld id="{F6B80BC1-AE19-460F-8761-0CF4A7B690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247F-4083-855C-289EC8F7CFBA}"/>
                </c:ext>
              </c:extLst>
            </c:dLbl>
            <c:dLbl>
              <c:idx val="89"/>
              <c:tx>
                <c:rich>
                  <a:bodyPr/>
                  <a:lstStyle/>
                  <a:p>
                    <a:fld id="{6DFBBD84-4E94-4338-B65D-484B64F4CA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247F-4083-855C-289EC8F7CFBA}"/>
                </c:ext>
              </c:extLst>
            </c:dLbl>
            <c:dLbl>
              <c:idx val="90"/>
              <c:tx>
                <c:rich>
                  <a:bodyPr/>
                  <a:lstStyle/>
                  <a:p>
                    <a:fld id="{ABC47966-A406-46B4-AB77-746EDDC544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247F-4083-855C-289EC8F7CFBA}"/>
                </c:ext>
              </c:extLst>
            </c:dLbl>
            <c:dLbl>
              <c:idx val="91"/>
              <c:tx>
                <c:rich>
                  <a:bodyPr/>
                  <a:lstStyle/>
                  <a:p>
                    <a:fld id="{71F7C18C-AEA9-40F7-AAA3-4298D9179D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247F-4083-855C-289EC8F7CFBA}"/>
                </c:ext>
              </c:extLst>
            </c:dLbl>
            <c:dLbl>
              <c:idx val="92"/>
              <c:tx>
                <c:rich>
                  <a:bodyPr/>
                  <a:lstStyle/>
                  <a:p>
                    <a:fld id="{2274758C-E723-478E-A890-D0D0E9BC6F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247F-4083-855C-289EC8F7CFBA}"/>
                </c:ext>
              </c:extLst>
            </c:dLbl>
            <c:dLbl>
              <c:idx val="93"/>
              <c:tx>
                <c:rich>
                  <a:bodyPr/>
                  <a:lstStyle/>
                  <a:p>
                    <a:fld id="{54D4A00B-94B9-48A6-BE68-12DB41E6D8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247F-4083-855C-289EC8F7CFBA}"/>
                </c:ext>
              </c:extLst>
            </c:dLbl>
            <c:dLbl>
              <c:idx val="94"/>
              <c:tx>
                <c:rich>
                  <a:bodyPr/>
                  <a:lstStyle/>
                  <a:p>
                    <a:fld id="{5C4884A2-5758-4842-B60C-BC2544CAB4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247F-4083-855C-289EC8F7CFBA}"/>
                </c:ext>
              </c:extLst>
            </c:dLbl>
            <c:dLbl>
              <c:idx val="95"/>
              <c:tx>
                <c:rich>
                  <a:bodyPr/>
                  <a:lstStyle/>
                  <a:p>
                    <a:fld id="{850CF642-95CA-4127-86FF-A0B4949FD1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247F-4083-855C-289EC8F7CFBA}"/>
                </c:ext>
              </c:extLst>
            </c:dLbl>
            <c:dLbl>
              <c:idx val="96"/>
              <c:tx>
                <c:rich>
                  <a:bodyPr/>
                  <a:lstStyle/>
                  <a:p>
                    <a:fld id="{8CD853E7-F3C1-4ACF-9C1D-F965C3D254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247F-4083-855C-289EC8F7CFBA}"/>
                </c:ext>
              </c:extLst>
            </c:dLbl>
            <c:dLbl>
              <c:idx val="97"/>
              <c:tx>
                <c:rich>
                  <a:bodyPr/>
                  <a:lstStyle/>
                  <a:p>
                    <a:fld id="{FED824F0-3397-44C4-975F-45817EC47A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247F-4083-855C-289EC8F7CFBA}"/>
                </c:ext>
              </c:extLst>
            </c:dLbl>
            <c:dLbl>
              <c:idx val="98"/>
              <c:tx>
                <c:rich>
                  <a:bodyPr/>
                  <a:lstStyle/>
                  <a:p>
                    <a:fld id="{50BC87D4-2F4F-4FBE-AFC3-7DECDCCE9F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247F-4083-855C-289EC8F7CFBA}"/>
                </c:ext>
              </c:extLst>
            </c:dLbl>
            <c:dLbl>
              <c:idx val="99"/>
              <c:tx>
                <c:rich>
                  <a:bodyPr/>
                  <a:lstStyle/>
                  <a:p>
                    <a:fld id="{86E10EE7-06D8-4648-AE8F-C0AF0B89A2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247F-4083-855C-289EC8F7CFBA}"/>
                </c:ext>
              </c:extLst>
            </c:dLbl>
            <c:dLbl>
              <c:idx val="100"/>
              <c:tx>
                <c:rich>
                  <a:bodyPr/>
                  <a:lstStyle/>
                  <a:p>
                    <a:fld id="{1FB5BA02-71B2-453A-82E4-6E3CF2D4E6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247F-4083-855C-289EC8F7CFBA}"/>
                </c:ext>
              </c:extLst>
            </c:dLbl>
            <c:dLbl>
              <c:idx val="101"/>
              <c:tx>
                <c:rich>
                  <a:bodyPr/>
                  <a:lstStyle/>
                  <a:p>
                    <a:fld id="{92872C7C-E3E8-4D70-B93C-F41BA8700A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247F-4083-855C-289EC8F7CFBA}"/>
                </c:ext>
              </c:extLst>
            </c:dLbl>
            <c:dLbl>
              <c:idx val="102"/>
              <c:tx>
                <c:rich>
                  <a:bodyPr/>
                  <a:lstStyle/>
                  <a:p>
                    <a:fld id="{627F7129-6E19-46B1-A65F-D66DF745ED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247F-4083-855C-289EC8F7CFBA}"/>
                </c:ext>
              </c:extLst>
            </c:dLbl>
            <c:dLbl>
              <c:idx val="103"/>
              <c:tx>
                <c:rich>
                  <a:bodyPr/>
                  <a:lstStyle/>
                  <a:p>
                    <a:fld id="{CDD54B46-48AE-4B3B-8EA8-1AE010B099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247F-4083-855C-289EC8F7CFBA}"/>
                </c:ext>
              </c:extLst>
            </c:dLbl>
            <c:dLbl>
              <c:idx val="104"/>
              <c:tx>
                <c:rich>
                  <a:bodyPr/>
                  <a:lstStyle/>
                  <a:p>
                    <a:fld id="{AF81834E-6341-4719-9782-1397EB6380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247F-4083-855C-289EC8F7CFBA}"/>
                </c:ext>
              </c:extLst>
            </c:dLbl>
            <c:dLbl>
              <c:idx val="105"/>
              <c:tx>
                <c:rich>
                  <a:bodyPr/>
                  <a:lstStyle/>
                  <a:p>
                    <a:fld id="{E03C5C38-1FB6-4044-A2E2-95208FE83C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247F-4083-855C-289EC8F7CFBA}"/>
                </c:ext>
              </c:extLst>
            </c:dLbl>
            <c:dLbl>
              <c:idx val="106"/>
              <c:tx>
                <c:rich>
                  <a:bodyPr/>
                  <a:lstStyle/>
                  <a:p>
                    <a:fld id="{BA5E1313-EF44-448E-BFFF-D7F7E061F3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247F-4083-855C-289EC8F7CFBA}"/>
                </c:ext>
              </c:extLst>
            </c:dLbl>
            <c:dLbl>
              <c:idx val="107"/>
              <c:tx>
                <c:rich>
                  <a:bodyPr/>
                  <a:lstStyle/>
                  <a:p>
                    <a:fld id="{46755529-4AB6-476D-82C5-4FB9DDF3B4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247F-4083-855C-289EC8F7CFBA}"/>
                </c:ext>
              </c:extLst>
            </c:dLbl>
            <c:dLbl>
              <c:idx val="108"/>
              <c:tx>
                <c:rich>
                  <a:bodyPr/>
                  <a:lstStyle/>
                  <a:p>
                    <a:fld id="{CBAB0B1D-1F36-467E-92AC-C6341D442F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247F-4083-855C-289EC8F7CFBA}"/>
                </c:ext>
              </c:extLst>
            </c:dLbl>
            <c:dLbl>
              <c:idx val="109"/>
              <c:tx>
                <c:rich>
                  <a:bodyPr/>
                  <a:lstStyle/>
                  <a:p>
                    <a:fld id="{A80AC6D2-D1D4-4F9D-93A8-A86FAA5B6A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247F-4083-855C-289EC8F7CFBA}"/>
                </c:ext>
              </c:extLst>
            </c:dLbl>
            <c:dLbl>
              <c:idx val="110"/>
              <c:tx>
                <c:rich>
                  <a:bodyPr/>
                  <a:lstStyle/>
                  <a:p>
                    <a:fld id="{207764EA-5B1F-4A07-A214-885F2F9B76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247F-4083-855C-289EC8F7CFBA}"/>
                </c:ext>
              </c:extLst>
            </c:dLbl>
            <c:dLbl>
              <c:idx val="111"/>
              <c:tx>
                <c:rich>
                  <a:bodyPr/>
                  <a:lstStyle/>
                  <a:p>
                    <a:fld id="{DCD91368-51CD-4728-9AA4-561ECF3848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247F-4083-855C-289EC8F7CFBA}"/>
                </c:ext>
              </c:extLst>
            </c:dLbl>
            <c:dLbl>
              <c:idx val="112"/>
              <c:tx>
                <c:rich>
                  <a:bodyPr/>
                  <a:lstStyle/>
                  <a:p>
                    <a:fld id="{2F2A3E71-556C-4A9C-B88E-C9AA710117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247F-4083-855C-289EC8F7CFBA}"/>
                </c:ext>
              </c:extLst>
            </c:dLbl>
            <c:dLbl>
              <c:idx val="113"/>
              <c:tx>
                <c:rich>
                  <a:bodyPr/>
                  <a:lstStyle/>
                  <a:p>
                    <a:fld id="{29EA10B0-D505-48A0-87C5-65375B7985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247F-4083-855C-289EC8F7CFBA}"/>
                </c:ext>
              </c:extLst>
            </c:dLbl>
            <c:dLbl>
              <c:idx val="114"/>
              <c:tx>
                <c:rich>
                  <a:bodyPr/>
                  <a:lstStyle/>
                  <a:p>
                    <a:fld id="{9ACFD1C0-3D9C-4F3C-9459-666526B5C7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247F-4083-855C-289EC8F7CFBA}"/>
                </c:ext>
              </c:extLst>
            </c:dLbl>
            <c:dLbl>
              <c:idx val="115"/>
              <c:tx>
                <c:rich>
                  <a:bodyPr/>
                  <a:lstStyle/>
                  <a:p>
                    <a:fld id="{0B48391F-045F-4318-88D8-CF2585F887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247F-4083-855C-289EC8F7CFBA}"/>
                </c:ext>
              </c:extLst>
            </c:dLbl>
            <c:dLbl>
              <c:idx val="116"/>
              <c:tx>
                <c:rich>
                  <a:bodyPr/>
                  <a:lstStyle/>
                  <a:p>
                    <a:fld id="{BF0213B6-8EDD-4695-A30F-4AEEF74292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247F-4083-855C-289EC8F7CFBA}"/>
                </c:ext>
              </c:extLst>
            </c:dLbl>
            <c:dLbl>
              <c:idx val="117"/>
              <c:tx>
                <c:rich>
                  <a:bodyPr/>
                  <a:lstStyle/>
                  <a:p>
                    <a:fld id="{138790E2-E9D0-40C4-B507-E8E7E2EAE2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247F-4083-855C-289EC8F7CFBA}"/>
                </c:ext>
              </c:extLst>
            </c:dLbl>
            <c:dLbl>
              <c:idx val="118"/>
              <c:tx>
                <c:rich>
                  <a:bodyPr/>
                  <a:lstStyle/>
                  <a:p>
                    <a:fld id="{E19081D1-D953-4426-A7EA-F1DB0A82C6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247F-4083-855C-289EC8F7CFBA}"/>
                </c:ext>
              </c:extLst>
            </c:dLbl>
            <c:dLbl>
              <c:idx val="119"/>
              <c:tx>
                <c:rich>
                  <a:bodyPr/>
                  <a:lstStyle/>
                  <a:p>
                    <a:fld id="{5C068C3F-4B0E-47D5-8F9A-9368671A61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247F-4083-855C-289EC8F7CFBA}"/>
                </c:ext>
              </c:extLst>
            </c:dLbl>
            <c:dLbl>
              <c:idx val="120"/>
              <c:tx>
                <c:rich>
                  <a:bodyPr/>
                  <a:lstStyle/>
                  <a:p>
                    <a:fld id="{A2BEAE89-75AC-4A8B-8C98-45F3F9AD98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247F-4083-855C-289EC8F7CFBA}"/>
                </c:ext>
              </c:extLst>
            </c:dLbl>
            <c:dLbl>
              <c:idx val="121"/>
              <c:tx>
                <c:rich>
                  <a:bodyPr/>
                  <a:lstStyle/>
                  <a:p>
                    <a:fld id="{75638887-543F-48B7-B671-039CA3A14E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247F-4083-855C-289EC8F7CFBA}"/>
                </c:ext>
              </c:extLst>
            </c:dLbl>
            <c:dLbl>
              <c:idx val="122"/>
              <c:tx>
                <c:rich>
                  <a:bodyPr/>
                  <a:lstStyle/>
                  <a:p>
                    <a:fld id="{D2499BE9-70F1-4939-9CEE-DB9BE3464D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247F-4083-855C-289EC8F7CFBA}"/>
                </c:ext>
              </c:extLst>
            </c:dLbl>
            <c:dLbl>
              <c:idx val="123"/>
              <c:tx>
                <c:rich>
                  <a:bodyPr/>
                  <a:lstStyle/>
                  <a:p>
                    <a:fld id="{DE74E626-A895-4AC0-B5D8-17615A526F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247F-4083-855C-289EC8F7CFBA}"/>
                </c:ext>
              </c:extLst>
            </c:dLbl>
            <c:dLbl>
              <c:idx val="124"/>
              <c:tx>
                <c:rich>
                  <a:bodyPr/>
                  <a:lstStyle/>
                  <a:p>
                    <a:fld id="{CDC77E27-ADCB-4566-9956-04B65AE7D7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247F-4083-855C-289EC8F7CFBA}"/>
                </c:ext>
              </c:extLst>
            </c:dLbl>
            <c:dLbl>
              <c:idx val="125"/>
              <c:tx>
                <c:rich>
                  <a:bodyPr/>
                  <a:lstStyle/>
                  <a:p>
                    <a:fld id="{32784C0D-9B16-4C7A-A993-5919271590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247F-4083-855C-289EC8F7CFBA}"/>
                </c:ext>
              </c:extLst>
            </c:dLbl>
            <c:dLbl>
              <c:idx val="126"/>
              <c:tx>
                <c:rich>
                  <a:bodyPr/>
                  <a:lstStyle/>
                  <a:p>
                    <a:fld id="{856DED93-6C3E-43CD-BF1C-9CD2382E2B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247F-4083-855C-289EC8F7CFBA}"/>
                </c:ext>
              </c:extLst>
            </c:dLbl>
            <c:dLbl>
              <c:idx val="127"/>
              <c:tx>
                <c:rich>
                  <a:bodyPr/>
                  <a:lstStyle/>
                  <a:p>
                    <a:fld id="{AD1DC1D7-03E4-4317-B71A-05E89BD34C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247F-4083-855C-289EC8F7CFBA}"/>
                </c:ext>
              </c:extLst>
            </c:dLbl>
            <c:dLbl>
              <c:idx val="128"/>
              <c:tx>
                <c:rich>
                  <a:bodyPr/>
                  <a:lstStyle/>
                  <a:p>
                    <a:fld id="{F777CB90-C8A1-4FAE-BB2A-3091D020DF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247F-4083-855C-289EC8F7CFBA}"/>
                </c:ext>
              </c:extLst>
            </c:dLbl>
            <c:dLbl>
              <c:idx val="129"/>
              <c:tx>
                <c:rich>
                  <a:bodyPr/>
                  <a:lstStyle/>
                  <a:p>
                    <a:fld id="{D1B799D8-2CD8-4D36-88B6-AFFB9C4EB5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247F-4083-855C-289EC8F7CFBA}"/>
                </c:ext>
              </c:extLst>
            </c:dLbl>
            <c:dLbl>
              <c:idx val="130"/>
              <c:tx>
                <c:rich>
                  <a:bodyPr/>
                  <a:lstStyle/>
                  <a:p>
                    <a:fld id="{A552E782-4288-4E15-B4F5-7793E349F0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247F-4083-855C-289EC8F7CFBA}"/>
                </c:ext>
              </c:extLst>
            </c:dLbl>
            <c:dLbl>
              <c:idx val="131"/>
              <c:tx>
                <c:rich>
                  <a:bodyPr/>
                  <a:lstStyle/>
                  <a:p>
                    <a:fld id="{505D07A4-EDBB-4D85-A680-1DB66269A6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247F-4083-855C-289EC8F7CFBA}"/>
                </c:ext>
              </c:extLst>
            </c:dLbl>
            <c:dLbl>
              <c:idx val="132"/>
              <c:tx>
                <c:rich>
                  <a:bodyPr/>
                  <a:lstStyle/>
                  <a:p>
                    <a:fld id="{058012BB-9EB6-406A-A1A2-E6FEFCDA6C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247F-4083-855C-289EC8F7CFBA}"/>
                </c:ext>
              </c:extLst>
            </c:dLbl>
            <c:dLbl>
              <c:idx val="133"/>
              <c:tx>
                <c:rich>
                  <a:bodyPr/>
                  <a:lstStyle/>
                  <a:p>
                    <a:fld id="{9D150463-C74A-47AB-8331-386885FFD5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247F-4083-855C-289EC8F7CFBA}"/>
                </c:ext>
              </c:extLst>
            </c:dLbl>
            <c:dLbl>
              <c:idx val="134"/>
              <c:tx>
                <c:rich>
                  <a:bodyPr/>
                  <a:lstStyle/>
                  <a:p>
                    <a:fld id="{3B0308DD-5DC0-422C-93E5-C2000D3D0F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247F-4083-855C-289EC8F7CFBA}"/>
                </c:ext>
              </c:extLst>
            </c:dLbl>
            <c:dLbl>
              <c:idx val="135"/>
              <c:tx>
                <c:rich>
                  <a:bodyPr/>
                  <a:lstStyle/>
                  <a:p>
                    <a:fld id="{1CCB53F8-BF08-4058-9BDC-E193B4AD90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247F-4083-855C-289EC8F7CFBA}"/>
                </c:ext>
              </c:extLst>
            </c:dLbl>
            <c:dLbl>
              <c:idx val="136"/>
              <c:tx>
                <c:rich>
                  <a:bodyPr/>
                  <a:lstStyle/>
                  <a:p>
                    <a:fld id="{93DD99F3-DE15-4A07-A6D9-3B93899A34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247F-4083-855C-289EC8F7CFBA}"/>
                </c:ext>
              </c:extLst>
            </c:dLbl>
            <c:dLbl>
              <c:idx val="137"/>
              <c:tx>
                <c:rich>
                  <a:bodyPr/>
                  <a:lstStyle/>
                  <a:p>
                    <a:fld id="{F311701E-A5B4-4815-82F0-CA0AF5F2C2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247F-4083-855C-289EC8F7CFBA}"/>
                </c:ext>
              </c:extLst>
            </c:dLbl>
            <c:dLbl>
              <c:idx val="138"/>
              <c:tx>
                <c:rich>
                  <a:bodyPr/>
                  <a:lstStyle/>
                  <a:p>
                    <a:fld id="{AE62DEC6-172A-4060-AF77-68B6FAEE2C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247F-4083-855C-289EC8F7CFBA}"/>
                </c:ext>
              </c:extLst>
            </c:dLbl>
            <c:dLbl>
              <c:idx val="139"/>
              <c:tx>
                <c:rich>
                  <a:bodyPr/>
                  <a:lstStyle/>
                  <a:p>
                    <a:fld id="{0737F418-56DF-4B0D-8905-64C997A474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247F-4083-855C-289EC8F7CFBA}"/>
                </c:ext>
              </c:extLst>
            </c:dLbl>
            <c:dLbl>
              <c:idx val="140"/>
              <c:tx>
                <c:rich>
                  <a:bodyPr/>
                  <a:lstStyle/>
                  <a:p>
                    <a:fld id="{12457404-82A0-4060-A090-CD82905F12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247F-4083-855C-289EC8F7CFBA}"/>
                </c:ext>
              </c:extLst>
            </c:dLbl>
            <c:dLbl>
              <c:idx val="141"/>
              <c:tx>
                <c:rich>
                  <a:bodyPr/>
                  <a:lstStyle/>
                  <a:p>
                    <a:fld id="{15D61BF8-63C4-4B09-81A4-6E4D678B25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247F-4083-855C-289EC8F7CFBA}"/>
                </c:ext>
              </c:extLst>
            </c:dLbl>
            <c:dLbl>
              <c:idx val="142"/>
              <c:tx>
                <c:rich>
                  <a:bodyPr/>
                  <a:lstStyle/>
                  <a:p>
                    <a:fld id="{DA990590-A014-4C46-91A1-57B4657F4F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247F-4083-855C-289EC8F7CFBA}"/>
                </c:ext>
              </c:extLst>
            </c:dLbl>
            <c:dLbl>
              <c:idx val="143"/>
              <c:tx>
                <c:rich>
                  <a:bodyPr/>
                  <a:lstStyle/>
                  <a:p>
                    <a:fld id="{D7643C0E-DE3D-4034-AA40-AB797A0B23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247F-4083-855C-289EC8F7CFBA}"/>
                </c:ext>
              </c:extLst>
            </c:dLbl>
            <c:dLbl>
              <c:idx val="144"/>
              <c:tx>
                <c:rich>
                  <a:bodyPr/>
                  <a:lstStyle/>
                  <a:p>
                    <a:fld id="{9BEB39AE-FBC5-4018-A6C2-FA89D8C671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247F-4083-855C-289EC8F7CFBA}"/>
                </c:ext>
              </c:extLst>
            </c:dLbl>
            <c:dLbl>
              <c:idx val="145"/>
              <c:tx>
                <c:rich>
                  <a:bodyPr/>
                  <a:lstStyle/>
                  <a:p>
                    <a:fld id="{C62FD960-62D5-4816-8967-F8AC4E76D5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247F-4083-855C-289EC8F7CFBA}"/>
                </c:ext>
              </c:extLst>
            </c:dLbl>
            <c:dLbl>
              <c:idx val="146"/>
              <c:tx>
                <c:rich>
                  <a:bodyPr/>
                  <a:lstStyle/>
                  <a:p>
                    <a:fld id="{1B95B2EB-DDE0-4A4E-A395-555CDC435B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247F-4083-855C-289EC8F7CFBA}"/>
                </c:ext>
              </c:extLst>
            </c:dLbl>
            <c:dLbl>
              <c:idx val="147"/>
              <c:tx>
                <c:rich>
                  <a:bodyPr/>
                  <a:lstStyle/>
                  <a:p>
                    <a:fld id="{7DE7F4A7-E3DC-4A7A-B797-BE4B8F5CE1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247F-4083-855C-289EC8F7CFBA}"/>
                </c:ext>
              </c:extLst>
            </c:dLbl>
            <c:dLbl>
              <c:idx val="148"/>
              <c:tx>
                <c:rich>
                  <a:bodyPr/>
                  <a:lstStyle/>
                  <a:p>
                    <a:fld id="{D31A540C-4429-4D02-A3C8-709C499728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247F-4083-855C-289EC8F7CFBA}"/>
                </c:ext>
              </c:extLst>
            </c:dLbl>
            <c:dLbl>
              <c:idx val="149"/>
              <c:tx>
                <c:rich>
                  <a:bodyPr/>
                  <a:lstStyle/>
                  <a:p>
                    <a:fld id="{8C5C3643-94D3-4C41-920C-CF896CBE04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247F-4083-855C-289EC8F7CFBA}"/>
                </c:ext>
              </c:extLst>
            </c:dLbl>
            <c:dLbl>
              <c:idx val="150"/>
              <c:tx>
                <c:rich>
                  <a:bodyPr/>
                  <a:lstStyle/>
                  <a:p>
                    <a:fld id="{CB10AC40-A33E-45FA-B9BF-7BC895F998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247F-4083-855C-289EC8F7CFBA}"/>
                </c:ext>
              </c:extLst>
            </c:dLbl>
            <c:dLbl>
              <c:idx val="151"/>
              <c:tx>
                <c:rich>
                  <a:bodyPr/>
                  <a:lstStyle/>
                  <a:p>
                    <a:fld id="{DB131DDE-534B-492E-A9D9-71765C0286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247F-4083-855C-289EC8F7CFBA}"/>
                </c:ext>
              </c:extLst>
            </c:dLbl>
            <c:dLbl>
              <c:idx val="152"/>
              <c:tx>
                <c:rich>
                  <a:bodyPr/>
                  <a:lstStyle/>
                  <a:p>
                    <a:fld id="{7AAE3C50-FAFC-43D7-8C96-8FEF97C039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247F-4083-855C-289EC8F7CFBA}"/>
                </c:ext>
              </c:extLst>
            </c:dLbl>
            <c:dLbl>
              <c:idx val="153"/>
              <c:tx>
                <c:rich>
                  <a:bodyPr/>
                  <a:lstStyle/>
                  <a:p>
                    <a:fld id="{21BA264E-2816-4C38-9594-136035AA6F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247F-4083-855C-289EC8F7CFBA}"/>
                </c:ext>
              </c:extLst>
            </c:dLbl>
            <c:dLbl>
              <c:idx val="154"/>
              <c:tx>
                <c:rich>
                  <a:bodyPr/>
                  <a:lstStyle/>
                  <a:p>
                    <a:fld id="{FD05D9BF-4280-46B6-A0B9-7D9D8C3723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247F-4083-855C-289EC8F7CFBA}"/>
                </c:ext>
              </c:extLst>
            </c:dLbl>
            <c:dLbl>
              <c:idx val="155"/>
              <c:tx>
                <c:rich>
                  <a:bodyPr/>
                  <a:lstStyle/>
                  <a:p>
                    <a:fld id="{AF35AB0C-DAA3-4F25-8709-44C5E428C4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247F-4083-855C-289EC8F7CFBA}"/>
                </c:ext>
              </c:extLst>
            </c:dLbl>
            <c:dLbl>
              <c:idx val="156"/>
              <c:tx>
                <c:rich>
                  <a:bodyPr/>
                  <a:lstStyle/>
                  <a:p>
                    <a:fld id="{6AF2D1D3-D297-4CBD-A9B7-385CAB5A5B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247F-4083-855C-289EC8F7CFBA}"/>
                </c:ext>
              </c:extLst>
            </c:dLbl>
            <c:dLbl>
              <c:idx val="157"/>
              <c:tx>
                <c:rich>
                  <a:bodyPr/>
                  <a:lstStyle/>
                  <a:p>
                    <a:fld id="{3BAE1640-26E7-4C91-8530-F4EA9C2D33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247F-4083-855C-289EC8F7CFBA}"/>
                </c:ext>
              </c:extLst>
            </c:dLbl>
            <c:dLbl>
              <c:idx val="158"/>
              <c:tx>
                <c:rich>
                  <a:bodyPr/>
                  <a:lstStyle/>
                  <a:p>
                    <a:fld id="{F09FF9DA-67B5-4807-88B2-7F48DEBD34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247F-4083-855C-289EC8F7CFBA}"/>
                </c:ext>
              </c:extLst>
            </c:dLbl>
            <c:dLbl>
              <c:idx val="159"/>
              <c:tx>
                <c:rich>
                  <a:bodyPr/>
                  <a:lstStyle/>
                  <a:p>
                    <a:fld id="{1244B46C-C863-4D03-94CF-D6D4C22D97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247F-4083-855C-289EC8F7CFBA}"/>
                </c:ext>
              </c:extLst>
            </c:dLbl>
            <c:dLbl>
              <c:idx val="160"/>
              <c:tx>
                <c:rich>
                  <a:bodyPr/>
                  <a:lstStyle/>
                  <a:p>
                    <a:fld id="{23C60594-24D6-45E3-9F36-1498E2826F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247F-4083-855C-289EC8F7CFBA}"/>
                </c:ext>
              </c:extLst>
            </c:dLbl>
            <c:dLbl>
              <c:idx val="161"/>
              <c:tx>
                <c:rich>
                  <a:bodyPr/>
                  <a:lstStyle/>
                  <a:p>
                    <a:fld id="{93B9AED6-D290-4528-B263-40BED733F0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247F-4083-855C-289EC8F7CFBA}"/>
                </c:ext>
              </c:extLst>
            </c:dLbl>
            <c:dLbl>
              <c:idx val="162"/>
              <c:tx>
                <c:rich>
                  <a:bodyPr/>
                  <a:lstStyle/>
                  <a:p>
                    <a:fld id="{F87499EF-0234-4963-9826-7B76893E9D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247F-4083-855C-289EC8F7CFBA}"/>
                </c:ext>
              </c:extLst>
            </c:dLbl>
            <c:dLbl>
              <c:idx val="163"/>
              <c:tx>
                <c:rich>
                  <a:bodyPr/>
                  <a:lstStyle/>
                  <a:p>
                    <a:fld id="{7F44DF1C-1D52-4060-820E-B68331F16E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247F-4083-855C-289EC8F7CFBA}"/>
                </c:ext>
              </c:extLst>
            </c:dLbl>
            <c:dLbl>
              <c:idx val="164"/>
              <c:tx>
                <c:rich>
                  <a:bodyPr/>
                  <a:lstStyle/>
                  <a:p>
                    <a:fld id="{CA20FBB7-4C0E-4630-B689-F0BA9FFA4B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247F-4083-855C-289EC8F7CFBA}"/>
                </c:ext>
              </c:extLst>
            </c:dLbl>
            <c:dLbl>
              <c:idx val="165"/>
              <c:tx>
                <c:rich>
                  <a:bodyPr/>
                  <a:lstStyle/>
                  <a:p>
                    <a:fld id="{9854F6FA-0E7F-46BD-A779-3C8BB64115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247F-4083-855C-289EC8F7CFBA}"/>
                </c:ext>
              </c:extLst>
            </c:dLbl>
            <c:dLbl>
              <c:idx val="166"/>
              <c:tx>
                <c:rich>
                  <a:bodyPr/>
                  <a:lstStyle/>
                  <a:p>
                    <a:fld id="{70B64D27-060B-412D-92CB-8D4FC89406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247F-4083-855C-289EC8F7CFBA}"/>
                </c:ext>
              </c:extLst>
            </c:dLbl>
            <c:dLbl>
              <c:idx val="167"/>
              <c:tx>
                <c:rich>
                  <a:bodyPr/>
                  <a:lstStyle/>
                  <a:p>
                    <a:fld id="{C9A1DDDB-4612-4AC1-BC55-B8869D8614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247F-4083-855C-289EC8F7CFBA}"/>
                </c:ext>
              </c:extLst>
            </c:dLbl>
            <c:dLbl>
              <c:idx val="168"/>
              <c:tx>
                <c:rich>
                  <a:bodyPr/>
                  <a:lstStyle/>
                  <a:p>
                    <a:fld id="{04E2F20E-E8B4-4642-AC1C-2E09D1A9B6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247F-4083-855C-289EC8F7CFBA}"/>
                </c:ext>
              </c:extLst>
            </c:dLbl>
            <c:dLbl>
              <c:idx val="169"/>
              <c:tx>
                <c:rich>
                  <a:bodyPr/>
                  <a:lstStyle/>
                  <a:p>
                    <a:fld id="{C7E0A76E-9ADB-43C0-BA5D-69221B8F8F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247F-4083-855C-289EC8F7CFBA}"/>
                </c:ext>
              </c:extLst>
            </c:dLbl>
            <c:dLbl>
              <c:idx val="170"/>
              <c:tx>
                <c:rich>
                  <a:bodyPr/>
                  <a:lstStyle/>
                  <a:p>
                    <a:fld id="{81193061-AFDA-4E88-A6FC-52B876A3C7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247F-4083-855C-289EC8F7CFBA}"/>
                </c:ext>
              </c:extLst>
            </c:dLbl>
            <c:dLbl>
              <c:idx val="171"/>
              <c:tx>
                <c:rich>
                  <a:bodyPr/>
                  <a:lstStyle/>
                  <a:p>
                    <a:fld id="{209AC6AB-3CD0-4892-B899-2D0EB4A9DC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247F-4083-855C-289EC8F7CFBA}"/>
                </c:ext>
              </c:extLst>
            </c:dLbl>
            <c:dLbl>
              <c:idx val="172"/>
              <c:tx>
                <c:rich>
                  <a:bodyPr/>
                  <a:lstStyle/>
                  <a:p>
                    <a:fld id="{7ECA0A4F-7992-4E11-8B94-082C20FD16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247F-4083-855C-289EC8F7CFBA}"/>
                </c:ext>
              </c:extLst>
            </c:dLbl>
            <c:dLbl>
              <c:idx val="173"/>
              <c:tx>
                <c:rich>
                  <a:bodyPr/>
                  <a:lstStyle/>
                  <a:p>
                    <a:fld id="{DA4ADA77-2621-4894-B3F7-F9F8CC59A6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247F-4083-855C-289EC8F7CFBA}"/>
                </c:ext>
              </c:extLst>
            </c:dLbl>
            <c:dLbl>
              <c:idx val="174"/>
              <c:tx>
                <c:rich>
                  <a:bodyPr/>
                  <a:lstStyle/>
                  <a:p>
                    <a:fld id="{79909AAD-FCD0-4BE7-B5E0-89E2FA7B47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247F-4083-855C-289EC8F7CFBA}"/>
                </c:ext>
              </c:extLst>
            </c:dLbl>
            <c:dLbl>
              <c:idx val="175"/>
              <c:tx>
                <c:rich>
                  <a:bodyPr/>
                  <a:lstStyle/>
                  <a:p>
                    <a:fld id="{7CE27B58-5600-4AE4-A360-876EAD1552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247F-4083-855C-289EC8F7CFBA}"/>
                </c:ext>
              </c:extLst>
            </c:dLbl>
            <c:dLbl>
              <c:idx val="176"/>
              <c:tx>
                <c:rich>
                  <a:bodyPr/>
                  <a:lstStyle/>
                  <a:p>
                    <a:fld id="{1FA3318B-876F-4D33-8590-4C110FCECD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247F-4083-855C-289EC8F7CFBA}"/>
                </c:ext>
              </c:extLst>
            </c:dLbl>
            <c:dLbl>
              <c:idx val="177"/>
              <c:tx>
                <c:rich>
                  <a:bodyPr/>
                  <a:lstStyle/>
                  <a:p>
                    <a:fld id="{DE10B169-CA66-473A-A024-F6EEC6505F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247F-4083-855C-289EC8F7CFBA}"/>
                </c:ext>
              </c:extLst>
            </c:dLbl>
            <c:dLbl>
              <c:idx val="178"/>
              <c:tx>
                <c:rich>
                  <a:bodyPr/>
                  <a:lstStyle/>
                  <a:p>
                    <a:fld id="{33CDAC14-D124-4A06-A3E7-7027E38A10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247F-4083-855C-289EC8F7CFBA}"/>
                </c:ext>
              </c:extLst>
            </c:dLbl>
            <c:dLbl>
              <c:idx val="179"/>
              <c:tx>
                <c:rich>
                  <a:bodyPr/>
                  <a:lstStyle/>
                  <a:p>
                    <a:fld id="{D37D8D0F-F5EE-46CE-AD70-38A64FC08F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247F-4083-855C-289EC8F7CFBA}"/>
                </c:ext>
              </c:extLst>
            </c:dLbl>
            <c:dLbl>
              <c:idx val="180"/>
              <c:tx>
                <c:rich>
                  <a:bodyPr/>
                  <a:lstStyle/>
                  <a:p>
                    <a:fld id="{6DCB3B67-6F57-42D0-8C88-7A87EE2CBA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247F-4083-855C-289EC8F7CFBA}"/>
                </c:ext>
              </c:extLst>
            </c:dLbl>
            <c:dLbl>
              <c:idx val="181"/>
              <c:tx>
                <c:rich>
                  <a:bodyPr/>
                  <a:lstStyle/>
                  <a:p>
                    <a:fld id="{471C65B2-B248-4188-AD73-49C4E427F6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247F-4083-855C-289EC8F7CFBA}"/>
                </c:ext>
              </c:extLst>
            </c:dLbl>
            <c:dLbl>
              <c:idx val="182"/>
              <c:tx>
                <c:rich>
                  <a:bodyPr/>
                  <a:lstStyle/>
                  <a:p>
                    <a:fld id="{1E359D2C-B7E9-45B0-9BA6-67C93CDDB0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247F-4083-855C-289EC8F7CFBA}"/>
                </c:ext>
              </c:extLst>
            </c:dLbl>
            <c:dLbl>
              <c:idx val="183"/>
              <c:tx>
                <c:rich>
                  <a:bodyPr/>
                  <a:lstStyle/>
                  <a:p>
                    <a:fld id="{A6172A84-A07C-4E2F-8254-93A981ECBE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247F-4083-855C-289EC8F7CFBA}"/>
                </c:ext>
              </c:extLst>
            </c:dLbl>
            <c:dLbl>
              <c:idx val="184"/>
              <c:tx>
                <c:rich>
                  <a:bodyPr/>
                  <a:lstStyle/>
                  <a:p>
                    <a:fld id="{FCD55F3D-5899-463B-96A5-181D8908ED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247F-4083-855C-289EC8F7CFBA}"/>
                </c:ext>
              </c:extLst>
            </c:dLbl>
            <c:dLbl>
              <c:idx val="185"/>
              <c:tx>
                <c:rich>
                  <a:bodyPr/>
                  <a:lstStyle/>
                  <a:p>
                    <a:fld id="{1A3EFDF1-1EC8-41CF-96FE-D6DE3A792D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247F-4083-855C-289EC8F7CFBA}"/>
                </c:ext>
              </c:extLst>
            </c:dLbl>
            <c:dLbl>
              <c:idx val="186"/>
              <c:tx>
                <c:rich>
                  <a:bodyPr/>
                  <a:lstStyle/>
                  <a:p>
                    <a:fld id="{26856763-9324-4E54-99FA-F754307554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247F-4083-855C-289EC8F7CFBA}"/>
                </c:ext>
              </c:extLst>
            </c:dLbl>
            <c:dLbl>
              <c:idx val="187"/>
              <c:tx>
                <c:rich>
                  <a:bodyPr/>
                  <a:lstStyle/>
                  <a:p>
                    <a:fld id="{53366CB1-9349-470E-86B9-677A2C2967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247F-4083-855C-289EC8F7CFBA}"/>
                </c:ext>
              </c:extLst>
            </c:dLbl>
            <c:dLbl>
              <c:idx val="188"/>
              <c:tx>
                <c:rich>
                  <a:bodyPr/>
                  <a:lstStyle/>
                  <a:p>
                    <a:fld id="{E0CD29F2-550A-4B3E-91F3-7DF8E8DEEB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247F-4083-855C-289EC8F7CFBA}"/>
                </c:ext>
              </c:extLst>
            </c:dLbl>
            <c:dLbl>
              <c:idx val="189"/>
              <c:tx>
                <c:rich>
                  <a:bodyPr/>
                  <a:lstStyle/>
                  <a:p>
                    <a:fld id="{E787A788-6259-4CD4-B7EF-47B9B3E01A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247F-4083-855C-289EC8F7CFBA}"/>
                </c:ext>
              </c:extLst>
            </c:dLbl>
            <c:dLbl>
              <c:idx val="190"/>
              <c:tx>
                <c:rich>
                  <a:bodyPr/>
                  <a:lstStyle/>
                  <a:p>
                    <a:fld id="{AA674B1E-27D4-4C7F-8FBF-71AF4133A1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247F-4083-855C-289EC8F7CFBA}"/>
                </c:ext>
              </c:extLst>
            </c:dLbl>
            <c:dLbl>
              <c:idx val="191"/>
              <c:tx>
                <c:rich>
                  <a:bodyPr/>
                  <a:lstStyle/>
                  <a:p>
                    <a:fld id="{AF873C9C-A51E-4CC9-B0F0-48CEB145C2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247F-4083-855C-289EC8F7CFBA}"/>
                </c:ext>
              </c:extLst>
            </c:dLbl>
            <c:dLbl>
              <c:idx val="192"/>
              <c:tx>
                <c:rich>
                  <a:bodyPr/>
                  <a:lstStyle/>
                  <a:p>
                    <a:fld id="{1A3766F9-3840-4959-8CBC-F22FA2395B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247F-4083-855C-289EC8F7CFBA}"/>
                </c:ext>
              </c:extLst>
            </c:dLbl>
            <c:dLbl>
              <c:idx val="193"/>
              <c:tx>
                <c:rich>
                  <a:bodyPr/>
                  <a:lstStyle/>
                  <a:p>
                    <a:fld id="{C4CF4609-D6CE-433F-8BC0-CD00CDC5B3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247F-4083-855C-289EC8F7CFBA}"/>
                </c:ext>
              </c:extLst>
            </c:dLbl>
            <c:dLbl>
              <c:idx val="194"/>
              <c:tx>
                <c:rich>
                  <a:bodyPr/>
                  <a:lstStyle/>
                  <a:p>
                    <a:fld id="{680DA475-7EE6-4856-B317-D64C03D4E2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247F-4083-855C-289EC8F7CFBA}"/>
                </c:ext>
              </c:extLst>
            </c:dLbl>
            <c:dLbl>
              <c:idx val="195"/>
              <c:tx>
                <c:rich>
                  <a:bodyPr/>
                  <a:lstStyle/>
                  <a:p>
                    <a:fld id="{BB90B421-8010-41C2-A068-79316DF946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247F-4083-855C-289EC8F7CFBA}"/>
                </c:ext>
              </c:extLst>
            </c:dLbl>
            <c:dLbl>
              <c:idx val="196"/>
              <c:tx>
                <c:rich>
                  <a:bodyPr/>
                  <a:lstStyle/>
                  <a:p>
                    <a:fld id="{7AFF5E26-D978-4C9C-BC85-7E33F9D842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247F-4083-855C-289EC8F7CFBA}"/>
                </c:ext>
              </c:extLst>
            </c:dLbl>
            <c:dLbl>
              <c:idx val="197"/>
              <c:tx>
                <c:rich>
                  <a:bodyPr/>
                  <a:lstStyle/>
                  <a:p>
                    <a:fld id="{F70D93A1-77B7-43B1-A29A-F267743768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247F-4083-855C-289EC8F7CFBA}"/>
                </c:ext>
              </c:extLst>
            </c:dLbl>
            <c:dLbl>
              <c:idx val="198"/>
              <c:tx>
                <c:rich>
                  <a:bodyPr/>
                  <a:lstStyle/>
                  <a:p>
                    <a:fld id="{2E72E021-BE63-465B-8DCE-13BBB8D5FC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247F-4083-855C-289EC8F7CFBA}"/>
                </c:ext>
              </c:extLst>
            </c:dLbl>
            <c:dLbl>
              <c:idx val="199"/>
              <c:tx>
                <c:rich>
                  <a:bodyPr/>
                  <a:lstStyle/>
                  <a:p>
                    <a:fld id="{8197C063-ACDD-49A1-A097-D05EF362BF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247F-4083-855C-289EC8F7CFBA}"/>
                </c:ext>
              </c:extLst>
            </c:dLbl>
            <c:dLbl>
              <c:idx val="200"/>
              <c:tx>
                <c:rich>
                  <a:bodyPr/>
                  <a:lstStyle/>
                  <a:p>
                    <a:fld id="{DFC08158-3007-4292-B989-2F912129F2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247F-4083-855C-289EC8F7CFBA}"/>
                </c:ext>
              </c:extLst>
            </c:dLbl>
            <c:dLbl>
              <c:idx val="201"/>
              <c:tx>
                <c:rich>
                  <a:bodyPr/>
                  <a:lstStyle/>
                  <a:p>
                    <a:fld id="{3A0A557B-2597-4C8B-88A4-674413648F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247F-4083-855C-289EC8F7CFBA}"/>
                </c:ext>
              </c:extLst>
            </c:dLbl>
            <c:dLbl>
              <c:idx val="202"/>
              <c:tx>
                <c:rich>
                  <a:bodyPr/>
                  <a:lstStyle/>
                  <a:p>
                    <a:fld id="{D544B691-1C88-4FA9-819A-C60238158C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247F-4083-855C-289EC8F7CFBA}"/>
                </c:ext>
              </c:extLst>
            </c:dLbl>
            <c:dLbl>
              <c:idx val="203"/>
              <c:tx>
                <c:rich>
                  <a:bodyPr/>
                  <a:lstStyle/>
                  <a:p>
                    <a:fld id="{D606DE77-2373-405B-A7C3-981258567A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247F-4083-855C-289EC8F7CFBA}"/>
                </c:ext>
              </c:extLst>
            </c:dLbl>
            <c:dLbl>
              <c:idx val="204"/>
              <c:tx>
                <c:rich>
                  <a:bodyPr/>
                  <a:lstStyle/>
                  <a:p>
                    <a:fld id="{5701C398-08EF-4238-93E6-61440F8CD0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247F-4083-855C-289EC8F7CFBA}"/>
                </c:ext>
              </c:extLst>
            </c:dLbl>
            <c:dLbl>
              <c:idx val="205"/>
              <c:tx>
                <c:rich>
                  <a:bodyPr/>
                  <a:lstStyle/>
                  <a:p>
                    <a:fld id="{D26F3F2F-12E7-4920-8F12-316F6F87A3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247F-4083-855C-289EC8F7CFBA}"/>
                </c:ext>
              </c:extLst>
            </c:dLbl>
            <c:dLbl>
              <c:idx val="206"/>
              <c:tx>
                <c:rich>
                  <a:bodyPr/>
                  <a:lstStyle/>
                  <a:p>
                    <a:fld id="{2082FBCD-3E84-4D53-BC64-24425AE56D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247F-4083-855C-289EC8F7CFBA}"/>
                </c:ext>
              </c:extLst>
            </c:dLbl>
            <c:dLbl>
              <c:idx val="207"/>
              <c:tx>
                <c:rich>
                  <a:bodyPr/>
                  <a:lstStyle/>
                  <a:p>
                    <a:fld id="{1A567598-E41E-4AAF-9CBB-2F69AADBC0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247F-4083-855C-289EC8F7CFBA}"/>
                </c:ext>
              </c:extLst>
            </c:dLbl>
            <c:dLbl>
              <c:idx val="208"/>
              <c:tx>
                <c:rich>
                  <a:bodyPr/>
                  <a:lstStyle/>
                  <a:p>
                    <a:fld id="{6442A5FB-6626-4EFF-8390-35C6A04977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247F-4083-855C-289EC8F7CFBA}"/>
                </c:ext>
              </c:extLst>
            </c:dLbl>
            <c:dLbl>
              <c:idx val="209"/>
              <c:tx>
                <c:rich>
                  <a:bodyPr/>
                  <a:lstStyle/>
                  <a:p>
                    <a:fld id="{98CCAD8B-5D6E-4B40-A41C-116DB37AB6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247F-4083-855C-289EC8F7CFBA}"/>
                </c:ext>
              </c:extLst>
            </c:dLbl>
            <c:dLbl>
              <c:idx val="210"/>
              <c:tx>
                <c:rich>
                  <a:bodyPr/>
                  <a:lstStyle/>
                  <a:p>
                    <a:fld id="{2AD9B3E7-DD14-4CDA-9281-AC5EBBC1CD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247F-4083-855C-289EC8F7CFBA}"/>
                </c:ext>
              </c:extLst>
            </c:dLbl>
            <c:dLbl>
              <c:idx val="211"/>
              <c:tx>
                <c:rich>
                  <a:bodyPr/>
                  <a:lstStyle/>
                  <a:p>
                    <a:fld id="{55252100-FCE3-43B9-8318-6C471D180D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247F-4083-855C-289EC8F7CFBA}"/>
                </c:ext>
              </c:extLst>
            </c:dLbl>
            <c:dLbl>
              <c:idx val="212"/>
              <c:tx>
                <c:rich>
                  <a:bodyPr/>
                  <a:lstStyle/>
                  <a:p>
                    <a:fld id="{202936AC-A287-438E-87E9-D6798DB456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247F-4083-855C-289EC8F7CFBA}"/>
                </c:ext>
              </c:extLst>
            </c:dLbl>
            <c:dLbl>
              <c:idx val="213"/>
              <c:tx>
                <c:rich>
                  <a:bodyPr/>
                  <a:lstStyle/>
                  <a:p>
                    <a:fld id="{75BA0E8F-903A-4E74-A029-CE2AF722B3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247F-4083-855C-289EC8F7CFBA}"/>
                </c:ext>
              </c:extLst>
            </c:dLbl>
            <c:dLbl>
              <c:idx val="214"/>
              <c:tx>
                <c:rich>
                  <a:bodyPr/>
                  <a:lstStyle/>
                  <a:p>
                    <a:fld id="{3E87D00F-D659-4C09-A8F7-FFBA56136B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247F-4083-855C-289EC8F7CFBA}"/>
                </c:ext>
              </c:extLst>
            </c:dLbl>
            <c:dLbl>
              <c:idx val="215"/>
              <c:tx>
                <c:rich>
                  <a:bodyPr/>
                  <a:lstStyle/>
                  <a:p>
                    <a:fld id="{139A9904-6A64-4D2F-9199-4C5A046A0D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247F-4083-855C-289EC8F7CFBA}"/>
                </c:ext>
              </c:extLst>
            </c:dLbl>
            <c:dLbl>
              <c:idx val="216"/>
              <c:tx>
                <c:rich>
                  <a:bodyPr/>
                  <a:lstStyle/>
                  <a:p>
                    <a:fld id="{8BB7D89A-A7F8-4293-962D-AB484CF5CA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247F-4083-855C-289EC8F7CFBA}"/>
                </c:ext>
              </c:extLst>
            </c:dLbl>
            <c:dLbl>
              <c:idx val="217"/>
              <c:tx>
                <c:rich>
                  <a:bodyPr/>
                  <a:lstStyle/>
                  <a:p>
                    <a:fld id="{65C0FA7C-610E-4804-A843-95CD8CDDEA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247F-4083-855C-289EC8F7CFBA}"/>
                </c:ext>
              </c:extLst>
            </c:dLbl>
            <c:dLbl>
              <c:idx val="218"/>
              <c:tx>
                <c:rich>
                  <a:bodyPr/>
                  <a:lstStyle/>
                  <a:p>
                    <a:fld id="{116FFCA2-3CD3-460E-BBFA-C30593BA1E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247F-4083-855C-289EC8F7CFBA}"/>
                </c:ext>
              </c:extLst>
            </c:dLbl>
            <c:dLbl>
              <c:idx val="219"/>
              <c:tx>
                <c:rich>
                  <a:bodyPr/>
                  <a:lstStyle/>
                  <a:p>
                    <a:fld id="{9E555BC1-2E2F-41E9-8CDF-CBF3FF3210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247F-4083-855C-289EC8F7CFBA}"/>
                </c:ext>
              </c:extLst>
            </c:dLbl>
            <c:dLbl>
              <c:idx val="220"/>
              <c:tx>
                <c:rich>
                  <a:bodyPr/>
                  <a:lstStyle/>
                  <a:p>
                    <a:fld id="{C78FFDED-23A7-4CD8-A65D-35C3D59BE1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247F-4083-855C-289EC8F7CFBA}"/>
                </c:ext>
              </c:extLst>
            </c:dLbl>
            <c:dLbl>
              <c:idx val="221"/>
              <c:tx>
                <c:rich>
                  <a:bodyPr/>
                  <a:lstStyle/>
                  <a:p>
                    <a:fld id="{E8B1C769-DB21-4DF5-A5D4-38A4F9D2AD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247F-4083-855C-289EC8F7CFBA}"/>
                </c:ext>
              </c:extLst>
            </c:dLbl>
            <c:dLbl>
              <c:idx val="222"/>
              <c:tx>
                <c:rich>
                  <a:bodyPr/>
                  <a:lstStyle/>
                  <a:p>
                    <a:fld id="{D05FF917-AF11-4941-9C79-E04899FD0A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247F-4083-855C-289EC8F7CFBA}"/>
                </c:ext>
              </c:extLst>
            </c:dLbl>
            <c:dLbl>
              <c:idx val="223"/>
              <c:tx>
                <c:rich>
                  <a:bodyPr/>
                  <a:lstStyle/>
                  <a:p>
                    <a:fld id="{0F9DECE6-5BCA-48C4-9E0A-D3D436C6FE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247F-4083-855C-289EC8F7CFBA}"/>
                </c:ext>
              </c:extLst>
            </c:dLbl>
            <c:dLbl>
              <c:idx val="224"/>
              <c:tx>
                <c:rich>
                  <a:bodyPr/>
                  <a:lstStyle/>
                  <a:p>
                    <a:fld id="{E81986E3-E57E-481F-BBAC-46089F5635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247F-4083-855C-289EC8F7CFBA}"/>
                </c:ext>
              </c:extLst>
            </c:dLbl>
            <c:dLbl>
              <c:idx val="225"/>
              <c:tx>
                <c:rich>
                  <a:bodyPr/>
                  <a:lstStyle/>
                  <a:p>
                    <a:fld id="{A3A88787-CA03-494D-85AB-C3003046D3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247F-4083-855C-289EC8F7CFBA}"/>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247F-4083-855C-289EC8F7CFBA}"/>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247F-4083-855C-289EC8F7CFBA}"/>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247F-4083-855C-289EC8F7CFBA}"/>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247F-4083-855C-289EC8F7CFBA}"/>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247F-4083-855C-289EC8F7CFBA}"/>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247F-4083-855C-289EC8F7CFBA}"/>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247F-4083-855C-289EC8F7CFBA}"/>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247F-4083-855C-289EC8F7CFBA}"/>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247F-4083-855C-289EC8F7CFBA}"/>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247F-4083-855C-289EC8F7CFBA}"/>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247F-4083-855C-289EC8F7CFBA}"/>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247F-4083-855C-289EC8F7CFBA}"/>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247F-4083-855C-289EC8F7CFBA}"/>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247F-4083-855C-289EC8F7CFBA}"/>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247F-4083-855C-289EC8F7CFBA}"/>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247F-4083-855C-289EC8F7CFBA}"/>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247F-4083-855C-289EC8F7CFBA}"/>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247F-4083-855C-289EC8F7CFBA}"/>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247F-4083-855C-289EC8F7CFBA}"/>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247F-4083-855C-289EC8F7CFBA}"/>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247F-4083-855C-289EC8F7CFBA}"/>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247F-4083-855C-289EC8F7CFBA}"/>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247F-4083-855C-289EC8F7CFBA}"/>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247F-4083-855C-289EC8F7CFBA}"/>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247F-4083-855C-289EC8F7CFBA}"/>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247F-4083-855C-289EC8F7CFBA}"/>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247F-4083-855C-289EC8F7CFBA}"/>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247F-4083-855C-289EC8F7CFBA}"/>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247F-4083-855C-289EC8F7CFBA}"/>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247F-4083-855C-289EC8F7CFBA}"/>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247F-4083-855C-289EC8F7CFBA}"/>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247F-4083-855C-289EC8F7CFBA}"/>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247F-4083-855C-289EC8F7CFBA}"/>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247F-4083-855C-289EC8F7CFBA}"/>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247F-4083-855C-289EC8F7CFBA}"/>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247F-4083-855C-289EC8F7CFBA}"/>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247F-4083-855C-289EC8F7CFBA}"/>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247F-4083-855C-289EC8F7CFBA}"/>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247F-4083-855C-289EC8F7CFBA}"/>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247F-4083-855C-289EC8F7CFBA}"/>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247F-4083-855C-289EC8F7CFBA}"/>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247F-4083-855C-289EC8F7CFBA}"/>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247F-4083-855C-289EC8F7CFBA}"/>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247F-4083-855C-289EC8F7CFBA}"/>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247F-4083-855C-289EC8F7CFBA}"/>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247F-4083-855C-289EC8F7CFBA}"/>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247F-4083-855C-289EC8F7CFBA}"/>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247F-4083-855C-289EC8F7CFBA}"/>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247F-4083-855C-289EC8F7CFBA}"/>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247F-4083-855C-289EC8F7CFBA}"/>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247F-4083-855C-289EC8F7CFBA}"/>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247F-4083-855C-289EC8F7CFBA}"/>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247F-4083-855C-289EC8F7CFBA}"/>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247F-4083-855C-289EC8F7CFBA}"/>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247F-4083-855C-289EC8F7CFBA}"/>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247F-4083-855C-289EC8F7CFBA}"/>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247F-4083-855C-289EC8F7CFBA}"/>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247F-4083-855C-289EC8F7CFBA}"/>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247F-4083-855C-289EC8F7CFBA}"/>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247F-4083-855C-289EC8F7CFBA}"/>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247F-4083-855C-289EC8F7CFBA}"/>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247F-4083-855C-289EC8F7CFBA}"/>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247F-4083-855C-289EC8F7CFBA}"/>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247F-4083-855C-289EC8F7CFBA}"/>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247F-4083-855C-289EC8F7CFBA}"/>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247F-4083-855C-289EC8F7CFBA}"/>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247F-4083-855C-289EC8F7CFBA}"/>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247F-4083-855C-289EC8F7CFBA}"/>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247F-4083-855C-289EC8F7CFBA}"/>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247F-4083-855C-289EC8F7CFBA}"/>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247F-4083-855C-289EC8F7CFBA}"/>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247F-4083-855C-289EC8F7CFBA}"/>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247F-4083-855C-289EC8F7CFBA}"/>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53.92596435546875</c:v>
                </c:pt>
                <c:pt idx="1">
                  <c:v>54.142951965332031</c:v>
                </c:pt>
                <c:pt idx="2">
                  <c:v>52.982967376708984</c:v>
                </c:pt>
                <c:pt idx="3">
                  <c:v>51.259494781494141</c:v>
                </c:pt>
                <c:pt idx="4">
                  <c:v>49.121040344238281</c:v>
                </c:pt>
                <c:pt idx="5">
                  <c:v>46.437198638916016</c:v>
                </c:pt>
                <c:pt idx="6">
                  <c:v>43.007728576660156</c:v>
                </c:pt>
                <c:pt idx="7">
                  <c:v>39.498558044433594</c:v>
                </c:pt>
                <c:pt idx="8">
                  <c:v>36.532234191894531</c:v>
                </c:pt>
                <c:pt idx="9">
                  <c:v>34.31036376953125</c:v>
                </c:pt>
                <c:pt idx="10">
                  <c:v>32.922348022460938</c:v>
                </c:pt>
                <c:pt idx="11">
                  <c:v>32.013099670410156</c:v>
                </c:pt>
                <c:pt idx="12">
                  <c:v>31.255100250244141</c:v>
                </c:pt>
                <c:pt idx="13">
                  <c:v>30.460559844970703</c:v>
                </c:pt>
                <c:pt idx="14">
                  <c:v>29.497268676757813</c:v>
                </c:pt>
                <c:pt idx="15">
                  <c:v>28.358795166015625</c:v>
                </c:pt>
                <c:pt idx="16">
                  <c:v>27.217052459716797</c:v>
                </c:pt>
                <c:pt idx="17">
                  <c:v>26.137733459472656</c:v>
                </c:pt>
                <c:pt idx="18">
                  <c:v>25.24473762512207</c:v>
                </c:pt>
                <c:pt idx="19">
                  <c:v>24.596651077270508</c:v>
                </c:pt>
                <c:pt idx="20">
                  <c:v>24.360797882080078</c:v>
                </c:pt>
                <c:pt idx="21">
                  <c:v>24.596431732177734</c:v>
                </c:pt>
                <c:pt idx="22">
                  <c:v>25.364433288574219</c:v>
                </c:pt>
                <c:pt idx="23">
                  <c:v>26.67591667175293</c:v>
                </c:pt>
                <c:pt idx="24">
                  <c:v>28.656757354736328</c:v>
                </c:pt>
                <c:pt idx="25">
                  <c:v>31.243862152099609</c:v>
                </c:pt>
                <c:pt idx="26">
                  <c:v>34.526393890380859</c:v>
                </c:pt>
                <c:pt idx="27">
                  <c:v>38.267154693603516</c:v>
                </c:pt>
                <c:pt idx="28">
                  <c:v>42.570030212402344</c:v>
                </c:pt>
                <c:pt idx="29">
                  <c:v>47.113021850585938</c:v>
                </c:pt>
                <c:pt idx="30">
                  <c:v>52.058452606201172</c:v>
                </c:pt>
                <c:pt idx="31">
                  <c:v>57.055656433105469</c:v>
                </c:pt>
                <c:pt idx="32">
                  <c:v>62.307468414306641</c:v>
                </c:pt>
                <c:pt idx="33">
                  <c:v>67.60064697265625</c:v>
                </c:pt>
                <c:pt idx="34">
                  <c:v>72.683296203613281</c:v>
                </c:pt>
                <c:pt idx="35">
                  <c:v>77.704177856445313</c:v>
                </c:pt>
                <c:pt idx="36">
                  <c:v>82.491561889648438</c:v>
                </c:pt>
                <c:pt idx="37">
                  <c:v>87.0078125</c:v>
                </c:pt>
                <c:pt idx="38">
                  <c:v>90.941162109375</c:v>
                </c:pt>
                <c:pt idx="39">
                  <c:v>94.427955627441406</c:v>
                </c:pt>
                <c:pt idx="40">
                  <c:v>97.193321228027344</c:v>
                </c:pt>
                <c:pt idx="41">
                  <c:v>99.080894470214844</c:v>
                </c:pt>
                <c:pt idx="42">
                  <c:v>99.999992370605469</c:v>
                </c:pt>
                <c:pt idx="43">
                  <c:v>99.895309448242188</c:v>
                </c:pt>
                <c:pt idx="44">
                  <c:v>98.726921081542969</c:v>
                </c:pt>
                <c:pt idx="45">
                  <c:v>96.554710388183594</c:v>
                </c:pt>
                <c:pt idx="46">
                  <c:v>93.453895568847656</c:v>
                </c:pt>
                <c:pt idx="47">
                  <c:v>89.450721740722656</c:v>
                </c:pt>
                <c:pt idx="48">
                  <c:v>84.699249267578125</c:v>
                </c:pt>
                <c:pt idx="49">
                  <c:v>79.291114807128906</c:v>
                </c:pt>
                <c:pt idx="50">
                  <c:v>73.351089477539063</c:v>
                </c:pt>
                <c:pt idx="51">
                  <c:v>67.049087524414063</c:v>
                </c:pt>
                <c:pt idx="52">
                  <c:v>60.481868743896484</c:v>
                </c:pt>
                <c:pt idx="53">
                  <c:v>53.835006713867188</c:v>
                </c:pt>
                <c:pt idx="54">
                  <c:v>47.091072082519531</c:v>
                </c:pt>
                <c:pt idx="55">
                  <c:v>40.717948913574219</c:v>
                </c:pt>
                <c:pt idx="56">
                  <c:v>34.684589385986328</c:v>
                </c:pt>
                <c:pt idx="57">
                  <c:v>29.136428833007813</c:v>
                </c:pt>
                <c:pt idx="58">
                  <c:v>24.04371452331543</c:v>
                </c:pt>
                <c:pt idx="59">
                  <c:v>19.654140472412109</c:v>
                </c:pt>
                <c:pt idx="60">
                  <c:v>15.855818748474121</c:v>
                </c:pt>
                <c:pt idx="61">
                  <c:v>12.617978096008301</c:v>
                </c:pt>
                <c:pt idx="62">
                  <c:v>10.089668273925781</c:v>
                </c:pt>
                <c:pt idx="63">
                  <c:v>8.0189065933227539</c:v>
                </c:pt>
                <c:pt idx="64">
                  <c:v>6.4411172866821289</c:v>
                </c:pt>
                <c:pt idx="65">
                  <c:v>5.228391170501709</c:v>
                </c:pt>
                <c:pt idx="66">
                  <c:v>4.3417940139770508</c:v>
                </c:pt>
                <c:pt idx="67">
                  <c:v>3.6771328449249268</c:v>
                </c:pt>
                <c:pt idx="68">
                  <c:v>3.2041304111480713</c:v>
                </c:pt>
                <c:pt idx="69">
                  <c:v>2.8715591430664063</c:v>
                </c:pt>
                <c:pt idx="70">
                  <c:v>2.6619870662689209</c:v>
                </c:pt>
                <c:pt idx="71">
                  <c:v>2.5152363777160645</c:v>
                </c:pt>
                <c:pt idx="72">
                  <c:v>2.4146802425384521</c:v>
                </c:pt>
                <c:pt idx="73">
                  <c:v>2.333122730255127</c:v>
                </c:pt>
                <c:pt idx="74">
                  <c:v>2.2765204906463623</c:v>
                </c:pt>
                <c:pt idx="75">
                  <c:v>2.2654740810394287</c:v>
                </c:pt>
                <c:pt idx="76">
                  <c:v>2.2475388050079346</c:v>
                </c:pt>
                <c:pt idx="77">
                  <c:v>2.2416698932647705</c:v>
                </c:pt>
                <c:pt idx="78">
                  <c:v>2.2549002170562744</c:v>
                </c:pt>
                <c:pt idx="79">
                  <c:v>2.250269889831543</c:v>
                </c:pt>
                <c:pt idx="80">
                  <c:v>2.2383744716644287</c:v>
                </c:pt>
                <c:pt idx="81">
                  <c:v>2.2495126724243164</c:v>
                </c:pt>
                <c:pt idx="82">
                  <c:v>2.2469043731689453</c:v>
                </c:pt>
                <c:pt idx="83">
                  <c:v>2.2697806358337402</c:v>
                </c:pt>
                <c:pt idx="84">
                  <c:v>2.2858514785766602</c:v>
                </c:pt>
                <c:pt idx="85">
                  <c:v>2.2708835601806641</c:v>
                </c:pt>
                <c:pt idx="86">
                  <c:v>2.2684369087219238</c:v>
                </c:pt>
                <c:pt idx="87">
                  <c:v>2.3255555629730225</c:v>
                </c:pt>
                <c:pt idx="88">
                  <c:v>2.3313326835632324</c:v>
                </c:pt>
                <c:pt idx="89">
                  <c:v>2.2806477546691895</c:v>
                </c:pt>
                <c:pt idx="90">
                  <c:v>2.2721176147460938</c:v>
                </c:pt>
                <c:pt idx="91">
                  <c:v>2.2757635116577148</c:v>
                </c:pt>
                <c:pt idx="92">
                  <c:v>2.2524099349975586</c:v>
                </c:pt>
                <c:pt idx="93">
                  <c:v>2.2424664497375488</c:v>
                </c:pt>
                <c:pt idx="94">
                  <c:v>2.2120211124420166</c:v>
                </c:pt>
                <c:pt idx="95">
                  <c:v>2.2269165515899658</c:v>
                </c:pt>
                <c:pt idx="96">
                  <c:v>2.2323696613311768</c:v>
                </c:pt>
                <c:pt idx="97">
                  <c:v>2.2323958873748779</c:v>
                </c:pt>
                <c:pt idx="98">
                  <c:v>2.2522087097167969</c:v>
                </c:pt>
                <c:pt idx="99">
                  <c:v>2.2448954582214355</c:v>
                </c:pt>
                <c:pt idx="100">
                  <c:v>2.2220408916473389</c:v>
                </c:pt>
                <c:pt idx="101">
                  <c:v>2.2267851829528809</c:v>
                </c:pt>
                <c:pt idx="102">
                  <c:v>2.2430572509765625</c:v>
                </c:pt>
                <c:pt idx="103">
                  <c:v>2.2455124855041504</c:v>
                </c:pt>
                <c:pt idx="104">
                  <c:v>2.2759778499603271</c:v>
                </c:pt>
                <c:pt idx="105">
                  <c:v>2.2772383689880371</c:v>
                </c:pt>
                <c:pt idx="106">
                  <c:v>2.2437620162963867</c:v>
                </c:pt>
                <c:pt idx="107">
                  <c:v>2.2176206111907959</c:v>
                </c:pt>
                <c:pt idx="108">
                  <c:v>2.1949717998504639</c:v>
                </c:pt>
                <c:pt idx="109">
                  <c:v>2.2014448642730713</c:v>
                </c:pt>
                <c:pt idx="110">
                  <c:v>2.1825904846191406</c:v>
                </c:pt>
                <c:pt idx="111">
                  <c:v>2.1754918098449707</c:v>
                </c:pt>
                <c:pt idx="112">
                  <c:v>2.195873498916626</c:v>
                </c:pt>
                <c:pt idx="113">
                  <c:v>2.2316431999206543</c:v>
                </c:pt>
                <c:pt idx="114">
                  <c:v>2.2530272006988525</c:v>
                </c:pt>
                <c:pt idx="115">
                  <c:v>2.2364354133605957</c:v>
                </c:pt>
                <c:pt idx="116">
                  <c:v>2.2429435253143311</c:v>
                </c:pt>
                <c:pt idx="117">
                  <c:v>2.2394378185272217</c:v>
                </c:pt>
                <c:pt idx="118">
                  <c:v>2.2199447154998779</c:v>
                </c:pt>
                <c:pt idx="119">
                  <c:v>2.1862843036651611</c:v>
                </c:pt>
                <c:pt idx="120">
                  <c:v>2.1690363883972168</c:v>
                </c:pt>
                <c:pt idx="121">
                  <c:v>2.2034187316894531</c:v>
                </c:pt>
                <c:pt idx="122">
                  <c:v>2.2110164165496826</c:v>
                </c:pt>
                <c:pt idx="123">
                  <c:v>2.2307109832763672</c:v>
                </c:pt>
                <c:pt idx="124">
                  <c:v>2.2234501838684082</c:v>
                </c:pt>
                <c:pt idx="125">
                  <c:v>2.1943986415863037</c:v>
                </c:pt>
                <c:pt idx="126">
                  <c:v>2.1636662483215332</c:v>
                </c:pt>
                <c:pt idx="127">
                  <c:v>2.138378381729126</c:v>
                </c:pt>
                <c:pt idx="128">
                  <c:v>2.1461031436920166</c:v>
                </c:pt>
                <c:pt idx="129">
                  <c:v>2.1832382678985596</c:v>
                </c:pt>
                <c:pt idx="130">
                  <c:v>2.1869628429412842</c:v>
                </c:pt>
                <c:pt idx="131">
                  <c:v>2.1203601360321045</c:v>
                </c:pt>
                <c:pt idx="132">
                  <c:v>2.1624188423156738</c:v>
                </c:pt>
                <c:pt idx="133">
                  <c:v>2.207134485244751</c:v>
                </c:pt>
                <c:pt idx="134">
                  <c:v>2.2271528244018555</c:v>
                </c:pt>
                <c:pt idx="135">
                  <c:v>2.2610623836517334</c:v>
                </c:pt>
                <c:pt idx="136">
                  <c:v>2.0866780281066895</c:v>
                </c:pt>
                <c:pt idx="137">
                  <c:v>2</c:v>
                </c:pt>
                <c:pt idx="138">
                  <c:v>2.1263341903686523</c:v>
                </c:pt>
                <c:pt idx="139">
                  <c:v>2.1803934574127197</c:v>
                </c:pt>
                <c:pt idx="140">
                  <c:v>2.1555521488189697</c:v>
                </c:pt>
                <c:pt idx="141">
                  <c:v>2.214648962020874</c:v>
                </c:pt>
                <c:pt idx="142">
                  <c:v>2.2097384929656982</c:v>
                </c:pt>
                <c:pt idx="143">
                  <c:v>2.228330135345459</c:v>
                </c:pt>
                <c:pt idx="144">
                  <c:v>2.2686645984649658</c:v>
                </c:pt>
                <c:pt idx="145">
                  <c:v>2.2231919765472412</c:v>
                </c:pt>
                <c:pt idx="146">
                  <c:v>2.2057337760925293</c:v>
                </c:pt>
                <c:pt idx="147">
                  <c:v>2.1836848258972168</c:v>
                </c:pt>
                <c:pt idx="148">
                  <c:v>2.176936149597168</c:v>
                </c:pt>
                <c:pt idx="149">
                  <c:v>2.2002367973327637</c:v>
                </c:pt>
                <c:pt idx="150">
                  <c:v>2.2112438678741455</c:v>
                </c:pt>
                <c:pt idx="151">
                  <c:v>2.2231919765472412</c:v>
                </c:pt>
                <c:pt idx="152">
                  <c:v>2.2556662559509277</c:v>
                </c:pt>
                <c:pt idx="153">
                  <c:v>2.2166316509246826</c:v>
                </c:pt>
                <c:pt idx="154">
                  <c:v>2.1893305778503418</c:v>
                </c:pt>
                <c:pt idx="155">
                  <c:v>2.1912648677825928</c:v>
                </c:pt>
                <c:pt idx="156">
                  <c:v>2.2084648609161377</c:v>
                </c:pt>
                <c:pt idx="157">
                  <c:v>2.1869232654571533</c:v>
                </c:pt>
                <c:pt idx="158">
                  <c:v>2.1939258575439453</c:v>
                </c:pt>
                <c:pt idx="159">
                  <c:v>2.2418363094329834</c:v>
                </c:pt>
                <c:pt idx="160">
                  <c:v>2.2091519832611084</c:v>
                </c:pt>
                <c:pt idx="161">
                  <c:v>2.2502391338348389</c:v>
                </c:pt>
                <c:pt idx="162">
                  <c:v>2.2272446155548096</c:v>
                </c:pt>
                <c:pt idx="163">
                  <c:v>2.1552107334136963</c:v>
                </c:pt>
                <c:pt idx="164">
                  <c:v>2.1854572296142578</c:v>
                </c:pt>
                <c:pt idx="165">
                  <c:v>2.219555139541626</c:v>
                </c:pt>
                <c:pt idx="166">
                  <c:v>2.18174147605896</c:v>
                </c:pt>
                <c:pt idx="167">
                  <c:v>2.1549043655395508</c:v>
                </c:pt>
                <c:pt idx="168">
                  <c:v>2.1809229850769043</c:v>
                </c:pt>
                <c:pt idx="169">
                  <c:v>2.2221066951751709</c:v>
                </c:pt>
                <c:pt idx="170">
                  <c:v>2.2954010963439941</c:v>
                </c:pt>
                <c:pt idx="171">
                  <c:v>2.2509176731109619</c:v>
                </c:pt>
                <c:pt idx="172">
                  <c:v>2.2625024318695068</c:v>
                </c:pt>
                <c:pt idx="173">
                  <c:v>2.2740914821624756</c:v>
                </c:pt>
                <c:pt idx="174">
                  <c:v>2.2365975379943848</c:v>
                </c:pt>
                <c:pt idx="175">
                  <c:v>2.2032260894775391</c:v>
                </c:pt>
                <c:pt idx="176">
                  <c:v>2.2582571506500244</c:v>
                </c:pt>
                <c:pt idx="177">
                  <c:v>2.2681307792663574</c:v>
                </c:pt>
                <c:pt idx="178">
                  <c:v>2.2184433937072754</c:v>
                </c:pt>
                <c:pt idx="179">
                  <c:v>2.2176949977874756</c:v>
                </c:pt>
                <c:pt idx="180">
                  <c:v>2.2240540981292725</c:v>
                </c:pt>
                <c:pt idx="181">
                  <c:v>2.2696669101715088</c:v>
                </c:pt>
                <c:pt idx="182">
                  <c:v>2.2766211032867432</c:v>
                </c:pt>
                <c:pt idx="183">
                  <c:v>2.2241635322570801</c:v>
                </c:pt>
                <c:pt idx="184">
                  <c:v>2.2854881286621094</c:v>
                </c:pt>
                <c:pt idx="185">
                  <c:v>2.2391839027404785</c:v>
                </c:pt>
                <c:pt idx="186">
                  <c:v>2.1930856704711914</c:v>
                </c:pt>
                <c:pt idx="187">
                  <c:v>2.2291879653930664</c:v>
                </c:pt>
                <c:pt idx="188">
                  <c:v>2.1915843486785889</c:v>
                </c:pt>
                <c:pt idx="189">
                  <c:v>2.1930375099182129</c:v>
                </c:pt>
                <c:pt idx="190">
                  <c:v>2.2508432865142822</c:v>
                </c:pt>
                <c:pt idx="191">
                  <c:v>2.2204215526580811</c:v>
                </c:pt>
                <c:pt idx="192">
                  <c:v>2.1846737861633301</c:v>
                </c:pt>
                <c:pt idx="193">
                  <c:v>2.2004776000976563</c:v>
                </c:pt>
                <c:pt idx="194">
                  <c:v>2.2002456188201904</c:v>
                </c:pt>
                <c:pt idx="195">
                  <c:v>2.2273454666137695</c:v>
                </c:pt>
                <c:pt idx="196">
                  <c:v>2.1817808151245117</c:v>
                </c:pt>
                <c:pt idx="197">
                  <c:v>2.1411707401275635</c:v>
                </c:pt>
                <c:pt idx="198">
                  <c:v>2.1635394096374512</c:v>
                </c:pt>
                <c:pt idx="199">
                  <c:v>2.19622802734375</c:v>
                </c:pt>
                <c:pt idx="200">
                  <c:v>2.1748089790344238</c:v>
                </c:pt>
                <c:pt idx="201">
                  <c:v>2.2053837776184082</c:v>
                </c:pt>
                <c:pt idx="202">
                  <c:v>2.2445104122161865</c:v>
                </c:pt>
                <c:pt idx="203">
                  <c:v>2.2467992305755615</c:v>
                </c:pt>
                <c:pt idx="204">
                  <c:v>2.2205486297607422</c:v>
                </c:pt>
                <c:pt idx="205">
                  <c:v>2.1820785999298096</c:v>
                </c:pt>
                <c:pt idx="206">
                  <c:v>2.1772992610931396</c:v>
                </c:pt>
                <c:pt idx="207">
                  <c:v>2.1481513977050781</c:v>
                </c:pt>
                <c:pt idx="208">
                  <c:v>2.1764283180236816</c:v>
                </c:pt>
                <c:pt idx="209">
                  <c:v>2.1839122772216797</c:v>
                </c:pt>
                <c:pt idx="210">
                  <c:v>2.2401425838470459</c:v>
                </c:pt>
                <c:pt idx="211">
                  <c:v>2.2660517692565918</c:v>
                </c:pt>
                <c:pt idx="212">
                  <c:v>2.1816234588623047</c:v>
                </c:pt>
                <c:pt idx="213">
                  <c:v>2.1945736408233643</c:v>
                </c:pt>
                <c:pt idx="214">
                  <c:v>2.1811680793762207</c:v>
                </c:pt>
                <c:pt idx="215">
                  <c:v>2.2120518684387207</c:v>
                </c:pt>
                <c:pt idx="216">
                  <c:v>2.2429523468017578</c:v>
                </c:pt>
                <c:pt idx="217">
                  <c:v>2.2349081039428711</c:v>
                </c:pt>
                <c:pt idx="218">
                  <c:v>2.1858029365539551</c:v>
                </c:pt>
                <c:pt idx="219">
                  <c:v>2.2301769256591797</c:v>
                </c:pt>
                <c:pt idx="220">
                  <c:v>2.3324837684631348</c:v>
                </c:pt>
                <c:pt idx="221">
                  <c:v>2.2049198150634766</c:v>
                </c:pt>
                <c:pt idx="222">
                  <c:v>2.1258089542388916</c:v>
                </c:pt>
                <c:pt idx="223">
                  <c:v>2.2406589984893799</c:v>
                </c:pt>
                <c:pt idx="224">
                  <c:v>2.2473857402801514</c:v>
                </c:pt>
                <c:pt idx="225">
                  <c:v>2.2565240859985352</c:v>
                </c:pt>
              </c:numCache>
            </c:numRef>
          </c:yVal>
          <c:smooth val="1"/>
          <c:extLst>
            <c:ext xmlns:c15="http://schemas.microsoft.com/office/drawing/2012/chart" uri="{02D57815-91ED-43cb-92C2-25804820EDAC}">
              <c15:datalabelsRange>
                <c15:f>PeakLabels!$G$2:$G$300</c15:f>
                <c15:dlblRangeCache>
                  <c:ptCount val="299"/>
                  <c:pt idx="1">
                    <c:v>192</c:v>
                  </c:pt>
                  <c:pt idx="42">
                    <c:v>274</c:v>
                  </c:pt>
                </c15:dlblRangeCache>
              </c15:datalabelsRange>
            </c:ext>
            <c:ext xmlns:c16="http://schemas.microsoft.com/office/drawing/2014/chart" uri="{C3380CC4-5D6E-409C-BE32-E72D297353CC}">
              <c16:uniqueId val="{00000000-F3B2-46DE-AC41-2C44E136DB0E}"/>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549710C0-D16E-4A16-A5CD-D7086FC132A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3B2-46DE-AC41-2C44E136DB0E}"/>
                </c:ext>
              </c:extLst>
            </c:dLbl>
            <c:dLbl>
              <c:idx val="1"/>
              <c:tx>
                <c:rich>
                  <a:bodyPr/>
                  <a:lstStyle/>
                  <a:p>
                    <a:fld id="{9A3D3518-05DF-4E2E-A359-038DA7B7057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3B2-46DE-AC41-2C44E136DB0E}"/>
                </c:ext>
              </c:extLst>
            </c:dLbl>
            <c:dLbl>
              <c:idx val="2"/>
              <c:tx>
                <c:rich>
                  <a:bodyPr/>
                  <a:lstStyle/>
                  <a:p>
                    <a:fld id="{AC08E827-4F9E-429E-B662-A29C30B2688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3B2-46DE-AC41-2C44E136DB0E}"/>
                </c:ext>
              </c:extLst>
            </c:dLbl>
            <c:dLbl>
              <c:idx val="3"/>
              <c:tx>
                <c:rich>
                  <a:bodyPr/>
                  <a:lstStyle/>
                  <a:p>
                    <a:fld id="{85F38D64-1A7C-4223-BD4A-F4383F280CE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3B2-46DE-AC41-2C44E136DB0E}"/>
                </c:ext>
              </c:extLst>
            </c:dLbl>
            <c:dLbl>
              <c:idx val="4"/>
              <c:tx>
                <c:rich>
                  <a:bodyPr/>
                  <a:lstStyle/>
                  <a:p>
                    <a:fld id="{6B2DFD1B-C01C-416C-B5AF-484F104B5F0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3B2-46DE-AC41-2C44E136DB0E}"/>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F3B2-46DE-AC41-2C44E136DB0E}"/>
            </c:ext>
          </c:extLst>
        </c:ser>
        <c:dLbls>
          <c:showLegendKey val="0"/>
          <c:showVal val="0"/>
          <c:showCatName val="0"/>
          <c:showSerName val="0"/>
          <c:showPercent val="0"/>
          <c:showBubbleSize val="0"/>
        </c:dLbls>
        <c:axId val="1767907360"/>
        <c:axId val="1767900288"/>
      </c:scatterChart>
      <c:valAx>
        <c:axId val="1767907360"/>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0288"/>
        <c:crossesAt val="0"/>
        <c:crossBetween val="midCat"/>
        <c:majorUnit val="100"/>
      </c:valAx>
      <c:valAx>
        <c:axId val="1767900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7360"/>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E3A99567-D2C1-449A-BC5B-3CEBE67C9B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5BB-4618-85BD-3F6E00793F3F}"/>
                </c:ext>
              </c:extLst>
            </c:dLbl>
            <c:dLbl>
              <c:idx val="1"/>
              <c:tx>
                <c:rich>
                  <a:bodyPr/>
                  <a:lstStyle/>
                  <a:p>
                    <a:fld id="{D544BF8B-4D40-49E6-A443-684E99AEE5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5BB-4618-85BD-3F6E00793F3F}"/>
                </c:ext>
              </c:extLst>
            </c:dLbl>
            <c:dLbl>
              <c:idx val="2"/>
              <c:tx>
                <c:rich>
                  <a:bodyPr/>
                  <a:lstStyle/>
                  <a:p>
                    <a:fld id="{B3C5C7E6-B10A-4D52-BDF6-0B03197DA6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5BB-4618-85BD-3F6E00793F3F}"/>
                </c:ext>
              </c:extLst>
            </c:dLbl>
            <c:dLbl>
              <c:idx val="3"/>
              <c:tx>
                <c:rich>
                  <a:bodyPr/>
                  <a:lstStyle/>
                  <a:p>
                    <a:fld id="{AE781EF8-1F75-40B8-AA2D-3F15B1CE9F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5BB-4618-85BD-3F6E00793F3F}"/>
                </c:ext>
              </c:extLst>
            </c:dLbl>
            <c:dLbl>
              <c:idx val="4"/>
              <c:tx>
                <c:rich>
                  <a:bodyPr/>
                  <a:lstStyle/>
                  <a:p>
                    <a:fld id="{2FED03EB-048A-4DE7-AFE7-DD626727F9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5BB-4618-85BD-3F6E00793F3F}"/>
                </c:ext>
              </c:extLst>
            </c:dLbl>
            <c:dLbl>
              <c:idx val="5"/>
              <c:tx>
                <c:rich>
                  <a:bodyPr/>
                  <a:lstStyle/>
                  <a:p>
                    <a:fld id="{0EB29360-145F-437F-B274-46A923B612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5BB-4618-85BD-3F6E00793F3F}"/>
                </c:ext>
              </c:extLst>
            </c:dLbl>
            <c:dLbl>
              <c:idx val="6"/>
              <c:tx>
                <c:rich>
                  <a:bodyPr/>
                  <a:lstStyle/>
                  <a:p>
                    <a:fld id="{50B6B088-0FEC-435E-8D36-240B8E6184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5BB-4618-85BD-3F6E00793F3F}"/>
                </c:ext>
              </c:extLst>
            </c:dLbl>
            <c:dLbl>
              <c:idx val="7"/>
              <c:tx>
                <c:rich>
                  <a:bodyPr/>
                  <a:lstStyle/>
                  <a:p>
                    <a:fld id="{FD9C24D8-C842-4843-9198-6019A5D025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5BB-4618-85BD-3F6E00793F3F}"/>
                </c:ext>
              </c:extLst>
            </c:dLbl>
            <c:dLbl>
              <c:idx val="8"/>
              <c:tx>
                <c:rich>
                  <a:bodyPr/>
                  <a:lstStyle/>
                  <a:p>
                    <a:fld id="{797F4170-0E46-4E99-8DAE-CBA0F0794E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5BB-4618-85BD-3F6E00793F3F}"/>
                </c:ext>
              </c:extLst>
            </c:dLbl>
            <c:dLbl>
              <c:idx val="9"/>
              <c:tx>
                <c:rich>
                  <a:bodyPr/>
                  <a:lstStyle/>
                  <a:p>
                    <a:fld id="{F3369691-CF14-4BDE-BB73-4D500FF3BF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5BB-4618-85BD-3F6E00793F3F}"/>
                </c:ext>
              </c:extLst>
            </c:dLbl>
            <c:dLbl>
              <c:idx val="10"/>
              <c:tx>
                <c:rich>
                  <a:bodyPr/>
                  <a:lstStyle/>
                  <a:p>
                    <a:fld id="{68E3C8F6-1D17-411B-B8DA-1D082B044B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5BB-4618-85BD-3F6E00793F3F}"/>
                </c:ext>
              </c:extLst>
            </c:dLbl>
            <c:dLbl>
              <c:idx val="11"/>
              <c:tx>
                <c:rich>
                  <a:bodyPr/>
                  <a:lstStyle/>
                  <a:p>
                    <a:fld id="{F190BB52-D59A-411C-BF56-2C073963BE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5BB-4618-85BD-3F6E00793F3F}"/>
                </c:ext>
              </c:extLst>
            </c:dLbl>
            <c:dLbl>
              <c:idx val="12"/>
              <c:tx>
                <c:rich>
                  <a:bodyPr/>
                  <a:lstStyle/>
                  <a:p>
                    <a:fld id="{E1380F6E-38AE-4840-B51F-84E4CE5DC4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5BB-4618-85BD-3F6E00793F3F}"/>
                </c:ext>
              </c:extLst>
            </c:dLbl>
            <c:dLbl>
              <c:idx val="13"/>
              <c:tx>
                <c:rich>
                  <a:bodyPr/>
                  <a:lstStyle/>
                  <a:p>
                    <a:fld id="{96BE8B87-3CC0-4300-9B2C-BEC2521F47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5BB-4618-85BD-3F6E00793F3F}"/>
                </c:ext>
              </c:extLst>
            </c:dLbl>
            <c:dLbl>
              <c:idx val="14"/>
              <c:tx>
                <c:rich>
                  <a:bodyPr/>
                  <a:lstStyle/>
                  <a:p>
                    <a:fld id="{9267D9B9-6631-4C7B-837A-87BEC663D0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5BB-4618-85BD-3F6E00793F3F}"/>
                </c:ext>
              </c:extLst>
            </c:dLbl>
            <c:dLbl>
              <c:idx val="15"/>
              <c:tx>
                <c:rich>
                  <a:bodyPr/>
                  <a:lstStyle/>
                  <a:p>
                    <a:fld id="{9538FBA8-29FC-483D-AD04-F117742A76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5BB-4618-85BD-3F6E00793F3F}"/>
                </c:ext>
              </c:extLst>
            </c:dLbl>
            <c:dLbl>
              <c:idx val="16"/>
              <c:tx>
                <c:rich>
                  <a:bodyPr/>
                  <a:lstStyle/>
                  <a:p>
                    <a:fld id="{4C68DEF1-CFBD-4DF2-874B-2DF966C59A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5BB-4618-85BD-3F6E00793F3F}"/>
                </c:ext>
              </c:extLst>
            </c:dLbl>
            <c:dLbl>
              <c:idx val="17"/>
              <c:tx>
                <c:rich>
                  <a:bodyPr/>
                  <a:lstStyle/>
                  <a:p>
                    <a:fld id="{CF12C288-BB86-4D2A-AF85-5113D21AF1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5BB-4618-85BD-3F6E00793F3F}"/>
                </c:ext>
              </c:extLst>
            </c:dLbl>
            <c:dLbl>
              <c:idx val="18"/>
              <c:tx>
                <c:rich>
                  <a:bodyPr/>
                  <a:lstStyle/>
                  <a:p>
                    <a:fld id="{4F6C56C6-F08A-4639-9B77-5D8755E10F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5BB-4618-85BD-3F6E00793F3F}"/>
                </c:ext>
              </c:extLst>
            </c:dLbl>
            <c:dLbl>
              <c:idx val="19"/>
              <c:tx>
                <c:rich>
                  <a:bodyPr/>
                  <a:lstStyle/>
                  <a:p>
                    <a:fld id="{911943DB-96EF-4EA5-B489-BEB987D98A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5BB-4618-85BD-3F6E00793F3F}"/>
                </c:ext>
              </c:extLst>
            </c:dLbl>
            <c:dLbl>
              <c:idx val="20"/>
              <c:tx>
                <c:rich>
                  <a:bodyPr/>
                  <a:lstStyle/>
                  <a:p>
                    <a:fld id="{DED5A7B0-79F2-413F-98A8-064A4EA764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5BB-4618-85BD-3F6E00793F3F}"/>
                </c:ext>
              </c:extLst>
            </c:dLbl>
            <c:dLbl>
              <c:idx val="21"/>
              <c:tx>
                <c:rich>
                  <a:bodyPr/>
                  <a:lstStyle/>
                  <a:p>
                    <a:fld id="{B230D280-D254-4EBD-875F-5717CE5C31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5BB-4618-85BD-3F6E00793F3F}"/>
                </c:ext>
              </c:extLst>
            </c:dLbl>
            <c:dLbl>
              <c:idx val="22"/>
              <c:tx>
                <c:rich>
                  <a:bodyPr/>
                  <a:lstStyle/>
                  <a:p>
                    <a:fld id="{E27CB20D-2B80-483E-B6D9-039DF55EAB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5BB-4618-85BD-3F6E00793F3F}"/>
                </c:ext>
              </c:extLst>
            </c:dLbl>
            <c:dLbl>
              <c:idx val="23"/>
              <c:tx>
                <c:rich>
                  <a:bodyPr/>
                  <a:lstStyle/>
                  <a:p>
                    <a:fld id="{D01AAA37-253E-4AE8-B70A-BD8E70B3ED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15BB-4618-85BD-3F6E00793F3F}"/>
                </c:ext>
              </c:extLst>
            </c:dLbl>
            <c:dLbl>
              <c:idx val="24"/>
              <c:tx>
                <c:rich>
                  <a:bodyPr/>
                  <a:lstStyle/>
                  <a:p>
                    <a:fld id="{F5CABC71-5B3D-4883-B05E-3FFFC7298C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5BB-4618-85BD-3F6E00793F3F}"/>
                </c:ext>
              </c:extLst>
            </c:dLbl>
            <c:dLbl>
              <c:idx val="25"/>
              <c:tx>
                <c:rich>
                  <a:bodyPr/>
                  <a:lstStyle/>
                  <a:p>
                    <a:fld id="{840CBEDF-6E6C-487B-9EB2-A1E5B28158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15BB-4618-85BD-3F6E00793F3F}"/>
                </c:ext>
              </c:extLst>
            </c:dLbl>
            <c:dLbl>
              <c:idx val="26"/>
              <c:tx>
                <c:rich>
                  <a:bodyPr/>
                  <a:lstStyle/>
                  <a:p>
                    <a:fld id="{8109FB27-D2DF-4152-96EF-EEDF0F5747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5BB-4618-85BD-3F6E00793F3F}"/>
                </c:ext>
              </c:extLst>
            </c:dLbl>
            <c:dLbl>
              <c:idx val="27"/>
              <c:tx>
                <c:rich>
                  <a:bodyPr/>
                  <a:lstStyle/>
                  <a:p>
                    <a:fld id="{1675B5D3-AFCD-4D42-8667-8004E785BC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15BB-4618-85BD-3F6E00793F3F}"/>
                </c:ext>
              </c:extLst>
            </c:dLbl>
            <c:dLbl>
              <c:idx val="28"/>
              <c:tx>
                <c:rich>
                  <a:bodyPr/>
                  <a:lstStyle/>
                  <a:p>
                    <a:fld id="{D2F4542F-5905-4C6D-80A7-54FC4958D7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15BB-4618-85BD-3F6E00793F3F}"/>
                </c:ext>
              </c:extLst>
            </c:dLbl>
            <c:dLbl>
              <c:idx val="29"/>
              <c:tx>
                <c:rich>
                  <a:bodyPr/>
                  <a:lstStyle/>
                  <a:p>
                    <a:fld id="{2BE1B0DF-E5A0-4916-A004-BEA651111E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15BB-4618-85BD-3F6E00793F3F}"/>
                </c:ext>
              </c:extLst>
            </c:dLbl>
            <c:dLbl>
              <c:idx val="30"/>
              <c:tx>
                <c:rich>
                  <a:bodyPr/>
                  <a:lstStyle/>
                  <a:p>
                    <a:fld id="{0FD97AF7-20B8-43C3-B6CB-24F1DD6FA1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15BB-4618-85BD-3F6E00793F3F}"/>
                </c:ext>
              </c:extLst>
            </c:dLbl>
            <c:dLbl>
              <c:idx val="31"/>
              <c:tx>
                <c:rich>
                  <a:bodyPr/>
                  <a:lstStyle/>
                  <a:p>
                    <a:fld id="{EC166E27-AA75-4A01-8703-C56AB0CBB3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15BB-4618-85BD-3F6E00793F3F}"/>
                </c:ext>
              </c:extLst>
            </c:dLbl>
            <c:dLbl>
              <c:idx val="32"/>
              <c:tx>
                <c:rich>
                  <a:bodyPr/>
                  <a:lstStyle/>
                  <a:p>
                    <a:fld id="{2BCF1D05-A81F-4303-92B2-1056E553F0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15BB-4618-85BD-3F6E00793F3F}"/>
                </c:ext>
              </c:extLst>
            </c:dLbl>
            <c:dLbl>
              <c:idx val="33"/>
              <c:tx>
                <c:rich>
                  <a:bodyPr/>
                  <a:lstStyle/>
                  <a:p>
                    <a:fld id="{9FF5E63B-FAC9-4EDB-A1BF-7A775CF55B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15BB-4618-85BD-3F6E00793F3F}"/>
                </c:ext>
              </c:extLst>
            </c:dLbl>
            <c:dLbl>
              <c:idx val="34"/>
              <c:tx>
                <c:rich>
                  <a:bodyPr/>
                  <a:lstStyle/>
                  <a:p>
                    <a:fld id="{724FE090-0814-450D-A57D-D712E95C7F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15BB-4618-85BD-3F6E00793F3F}"/>
                </c:ext>
              </c:extLst>
            </c:dLbl>
            <c:dLbl>
              <c:idx val="35"/>
              <c:tx>
                <c:rich>
                  <a:bodyPr/>
                  <a:lstStyle/>
                  <a:p>
                    <a:fld id="{FCBFDB49-BA82-49E7-A9A3-8CF579DD6B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15BB-4618-85BD-3F6E00793F3F}"/>
                </c:ext>
              </c:extLst>
            </c:dLbl>
            <c:dLbl>
              <c:idx val="36"/>
              <c:tx>
                <c:rich>
                  <a:bodyPr/>
                  <a:lstStyle/>
                  <a:p>
                    <a:fld id="{AAC3FEF0-7172-4642-AE28-19F0FADF7B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15BB-4618-85BD-3F6E00793F3F}"/>
                </c:ext>
              </c:extLst>
            </c:dLbl>
            <c:dLbl>
              <c:idx val="37"/>
              <c:tx>
                <c:rich>
                  <a:bodyPr/>
                  <a:lstStyle/>
                  <a:p>
                    <a:fld id="{7E51CDAB-A8DE-4985-819E-2D36A863A9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15BB-4618-85BD-3F6E00793F3F}"/>
                </c:ext>
              </c:extLst>
            </c:dLbl>
            <c:dLbl>
              <c:idx val="38"/>
              <c:tx>
                <c:rich>
                  <a:bodyPr/>
                  <a:lstStyle/>
                  <a:p>
                    <a:fld id="{8C622105-8B43-4287-AC16-B176106024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15BB-4618-85BD-3F6E00793F3F}"/>
                </c:ext>
              </c:extLst>
            </c:dLbl>
            <c:dLbl>
              <c:idx val="39"/>
              <c:tx>
                <c:rich>
                  <a:bodyPr/>
                  <a:lstStyle/>
                  <a:p>
                    <a:fld id="{1F82E8AF-CC18-46B5-A8B3-8B70D71399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15BB-4618-85BD-3F6E00793F3F}"/>
                </c:ext>
              </c:extLst>
            </c:dLbl>
            <c:dLbl>
              <c:idx val="40"/>
              <c:tx>
                <c:rich>
                  <a:bodyPr/>
                  <a:lstStyle/>
                  <a:p>
                    <a:fld id="{D576077C-640D-401D-B23D-6A8DBF7928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15BB-4618-85BD-3F6E00793F3F}"/>
                </c:ext>
              </c:extLst>
            </c:dLbl>
            <c:dLbl>
              <c:idx val="41"/>
              <c:tx>
                <c:rich>
                  <a:bodyPr/>
                  <a:lstStyle/>
                  <a:p>
                    <a:fld id="{3FDCA085-91C1-424B-83B4-C46A79D41A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15BB-4618-85BD-3F6E00793F3F}"/>
                </c:ext>
              </c:extLst>
            </c:dLbl>
            <c:dLbl>
              <c:idx val="42"/>
              <c:tx>
                <c:rich>
                  <a:bodyPr/>
                  <a:lstStyle/>
                  <a:p>
                    <a:fld id="{0A832B35-5737-40C1-A853-9130E39DCA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15BB-4618-85BD-3F6E00793F3F}"/>
                </c:ext>
              </c:extLst>
            </c:dLbl>
            <c:dLbl>
              <c:idx val="43"/>
              <c:tx>
                <c:rich>
                  <a:bodyPr/>
                  <a:lstStyle/>
                  <a:p>
                    <a:fld id="{4AAAED51-F7CD-41C8-8FFA-51D0CFACFE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15BB-4618-85BD-3F6E00793F3F}"/>
                </c:ext>
              </c:extLst>
            </c:dLbl>
            <c:dLbl>
              <c:idx val="44"/>
              <c:tx>
                <c:rich>
                  <a:bodyPr/>
                  <a:lstStyle/>
                  <a:p>
                    <a:fld id="{07885640-0492-4799-BC03-C71349E7E5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15BB-4618-85BD-3F6E00793F3F}"/>
                </c:ext>
              </c:extLst>
            </c:dLbl>
            <c:dLbl>
              <c:idx val="45"/>
              <c:tx>
                <c:rich>
                  <a:bodyPr/>
                  <a:lstStyle/>
                  <a:p>
                    <a:fld id="{507AE6FF-9AC4-41C2-917C-EEA90388AE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15BB-4618-85BD-3F6E00793F3F}"/>
                </c:ext>
              </c:extLst>
            </c:dLbl>
            <c:dLbl>
              <c:idx val="46"/>
              <c:tx>
                <c:rich>
                  <a:bodyPr/>
                  <a:lstStyle/>
                  <a:p>
                    <a:fld id="{E0D1ED32-2465-4889-A027-4A452175B9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15BB-4618-85BD-3F6E00793F3F}"/>
                </c:ext>
              </c:extLst>
            </c:dLbl>
            <c:dLbl>
              <c:idx val="47"/>
              <c:tx>
                <c:rich>
                  <a:bodyPr/>
                  <a:lstStyle/>
                  <a:p>
                    <a:fld id="{C74B06E7-B1E0-4B69-AA3E-CE896CCCE2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15BB-4618-85BD-3F6E00793F3F}"/>
                </c:ext>
              </c:extLst>
            </c:dLbl>
            <c:dLbl>
              <c:idx val="48"/>
              <c:tx>
                <c:rich>
                  <a:bodyPr/>
                  <a:lstStyle/>
                  <a:p>
                    <a:fld id="{1DF666FD-23FF-4949-9128-D8F134AC35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15BB-4618-85BD-3F6E00793F3F}"/>
                </c:ext>
              </c:extLst>
            </c:dLbl>
            <c:dLbl>
              <c:idx val="49"/>
              <c:tx>
                <c:rich>
                  <a:bodyPr/>
                  <a:lstStyle/>
                  <a:p>
                    <a:fld id="{A28CD8EF-484B-45F1-8408-D38005D552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15BB-4618-85BD-3F6E00793F3F}"/>
                </c:ext>
              </c:extLst>
            </c:dLbl>
            <c:dLbl>
              <c:idx val="50"/>
              <c:tx>
                <c:rich>
                  <a:bodyPr/>
                  <a:lstStyle/>
                  <a:p>
                    <a:fld id="{864EBACE-FE49-4214-955B-4118529F82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15BB-4618-85BD-3F6E00793F3F}"/>
                </c:ext>
              </c:extLst>
            </c:dLbl>
            <c:dLbl>
              <c:idx val="51"/>
              <c:tx>
                <c:rich>
                  <a:bodyPr/>
                  <a:lstStyle/>
                  <a:p>
                    <a:fld id="{2AFE470C-7A57-4736-A081-3AEEEA08C4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15BB-4618-85BD-3F6E00793F3F}"/>
                </c:ext>
              </c:extLst>
            </c:dLbl>
            <c:dLbl>
              <c:idx val="52"/>
              <c:tx>
                <c:rich>
                  <a:bodyPr/>
                  <a:lstStyle/>
                  <a:p>
                    <a:fld id="{84E1D46A-2729-40A0-AD53-90FA63D9C4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15BB-4618-85BD-3F6E00793F3F}"/>
                </c:ext>
              </c:extLst>
            </c:dLbl>
            <c:dLbl>
              <c:idx val="53"/>
              <c:tx>
                <c:rich>
                  <a:bodyPr/>
                  <a:lstStyle/>
                  <a:p>
                    <a:fld id="{3476D322-EAA8-4136-A834-CCDE4921A3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15BB-4618-85BD-3F6E00793F3F}"/>
                </c:ext>
              </c:extLst>
            </c:dLbl>
            <c:dLbl>
              <c:idx val="54"/>
              <c:tx>
                <c:rich>
                  <a:bodyPr/>
                  <a:lstStyle/>
                  <a:p>
                    <a:fld id="{1D5A9D50-724A-43E3-AF6A-C8DB1088EF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15BB-4618-85BD-3F6E00793F3F}"/>
                </c:ext>
              </c:extLst>
            </c:dLbl>
            <c:dLbl>
              <c:idx val="55"/>
              <c:tx>
                <c:rich>
                  <a:bodyPr/>
                  <a:lstStyle/>
                  <a:p>
                    <a:fld id="{32612F7B-DEF1-4A9B-804E-385EB172CB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15BB-4618-85BD-3F6E00793F3F}"/>
                </c:ext>
              </c:extLst>
            </c:dLbl>
            <c:dLbl>
              <c:idx val="56"/>
              <c:tx>
                <c:rich>
                  <a:bodyPr/>
                  <a:lstStyle/>
                  <a:p>
                    <a:fld id="{96CA74AE-E063-4F7E-9EFE-EE4FA160A5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15BB-4618-85BD-3F6E00793F3F}"/>
                </c:ext>
              </c:extLst>
            </c:dLbl>
            <c:dLbl>
              <c:idx val="57"/>
              <c:tx>
                <c:rich>
                  <a:bodyPr/>
                  <a:lstStyle/>
                  <a:p>
                    <a:fld id="{E2A6D5E6-BAD0-4706-B405-B0406D0FA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15BB-4618-85BD-3F6E00793F3F}"/>
                </c:ext>
              </c:extLst>
            </c:dLbl>
            <c:dLbl>
              <c:idx val="58"/>
              <c:tx>
                <c:rich>
                  <a:bodyPr/>
                  <a:lstStyle/>
                  <a:p>
                    <a:fld id="{00C6B81A-3C3E-455D-B992-CC9E8456E3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15BB-4618-85BD-3F6E00793F3F}"/>
                </c:ext>
              </c:extLst>
            </c:dLbl>
            <c:dLbl>
              <c:idx val="59"/>
              <c:tx>
                <c:rich>
                  <a:bodyPr/>
                  <a:lstStyle/>
                  <a:p>
                    <a:fld id="{A57C2A55-7D4D-4CB2-9131-C76E44E63C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15BB-4618-85BD-3F6E00793F3F}"/>
                </c:ext>
              </c:extLst>
            </c:dLbl>
            <c:dLbl>
              <c:idx val="60"/>
              <c:tx>
                <c:rich>
                  <a:bodyPr/>
                  <a:lstStyle/>
                  <a:p>
                    <a:fld id="{E2A8C0FC-FE3A-4701-90CF-4F12028E9D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15BB-4618-85BD-3F6E00793F3F}"/>
                </c:ext>
              </c:extLst>
            </c:dLbl>
            <c:dLbl>
              <c:idx val="61"/>
              <c:tx>
                <c:rich>
                  <a:bodyPr/>
                  <a:lstStyle/>
                  <a:p>
                    <a:fld id="{FDC2603C-9B1E-4C9F-AF13-4555ADE2B3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15BB-4618-85BD-3F6E00793F3F}"/>
                </c:ext>
              </c:extLst>
            </c:dLbl>
            <c:dLbl>
              <c:idx val="62"/>
              <c:tx>
                <c:rich>
                  <a:bodyPr/>
                  <a:lstStyle/>
                  <a:p>
                    <a:fld id="{AB673F61-0A72-471E-AD4C-708A136BB0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15BB-4618-85BD-3F6E00793F3F}"/>
                </c:ext>
              </c:extLst>
            </c:dLbl>
            <c:dLbl>
              <c:idx val="63"/>
              <c:tx>
                <c:rich>
                  <a:bodyPr/>
                  <a:lstStyle/>
                  <a:p>
                    <a:fld id="{31586DBF-AA13-4462-8280-C483265F4E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15BB-4618-85BD-3F6E00793F3F}"/>
                </c:ext>
              </c:extLst>
            </c:dLbl>
            <c:dLbl>
              <c:idx val="64"/>
              <c:tx>
                <c:rich>
                  <a:bodyPr/>
                  <a:lstStyle/>
                  <a:p>
                    <a:fld id="{C1F8C73E-FD90-41AB-8807-56D79309AE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15BB-4618-85BD-3F6E00793F3F}"/>
                </c:ext>
              </c:extLst>
            </c:dLbl>
            <c:dLbl>
              <c:idx val="65"/>
              <c:tx>
                <c:rich>
                  <a:bodyPr/>
                  <a:lstStyle/>
                  <a:p>
                    <a:fld id="{EB6DF868-5F78-452E-966D-D53E9523BC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15BB-4618-85BD-3F6E00793F3F}"/>
                </c:ext>
              </c:extLst>
            </c:dLbl>
            <c:dLbl>
              <c:idx val="66"/>
              <c:tx>
                <c:rich>
                  <a:bodyPr/>
                  <a:lstStyle/>
                  <a:p>
                    <a:fld id="{CA0083B7-CDDE-458C-996F-EF0570B514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15BB-4618-85BD-3F6E00793F3F}"/>
                </c:ext>
              </c:extLst>
            </c:dLbl>
            <c:dLbl>
              <c:idx val="67"/>
              <c:tx>
                <c:rich>
                  <a:bodyPr/>
                  <a:lstStyle/>
                  <a:p>
                    <a:fld id="{64D1AE27-6A9A-4C08-A04C-1584FA615A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15BB-4618-85BD-3F6E00793F3F}"/>
                </c:ext>
              </c:extLst>
            </c:dLbl>
            <c:dLbl>
              <c:idx val="68"/>
              <c:tx>
                <c:rich>
                  <a:bodyPr/>
                  <a:lstStyle/>
                  <a:p>
                    <a:fld id="{42833D62-1245-4345-893A-060E5FA299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15BB-4618-85BD-3F6E00793F3F}"/>
                </c:ext>
              </c:extLst>
            </c:dLbl>
            <c:dLbl>
              <c:idx val="69"/>
              <c:tx>
                <c:rich>
                  <a:bodyPr/>
                  <a:lstStyle/>
                  <a:p>
                    <a:fld id="{198783D5-26F6-42C8-85B0-0817627FCD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15BB-4618-85BD-3F6E00793F3F}"/>
                </c:ext>
              </c:extLst>
            </c:dLbl>
            <c:dLbl>
              <c:idx val="70"/>
              <c:tx>
                <c:rich>
                  <a:bodyPr/>
                  <a:lstStyle/>
                  <a:p>
                    <a:fld id="{676EF275-3B9D-4BFF-B2DF-33AEAF9B1B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15BB-4618-85BD-3F6E00793F3F}"/>
                </c:ext>
              </c:extLst>
            </c:dLbl>
            <c:dLbl>
              <c:idx val="71"/>
              <c:tx>
                <c:rich>
                  <a:bodyPr/>
                  <a:lstStyle/>
                  <a:p>
                    <a:fld id="{B01439F6-3B34-470A-89F5-D6E5CD749B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15BB-4618-85BD-3F6E00793F3F}"/>
                </c:ext>
              </c:extLst>
            </c:dLbl>
            <c:dLbl>
              <c:idx val="72"/>
              <c:tx>
                <c:rich>
                  <a:bodyPr/>
                  <a:lstStyle/>
                  <a:p>
                    <a:fld id="{087D91D7-2D95-4669-8EAC-961D10EBE8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15BB-4618-85BD-3F6E00793F3F}"/>
                </c:ext>
              </c:extLst>
            </c:dLbl>
            <c:dLbl>
              <c:idx val="73"/>
              <c:tx>
                <c:rich>
                  <a:bodyPr/>
                  <a:lstStyle/>
                  <a:p>
                    <a:fld id="{71DEB69C-2B5D-4910-B8F8-A2B57C0993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15BB-4618-85BD-3F6E00793F3F}"/>
                </c:ext>
              </c:extLst>
            </c:dLbl>
            <c:dLbl>
              <c:idx val="74"/>
              <c:tx>
                <c:rich>
                  <a:bodyPr/>
                  <a:lstStyle/>
                  <a:p>
                    <a:fld id="{426AF27C-9F29-494A-8E95-70EA9ABE51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15BB-4618-85BD-3F6E00793F3F}"/>
                </c:ext>
              </c:extLst>
            </c:dLbl>
            <c:dLbl>
              <c:idx val="75"/>
              <c:tx>
                <c:rich>
                  <a:bodyPr/>
                  <a:lstStyle/>
                  <a:p>
                    <a:fld id="{ECAEDF10-6F43-43EB-AEBD-93A9E42F17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15BB-4618-85BD-3F6E00793F3F}"/>
                </c:ext>
              </c:extLst>
            </c:dLbl>
            <c:dLbl>
              <c:idx val="76"/>
              <c:tx>
                <c:rich>
                  <a:bodyPr/>
                  <a:lstStyle/>
                  <a:p>
                    <a:fld id="{46EF3AF1-360A-48AC-BAE5-930911288C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15BB-4618-85BD-3F6E00793F3F}"/>
                </c:ext>
              </c:extLst>
            </c:dLbl>
            <c:dLbl>
              <c:idx val="77"/>
              <c:tx>
                <c:rich>
                  <a:bodyPr/>
                  <a:lstStyle/>
                  <a:p>
                    <a:fld id="{32A515A2-6B30-44BF-9B7C-C0717AA39C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15BB-4618-85BD-3F6E00793F3F}"/>
                </c:ext>
              </c:extLst>
            </c:dLbl>
            <c:dLbl>
              <c:idx val="78"/>
              <c:tx>
                <c:rich>
                  <a:bodyPr/>
                  <a:lstStyle/>
                  <a:p>
                    <a:fld id="{0B2123A8-1065-448B-AC28-5BB1445B86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15BB-4618-85BD-3F6E00793F3F}"/>
                </c:ext>
              </c:extLst>
            </c:dLbl>
            <c:dLbl>
              <c:idx val="79"/>
              <c:tx>
                <c:rich>
                  <a:bodyPr/>
                  <a:lstStyle/>
                  <a:p>
                    <a:fld id="{ED094E57-0879-4F46-A134-3600FA88C7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15BB-4618-85BD-3F6E00793F3F}"/>
                </c:ext>
              </c:extLst>
            </c:dLbl>
            <c:dLbl>
              <c:idx val="80"/>
              <c:tx>
                <c:rich>
                  <a:bodyPr/>
                  <a:lstStyle/>
                  <a:p>
                    <a:fld id="{F53F77CD-8191-4817-94A9-4902D1681B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15BB-4618-85BD-3F6E00793F3F}"/>
                </c:ext>
              </c:extLst>
            </c:dLbl>
            <c:dLbl>
              <c:idx val="81"/>
              <c:tx>
                <c:rich>
                  <a:bodyPr/>
                  <a:lstStyle/>
                  <a:p>
                    <a:fld id="{0C67F8CB-083E-4302-9663-802F843B1C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15BB-4618-85BD-3F6E00793F3F}"/>
                </c:ext>
              </c:extLst>
            </c:dLbl>
            <c:dLbl>
              <c:idx val="82"/>
              <c:tx>
                <c:rich>
                  <a:bodyPr/>
                  <a:lstStyle/>
                  <a:p>
                    <a:fld id="{EB5BAE05-2390-488B-89E4-1CA2D78116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15BB-4618-85BD-3F6E00793F3F}"/>
                </c:ext>
              </c:extLst>
            </c:dLbl>
            <c:dLbl>
              <c:idx val="83"/>
              <c:tx>
                <c:rich>
                  <a:bodyPr/>
                  <a:lstStyle/>
                  <a:p>
                    <a:fld id="{8F81B747-D1E3-4A94-9639-51E9E641E2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15BB-4618-85BD-3F6E00793F3F}"/>
                </c:ext>
              </c:extLst>
            </c:dLbl>
            <c:dLbl>
              <c:idx val="84"/>
              <c:tx>
                <c:rich>
                  <a:bodyPr/>
                  <a:lstStyle/>
                  <a:p>
                    <a:fld id="{BCB9F386-CF16-4299-864F-8797A246CF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15BB-4618-85BD-3F6E00793F3F}"/>
                </c:ext>
              </c:extLst>
            </c:dLbl>
            <c:dLbl>
              <c:idx val="85"/>
              <c:tx>
                <c:rich>
                  <a:bodyPr/>
                  <a:lstStyle/>
                  <a:p>
                    <a:fld id="{ED11A7AC-04DB-4A29-92D6-854C90393B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15BB-4618-85BD-3F6E00793F3F}"/>
                </c:ext>
              </c:extLst>
            </c:dLbl>
            <c:dLbl>
              <c:idx val="86"/>
              <c:tx>
                <c:rich>
                  <a:bodyPr/>
                  <a:lstStyle/>
                  <a:p>
                    <a:fld id="{259F30E8-EAF7-4853-B562-FFD3C3CA62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15BB-4618-85BD-3F6E00793F3F}"/>
                </c:ext>
              </c:extLst>
            </c:dLbl>
            <c:dLbl>
              <c:idx val="87"/>
              <c:tx>
                <c:rich>
                  <a:bodyPr/>
                  <a:lstStyle/>
                  <a:p>
                    <a:fld id="{F16553B7-12EB-404E-8997-1272521E2D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15BB-4618-85BD-3F6E00793F3F}"/>
                </c:ext>
              </c:extLst>
            </c:dLbl>
            <c:dLbl>
              <c:idx val="88"/>
              <c:tx>
                <c:rich>
                  <a:bodyPr/>
                  <a:lstStyle/>
                  <a:p>
                    <a:fld id="{6496EA39-1F0D-42E0-9A51-4CCAEE7B08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15BB-4618-85BD-3F6E00793F3F}"/>
                </c:ext>
              </c:extLst>
            </c:dLbl>
            <c:dLbl>
              <c:idx val="89"/>
              <c:tx>
                <c:rich>
                  <a:bodyPr/>
                  <a:lstStyle/>
                  <a:p>
                    <a:fld id="{97B199E2-9246-4102-8B3F-ED92ABF4E9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15BB-4618-85BD-3F6E00793F3F}"/>
                </c:ext>
              </c:extLst>
            </c:dLbl>
            <c:dLbl>
              <c:idx val="90"/>
              <c:tx>
                <c:rich>
                  <a:bodyPr/>
                  <a:lstStyle/>
                  <a:p>
                    <a:fld id="{EBB7D024-6D5A-45BF-908D-442C2C2985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15BB-4618-85BD-3F6E00793F3F}"/>
                </c:ext>
              </c:extLst>
            </c:dLbl>
            <c:dLbl>
              <c:idx val="91"/>
              <c:tx>
                <c:rich>
                  <a:bodyPr/>
                  <a:lstStyle/>
                  <a:p>
                    <a:fld id="{C023F8A9-0AD9-4CFD-A721-409084BA6B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15BB-4618-85BD-3F6E00793F3F}"/>
                </c:ext>
              </c:extLst>
            </c:dLbl>
            <c:dLbl>
              <c:idx val="92"/>
              <c:tx>
                <c:rich>
                  <a:bodyPr/>
                  <a:lstStyle/>
                  <a:p>
                    <a:fld id="{BA8CB8EA-C562-4D90-89FF-92287ADA94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15BB-4618-85BD-3F6E00793F3F}"/>
                </c:ext>
              </c:extLst>
            </c:dLbl>
            <c:dLbl>
              <c:idx val="93"/>
              <c:tx>
                <c:rich>
                  <a:bodyPr/>
                  <a:lstStyle/>
                  <a:p>
                    <a:fld id="{2B3C696A-5309-4729-8FF3-82B75B72E3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15BB-4618-85BD-3F6E00793F3F}"/>
                </c:ext>
              </c:extLst>
            </c:dLbl>
            <c:dLbl>
              <c:idx val="94"/>
              <c:tx>
                <c:rich>
                  <a:bodyPr/>
                  <a:lstStyle/>
                  <a:p>
                    <a:fld id="{FAF9BC33-9A01-4069-AF80-D16A6C7DA4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15BB-4618-85BD-3F6E00793F3F}"/>
                </c:ext>
              </c:extLst>
            </c:dLbl>
            <c:dLbl>
              <c:idx val="95"/>
              <c:tx>
                <c:rich>
                  <a:bodyPr/>
                  <a:lstStyle/>
                  <a:p>
                    <a:fld id="{8445C2C9-493E-4D99-92B2-3B8C938936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15BB-4618-85BD-3F6E00793F3F}"/>
                </c:ext>
              </c:extLst>
            </c:dLbl>
            <c:dLbl>
              <c:idx val="96"/>
              <c:tx>
                <c:rich>
                  <a:bodyPr/>
                  <a:lstStyle/>
                  <a:p>
                    <a:fld id="{CE2ABE38-8901-44DC-A114-C9F5B3A1AE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15BB-4618-85BD-3F6E00793F3F}"/>
                </c:ext>
              </c:extLst>
            </c:dLbl>
            <c:dLbl>
              <c:idx val="97"/>
              <c:tx>
                <c:rich>
                  <a:bodyPr/>
                  <a:lstStyle/>
                  <a:p>
                    <a:fld id="{532A1D56-978F-45E6-9D52-F0BC6C9CA0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15BB-4618-85BD-3F6E00793F3F}"/>
                </c:ext>
              </c:extLst>
            </c:dLbl>
            <c:dLbl>
              <c:idx val="98"/>
              <c:tx>
                <c:rich>
                  <a:bodyPr/>
                  <a:lstStyle/>
                  <a:p>
                    <a:fld id="{59839D12-AE70-4155-ABCB-7C85D435E0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15BB-4618-85BD-3F6E00793F3F}"/>
                </c:ext>
              </c:extLst>
            </c:dLbl>
            <c:dLbl>
              <c:idx val="99"/>
              <c:tx>
                <c:rich>
                  <a:bodyPr/>
                  <a:lstStyle/>
                  <a:p>
                    <a:fld id="{96B16E2F-A02B-422D-9C9F-E2AEF688D5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15BB-4618-85BD-3F6E00793F3F}"/>
                </c:ext>
              </c:extLst>
            </c:dLbl>
            <c:dLbl>
              <c:idx val="100"/>
              <c:tx>
                <c:rich>
                  <a:bodyPr/>
                  <a:lstStyle/>
                  <a:p>
                    <a:fld id="{17C1D5B8-162A-40F0-B934-9B7E155B3E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15BB-4618-85BD-3F6E00793F3F}"/>
                </c:ext>
              </c:extLst>
            </c:dLbl>
            <c:dLbl>
              <c:idx val="101"/>
              <c:tx>
                <c:rich>
                  <a:bodyPr/>
                  <a:lstStyle/>
                  <a:p>
                    <a:fld id="{95C7C202-B466-4713-A248-65C0157A69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15BB-4618-85BD-3F6E00793F3F}"/>
                </c:ext>
              </c:extLst>
            </c:dLbl>
            <c:dLbl>
              <c:idx val="102"/>
              <c:tx>
                <c:rich>
                  <a:bodyPr/>
                  <a:lstStyle/>
                  <a:p>
                    <a:fld id="{086ECCD6-9776-427E-8F6B-0551DEEA2D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15BB-4618-85BD-3F6E00793F3F}"/>
                </c:ext>
              </c:extLst>
            </c:dLbl>
            <c:dLbl>
              <c:idx val="103"/>
              <c:tx>
                <c:rich>
                  <a:bodyPr/>
                  <a:lstStyle/>
                  <a:p>
                    <a:fld id="{9C144BE6-3DB0-4DFC-8034-3D4FF384AC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15BB-4618-85BD-3F6E00793F3F}"/>
                </c:ext>
              </c:extLst>
            </c:dLbl>
            <c:dLbl>
              <c:idx val="104"/>
              <c:tx>
                <c:rich>
                  <a:bodyPr/>
                  <a:lstStyle/>
                  <a:p>
                    <a:fld id="{987B000F-3467-46DB-93F3-AAABF3C9D8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15BB-4618-85BD-3F6E00793F3F}"/>
                </c:ext>
              </c:extLst>
            </c:dLbl>
            <c:dLbl>
              <c:idx val="105"/>
              <c:tx>
                <c:rich>
                  <a:bodyPr/>
                  <a:lstStyle/>
                  <a:p>
                    <a:fld id="{0B4A4763-6C13-44CD-8729-F244689C12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15BB-4618-85BD-3F6E00793F3F}"/>
                </c:ext>
              </c:extLst>
            </c:dLbl>
            <c:dLbl>
              <c:idx val="106"/>
              <c:tx>
                <c:rich>
                  <a:bodyPr/>
                  <a:lstStyle/>
                  <a:p>
                    <a:fld id="{97FDD7B6-835A-45A3-9C2E-7BE7781A29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15BB-4618-85BD-3F6E00793F3F}"/>
                </c:ext>
              </c:extLst>
            </c:dLbl>
            <c:dLbl>
              <c:idx val="107"/>
              <c:tx>
                <c:rich>
                  <a:bodyPr/>
                  <a:lstStyle/>
                  <a:p>
                    <a:fld id="{E9A0B5DD-8CCB-4361-897D-C5927428B8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15BB-4618-85BD-3F6E00793F3F}"/>
                </c:ext>
              </c:extLst>
            </c:dLbl>
            <c:dLbl>
              <c:idx val="108"/>
              <c:tx>
                <c:rich>
                  <a:bodyPr/>
                  <a:lstStyle/>
                  <a:p>
                    <a:fld id="{F0FE5A8E-922B-4E52-BA77-2D463B878A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15BB-4618-85BD-3F6E00793F3F}"/>
                </c:ext>
              </c:extLst>
            </c:dLbl>
            <c:dLbl>
              <c:idx val="109"/>
              <c:tx>
                <c:rich>
                  <a:bodyPr/>
                  <a:lstStyle/>
                  <a:p>
                    <a:fld id="{4C8FBA79-31C3-4EBB-9D0A-F4178E4729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15BB-4618-85BD-3F6E00793F3F}"/>
                </c:ext>
              </c:extLst>
            </c:dLbl>
            <c:dLbl>
              <c:idx val="110"/>
              <c:tx>
                <c:rich>
                  <a:bodyPr/>
                  <a:lstStyle/>
                  <a:p>
                    <a:fld id="{563ACEBE-A1C7-45E1-9D4C-8A0A9E7EFE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15BB-4618-85BD-3F6E00793F3F}"/>
                </c:ext>
              </c:extLst>
            </c:dLbl>
            <c:dLbl>
              <c:idx val="111"/>
              <c:tx>
                <c:rich>
                  <a:bodyPr/>
                  <a:lstStyle/>
                  <a:p>
                    <a:fld id="{DA0343F9-3B20-47F7-9D53-AAA635D311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15BB-4618-85BD-3F6E00793F3F}"/>
                </c:ext>
              </c:extLst>
            </c:dLbl>
            <c:dLbl>
              <c:idx val="112"/>
              <c:tx>
                <c:rich>
                  <a:bodyPr/>
                  <a:lstStyle/>
                  <a:p>
                    <a:fld id="{98849AE9-1C48-417A-97B1-87803E4E1A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15BB-4618-85BD-3F6E00793F3F}"/>
                </c:ext>
              </c:extLst>
            </c:dLbl>
            <c:dLbl>
              <c:idx val="113"/>
              <c:tx>
                <c:rich>
                  <a:bodyPr/>
                  <a:lstStyle/>
                  <a:p>
                    <a:fld id="{B8417AA1-4DFC-4B00-8923-59C8A34651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15BB-4618-85BD-3F6E00793F3F}"/>
                </c:ext>
              </c:extLst>
            </c:dLbl>
            <c:dLbl>
              <c:idx val="114"/>
              <c:tx>
                <c:rich>
                  <a:bodyPr/>
                  <a:lstStyle/>
                  <a:p>
                    <a:fld id="{3B19864F-BCE6-41FA-9479-36F90E1069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15BB-4618-85BD-3F6E00793F3F}"/>
                </c:ext>
              </c:extLst>
            </c:dLbl>
            <c:dLbl>
              <c:idx val="115"/>
              <c:tx>
                <c:rich>
                  <a:bodyPr/>
                  <a:lstStyle/>
                  <a:p>
                    <a:fld id="{446B1E9D-994F-492F-9AE8-F5ADCAC48D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15BB-4618-85BD-3F6E00793F3F}"/>
                </c:ext>
              </c:extLst>
            </c:dLbl>
            <c:dLbl>
              <c:idx val="116"/>
              <c:tx>
                <c:rich>
                  <a:bodyPr/>
                  <a:lstStyle/>
                  <a:p>
                    <a:fld id="{7555525E-E40A-4229-8ACF-A9B00AFD6F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15BB-4618-85BD-3F6E00793F3F}"/>
                </c:ext>
              </c:extLst>
            </c:dLbl>
            <c:dLbl>
              <c:idx val="117"/>
              <c:tx>
                <c:rich>
                  <a:bodyPr/>
                  <a:lstStyle/>
                  <a:p>
                    <a:fld id="{E42B6E01-C318-4421-AB8A-1EE91424D0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15BB-4618-85BD-3F6E00793F3F}"/>
                </c:ext>
              </c:extLst>
            </c:dLbl>
            <c:dLbl>
              <c:idx val="118"/>
              <c:tx>
                <c:rich>
                  <a:bodyPr/>
                  <a:lstStyle/>
                  <a:p>
                    <a:fld id="{DBEEC451-6455-4973-95F5-7225E7519A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15BB-4618-85BD-3F6E00793F3F}"/>
                </c:ext>
              </c:extLst>
            </c:dLbl>
            <c:dLbl>
              <c:idx val="119"/>
              <c:tx>
                <c:rich>
                  <a:bodyPr/>
                  <a:lstStyle/>
                  <a:p>
                    <a:fld id="{94C18EE5-2C71-4CA9-A475-18F55D2003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15BB-4618-85BD-3F6E00793F3F}"/>
                </c:ext>
              </c:extLst>
            </c:dLbl>
            <c:dLbl>
              <c:idx val="120"/>
              <c:tx>
                <c:rich>
                  <a:bodyPr/>
                  <a:lstStyle/>
                  <a:p>
                    <a:fld id="{BA205EED-F037-453F-B809-88BE597029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15BB-4618-85BD-3F6E00793F3F}"/>
                </c:ext>
              </c:extLst>
            </c:dLbl>
            <c:dLbl>
              <c:idx val="121"/>
              <c:tx>
                <c:rich>
                  <a:bodyPr/>
                  <a:lstStyle/>
                  <a:p>
                    <a:fld id="{E8CE63FB-5188-485F-B518-8A63EE3907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15BB-4618-85BD-3F6E00793F3F}"/>
                </c:ext>
              </c:extLst>
            </c:dLbl>
            <c:dLbl>
              <c:idx val="122"/>
              <c:tx>
                <c:rich>
                  <a:bodyPr/>
                  <a:lstStyle/>
                  <a:p>
                    <a:fld id="{EA94F3E4-F0F8-4950-A8DF-283B250204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15BB-4618-85BD-3F6E00793F3F}"/>
                </c:ext>
              </c:extLst>
            </c:dLbl>
            <c:dLbl>
              <c:idx val="123"/>
              <c:tx>
                <c:rich>
                  <a:bodyPr/>
                  <a:lstStyle/>
                  <a:p>
                    <a:fld id="{346D1A3D-5381-4D85-8F02-F834B128F4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15BB-4618-85BD-3F6E00793F3F}"/>
                </c:ext>
              </c:extLst>
            </c:dLbl>
            <c:dLbl>
              <c:idx val="124"/>
              <c:tx>
                <c:rich>
                  <a:bodyPr/>
                  <a:lstStyle/>
                  <a:p>
                    <a:fld id="{C0F7EBAB-130B-4205-BEA4-CB91F69944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15BB-4618-85BD-3F6E00793F3F}"/>
                </c:ext>
              </c:extLst>
            </c:dLbl>
            <c:dLbl>
              <c:idx val="125"/>
              <c:tx>
                <c:rich>
                  <a:bodyPr/>
                  <a:lstStyle/>
                  <a:p>
                    <a:fld id="{9B3836EA-4B60-4E3C-A7C9-A6A026D576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15BB-4618-85BD-3F6E00793F3F}"/>
                </c:ext>
              </c:extLst>
            </c:dLbl>
            <c:dLbl>
              <c:idx val="126"/>
              <c:tx>
                <c:rich>
                  <a:bodyPr/>
                  <a:lstStyle/>
                  <a:p>
                    <a:fld id="{E55445B1-F35C-43DE-9069-9B1272D74C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15BB-4618-85BD-3F6E00793F3F}"/>
                </c:ext>
              </c:extLst>
            </c:dLbl>
            <c:dLbl>
              <c:idx val="127"/>
              <c:tx>
                <c:rich>
                  <a:bodyPr/>
                  <a:lstStyle/>
                  <a:p>
                    <a:fld id="{0CFA939E-46EC-4D04-9F3F-AEBAC5F6F6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15BB-4618-85BD-3F6E00793F3F}"/>
                </c:ext>
              </c:extLst>
            </c:dLbl>
            <c:dLbl>
              <c:idx val="128"/>
              <c:tx>
                <c:rich>
                  <a:bodyPr/>
                  <a:lstStyle/>
                  <a:p>
                    <a:fld id="{7C5FEE88-9A95-48DA-9C72-D3440FB0B9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15BB-4618-85BD-3F6E00793F3F}"/>
                </c:ext>
              </c:extLst>
            </c:dLbl>
            <c:dLbl>
              <c:idx val="129"/>
              <c:tx>
                <c:rich>
                  <a:bodyPr/>
                  <a:lstStyle/>
                  <a:p>
                    <a:fld id="{D8AEEE2E-19A5-458A-A0A0-01D91B0D83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15BB-4618-85BD-3F6E00793F3F}"/>
                </c:ext>
              </c:extLst>
            </c:dLbl>
            <c:dLbl>
              <c:idx val="130"/>
              <c:tx>
                <c:rich>
                  <a:bodyPr/>
                  <a:lstStyle/>
                  <a:p>
                    <a:fld id="{A6E08099-8C7A-4090-B809-345AB37C78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15BB-4618-85BD-3F6E00793F3F}"/>
                </c:ext>
              </c:extLst>
            </c:dLbl>
            <c:dLbl>
              <c:idx val="131"/>
              <c:tx>
                <c:rich>
                  <a:bodyPr/>
                  <a:lstStyle/>
                  <a:p>
                    <a:fld id="{BDB3BDC4-1EDB-4B1F-8D37-FFE62E0794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15BB-4618-85BD-3F6E00793F3F}"/>
                </c:ext>
              </c:extLst>
            </c:dLbl>
            <c:dLbl>
              <c:idx val="132"/>
              <c:tx>
                <c:rich>
                  <a:bodyPr/>
                  <a:lstStyle/>
                  <a:p>
                    <a:fld id="{AB0B427E-1707-47EA-B306-B332815873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15BB-4618-85BD-3F6E00793F3F}"/>
                </c:ext>
              </c:extLst>
            </c:dLbl>
            <c:dLbl>
              <c:idx val="133"/>
              <c:tx>
                <c:rich>
                  <a:bodyPr/>
                  <a:lstStyle/>
                  <a:p>
                    <a:fld id="{78BEA3C2-57AC-49E9-8B10-25B5EDF703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15BB-4618-85BD-3F6E00793F3F}"/>
                </c:ext>
              </c:extLst>
            </c:dLbl>
            <c:dLbl>
              <c:idx val="134"/>
              <c:tx>
                <c:rich>
                  <a:bodyPr/>
                  <a:lstStyle/>
                  <a:p>
                    <a:fld id="{E3896AD0-4E05-4FCC-8F38-0D5D80DE38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15BB-4618-85BD-3F6E00793F3F}"/>
                </c:ext>
              </c:extLst>
            </c:dLbl>
            <c:dLbl>
              <c:idx val="135"/>
              <c:tx>
                <c:rich>
                  <a:bodyPr/>
                  <a:lstStyle/>
                  <a:p>
                    <a:fld id="{C6FB8AAD-A0C3-4A30-A039-9CC9D3FC6D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15BB-4618-85BD-3F6E00793F3F}"/>
                </c:ext>
              </c:extLst>
            </c:dLbl>
            <c:dLbl>
              <c:idx val="136"/>
              <c:tx>
                <c:rich>
                  <a:bodyPr/>
                  <a:lstStyle/>
                  <a:p>
                    <a:fld id="{246EA986-C3BA-443C-B5D1-8077C69C77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15BB-4618-85BD-3F6E00793F3F}"/>
                </c:ext>
              </c:extLst>
            </c:dLbl>
            <c:dLbl>
              <c:idx val="137"/>
              <c:tx>
                <c:rich>
                  <a:bodyPr/>
                  <a:lstStyle/>
                  <a:p>
                    <a:fld id="{17CEC8AE-8855-45A7-B4FC-305867A8D5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15BB-4618-85BD-3F6E00793F3F}"/>
                </c:ext>
              </c:extLst>
            </c:dLbl>
            <c:dLbl>
              <c:idx val="138"/>
              <c:tx>
                <c:rich>
                  <a:bodyPr/>
                  <a:lstStyle/>
                  <a:p>
                    <a:fld id="{051B8DE3-16BB-4884-B367-A058BD30AF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15BB-4618-85BD-3F6E00793F3F}"/>
                </c:ext>
              </c:extLst>
            </c:dLbl>
            <c:dLbl>
              <c:idx val="139"/>
              <c:tx>
                <c:rich>
                  <a:bodyPr/>
                  <a:lstStyle/>
                  <a:p>
                    <a:fld id="{99EF5DC5-942E-48FC-82C7-BC90053DF0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15BB-4618-85BD-3F6E00793F3F}"/>
                </c:ext>
              </c:extLst>
            </c:dLbl>
            <c:dLbl>
              <c:idx val="140"/>
              <c:tx>
                <c:rich>
                  <a:bodyPr/>
                  <a:lstStyle/>
                  <a:p>
                    <a:fld id="{C8865F0B-55BB-4F44-B397-30465A13AE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15BB-4618-85BD-3F6E00793F3F}"/>
                </c:ext>
              </c:extLst>
            </c:dLbl>
            <c:dLbl>
              <c:idx val="141"/>
              <c:tx>
                <c:rich>
                  <a:bodyPr/>
                  <a:lstStyle/>
                  <a:p>
                    <a:fld id="{BA0B0734-BFFE-4633-9F01-E8FE0D9C57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15BB-4618-85BD-3F6E00793F3F}"/>
                </c:ext>
              </c:extLst>
            </c:dLbl>
            <c:dLbl>
              <c:idx val="142"/>
              <c:tx>
                <c:rich>
                  <a:bodyPr/>
                  <a:lstStyle/>
                  <a:p>
                    <a:fld id="{A43ABC2B-574A-482E-8734-B4734AB325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15BB-4618-85BD-3F6E00793F3F}"/>
                </c:ext>
              </c:extLst>
            </c:dLbl>
            <c:dLbl>
              <c:idx val="143"/>
              <c:tx>
                <c:rich>
                  <a:bodyPr/>
                  <a:lstStyle/>
                  <a:p>
                    <a:fld id="{310EAD9D-81C8-4329-8FF5-C89C3145B6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15BB-4618-85BD-3F6E00793F3F}"/>
                </c:ext>
              </c:extLst>
            </c:dLbl>
            <c:dLbl>
              <c:idx val="144"/>
              <c:tx>
                <c:rich>
                  <a:bodyPr/>
                  <a:lstStyle/>
                  <a:p>
                    <a:fld id="{29852D5C-50EF-4BE8-8B4F-537CA435E8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15BB-4618-85BD-3F6E00793F3F}"/>
                </c:ext>
              </c:extLst>
            </c:dLbl>
            <c:dLbl>
              <c:idx val="145"/>
              <c:tx>
                <c:rich>
                  <a:bodyPr/>
                  <a:lstStyle/>
                  <a:p>
                    <a:fld id="{A7F25577-1909-4BE6-901F-36A5B7E02B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15BB-4618-85BD-3F6E00793F3F}"/>
                </c:ext>
              </c:extLst>
            </c:dLbl>
            <c:dLbl>
              <c:idx val="146"/>
              <c:tx>
                <c:rich>
                  <a:bodyPr/>
                  <a:lstStyle/>
                  <a:p>
                    <a:fld id="{0AE34435-B42D-4EBE-9BA6-612E593F11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15BB-4618-85BD-3F6E00793F3F}"/>
                </c:ext>
              </c:extLst>
            </c:dLbl>
            <c:dLbl>
              <c:idx val="147"/>
              <c:tx>
                <c:rich>
                  <a:bodyPr/>
                  <a:lstStyle/>
                  <a:p>
                    <a:fld id="{C8CC7F33-AA88-44DC-8111-457BB244B2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15BB-4618-85BD-3F6E00793F3F}"/>
                </c:ext>
              </c:extLst>
            </c:dLbl>
            <c:dLbl>
              <c:idx val="148"/>
              <c:tx>
                <c:rich>
                  <a:bodyPr/>
                  <a:lstStyle/>
                  <a:p>
                    <a:fld id="{DC3DF24B-F23A-484E-B387-06C209CA28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15BB-4618-85BD-3F6E00793F3F}"/>
                </c:ext>
              </c:extLst>
            </c:dLbl>
            <c:dLbl>
              <c:idx val="149"/>
              <c:tx>
                <c:rich>
                  <a:bodyPr/>
                  <a:lstStyle/>
                  <a:p>
                    <a:fld id="{536FFF44-36EB-4A25-8500-FFC85A27DA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15BB-4618-85BD-3F6E00793F3F}"/>
                </c:ext>
              </c:extLst>
            </c:dLbl>
            <c:dLbl>
              <c:idx val="150"/>
              <c:tx>
                <c:rich>
                  <a:bodyPr/>
                  <a:lstStyle/>
                  <a:p>
                    <a:fld id="{70E5C61C-D719-43FF-A84B-E6033C707C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15BB-4618-85BD-3F6E00793F3F}"/>
                </c:ext>
              </c:extLst>
            </c:dLbl>
            <c:dLbl>
              <c:idx val="151"/>
              <c:tx>
                <c:rich>
                  <a:bodyPr/>
                  <a:lstStyle/>
                  <a:p>
                    <a:fld id="{40F596D0-CC12-4F0D-8652-BE92C9FD21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15BB-4618-85BD-3F6E00793F3F}"/>
                </c:ext>
              </c:extLst>
            </c:dLbl>
            <c:dLbl>
              <c:idx val="152"/>
              <c:tx>
                <c:rich>
                  <a:bodyPr/>
                  <a:lstStyle/>
                  <a:p>
                    <a:fld id="{EE8A4FDF-C6A3-45A3-9C5D-83F04CED80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15BB-4618-85BD-3F6E00793F3F}"/>
                </c:ext>
              </c:extLst>
            </c:dLbl>
            <c:dLbl>
              <c:idx val="153"/>
              <c:tx>
                <c:rich>
                  <a:bodyPr/>
                  <a:lstStyle/>
                  <a:p>
                    <a:fld id="{859FCDCA-7EF4-441B-B828-9A8D154077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15BB-4618-85BD-3F6E00793F3F}"/>
                </c:ext>
              </c:extLst>
            </c:dLbl>
            <c:dLbl>
              <c:idx val="154"/>
              <c:tx>
                <c:rich>
                  <a:bodyPr/>
                  <a:lstStyle/>
                  <a:p>
                    <a:fld id="{37A5BAAC-986D-45AD-89F1-4450E858B3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15BB-4618-85BD-3F6E00793F3F}"/>
                </c:ext>
              </c:extLst>
            </c:dLbl>
            <c:dLbl>
              <c:idx val="155"/>
              <c:tx>
                <c:rich>
                  <a:bodyPr/>
                  <a:lstStyle/>
                  <a:p>
                    <a:fld id="{BD730638-1AA9-42C2-9BE1-76CF7AA258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15BB-4618-85BD-3F6E00793F3F}"/>
                </c:ext>
              </c:extLst>
            </c:dLbl>
            <c:dLbl>
              <c:idx val="156"/>
              <c:tx>
                <c:rich>
                  <a:bodyPr/>
                  <a:lstStyle/>
                  <a:p>
                    <a:fld id="{DBFB801C-AE0A-4D2E-91D9-F59642B3DB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15BB-4618-85BD-3F6E00793F3F}"/>
                </c:ext>
              </c:extLst>
            </c:dLbl>
            <c:dLbl>
              <c:idx val="157"/>
              <c:tx>
                <c:rich>
                  <a:bodyPr/>
                  <a:lstStyle/>
                  <a:p>
                    <a:fld id="{75ECF1AB-C398-4D4E-B5F1-1E2D9AEB25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15BB-4618-85BD-3F6E00793F3F}"/>
                </c:ext>
              </c:extLst>
            </c:dLbl>
            <c:dLbl>
              <c:idx val="158"/>
              <c:tx>
                <c:rich>
                  <a:bodyPr/>
                  <a:lstStyle/>
                  <a:p>
                    <a:fld id="{DF8E1D39-076B-4263-842C-3209913041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15BB-4618-85BD-3F6E00793F3F}"/>
                </c:ext>
              </c:extLst>
            </c:dLbl>
            <c:dLbl>
              <c:idx val="159"/>
              <c:tx>
                <c:rich>
                  <a:bodyPr/>
                  <a:lstStyle/>
                  <a:p>
                    <a:fld id="{7EC432AE-4E62-449F-9A54-32279EAB1A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15BB-4618-85BD-3F6E00793F3F}"/>
                </c:ext>
              </c:extLst>
            </c:dLbl>
            <c:dLbl>
              <c:idx val="160"/>
              <c:tx>
                <c:rich>
                  <a:bodyPr/>
                  <a:lstStyle/>
                  <a:p>
                    <a:fld id="{21B05D22-8F88-4735-9718-43690310E7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15BB-4618-85BD-3F6E00793F3F}"/>
                </c:ext>
              </c:extLst>
            </c:dLbl>
            <c:dLbl>
              <c:idx val="161"/>
              <c:tx>
                <c:rich>
                  <a:bodyPr/>
                  <a:lstStyle/>
                  <a:p>
                    <a:fld id="{229DAC42-E3F8-4859-B2BB-F319A14D67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15BB-4618-85BD-3F6E00793F3F}"/>
                </c:ext>
              </c:extLst>
            </c:dLbl>
            <c:dLbl>
              <c:idx val="162"/>
              <c:tx>
                <c:rich>
                  <a:bodyPr/>
                  <a:lstStyle/>
                  <a:p>
                    <a:fld id="{E851628D-A706-439D-A9A5-B6577CB5E2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15BB-4618-85BD-3F6E00793F3F}"/>
                </c:ext>
              </c:extLst>
            </c:dLbl>
            <c:dLbl>
              <c:idx val="163"/>
              <c:tx>
                <c:rich>
                  <a:bodyPr/>
                  <a:lstStyle/>
                  <a:p>
                    <a:fld id="{64B83E26-8E51-43D5-9206-634C86408D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15BB-4618-85BD-3F6E00793F3F}"/>
                </c:ext>
              </c:extLst>
            </c:dLbl>
            <c:dLbl>
              <c:idx val="164"/>
              <c:tx>
                <c:rich>
                  <a:bodyPr/>
                  <a:lstStyle/>
                  <a:p>
                    <a:fld id="{E633B289-4C14-447C-9BB4-13483E9228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15BB-4618-85BD-3F6E00793F3F}"/>
                </c:ext>
              </c:extLst>
            </c:dLbl>
            <c:dLbl>
              <c:idx val="165"/>
              <c:tx>
                <c:rich>
                  <a:bodyPr/>
                  <a:lstStyle/>
                  <a:p>
                    <a:fld id="{85D801D7-3447-4105-B754-A4B2E808A1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15BB-4618-85BD-3F6E00793F3F}"/>
                </c:ext>
              </c:extLst>
            </c:dLbl>
            <c:dLbl>
              <c:idx val="166"/>
              <c:tx>
                <c:rich>
                  <a:bodyPr/>
                  <a:lstStyle/>
                  <a:p>
                    <a:fld id="{E5032C31-A101-412D-ACF5-9D4128B9D1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15BB-4618-85BD-3F6E00793F3F}"/>
                </c:ext>
              </c:extLst>
            </c:dLbl>
            <c:dLbl>
              <c:idx val="167"/>
              <c:tx>
                <c:rich>
                  <a:bodyPr/>
                  <a:lstStyle/>
                  <a:p>
                    <a:fld id="{CA3ECB8A-68ED-4075-BF2B-62158348EA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15BB-4618-85BD-3F6E00793F3F}"/>
                </c:ext>
              </c:extLst>
            </c:dLbl>
            <c:dLbl>
              <c:idx val="168"/>
              <c:tx>
                <c:rich>
                  <a:bodyPr/>
                  <a:lstStyle/>
                  <a:p>
                    <a:fld id="{BF37C96A-AAB9-4CEE-903F-00FE18D1F0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15BB-4618-85BD-3F6E00793F3F}"/>
                </c:ext>
              </c:extLst>
            </c:dLbl>
            <c:dLbl>
              <c:idx val="169"/>
              <c:tx>
                <c:rich>
                  <a:bodyPr/>
                  <a:lstStyle/>
                  <a:p>
                    <a:fld id="{DE024D5C-0CD1-4FA3-A1AE-20F56F284C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15BB-4618-85BD-3F6E00793F3F}"/>
                </c:ext>
              </c:extLst>
            </c:dLbl>
            <c:dLbl>
              <c:idx val="170"/>
              <c:tx>
                <c:rich>
                  <a:bodyPr/>
                  <a:lstStyle/>
                  <a:p>
                    <a:fld id="{1051076D-E3D5-4AA4-97B8-A09D8477AA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15BB-4618-85BD-3F6E00793F3F}"/>
                </c:ext>
              </c:extLst>
            </c:dLbl>
            <c:dLbl>
              <c:idx val="171"/>
              <c:tx>
                <c:rich>
                  <a:bodyPr/>
                  <a:lstStyle/>
                  <a:p>
                    <a:fld id="{B7C7824E-6B61-42FC-8D09-AC481B17B1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15BB-4618-85BD-3F6E00793F3F}"/>
                </c:ext>
              </c:extLst>
            </c:dLbl>
            <c:dLbl>
              <c:idx val="172"/>
              <c:tx>
                <c:rich>
                  <a:bodyPr/>
                  <a:lstStyle/>
                  <a:p>
                    <a:fld id="{58039C56-CD62-4816-9C0A-F02DC70C7D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15BB-4618-85BD-3F6E00793F3F}"/>
                </c:ext>
              </c:extLst>
            </c:dLbl>
            <c:dLbl>
              <c:idx val="173"/>
              <c:tx>
                <c:rich>
                  <a:bodyPr/>
                  <a:lstStyle/>
                  <a:p>
                    <a:fld id="{E6EE190D-86E2-4214-9E48-9869484127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15BB-4618-85BD-3F6E00793F3F}"/>
                </c:ext>
              </c:extLst>
            </c:dLbl>
            <c:dLbl>
              <c:idx val="174"/>
              <c:tx>
                <c:rich>
                  <a:bodyPr/>
                  <a:lstStyle/>
                  <a:p>
                    <a:fld id="{E75B0F2B-0269-45FD-B7D2-801603EBCB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15BB-4618-85BD-3F6E00793F3F}"/>
                </c:ext>
              </c:extLst>
            </c:dLbl>
            <c:dLbl>
              <c:idx val="175"/>
              <c:tx>
                <c:rich>
                  <a:bodyPr/>
                  <a:lstStyle/>
                  <a:p>
                    <a:fld id="{7061547C-EF0F-4BBA-8DAB-34FB75E44E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15BB-4618-85BD-3F6E00793F3F}"/>
                </c:ext>
              </c:extLst>
            </c:dLbl>
            <c:dLbl>
              <c:idx val="176"/>
              <c:tx>
                <c:rich>
                  <a:bodyPr/>
                  <a:lstStyle/>
                  <a:p>
                    <a:fld id="{C462ED2C-59D7-4D63-B80D-71A713A07F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15BB-4618-85BD-3F6E00793F3F}"/>
                </c:ext>
              </c:extLst>
            </c:dLbl>
            <c:dLbl>
              <c:idx val="177"/>
              <c:tx>
                <c:rich>
                  <a:bodyPr/>
                  <a:lstStyle/>
                  <a:p>
                    <a:fld id="{C9BA9DB4-B6AD-468F-B6BC-02696BCE8A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15BB-4618-85BD-3F6E00793F3F}"/>
                </c:ext>
              </c:extLst>
            </c:dLbl>
            <c:dLbl>
              <c:idx val="178"/>
              <c:tx>
                <c:rich>
                  <a:bodyPr/>
                  <a:lstStyle/>
                  <a:p>
                    <a:fld id="{A55D20A9-8CBA-46B0-95B7-1C92E3B942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15BB-4618-85BD-3F6E00793F3F}"/>
                </c:ext>
              </c:extLst>
            </c:dLbl>
            <c:dLbl>
              <c:idx val="179"/>
              <c:tx>
                <c:rich>
                  <a:bodyPr/>
                  <a:lstStyle/>
                  <a:p>
                    <a:fld id="{49397285-FE68-48E3-B028-B18793A727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15BB-4618-85BD-3F6E00793F3F}"/>
                </c:ext>
              </c:extLst>
            </c:dLbl>
            <c:dLbl>
              <c:idx val="180"/>
              <c:tx>
                <c:rich>
                  <a:bodyPr/>
                  <a:lstStyle/>
                  <a:p>
                    <a:fld id="{2797CA66-F03D-42F8-AA42-7FB6D89FA6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15BB-4618-85BD-3F6E00793F3F}"/>
                </c:ext>
              </c:extLst>
            </c:dLbl>
            <c:dLbl>
              <c:idx val="181"/>
              <c:tx>
                <c:rich>
                  <a:bodyPr/>
                  <a:lstStyle/>
                  <a:p>
                    <a:fld id="{75F55311-FB03-41F5-BE44-75471C6C66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15BB-4618-85BD-3F6E00793F3F}"/>
                </c:ext>
              </c:extLst>
            </c:dLbl>
            <c:dLbl>
              <c:idx val="182"/>
              <c:tx>
                <c:rich>
                  <a:bodyPr/>
                  <a:lstStyle/>
                  <a:p>
                    <a:fld id="{7066D0DA-896C-49AD-85DD-2737BF52BB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15BB-4618-85BD-3F6E00793F3F}"/>
                </c:ext>
              </c:extLst>
            </c:dLbl>
            <c:dLbl>
              <c:idx val="183"/>
              <c:tx>
                <c:rich>
                  <a:bodyPr/>
                  <a:lstStyle/>
                  <a:p>
                    <a:fld id="{11753400-C930-4AF0-B42D-081CF9C189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15BB-4618-85BD-3F6E00793F3F}"/>
                </c:ext>
              </c:extLst>
            </c:dLbl>
            <c:dLbl>
              <c:idx val="184"/>
              <c:tx>
                <c:rich>
                  <a:bodyPr/>
                  <a:lstStyle/>
                  <a:p>
                    <a:fld id="{EEA21D97-CFCD-4864-9BD3-6F7D8D0FD1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15BB-4618-85BD-3F6E00793F3F}"/>
                </c:ext>
              </c:extLst>
            </c:dLbl>
            <c:dLbl>
              <c:idx val="185"/>
              <c:tx>
                <c:rich>
                  <a:bodyPr/>
                  <a:lstStyle/>
                  <a:p>
                    <a:fld id="{E83B247D-8ADD-4392-9384-F444EF85AB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15BB-4618-85BD-3F6E00793F3F}"/>
                </c:ext>
              </c:extLst>
            </c:dLbl>
            <c:dLbl>
              <c:idx val="186"/>
              <c:tx>
                <c:rich>
                  <a:bodyPr/>
                  <a:lstStyle/>
                  <a:p>
                    <a:fld id="{ABB0B2BC-C11E-4E2C-9D9E-298E042C86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15BB-4618-85BD-3F6E00793F3F}"/>
                </c:ext>
              </c:extLst>
            </c:dLbl>
            <c:dLbl>
              <c:idx val="187"/>
              <c:tx>
                <c:rich>
                  <a:bodyPr/>
                  <a:lstStyle/>
                  <a:p>
                    <a:fld id="{DF859DE0-18C4-43FA-8C0C-1D23B8CA88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15BB-4618-85BD-3F6E00793F3F}"/>
                </c:ext>
              </c:extLst>
            </c:dLbl>
            <c:dLbl>
              <c:idx val="188"/>
              <c:tx>
                <c:rich>
                  <a:bodyPr/>
                  <a:lstStyle/>
                  <a:p>
                    <a:fld id="{C18B4658-3C6B-4739-A1CF-A50E8D76AF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15BB-4618-85BD-3F6E00793F3F}"/>
                </c:ext>
              </c:extLst>
            </c:dLbl>
            <c:dLbl>
              <c:idx val="189"/>
              <c:tx>
                <c:rich>
                  <a:bodyPr/>
                  <a:lstStyle/>
                  <a:p>
                    <a:fld id="{07CD79ED-C6CE-40ED-8A06-782FA88999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15BB-4618-85BD-3F6E00793F3F}"/>
                </c:ext>
              </c:extLst>
            </c:dLbl>
            <c:dLbl>
              <c:idx val="190"/>
              <c:tx>
                <c:rich>
                  <a:bodyPr/>
                  <a:lstStyle/>
                  <a:p>
                    <a:fld id="{280E36C5-1A82-414D-A51B-7F7598ABC6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15BB-4618-85BD-3F6E00793F3F}"/>
                </c:ext>
              </c:extLst>
            </c:dLbl>
            <c:dLbl>
              <c:idx val="191"/>
              <c:tx>
                <c:rich>
                  <a:bodyPr/>
                  <a:lstStyle/>
                  <a:p>
                    <a:fld id="{48F4E213-A04C-4F0D-BCA0-FB4A4B849E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15BB-4618-85BD-3F6E00793F3F}"/>
                </c:ext>
              </c:extLst>
            </c:dLbl>
            <c:dLbl>
              <c:idx val="192"/>
              <c:tx>
                <c:rich>
                  <a:bodyPr/>
                  <a:lstStyle/>
                  <a:p>
                    <a:fld id="{C8C4F03F-D284-499C-90ED-2271A18D3C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15BB-4618-85BD-3F6E00793F3F}"/>
                </c:ext>
              </c:extLst>
            </c:dLbl>
            <c:dLbl>
              <c:idx val="193"/>
              <c:tx>
                <c:rich>
                  <a:bodyPr/>
                  <a:lstStyle/>
                  <a:p>
                    <a:fld id="{F6BE985B-D7B7-444F-895E-FCB9EE72B6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15BB-4618-85BD-3F6E00793F3F}"/>
                </c:ext>
              </c:extLst>
            </c:dLbl>
            <c:dLbl>
              <c:idx val="194"/>
              <c:tx>
                <c:rich>
                  <a:bodyPr/>
                  <a:lstStyle/>
                  <a:p>
                    <a:fld id="{42880011-041C-47FF-AE55-4293F7E9DE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15BB-4618-85BD-3F6E00793F3F}"/>
                </c:ext>
              </c:extLst>
            </c:dLbl>
            <c:dLbl>
              <c:idx val="195"/>
              <c:tx>
                <c:rich>
                  <a:bodyPr/>
                  <a:lstStyle/>
                  <a:p>
                    <a:fld id="{60BC0F58-FF63-43AF-B19A-C0534CB2D9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15BB-4618-85BD-3F6E00793F3F}"/>
                </c:ext>
              </c:extLst>
            </c:dLbl>
            <c:dLbl>
              <c:idx val="196"/>
              <c:tx>
                <c:rich>
                  <a:bodyPr/>
                  <a:lstStyle/>
                  <a:p>
                    <a:fld id="{0F4E1594-FB25-4672-AE2A-3649DE4BF8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15BB-4618-85BD-3F6E00793F3F}"/>
                </c:ext>
              </c:extLst>
            </c:dLbl>
            <c:dLbl>
              <c:idx val="197"/>
              <c:tx>
                <c:rich>
                  <a:bodyPr/>
                  <a:lstStyle/>
                  <a:p>
                    <a:fld id="{E3E51605-D576-4A14-9B2B-DA3C457786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15BB-4618-85BD-3F6E00793F3F}"/>
                </c:ext>
              </c:extLst>
            </c:dLbl>
            <c:dLbl>
              <c:idx val="198"/>
              <c:tx>
                <c:rich>
                  <a:bodyPr/>
                  <a:lstStyle/>
                  <a:p>
                    <a:fld id="{56C6C82B-C355-4FEA-B043-84B7B6871E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15BB-4618-85BD-3F6E00793F3F}"/>
                </c:ext>
              </c:extLst>
            </c:dLbl>
            <c:dLbl>
              <c:idx val="199"/>
              <c:tx>
                <c:rich>
                  <a:bodyPr/>
                  <a:lstStyle/>
                  <a:p>
                    <a:fld id="{6567DF8A-8F9D-4FBF-A023-6CF16B6016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15BB-4618-85BD-3F6E00793F3F}"/>
                </c:ext>
              </c:extLst>
            </c:dLbl>
            <c:dLbl>
              <c:idx val="200"/>
              <c:tx>
                <c:rich>
                  <a:bodyPr/>
                  <a:lstStyle/>
                  <a:p>
                    <a:fld id="{0F26A079-D331-47F2-A767-BFABD53DB2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15BB-4618-85BD-3F6E00793F3F}"/>
                </c:ext>
              </c:extLst>
            </c:dLbl>
            <c:dLbl>
              <c:idx val="201"/>
              <c:tx>
                <c:rich>
                  <a:bodyPr/>
                  <a:lstStyle/>
                  <a:p>
                    <a:fld id="{761B00EF-3746-423E-9F6B-0D95D4B369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15BB-4618-85BD-3F6E00793F3F}"/>
                </c:ext>
              </c:extLst>
            </c:dLbl>
            <c:dLbl>
              <c:idx val="202"/>
              <c:tx>
                <c:rich>
                  <a:bodyPr/>
                  <a:lstStyle/>
                  <a:p>
                    <a:fld id="{38A839BD-7473-471A-AB5D-482505D64B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15BB-4618-85BD-3F6E00793F3F}"/>
                </c:ext>
              </c:extLst>
            </c:dLbl>
            <c:dLbl>
              <c:idx val="203"/>
              <c:tx>
                <c:rich>
                  <a:bodyPr/>
                  <a:lstStyle/>
                  <a:p>
                    <a:fld id="{4128D2CF-E784-464F-85E1-B949CF3F62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15BB-4618-85BD-3F6E00793F3F}"/>
                </c:ext>
              </c:extLst>
            </c:dLbl>
            <c:dLbl>
              <c:idx val="204"/>
              <c:tx>
                <c:rich>
                  <a:bodyPr/>
                  <a:lstStyle/>
                  <a:p>
                    <a:fld id="{3940C6CF-F66B-4096-9FD8-4A24509200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15BB-4618-85BD-3F6E00793F3F}"/>
                </c:ext>
              </c:extLst>
            </c:dLbl>
            <c:dLbl>
              <c:idx val="205"/>
              <c:tx>
                <c:rich>
                  <a:bodyPr/>
                  <a:lstStyle/>
                  <a:p>
                    <a:fld id="{05DEFC9E-2CBD-449C-A1B1-6C75BD52CB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15BB-4618-85BD-3F6E00793F3F}"/>
                </c:ext>
              </c:extLst>
            </c:dLbl>
            <c:dLbl>
              <c:idx val="206"/>
              <c:tx>
                <c:rich>
                  <a:bodyPr/>
                  <a:lstStyle/>
                  <a:p>
                    <a:fld id="{2C06DC01-6987-4F8C-9C20-114C27B64F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15BB-4618-85BD-3F6E00793F3F}"/>
                </c:ext>
              </c:extLst>
            </c:dLbl>
            <c:dLbl>
              <c:idx val="207"/>
              <c:tx>
                <c:rich>
                  <a:bodyPr/>
                  <a:lstStyle/>
                  <a:p>
                    <a:fld id="{48DFC6F5-9A16-426A-B599-FC24995C81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15BB-4618-85BD-3F6E00793F3F}"/>
                </c:ext>
              </c:extLst>
            </c:dLbl>
            <c:dLbl>
              <c:idx val="208"/>
              <c:tx>
                <c:rich>
                  <a:bodyPr/>
                  <a:lstStyle/>
                  <a:p>
                    <a:fld id="{A55C7D6D-E079-4ECA-BD30-0B197EC86E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15BB-4618-85BD-3F6E00793F3F}"/>
                </c:ext>
              </c:extLst>
            </c:dLbl>
            <c:dLbl>
              <c:idx val="209"/>
              <c:tx>
                <c:rich>
                  <a:bodyPr/>
                  <a:lstStyle/>
                  <a:p>
                    <a:fld id="{D47BC218-D74A-4D90-82FB-024C618F2B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15BB-4618-85BD-3F6E00793F3F}"/>
                </c:ext>
              </c:extLst>
            </c:dLbl>
            <c:dLbl>
              <c:idx val="210"/>
              <c:tx>
                <c:rich>
                  <a:bodyPr/>
                  <a:lstStyle/>
                  <a:p>
                    <a:fld id="{6D3BC075-7D5C-4295-9FFB-0416CE39D8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15BB-4618-85BD-3F6E00793F3F}"/>
                </c:ext>
              </c:extLst>
            </c:dLbl>
            <c:dLbl>
              <c:idx val="211"/>
              <c:tx>
                <c:rich>
                  <a:bodyPr/>
                  <a:lstStyle/>
                  <a:p>
                    <a:fld id="{A562CE04-7906-45BE-AFC8-137FAE683D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15BB-4618-85BD-3F6E00793F3F}"/>
                </c:ext>
              </c:extLst>
            </c:dLbl>
            <c:dLbl>
              <c:idx val="212"/>
              <c:tx>
                <c:rich>
                  <a:bodyPr/>
                  <a:lstStyle/>
                  <a:p>
                    <a:fld id="{1D6C7E8B-E7B1-4118-AC88-85BB6BE649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15BB-4618-85BD-3F6E00793F3F}"/>
                </c:ext>
              </c:extLst>
            </c:dLbl>
            <c:dLbl>
              <c:idx val="213"/>
              <c:tx>
                <c:rich>
                  <a:bodyPr/>
                  <a:lstStyle/>
                  <a:p>
                    <a:fld id="{CC8E0723-EEB0-4FA2-AB99-B2C0299E62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15BB-4618-85BD-3F6E00793F3F}"/>
                </c:ext>
              </c:extLst>
            </c:dLbl>
            <c:dLbl>
              <c:idx val="214"/>
              <c:tx>
                <c:rich>
                  <a:bodyPr/>
                  <a:lstStyle/>
                  <a:p>
                    <a:fld id="{AFF148CA-678F-41B5-955F-B105E595EC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15BB-4618-85BD-3F6E00793F3F}"/>
                </c:ext>
              </c:extLst>
            </c:dLbl>
            <c:dLbl>
              <c:idx val="215"/>
              <c:tx>
                <c:rich>
                  <a:bodyPr/>
                  <a:lstStyle/>
                  <a:p>
                    <a:fld id="{8C3BEDC9-9F45-42C2-BE79-C53FD39A50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15BB-4618-85BD-3F6E00793F3F}"/>
                </c:ext>
              </c:extLst>
            </c:dLbl>
            <c:dLbl>
              <c:idx val="216"/>
              <c:tx>
                <c:rich>
                  <a:bodyPr/>
                  <a:lstStyle/>
                  <a:p>
                    <a:fld id="{38C29BB5-23C8-475C-80C3-5A39871670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15BB-4618-85BD-3F6E00793F3F}"/>
                </c:ext>
              </c:extLst>
            </c:dLbl>
            <c:dLbl>
              <c:idx val="217"/>
              <c:tx>
                <c:rich>
                  <a:bodyPr/>
                  <a:lstStyle/>
                  <a:p>
                    <a:fld id="{EF8D6255-6911-447E-A870-CA6D6C9038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15BB-4618-85BD-3F6E00793F3F}"/>
                </c:ext>
              </c:extLst>
            </c:dLbl>
            <c:dLbl>
              <c:idx val="218"/>
              <c:tx>
                <c:rich>
                  <a:bodyPr/>
                  <a:lstStyle/>
                  <a:p>
                    <a:fld id="{2515B3A3-79D3-41B4-8FA7-4E0BA08259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15BB-4618-85BD-3F6E00793F3F}"/>
                </c:ext>
              </c:extLst>
            </c:dLbl>
            <c:dLbl>
              <c:idx val="219"/>
              <c:tx>
                <c:rich>
                  <a:bodyPr/>
                  <a:lstStyle/>
                  <a:p>
                    <a:fld id="{B784CC41-3E51-49E5-9F24-05EC859AC8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15BB-4618-85BD-3F6E00793F3F}"/>
                </c:ext>
              </c:extLst>
            </c:dLbl>
            <c:dLbl>
              <c:idx val="220"/>
              <c:tx>
                <c:rich>
                  <a:bodyPr/>
                  <a:lstStyle/>
                  <a:p>
                    <a:fld id="{E9B7E37D-4E8E-4C19-9604-DD0F4AEF87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15BB-4618-85BD-3F6E00793F3F}"/>
                </c:ext>
              </c:extLst>
            </c:dLbl>
            <c:dLbl>
              <c:idx val="221"/>
              <c:tx>
                <c:rich>
                  <a:bodyPr/>
                  <a:lstStyle/>
                  <a:p>
                    <a:fld id="{F596D1B5-DA48-4B67-8A84-FD9825E9EC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15BB-4618-85BD-3F6E00793F3F}"/>
                </c:ext>
              </c:extLst>
            </c:dLbl>
            <c:dLbl>
              <c:idx val="222"/>
              <c:tx>
                <c:rich>
                  <a:bodyPr/>
                  <a:lstStyle/>
                  <a:p>
                    <a:fld id="{4A234639-6653-4CAD-B595-5F28FFEAA0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15BB-4618-85BD-3F6E00793F3F}"/>
                </c:ext>
              </c:extLst>
            </c:dLbl>
            <c:dLbl>
              <c:idx val="223"/>
              <c:tx>
                <c:rich>
                  <a:bodyPr/>
                  <a:lstStyle/>
                  <a:p>
                    <a:fld id="{FB55F258-A6B6-432B-8C1B-F0DF552F8C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15BB-4618-85BD-3F6E00793F3F}"/>
                </c:ext>
              </c:extLst>
            </c:dLbl>
            <c:dLbl>
              <c:idx val="224"/>
              <c:tx>
                <c:rich>
                  <a:bodyPr/>
                  <a:lstStyle/>
                  <a:p>
                    <a:fld id="{783F8B30-70B0-4231-8B17-36A27EFB50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15BB-4618-85BD-3F6E00793F3F}"/>
                </c:ext>
              </c:extLst>
            </c:dLbl>
            <c:dLbl>
              <c:idx val="225"/>
              <c:tx>
                <c:rich>
                  <a:bodyPr/>
                  <a:lstStyle/>
                  <a:p>
                    <a:fld id="{97197CAA-F1BF-4BF4-910E-83424BE8CB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15BB-4618-85BD-3F6E00793F3F}"/>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15BB-4618-85BD-3F6E00793F3F}"/>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15BB-4618-85BD-3F6E00793F3F}"/>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15BB-4618-85BD-3F6E00793F3F}"/>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15BB-4618-85BD-3F6E00793F3F}"/>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15BB-4618-85BD-3F6E00793F3F}"/>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15BB-4618-85BD-3F6E00793F3F}"/>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15BB-4618-85BD-3F6E00793F3F}"/>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15BB-4618-85BD-3F6E00793F3F}"/>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15BB-4618-85BD-3F6E00793F3F}"/>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15BB-4618-85BD-3F6E00793F3F}"/>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15BB-4618-85BD-3F6E00793F3F}"/>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15BB-4618-85BD-3F6E00793F3F}"/>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15BB-4618-85BD-3F6E00793F3F}"/>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15BB-4618-85BD-3F6E00793F3F}"/>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15BB-4618-85BD-3F6E00793F3F}"/>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15BB-4618-85BD-3F6E00793F3F}"/>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15BB-4618-85BD-3F6E00793F3F}"/>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15BB-4618-85BD-3F6E00793F3F}"/>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15BB-4618-85BD-3F6E00793F3F}"/>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15BB-4618-85BD-3F6E00793F3F}"/>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15BB-4618-85BD-3F6E00793F3F}"/>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15BB-4618-85BD-3F6E00793F3F}"/>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15BB-4618-85BD-3F6E00793F3F}"/>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15BB-4618-85BD-3F6E00793F3F}"/>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15BB-4618-85BD-3F6E00793F3F}"/>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15BB-4618-85BD-3F6E00793F3F}"/>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15BB-4618-85BD-3F6E00793F3F}"/>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15BB-4618-85BD-3F6E00793F3F}"/>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15BB-4618-85BD-3F6E00793F3F}"/>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15BB-4618-85BD-3F6E00793F3F}"/>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15BB-4618-85BD-3F6E00793F3F}"/>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15BB-4618-85BD-3F6E00793F3F}"/>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15BB-4618-85BD-3F6E00793F3F}"/>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15BB-4618-85BD-3F6E00793F3F}"/>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15BB-4618-85BD-3F6E00793F3F}"/>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15BB-4618-85BD-3F6E00793F3F}"/>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15BB-4618-85BD-3F6E00793F3F}"/>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15BB-4618-85BD-3F6E00793F3F}"/>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15BB-4618-85BD-3F6E00793F3F}"/>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15BB-4618-85BD-3F6E00793F3F}"/>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15BB-4618-85BD-3F6E00793F3F}"/>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15BB-4618-85BD-3F6E00793F3F}"/>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15BB-4618-85BD-3F6E00793F3F}"/>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15BB-4618-85BD-3F6E00793F3F}"/>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15BB-4618-85BD-3F6E00793F3F}"/>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15BB-4618-85BD-3F6E00793F3F}"/>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15BB-4618-85BD-3F6E00793F3F}"/>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15BB-4618-85BD-3F6E00793F3F}"/>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15BB-4618-85BD-3F6E00793F3F}"/>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15BB-4618-85BD-3F6E00793F3F}"/>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15BB-4618-85BD-3F6E00793F3F}"/>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15BB-4618-85BD-3F6E00793F3F}"/>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15BB-4618-85BD-3F6E00793F3F}"/>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15BB-4618-85BD-3F6E00793F3F}"/>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15BB-4618-85BD-3F6E00793F3F}"/>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15BB-4618-85BD-3F6E00793F3F}"/>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15BB-4618-85BD-3F6E00793F3F}"/>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15BB-4618-85BD-3F6E00793F3F}"/>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15BB-4618-85BD-3F6E00793F3F}"/>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15BB-4618-85BD-3F6E00793F3F}"/>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15BB-4618-85BD-3F6E00793F3F}"/>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15BB-4618-85BD-3F6E00793F3F}"/>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15BB-4618-85BD-3F6E00793F3F}"/>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15BB-4618-85BD-3F6E00793F3F}"/>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15BB-4618-85BD-3F6E00793F3F}"/>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15BB-4618-85BD-3F6E00793F3F}"/>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15BB-4618-85BD-3F6E00793F3F}"/>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15BB-4618-85BD-3F6E00793F3F}"/>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15BB-4618-85BD-3F6E00793F3F}"/>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15BB-4618-85BD-3F6E00793F3F}"/>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15BB-4618-85BD-3F6E00793F3F}"/>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15BB-4618-85BD-3F6E00793F3F}"/>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15BB-4618-85BD-3F6E00793F3F}"/>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100</c:v>
                </c:pt>
                <c:pt idx="1">
                  <c:v>87.120109558105469</c:v>
                </c:pt>
                <c:pt idx="2">
                  <c:v>73.416000366210938</c:v>
                </c:pt>
                <c:pt idx="3">
                  <c:v>60.704277038574219</c:v>
                </c:pt>
                <c:pt idx="4">
                  <c:v>49.853225708007813</c:v>
                </c:pt>
                <c:pt idx="5">
                  <c:v>40.702011108398438</c:v>
                </c:pt>
                <c:pt idx="6">
                  <c:v>32.392601013183594</c:v>
                </c:pt>
                <c:pt idx="7">
                  <c:v>25.43927001953125</c:v>
                </c:pt>
                <c:pt idx="8">
                  <c:v>19.612394332885742</c:v>
                </c:pt>
                <c:pt idx="9">
                  <c:v>14.417017936706543</c:v>
                </c:pt>
                <c:pt idx="10">
                  <c:v>10.30030632019043</c:v>
                </c:pt>
                <c:pt idx="11">
                  <c:v>7.2796883583068848</c:v>
                </c:pt>
                <c:pt idx="12">
                  <c:v>5.2365665435791016</c:v>
                </c:pt>
                <c:pt idx="13">
                  <c:v>3.8889193534851074</c:v>
                </c:pt>
                <c:pt idx="14">
                  <c:v>3.0529284477233887</c:v>
                </c:pt>
                <c:pt idx="15">
                  <c:v>2.5336732864379883</c:v>
                </c:pt>
                <c:pt idx="16">
                  <c:v>2.2499604225158691</c:v>
                </c:pt>
                <c:pt idx="17">
                  <c:v>2.1010787487030029</c:v>
                </c:pt>
                <c:pt idx="18">
                  <c:v>2.0205538272857666</c:v>
                </c:pt>
                <c:pt idx="19">
                  <c:v>2</c:v>
                </c:pt>
                <c:pt idx="20">
                  <c:v>2.0076122283935547</c:v>
                </c:pt>
                <c:pt idx="21">
                  <c:v>2.0281827449798584</c:v>
                </c:pt>
                <c:pt idx="22">
                  <c:v>2.0652954578399658</c:v>
                </c:pt>
                <c:pt idx="23">
                  <c:v>2.1116104125976563</c:v>
                </c:pt>
                <c:pt idx="24">
                  <c:v>2.1486110687255859</c:v>
                </c:pt>
                <c:pt idx="25">
                  <c:v>2.1806700229644775</c:v>
                </c:pt>
                <c:pt idx="26">
                  <c:v>2.2231104373931885</c:v>
                </c:pt>
                <c:pt idx="27">
                  <c:v>2.2672441005706787</c:v>
                </c:pt>
                <c:pt idx="28">
                  <c:v>2.2947921752929688</c:v>
                </c:pt>
                <c:pt idx="29">
                  <c:v>2.3216638565063477</c:v>
                </c:pt>
                <c:pt idx="30">
                  <c:v>2.3413140773773193</c:v>
                </c:pt>
                <c:pt idx="31">
                  <c:v>2.3510992527008057</c:v>
                </c:pt>
                <c:pt idx="32">
                  <c:v>2.3687303066253662</c:v>
                </c:pt>
                <c:pt idx="33">
                  <c:v>2.3846795558929443</c:v>
                </c:pt>
                <c:pt idx="34">
                  <c:v>2.3871114253997803</c:v>
                </c:pt>
                <c:pt idx="35">
                  <c:v>2.3818221092224121</c:v>
                </c:pt>
                <c:pt idx="36">
                  <c:v>2.3772244453430176</c:v>
                </c:pt>
                <c:pt idx="37">
                  <c:v>2.3822245597839355</c:v>
                </c:pt>
                <c:pt idx="38">
                  <c:v>2.3873600959777832</c:v>
                </c:pt>
                <c:pt idx="39">
                  <c:v>2.378448486328125</c:v>
                </c:pt>
                <c:pt idx="40">
                  <c:v>2.3772962093353271</c:v>
                </c:pt>
                <c:pt idx="41">
                  <c:v>2.3777287006378174</c:v>
                </c:pt>
                <c:pt idx="42">
                  <c:v>2.3742516040802002</c:v>
                </c:pt>
                <c:pt idx="43">
                  <c:v>2.3729372024536133</c:v>
                </c:pt>
                <c:pt idx="44">
                  <c:v>2.3651797771453857</c:v>
                </c:pt>
                <c:pt idx="45">
                  <c:v>2.3686401844024658</c:v>
                </c:pt>
                <c:pt idx="46">
                  <c:v>2.3725664615631104</c:v>
                </c:pt>
                <c:pt idx="47">
                  <c:v>2.3702383041381836</c:v>
                </c:pt>
                <c:pt idx="48">
                  <c:v>2.3686885833740234</c:v>
                </c:pt>
                <c:pt idx="49">
                  <c:v>2.3680689334869385</c:v>
                </c:pt>
                <c:pt idx="50">
                  <c:v>2.37325119972229</c:v>
                </c:pt>
                <c:pt idx="51">
                  <c:v>2.3748495578765869</c:v>
                </c:pt>
                <c:pt idx="52">
                  <c:v>2.3770723342895508</c:v>
                </c:pt>
                <c:pt idx="53">
                  <c:v>2.3781545162200928</c:v>
                </c:pt>
                <c:pt idx="54">
                  <c:v>2.3899705410003662</c:v>
                </c:pt>
                <c:pt idx="55">
                  <c:v>2.3993330001831055</c:v>
                </c:pt>
                <c:pt idx="56">
                  <c:v>2.3990473747253418</c:v>
                </c:pt>
                <c:pt idx="57">
                  <c:v>2.3892924785614014</c:v>
                </c:pt>
                <c:pt idx="58">
                  <c:v>2.4017295837402344</c:v>
                </c:pt>
                <c:pt idx="59">
                  <c:v>2.4147295951843262</c:v>
                </c:pt>
                <c:pt idx="60">
                  <c:v>2.4233505725860596</c:v>
                </c:pt>
                <c:pt idx="61">
                  <c:v>2.4336533546447754</c:v>
                </c:pt>
                <c:pt idx="62">
                  <c:v>2.429511547088623</c:v>
                </c:pt>
                <c:pt idx="63">
                  <c:v>2.4293210506439209</c:v>
                </c:pt>
                <c:pt idx="64">
                  <c:v>2.4238364696502686</c:v>
                </c:pt>
                <c:pt idx="65">
                  <c:v>2.4224836826324463</c:v>
                </c:pt>
                <c:pt idx="66">
                  <c:v>2.4319181442260742</c:v>
                </c:pt>
                <c:pt idx="67">
                  <c:v>2.433030366897583</c:v>
                </c:pt>
                <c:pt idx="68">
                  <c:v>2.4453589916229248</c:v>
                </c:pt>
                <c:pt idx="69">
                  <c:v>2.4485487937927246</c:v>
                </c:pt>
                <c:pt idx="70">
                  <c:v>2.4357209205627441</c:v>
                </c:pt>
                <c:pt idx="71">
                  <c:v>2.433250904083252</c:v>
                </c:pt>
                <c:pt idx="72">
                  <c:v>2.4322822093963623</c:v>
                </c:pt>
                <c:pt idx="73">
                  <c:v>2.43121337890625</c:v>
                </c:pt>
                <c:pt idx="74">
                  <c:v>2.4419403076171875</c:v>
                </c:pt>
                <c:pt idx="75">
                  <c:v>2.4424612522125244</c:v>
                </c:pt>
                <c:pt idx="76">
                  <c:v>2.4289169311523438</c:v>
                </c:pt>
                <c:pt idx="77">
                  <c:v>2.4208521842956543</c:v>
                </c:pt>
                <c:pt idx="78">
                  <c:v>2.4378936290740967</c:v>
                </c:pt>
                <c:pt idx="79">
                  <c:v>2.4431159496307373</c:v>
                </c:pt>
                <c:pt idx="80">
                  <c:v>2.4471759796142578</c:v>
                </c:pt>
                <c:pt idx="81">
                  <c:v>2.4548935890197754</c:v>
                </c:pt>
                <c:pt idx="82">
                  <c:v>2.44400954246521</c:v>
                </c:pt>
                <c:pt idx="83">
                  <c:v>2.4264235496520996</c:v>
                </c:pt>
                <c:pt idx="84">
                  <c:v>2.4261112213134766</c:v>
                </c:pt>
                <c:pt idx="85">
                  <c:v>2.4349894523620605</c:v>
                </c:pt>
                <c:pt idx="86">
                  <c:v>2.4304299354553223</c:v>
                </c:pt>
                <c:pt idx="87">
                  <c:v>2.4283709526062012</c:v>
                </c:pt>
                <c:pt idx="88">
                  <c:v>2.4336349964141846</c:v>
                </c:pt>
                <c:pt idx="89">
                  <c:v>2.4296116828918457</c:v>
                </c:pt>
                <c:pt idx="90">
                  <c:v>2.4171679019927979</c:v>
                </c:pt>
                <c:pt idx="91">
                  <c:v>2.4243125915527344</c:v>
                </c:pt>
                <c:pt idx="92">
                  <c:v>2.4324924945831299</c:v>
                </c:pt>
                <c:pt idx="93">
                  <c:v>2.4253981113433838</c:v>
                </c:pt>
                <c:pt idx="94">
                  <c:v>2.4128272533416748</c:v>
                </c:pt>
                <c:pt idx="95">
                  <c:v>2.415471076965332</c:v>
                </c:pt>
                <c:pt idx="96">
                  <c:v>2.4300944805145264</c:v>
                </c:pt>
                <c:pt idx="97">
                  <c:v>2.4343781471252441</c:v>
                </c:pt>
                <c:pt idx="98">
                  <c:v>2.4252426624298096</c:v>
                </c:pt>
                <c:pt idx="99">
                  <c:v>2.4153542518615723</c:v>
                </c:pt>
                <c:pt idx="100">
                  <c:v>2.4275774955749512</c:v>
                </c:pt>
                <c:pt idx="101">
                  <c:v>2.4279882907867432</c:v>
                </c:pt>
                <c:pt idx="102">
                  <c:v>2.4203276634216309</c:v>
                </c:pt>
                <c:pt idx="103">
                  <c:v>2.4184138774871826</c:v>
                </c:pt>
                <c:pt idx="104">
                  <c:v>2.4051582813262939</c:v>
                </c:pt>
                <c:pt idx="105">
                  <c:v>2.4051632881164551</c:v>
                </c:pt>
                <c:pt idx="106">
                  <c:v>2.4157333374023438</c:v>
                </c:pt>
                <c:pt idx="107">
                  <c:v>2.4230749607086182</c:v>
                </c:pt>
                <c:pt idx="108">
                  <c:v>2.4203910827636719</c:v>
                </c:pt>
                <c:pt idx="109">
                  <c:v>2.4316592216491699</c:v>
                </c:pt>
                <c:pt idx="110">
                  <c:v>2.4462826251983643</c:v>
                </c:pt>
                <c:pt idx="111">
                  <c:v>2.4234240055084229</c:v>
                </c:pt>
                <c:pt idx="112">
                  <c:v>2.4043083190917969</c:v>
                </c:pt>
                <c:pt idx="113">
                  <c:v>2.4163880348205566</c:v>
                </c:pt>
                <c:pt idx="114">
                  <c:v>2.4322521686553955</c:v>
                </c:pt>
                <c:pt idx="115">
                  <c:v>2.4345366954803467</c:v>
                </c:pt>
                <c:pt idx="116">
                  <c:v>2.4323639869689941</c:v>
                </c:pt>
                <c:pt idx="117">
                  <c:v>2.436537504196167</c:v>
                </c:pt>
                <c:pt idx="118">
                  <c:v>2.4510154724121094</c:v>
                </c:pt>
                <c:pt idx="119">
                  <c:v>2.44199538230896</c:v>
                </c:pt>
                <c:pt idx="120">
                  <c:v>2.4264652729034424</c:v>
                </c:pt>
                <c:pt idx="121">
                  <c:v>2.4241554737091064</c:v>
                </c:pt>
                <c:pt idx="122">
                  <c:v>2.4213931560516357</c:v>
                </c:pt>
                <c:pt idx="123">
                  <c:v>2.4425816535949707</c:v>
                </c:pt>
                <c:pt idx="124">
                  <c:v>2.4382743835449219</c:v>
                </c:pt>
                <c:pt idx="125">
                  <c:v>2.4188013076782227</c:v>
                </c:pt>
                <c:pt idx="126">
                  <c:v>2.4176003932952881</c:v>
                </c:pt>
                <c:pt idx="127">
                  <c:v>2.4076683521270752</c:v>
                </c:pt>
                <c:pt idx="128">
                  <c:v>2.4126503467559814</c:v>
                </c:pt>
                <c:pt idx="129">
                  <c:v>2.4376766681671143</c:v>
                </c:pt>
                <c:pt idx="130">
                  <c:v>2.4318163394927979</c:v>
                </c:pt>
                <c:pt idx="131">
                  <c:v>2.4158685207366943</c:v>
                </c:pt>
                <c:pt idx="132">
                  <c:v>2.4026381969451904</c:v>
                </c:pt>
                <c:pt idx="133">
                  <c:v>2.3984427452087402</c:v>
                </c:pt>
                <c:pt idx="134">
                  <c:v>2.4323923587799072</c:v>
                </c:pt>
                <c:pt idx="135">
                  <c:v>2.4676430225372314</c:v>
                </c:pt>
                <c:pt idx="136">
                  <c:v>2.650576114654541</c:v>
                </c:pt>
                <c:pt idx="137">
                  <c:v>2.7315452098846436</c:v>
                </c:pt>
                <c:pt idx="138">
                  <c:v>2.5527389049530029</c:v>
                </c:pt>
                <c:pt idx="139">
                  <c:v>2.4262146949768066</c:v>
                </c:pt>
                <c:pt idx="140">
                  <c:v>2.3950526714324951</c:v>
                </c:pt>
                <c:pt idx="141">
                  <c:v>2.4343264102935791</c:v>
                </c:pt>
                <c:pt idx="142">
                  <c:v>2.4634208679199219</c:v>
                </c:pt>
                <c:pt idx="143">
                  <c:v>2.4092667102813721</c:v>
                </c:pt>
                <c:pt idx="144">
                  <c:v>2.4083731174468994</c:v>
                </c:pt>
                <c:pt idx="145">
                  <c:v>2.432579517364502</c:v>
                </c:pt>
                <c:pt idx="146">
                  <c:v>2.4193873405456543</c:v>
                </c:pt>
                <c:pt idx="147">
                  <c:v>2.4620983600616455</c:v>
                </c:pt>
                <c:pt idx="148">
                  <c:v>2.5336499214172363</c:v>
                </c:pt>
                <c:pt idx="149">
                  <c:v>2.5115928649902344</c:v>
                </c:pt>
                <c:pt idx="150">
                  <c:v>2.3948822021484375</c:v>
                </c:pt>
                <c:pt idx="151">
                  <c:v>2.4073176383972168</c:v>
                </c:pt>
                <c:pt idx="152">
                  <c:v>2.4254615306854248</c:v>
                </c:pt>
                <c:pt idx="153">
                  <c:v>2.4175353050231934</c:v>
                </c:pt>
                <c:pt idx="154">
                  <c:v>2.4447660446166992</c:v>
                </c:pt>
                <c:pt idx="155">
                  <c:v>2.4458332061767578</c:v>
                </c:pt>
                <c:pt idx="156">
                  <c:v>2.4157249927520752</c:v>
                </c:pt>
                <c:pt idx="157">
                  <c:v>2.4382393360137939</c:v>
                </c:pt>
                <c:pt idx="158">
                  <c:v>2.4334244728088379</c:v>
                </c:pt>
                <c:pt idx="159">
                  <c:v>2.4030356407165527</c:v>
                </c:pt>
                <c:pt idx="160">
                  <c:v>2.4328901767730713</c:v>
                </c:pt>
                <c:pt idx="161">
                  <c:v>2.4457981586456299</c:v>
                </c:pt>
                <c:pt idx="162">
                  <c:v>2.4470374584197998</c:v>
                </c:pt>
                <c:pt idx="163">
                  <c:v>2.4581301212310791</c:v>
                </c:pt>
                <c:pt idx="164">
                  <c:v>2.4270849227905273</c:v>
                </c:pt>
                <c:pt idx="165">
                  <c:v>2.4112374782562256</c:v>
                </c:pt>
                <c:pt idx="166">
                  <c:v>2.4410717487335205</c:v>
                </c:pt>
                <c:pt idx="167">
                  <c:v>2.4506497383117676</c:v>
                </c:pt>
                <c:pt idx="168">
                  <c:v>2.4515132904052734</c:v>
                </c:pt>
                <c:pt idx="169">
                  <c:v>2.4188847541809082</c:v>
                </c:pt>
                <c:pt idx="170">
                  <c:v>2.4179344177246094</c:v>
                </c:pt>
                <c:pt idx="171">
                  <c:v>2.438488245010376</c:v>
                </c:pt>
                <c:pt idx="172">
                  <c:v>2.4103271961212158</c:v>
                </c:pt>
                <c:pt idx="173">
                  <c:v>2.4286279678344727</c:v>
                </c:pt>
                <c:pt idx="174">
                  <c:v>2.4503607749938965</c:v>
                </c:pt>
                <c:pt idx="175">
                  <c:v>2.4322171211242676</c:v>
                </c:pt>
                <c:pt idx="176">
                  <c:v>2.4350595474243164</c:v>
                </c:pt>
                <c:pt idx="177">
                  <c:v>2.4306821823120117</c:v>
                </c:pt>
                <c:pt idx="178">
                  <c:v>2.4268960952758789</c:v>
                </c:pt>
                <c:pt idx="179">
                  <c:v>2.4071323871612549</c:v>
                </c:pt>
                <c:pt idx="180">
                  <c:v>2.3905951976776123</c:v>
                </c:pt>
                <c:pt idx="181">
                  <c:v>2.3906903266906738</c:v>
                </c:pt>
                <c:pt idx="182">
                  <c:v>2.3978333473205566</c:v>
                </c:pt>
                <c:pt idx="183">
                  <c:v>2.3985097408294678</c:v>
                </c:pt>
                <c:pt idx="184">
                  <c:v>2.4165065288543701</c:v>
                </c:pt>
                <c:pt idx="185">
                  <c:v>2.3913934230804443</c:v>
                </c:pt>
                <c:pt idx="186">
                  <c:v>2.3894877433776855</c:v>
                </c:pt>
                <c:pt idx="187">
                  <c:v>2.3942909240722656</c:v>
                </c:pt>
                <c:pt idx="188">
                  <c:v>2.3773062229156494</c:v>
                </c:pt>
                <c:pt idx="189">
                  <c:v>2.4416496753692627</c:v>
                </c:pt>
                <c:pt idx="190">
                  <c:v>2.4438090324401855</c:v>
                </c:pt>
                <c:pt idx="191">
                  <c:v>2.3977580070495605</c:v>
                </c:pt>
                <c:pt idx="192">
                  <c:v>2.4033846855163574</c:v>
                </c:pt>
                <c:pt idx="193">
                  <c:v>2.3983476161956787</c:v>
                </c:pt>
                <c:pt idx="194">
                  <c:v>2.4358594417572021</c:v>
                </c:pt>
                <c:pt idx="195">
                  <c:v>2.4462056159973145</c:v>
                </c:pt>
                <c:pt idx="196">
                  <c:v>2.4676814079284668</c:v>
                </c:pt>
                <c:pt idx="197">
                  <c:v>2.4445958137512207</c:v>
                </c:pt>
                <c:pt idx="198">
                  <c:v>2.4331488609313965</c:v>
                </c:pt>
                <c:pt idx="199">
                  <c:v>2.4480228424072266</c:v>
                </c:pt>
                <c:pt idx="200">
                  <c:v>2.4610042572021484</c:v>
                </c:pt>
                <c:pt idx="201">
                  <c:v>2.4440979957580566</c:v>
                </c:pt>
                <c:pt idx="202">
                  <c:v>2.3918359279632568</c:v>
                </c:pt>
                <c:pt idx="203">
                  <c:v>2.4584991931915283</c:v>
                </c:pt>
                <c:pt idx="204">
                  <c:v>2.4474315643310547</c:v>
                </c:pt>
                <c:pt idx="205">
                  <c:v>2.4643127918243408</c:v>
                </c:pt>
                <c:pt idx="206">
                  <c:v>2.42746901512146</c:v>
                </c:pt>
                <c:pt idx="207">
                  <c:v>2.4295032024383545</c:v>
                </c:pt>
                <c:pt idx="208">
                  <c:v>2.4071540832519531</c:v>
                </c:pt>
                <c:pt idx="209">
                  <c:v>2.3899405002593994</c:v>
                </c:pt>
                <c:pt idx="210">
                  <c:v>2.394017219543457</c:v>
                </c:pt>
                <c:pt idx="211">
                  <c:v>2.3860139846801758</c:v>
                </c:pt>
                <c:pt idx="212">
                  <c:v>2.4439177513122559</c:v>
                </c:pt>
                <c:pt idx="213">
                  <c:v>2.4029855728149414</c:v>
                </c:pt>
                <c:pt idx="214">
                  <c:v>2.4786205291748047</c:v>
                </c:pt>
                <c:pt idx="215">
                  <c:v>2.4372789859771729</c:v>
                </c:pt>
                <c:pt idx="216">
                  <c:v>2.3995952606201172</c:v>
                </c:pt>
                <c:pt idx="217">
                  <c:v>2.4199469089508057</c:v>
                </c:pt>
                <c:pt idx="218">
                  <c:v>2.3726885318756104</c:v>
                </c:pt>
                <c:pt idx="219">
                  <c:v>2.4018697738647461</c:v>
                </c:pt>
                <c:pt idx="220">
                  <c:v>2.382685661315918</c:v>
                </c:pt>
                <c:pt idx="221">
                  <c:v>2.4550004005432129</c:v>
                </c:pt>
                <c:pt idx="222">
                  <c:v>2.5456912517547607</c:v>
                </c:pt>
                <c:pt idx="223">
                  <c:v>2.4148964881896973</c:v>
                </c:pt>
                <c:pt idx="224">
                  <c:v>2.4798495769500732</c:v>
                </c:pt>
                <c:pt idx="225">
                  <c:v>2.3701748847961426</c:v>
                </c:pt>
              </c:numCache>
            </c:numRef>
          </c:yVal>
          <c:smooth val="1"/>
          <c:extLst>
            <c:ext xmlns:c15="http://schemas.microsoft.com/office/drawing/2012/chart" uri="{02D57815-91ED-43cb-92C2-25804820EDAC}">
              <c15:datalabelsRange>
                <c15:f>PeakLabels!$H$2:$H$300</c15:f>
                <c15:dlblRangeCache>
                  <c:ptCount val="299"/>
                </c15:dlblRangeCache>
              </c15:datalabelsRange>
            </c:ext>
            <c:ext xmlns:c16="http://schemas.microsoft.com/office/drawing/2014/chart" uri="{C3380CC4-5D6E-409C-BE32-E72D297353CC}">
              <c16:uniqueId val="{00000000-5141-46A1-A384-3EAD28626209}"/>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35E7A735-59A5-4EC7-B12F-614A2BCFBC7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141-46A1-A384-3EAD28626209}"/>
                </c:ext>
              </c:extLst>
            </c:dLbl>
            <c:dLbl>
              <c:idx val="1"/>
              <c:tx>
                <c:rich>
                  <a:bodyPr/>
                  <a:lstStyle/>
                  <a:p>
                    <a:fld id="{5C24ADC6-C46E-4151-946E-18DF0F08053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141-46A1-A384-3EAD28626209}"/>
                </c:ext>
              </c:extLst>
            </c:dLbl>
            <c:dLbl>
              <c:idx val="2"/>
              <c:tx>
                <c:rich>
                  <a:bodyPr/>
                  <a:lstStyle/>
                  <a:p>
                    <a:fld id="{D0CD4744-36A7-4057-95BC-3F351296F4B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141-46A1-A384-3EAD28626209}"/>
                </c:ext>
              </c:extLst>
            </c:dLbl>
            <c:dLbl>
              <c:idx val="3"/>
              <c:tx>
                <c:rich>
                  <a:bodyPr/>
                  <a:lstStyle/>
                  <a:p>
                    <a:fld id="{AC79FD91-7C06-4010-A6CA-2E348AF2D7F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141-46A1-A384-3EAD28626209}"/>
                </c:ext>
              </c:extLst>
            </c:dLbl>
            <c:dLbl>
              <c:idx val="4"/>
              <c:tx>
                <c:rich>
                  <a:bodyPr/>
                  <a:lstStyle/>
                  <a:p>
                    <a:fld id="{0A0A8FB6-0DD2-4BD9-B7E8-34D202BCF537}"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141-46A1-A384-3EAD28626209}"/>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5141-46A1-A384-3EAD28626209}"/>
            </c:ext>
          </c:extLst>
        </c:ser>
        <c:dLbls>
          <c:showLegendKey val="0"/>
          <c:showVal val="0"/>
          <c:showCatName val="0"/>
          <c:showSerName val="0"/>
          <c:showPercent val="0"/>
          <c:showBubbleSize val="0"/>
        </c:dLbls>
        <c:axId val="1767902464"/>
        <c:axId val="1767907904"/>
      </c:scatterChart>
      <c:valAx>
        <c:axId val="176790246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7904"/>
        <c:crossesAt val="0"/>
        <c:crossBetween val="midCat"/>
        <c:majorUnit val="100"/>
      </c:valAx>
      <c:valAx>
        <c:axId val="1767907904"/>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246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75.732201890212437</c:v>
                </c:pt>
                <c:pt idx="1">
                  <c:v>75.867918337711885</c:v>
                </c:pt>
                <c:pt idx="2">
                  <c:v>72.661617265537146</c:v>
                </c:pt>
                <c:pt idx="3">
                  <c:v>69.30687632890988</c:v>
                </c:pt>
                <c:pt idx="4">
                  <c:v>66.766434077279371</c:v>
                </c:pt>
                <c:pt idx="5">
                  <c:v>64.497424720647757</c:v>
                </c:pt>
                <c:pt idx="6">
                  <c:v>62.22417422503181</c:v>
                </c:pt>
                <c:pt idx="7">
                  <c:v>60.531959770272913</c:v>
                </c:pt>
                <c:pt idx="8">
                  <c:v>59.810966142932038</c:v>
                </c:pt>
                <c:pt idx="9">
                  <c:v>59.441987051292877</c:v>
                </c:pt>
                <c:pt idx="10">
                  <c:v>58.945773790122978</c:v>
                </c:pt>
                <c:pt idx="11">
                  <c:v>58.258709274656965</c:v>
                </c:pt>
                <c:pt idx="12">
                  <c:v>57.813389681299356</c:v>
                </c:pt>
                <c:pt idx="13">
                  <c:v>57.571644759190939</c:v>
                </c:pt>
                <c:pt idx="14">
                  <c:v>57.86004221012729</c:v>
                </c:pt>
                <c:pt idx="15">
                  <c:v>59.128142766450374</c:v>
                </c:pt>
                <c:pt idx="16">
                  <c:v>61.333535038316604</c:v>
                </c:pt>
                <c:pt idx="17">
                  <c:v>63.386246306745932</c:v>
                </c:pt>
                <c:pt idx="18">
                  <c:v>64.81126900549026</c:v>
                </c:pt>
                <c:pt idx="19">
                  <c:v>65.706149331189835</c:v>
                </c:pt>
                <c:pt idx="20">
                  <c:v>66.104816395719496</c:v>
                </c:pt>
                <c:pt idx="21">
                  <c:v>65.604361995565228</c:v>
                </c:pt>
                <c:pt idx="22">
                  <c:v>63.823083622134824</c:v>
                </c:pt>
                <c:pt idx="23">
                  <c:v>60.930626834802574</c:v>
                </c:pt>
                <c:pt idx="24">
                  <c:v>57.469857423566353</c:v>
                </c:pt>
                <c:pt idx="25">
                  <c:v>54.365343687016207</c:v>
                </c:pt>
                <c:pt idx="26">
                  <c:v>52.363526086399169</c:v>
                </c:pt>
                <c:pt idx="27">
                  <c:v>51.400787536949871</c:v>
                </c:pt>
                <c:pt idx="28">
                  <c:v>51.023326167341999</c:v>
                </c:pt>
                <c:pt idx="29">
                  <c:v>50.768857828280517</c:v>
                </c:pt>
                <c:pt idx="30">
                  <c:v>50.488942655312883</c:v>
                </c:pt>
                <c:pt idx="31">
                  <c:v>50.204786343360887</c:v>
                </c:pt>
                <c:pt idx="32">
                  <c:v>49.924871170393253</c:v>
                </c:pt>
                <c:pt idx="33">
                  <c:v>49.70009080422227</c:v>
                </c:pt>
                <c:pt idx="34">
                  <c:v>49.538927522816657</c:v>
                </c:pt>
                <c:pt idx="35">
                  <c:v>49.365040824457971</c:v>
                </c:pt>
                <c:pt idx="36">
                  <c:v>49.182671848130575</c:v>
                </c:pt>
                <c:pt idx="37">
                  <c:v>49.034231983678048</c:v>
                </c:pt>
                <c:pt idx="38">
                  <c:v>48.919721231100375</c:v>
                </c:pt>
                <c:pt idx="39">
                  <c:v>48.826416173444493</c:v>
                </c:pt>
                <c:pt idx="40">
                  <c:v>48.805210478522703</c:v>
                </c:pt>
                <c:pt idx="41">
                  <c:v>48.877309841256789</c:v>
                </c:pt>
                <c:pt idx="42">
                  <c:v>49.025749705709323</c:v>
                </c:pt>
                <c:pt idx="43">
                  <c:v>49.203877543052364</c:v>
                </c:pt>
                <c:pt idx="44">
                  <c:v>49.428657909223347</c:v>
                </c:pt>
                <c:pt idx="45">
                  <c:v>49.674643970316119</c:v>
                </c:pt>
                <c:pt idx="46">
                  <c:v>49.912147753440181</c:v>
                </c:pt>
                <c:pt idx="47">
                  <c:v>50.141169258595511</c:v>
                </c:pt>
                <c:pt idx="48">
                  <c:v>50.395637597657</c:v>
                </c:pt>
                <c:pt idx="49">
                  <c:v>50.684035048593351</c:v>
                </c:pt>
                <c:pt idx="50">
                  <c:v>51.040290723279433</c:v>
                </c:pt>
                <c:pt idx="51">
                  <c:v>51.52378056749626</c:v>
                </c:pt>
                <c:pt idx="52">
                  <c:v>52.058164079525383</c:v>
                </c:pt>
                <c:pt idx="53">
                  <c:v>52.639200120382448</c:v>
                </c:pt>
                <c:pt idx="54">
                  <c:v>53.317782357879743</c:v>
                </c:pt>
                <c:pt idx="55">
                  <c:v>54.038775985220632</c:v>
                </c:pt>
                <c:pt idx="56">
                  <c:v>54.730081639670999</c:v>
                </c:pt>
                <c:pt idx="57">
                  <c:v>55.374734765293439</c:v>
                </c:pt>
                <c:pt idx="58">
                  <c:v>56.040593585837662</c:v>
                </c:pt>
                <c:pt idx="59">
                  <c:v>56.736140379272392</c:v>
                </c:pt>
                <c:pt idx="60">
                  <c:v>57.406240338800984</c:v>
                </c:pt>
                <c:pt idx="61">
                  <c:v>57.999999796611114</c:v>
                </c:pt>
                <c:pt idx="62">
                  <c:v>58.572553559499461</c:v>
                </c:pt>
                <c:pt idx="63">
                  <c:v>59.009390874888354</c:v>
                </c:pt>
                <c:pt idx="64">
                  <c:v>59.552256664886187</c:v>
                </c:pt>
                <c:pt idx="65">
                  <c:v>60.184186373555548</c:v>
                </c:pt>
                <c:pt idx="66">
                  <c:v>60.837321777146698</c:v>
                </c:pt>
                <c:pt idx="67">
                  <c:v>61.405634401050683</c:v>
                </c:pt>
                <c:pt idx="68">
                  <c:v>61.978188163939031</c:v>
                </c:pt>
                <c:pt idx="69">
                  <c:v>62.826415960810657</c:v>
                </c:pt>
                <c:pt idx="70">
                  <c:v>63.814601344166107</c:v>
                </c:pt>
                <c:pt idx="71">
                  <c:v>64.739169642756167</c:v>
                </c:pt>
                <c:pt idx="72">
                  <c:v>65.523780354862424</c:v>
                </c:pt>
                <c:pt idx="73">
                  <c:v>66.11329867368822</c:v>
                </c:pt>
                <c:pt idx="74">
                  <c:v>66.690093575560908</c:v>
                </c:pt>
                <c:pt idx="75">
                  <c:v>67.495909982588955</c:v>
                </c:pt>
                <c:pt idx="76">
                  <c:v>68.289002972663909</c:v>
                </c:pt>
                <c:pt idx="77">
                  <c:v>68.662223203287439</c:v>
                </c:pt>
                <c:pt idx="78">
                  <c:v>68.62829409141257</c:v>
                </c:pt>
                <c:pt idx="79">
                  <c:v>68.976067488129942</c:v>
                </c:pt>
                <c:pt idx="80">
                  <c:v>69.400181386565748</c:v>
                </c:pt>
                <c:pt idx="81">
                  <c:v>69.400181386565748</c:v>
                </c:pt>
                <c:pt idx="82">
                  <c:v>68.696152315162294</c:v>
                </c:pt>
                <c:pt idx="83">
                  <c:v>67.970917548837065</c:v>
                </c:pt>
                <c:pt idx="84">
                  <c:v>67.839442240321958</c:v>
                </c:pt>
                <c:pt idx="85">
                  <c:v>67.958194131883985</c:v>
                </c:pt>
                <c:pt idx="86">
                  <c:v>68.339896640476212</c:v>
                </c:pt>
                <c:pt idx="87">
                  <c:v>68.653740925318729</c:v>
                </c:pt>
                <c:pt idx="88">
                  <c:v>68.874280152505349</c:v>
                </c:pt>
                <c:pt idx="89">
                  <c:v>68.755528260943322</c:v>
                </c:pt>
                <c:pt idx="90">
                  <c:v>68.492577643913108</c:v>
                </c:pt>
                <c:pt idx="91">
                  <c:v>68.055740328524223</c:v>
                </c:pt>
                <c:pt idx="92">
                  <c:v>67.750378321650444</c:v>
                </c:pt>
                <c:pt idx="93">
                  <c:v>67.542562511416889</c:v>
                </c:pt>
                <c:pt idx="94">
                  <c:v>67.355952396105138</c:v>
                </c:pt>
                <c:pt idx="95">
                  <c:v>67.093001779074925</c:v>
                </c:pt>
                <c:pt idx="96">
                  <c:v>66.842774578997805</c:v>
                </c:pt>
                <c:pt idx="97">
                  <c:v>66.84701571798216</c:v>
                </c:pt>
                <c:pt idx="98">
                  <c:v>67.207512531652597</c:v>
                </c:pt>
                <c:pt idx="99">
                  <c:v>67.7546194606348</c:v>
                </c:pt>
                <c:pt idx="100">
                  <c:v>68.229627026882909</c:v>
                </c:pt>
                <c:pt idx="101">
                  <c:v>68.65798206430307</c:v>
                </c:pt>
                <c:pt idx="102">
                  <c:v>69.065131406801456</c:v>
                </c:pt>
                <c:pt idx="103">
                  <c:v>69.226294688207062</c:v>
                </c:pt>
                <c:pt idx="104">
                  <c:v>69.116025074613759</c:v>
                </c:pt>
                <c:pt idx="105">
                  <c:v>68.819145345708691</c:v>
                </c:pt>
                <c:pt idx="106">
                  <c:v>69.620720613752368</c:v>
                </c:pt>
                <c:pt idx="107">
                  <c:v>70.820962946325722</c:v>
                </c:pt>
                <c:pt idx="108">
                  <c:v>71.54195657366661</c:v>
                </c:pt>
                <c:pt idx="109">
                  <c:v>71.35110531937049</c:v>
                </c:pt>
                <c:pt idx="110">
                  <c:v>70.986367366715697</c:v>
                </c:pt>
                <c:pt idx="111">
                  <c:v>71.117842675230804</c:v>
                </c:pt>
                <c:pt idx="112">
                  <c:v>71.287488234605107</c:v>
                </c:pt>
                <c:pt idx="113">
                  <c:v>71.079672424371566</c:v>
                </c:pt>
                <c:pt idx="114">
                  <c:v>70.350196519061967</c:v>
                </c:pt>
                <c:pt idx="115">
                  <c:v>69.574068084924434</c:v>
                </c:pt>
                <c:pt idx="116">
                  <c:v>69.230535827191432</c:v>
                </c:pt>
                <c:pt idx="117">
                  <c:v>69.162677603441693</c:v>
                </c:pt>
                <c:pt idx="118">
                  <c:v>69.022720016957891</c:v>
                </c:pt>
                <c:pt idx="119">
                  <c:v>68.959102932192508</c:v>
                </c:pt>
                <c:pt idx="120">
                  <c:v>69.145713047504259</c:v>
                </c:pt>
                <c:pt idx="121">
                  <c:v>71.754013522884506</c:v>
                </c:pt>
                <c:pt idx="122">
                  <c:v>73.972129211703802</c:v>
                </c:pt>
                <c:pt idx="123">
                  <c:v>74.604058920373163</c:v>
                </c:pt>
                <c:pt idx="124">
                  <c:v>72.971220411395294</c:v>
                </c:pt>
                <c:pt idx="125">
                  <c:v>71.172977482027449</c:v>
                </c:pt>
                <c:pt idx="126">
                  <c:v>70.638593969998325</c:v>
                </c:pt>
                <c:pt idx="127">
                  <c:v>70.104210457969202</c:v>
                </c:pt>
                <c:pt idx="128">
                  <c:v>69.463798471331117</c:v>
                </c:pt>
                <c:pt idx="129">
                  <c:v>69.090578240707615</c:v>
                </c:pt>
                <c:pt idx="130">
                  <c:v>69.544380112033934</c:v>
                </c:pt>
                <c:pt idx="131">
                  <c:v>71.643743909291203</c:v>
                </c:pt>
                <c:pt idx="132">
                  <c:v>72.839745102880187</c:v>
                </c:pt>
                <c:pt idx="133">
                  <c:v>72.937291299520425</c:v>
                </c:pt>
                <c:pt idx="134">
                  <c:v>71.181459759996173</c:v>
                </c:pt>
                <c:pt idx="135">
                  <c:v>69.069372545785825</c:v>
                </c:pt>
                <c:pt idx="136">
                  <c:v>68.19569791500804</c:v>
                </c:pt>
                <c:pt idx="137">
                  <c:v>68.16600994211754</c:v>
                </c:pt>
                <c:pt idx="138">
                  <c:v>68.272038416726488</c:v>
                </c:pt>
                <c:pt idx="139">
                  <c:v>68.395031447272885</c:v>
                </c:pt>
                <c:pt idx="140">
                  <c:v>68.40775486422595</c:v>
                </c:pt>
                <c:pt idx="141">
                  <c:v>68.390790308288516</c:v>
                </c:pt>
                <c:pt idx="142">
                  <c:v>68.352620057429291</c:v>
                </c:pt>
                <c:pt idx="143">
                  <c:v>68.611329535475136</c:v>
                </c:pt>
                <c:pt idx="144">
                  <c:v>70.67676422085755</c:v>
                </c:pt>
                <c:pt idx="145">
                  <c:v>78.55255931481058</c:v>
                </c:pt>
                <c:pt idx="146">
                  <c:v>89.431080809689163</c:v>
                </c:pt>
                <c:pt idx="147">
                  <c:v>88.854285907816461</c:v>
                </c:pt>
                <c:pt idx="148">
                  <c:v>79.298999776057613</c:v>
                </c:pt>
                <c:pt idx="149">
                  <c:v>72.148439448429812</c:v>
                </c:pt>
                <c:pt idx="150">
                  <c:v>70.545288912342443</c:v>
                </c:pt>
                <c:pt idx="151">
                  <c:v>70.655558525935746</c:v>
                </c:pt>
                <c:pt idx="152">
                  <c:v>70.443501576717864</c:v>
                </c:pt>
                <c:pt idx="153">
                  <c:v>69.934564898594871</c:v>
                </c:pt>
                <c:pt idx="154">
                  <c:v>69.926082620626161</c:v>
                </c:pt>
                <c:pt idx="155">
                  <c:v>70.010905400313305</c:v>
                </c:pt>
                <c:pt idx="156">
                  <c:v>70.435019298749125</c:v>
                </c:pt>
                <c:pt idx="157">
                  <c:v>70.566494607264218</c:v>
                </c:pt>
                <c:pt idx="158">
                  <c:v>70.210238932578164</c:v>
                </c:pt>
                <c:pt idx="159">
                  <c:v>69.438351637424972</c:v>
                </c:pt>
                <c:pt idx="160">
                  <c:v>68.751287121958967</c:v>
                </c:pt>
                <c:pt idx="161">
                  <c:v>68.467130810006964</c:v>
                </c:pt>
                <c:pt idx="162">
                  <c:v>68.518024477819267</c:v>
                </c:pt>
                <c:pt idx="163">
                  <c:v>69.001514322036087</c:v>
                </c:pt>
                <c:pt idx="164">
                  <c:v>69.870947813829503</c:v>
                </c:pt>
                <c:pt idx="165">
                  <c:v>70.613147136092181</c:v>
                </c:pt>
                <c:pt idx="166">
                  <c:v>70.664040803904484</c:v>
                </c:pt>
                <c:pt idx="167">
                  <c:v>70.142380708828426</c:v>
                </c:pt>
                <c:pt idx="168">
                  <c:v>69.620720613752368</c:v>
                </c:pt>
                <c:pt idx="169">
                  <c:v>69.815813007032858</c:v>
                </c:pt>
                <c:pt idx="170">
                  <c:v>70.197515515625085</c:v>
                </c:pt>
                <c:pt idx="171">
                  <c:v>70.541047773358088</c:v>
                </c:pt>
                <c:pt idx="172">
                  <c:v>71.363828736323569</c:v>
                </c:pt>
                <c:pt idx="173">
                  <c:v>72.496212845147184</c:v>
                </c:pt>
                <c:pt idx="174">
                  <c:v>72.504695123115894</c:v>
                </c:pt>
                <c:pt idx="175">
                  <c:v>72.322326146788498</c:v>
                </c:pt>
                <c:pt idx="176">
                  <c:v>72.008481861945995</c:v>
                </c:pt>
                <c:pt idx="177">
                  <c:v>71.36806987530791</c:v>
                </c:pt>
                <c:pt idx="178">
                  <c:v>70.90578572601288</c:v>
                </c:pt>
                <c:pt idx="179">
                  <c:v>70.799757251403918</c:v>
                </c:pt>
                <c:pt idx="180">
                  <c:v>70.62587055304526</c:v>
                </c:pt>
                <c:pt idx="181">
                  <c:v>70.375643352968126</c:v>
                </c:pt>
                <c:pt idx="182">
                  <c:v>70.630111692029601</c:v>
                </c:pt>
                <c:pt idx="183">
                  <c:v>71.283247095620766</c:v>
                </c:pt>
                <c:pt idx="184">
                  <c:v>80.418660467928149</c:v>
                </c:pt>
                <c:pt idx="185">
                  <c:v>97.001513896768429</c:v>
                </c:pt>
                <c:pt idx="186">
                  <c:v>99.999999158709613</c:v>
                </c:pt>
                <c:pt idx="187">
                  <c:v>89.982428877655735</c:v>
                </c:pt>
                <c:pt idx="188">
                  <c:v>77.598303043329992</c:v>
                </c:pt>
                <c:pt idx="189">
                  <c:v>72.394425509522577</c:v>
                </c:pt>
                <c:pt idx="190">
                  <c:v>70.990608505700052</c:v>
                </c:pt>
                <c:pt idx="191">
                  <c:v>70.910026864997249</c:v>
                </c:pt>
                <c:pt idx="192">
                  <c:v>70.939714837887749</c:v>
                </c:pt>
                <c:pt idx="193">
                  <c:v>71.206906593902318</c:v>
                </c:pt>
                <c:pt idx="194">
                  <c:v>71.444410377026358</c:v>
                </c:pt>
                <c:pt idx="195">
                  <c:v>71.435928099057648</c:v>
                </c:pt>
                <c:pt idx="196">
                  <c:v>71.257800261714621</c:v>
                </c:pt>
                <c:pt idx="197">
                  <c:v>71.168736343043093</c:v>
                </c:pt>
                <c:pt idx="198">
                  <c:v>71.185700898980514</c:v>
                </c:pt>
                <c:pt idx="199">
                  <c:v>71.270523678667701</c:v>
                </c:pt>
                <c:pt idx="200">
                  <c:v>71.266282539683331</c:v>
                </c:pt>
                <c:pt idx="201">
                  <c:v>71.270523678667701</c:v>
                </c:pt>
                <c:pt idx="202">
                  <c:v>71.274764817652041</c:v>
                </c:pt>
                <c:pt idx="203">
                  <c:v>71.270523678667701</c:v>
                </c:pt>
                <c:pt idx="204">
                  <c:v>71.393516709214069</c:v>
                </c:pt>
                <c:pt idx="205">
                  <c:v>71.57164454655711</c:v>
                </c:pt>
                <c:pt idx="206">
                  <c:v>71.694637577103492</c:v>
                </c:pt>
                <c:pt idx="207">
                  <c:v>71.79218377374373</c:v>
                </c:pt>
                <c:pt idx="208">
                  <c:v>71.987276167024191</c:v>
                </c:pt>
                <c:pt idx="209">
                  <c:v>72.195091977257746</c:v>
                </c:pt>
                <c:pt idx="210">
                  <c:v>72.279914756944919</c:v>
                </c:pt>
                <c:pt idx="211">
                  <c:v>72.343531841710302</c:v>
                </c:pt>
                <c:pt idx="212">
                  <c:v>72.373219814600802</c:v>
                </c:pt>
                <c:pt idx="213">
                  <c:v>72.43683689936617</c:v>
                </c:pt>
                <c:pt idx="214">
                  <c:v>72.585276763818712</c:v>
                </c:pt>
                <c:pt idx="215">
                  <c:v>72.67009954350587</c:v>
                </c:pt>
                <c:pt idx="216">
                  <c:v>72.742198906239949</c:v>
                </c:pt>
                <c:pt idx="217">
                  <c:v>73.022114079207583</c:v>
                </c:pt>
                <c:pt idx="218">
                  <c:v>73.458951394596482</c:v>
                </c:pt>
                <c:pt idx="219">
                  <c:v>73.55649759123672</c:v>
                </c:pt>
                <c:pt idx="220">
                  <c:v>73.564979869205416</c:v>
                </c:pt>
                <c:pt idx="221">
                  <c:v>73.734625428579747</c:v>
                </c:pt>
                <c:pt idx="222">
                  <c:v>73.827930486235644</c:v>
                </c:pt>
                <c:pt idx="223">
                  <c:v>73.654043787876944</c:v>
                </c:pt>
                <c:pt idx="224">
                  <c:v>73.242653306394203</c:v>
                </c:pt>
                <c:pt idx="225">
                  <c:v>73.000908384285793</c:v>
                </c:pt>
                <c:pt idx="226">
                  <c:v>72.945773577489135</c:v>
                </c:pt>
                <c:pt idx="227">
                  <c:v>73.013631801238873</c:v>
                </c:pt>
                <c:pt idx="228">
                  <c:v>73.136624831785255</c:v>
                </c:pt>
                <c:pt idx="229">
                  <c:v>73.179036221628834</c:v>
                </c:pt>
                <c:pt idx="230">
                  <c:v>73.196000777566269</c:v>
                </c:pt>
                <c:pt idx="231">
                  <c:v>73.259617862331652</c:v>
                </c:pt>
                <c:pt idx="232">
                  <c:v>73.361405197956245</c:v>
                </c:pt>
                <c:pt idx="233">
                  <c:v>73.463192533580823</c:v>
                </c:pt>
                <c:pt idx="234">
                  <c:v>73.560738730221075</c:v>
                </c:pt>
                <c:pt idx="235">
                  <c:v>73.641320370923879</c:v>
                </c:pt>
                <c:pt idx="236">
                  <c:v>73.696455177720537</c:v>
                </c:pt>
                <c:pt idx="237">
                  <c:v>73.730384289595392</c:v>
                </c:pt>
                <c:pt idx="238">
                  <c:v>73.730384289595392</c:v>
                </c:pt>
                <c:pt idx="239">
                  <c:v>73.755831123501551</c:v>
                </c:pt>
                <c:pt idx="240">
                  <c:v>73.80672479131384</c:v>
                </c:pt>
                <c:pt idx="241">
                  <c:v>73.976370350688171</c:v>
                </c:pt>
                <c:pt idx="242">
                  <c:v>74.162980465999937</c:v>
                </c:pt>
                <c:pt idx="243">
                  <c:v>74.468342472873701</c:v>
                </c:pt>
                <c:pt idx="244">
                  <c:v>75.38018735451071</c:v>
                </c:pt>
                <c:pt idx="245">
                  <c:v>75.761889863102937</c:v>
                </c:pt>
                <c:pt idx="246">
                  <c:v>75.931535422477253</c:v>
                </c:pt>
                <c:pt idx="247">
                  <c:v>75.40987532740121</c:v>
                </c:pt>
                <c:pt idx="248">
                  <c:v>74.939108900137455</c:v>
                </c:pt>
                <c:pt idx="249">
                  <c:v>74.811874730606718</c:v>
                </c:pt>
                <c:pt idx="250">
                  <c:v>74.994243706934128</c:v>
                </c:pt>
                <c:pt idx="251">
                  <c:v>75.163889266308445</c:v>
                </c:pt>
                <c:pt idx="252">
                  <c:v>75.261435462948683</c:v>
                </c:pt>
                <c:pt idx="253">
                  <c:v>75.117236737480496</c:v>
                </c:pt>
                <c:pt idx="254">
                  <c:v>74.892456371309521</c:v>
                </c:pt>
                <c:pt idx="255">
                  <c:v>74.69736397802906</c:v>
                </c:pt>
                <c:pt idx="256">
                  <c:v>74.667676005138532</c:v>
                </c:pt>
                <c:pt idx="257">
                  <c:v>74.799151313653638</c:v>
                </c:pt>
                <c:pt idx="258">
                  <c:v>74.977279150996694</c:v>
                </c:pt>
                <c:pt idx="259">
                  <c:v>75.096031042558707</c:v>
                </c:pt>
                <c:pt idx="260">
                  <c:v>75.172371544277155</c:v>
                </c:pt>
                <c:pt idx="261">
                  <c:v>75.163889266308445</c:v>
                </c:pt>
                <c:pt idx="262">
                  <c:v>75.138442432402286</c:v>
                </c:pt>
                <c:pt idx="263">
                  <c:v>75.117236737480496</c:v>
                </c:pt>
                <c:pt idx="264">
                  <c:v>75.083307625605642</c:v>
                </c:pt>
                <c:pt idx="265">
                  <c:v>75.062101930683852</c:v>
                </c:pt>
                <c:pt idx="266">
                  <c:v>75.002725984902838</c:v>
                </c:pt>
                <c:pt idx="267">
                  <c:v>74.9051797882626</c:v>
                </c:pt>
                <c:pt idx="268">
                  <c:v>74.786427896700559</c:v>
                </c:pt>
                <c:pt idx="269">
                  <c:v>74.629505754279322</c:v>
                </c:pt>
                <c:pt idx="270">
                  <c:v>74.48954816779549</c:v>
                </c:pt>
                <c:pt idx="271">
                  <c:v>74.332626025374239</c:v>
                </c:pt>
                <c:pt idx="272">
                  <c:v>74.205391855843502</c:v>
                </c:pt>
                <c:pt idx="273">
                  <c:v>74.107845659203264</c:v>
                </c:pt>
                <c:pt idx="274">
                  <c:v>73.938200099828947</c:v>
                </c:pt>
                <c:pt idx="275">
                  <c:v>73.721902011626668</c:v>
                </c:pt>
                <c:pt idx="276">
                  <c:v>73.450469116627758</c:v>
                </c:pt>
                <c:pt idx="277">
                  <c:v>73.1620716656914</c:v>
                </c:pt>
                <c:pt idx="278">
                  <c:v>72.966979272410939</c:v>
                </c:pt>
                <c:pt idx="279">
                  <c:v>72.843986241864542</c:v>
                </c:pt>
                <c:pt idx="280">
                  <c:v>72.860950797801991</c:v>
                </c:pt>
                <c:pt idx="281">
                  <c:v>72.90336218764557</c:v>
                </c:pt>
                <c:pt idx="282">
                  <c:v>73.026355218191938</c:v>
                </c:pt>
                <c:pt idx="283">
                  <c:v>73.276582418269086</c:v>
                </c:pt>
                <c:pt idx="284">
                  <c:v>73.212965333503703</c:v>
                </c:pt>
                <c:pt idx="285">
                  <c:v>73.077248886004242</c:v>
                </c:pt>
                <c:pt idx="286">
                  <c:v>72.665858404521501</c:v>
                </c:pt>
                <c:pt idx="287">
                  <c:v>72.267191339991854</c:v>
                </c:pt>
                <c:pt idx="288">
                  <c:v>71.944864777180626</c:v>
                </c:pt>
                <c:pt idx="289">
                  <c:v>71.656467326244268</c:v>
                </c:pt>
                <c:pt idx="290">
                  <c:v>71.3595875973392</c:v>
                </c:pt>
                <c:pt idx="291">
                  <c:v>71.062707868434131</c:v>
                </c:pt>
                <c:pt idx="292">
                  <c:v>70.748863583591643</c:v>
                </c:pt>
                <c:pt idx="293">
                  <c:v>70.456224993670929</c:v>
                </c:pt>
                <c:pt idx="294">
                  <c:v>70.142380708828426</c:v>
                </c:pt>
                <c:pt idx="295">
                  <c:v>69.781883895157975</c:v>
                </c:pt>
                <c:pt idx="296">
                  <c:v>69.408663664534473</c:v>
                </c:pt>
                <c:pt idx="297">
                  <c:v>68.967585210161218</c:v>
                </c:pt>
                <c:pt idx="298">
                  <c:v>68.445925115085174</c:v>
                </c:pt>
                <c:pt idx="299">
                  <c:v>69.425628220471907</c:v>
                </c:pt>
                <c:pt idx="300">
                  <c:v>78.166615667233984</c:v>
                </c:pt>
                <c:pt idx="301">
                  <c:v>81.466221797064605</c:v>
                </c:pt>
                <c:pt idx="302">
                  <c:v>83.68009634689956</c:v>
                </c:pt>
                <c:pt idx="303">
                  <c:v>79.159042189573796</c:v>
                </c:pt>
                <c:pt idx="304">
                  <c:v>70.744622444607273</c:v>
                </c:pt>
                <c:pt idx="305">
                  <c:v>66.830051162044725</c:v>
                </c:pt>
                <c:pt idx="306">
                  <c:v>65.163283541191987</c:v>
                </c:pt>
                <c:pt idx="307">
                  <c:v>64.289608910414216</c:v>
                </c:pt>
                <c:pt idx="308">
                  <c:v>63.449863391511315</c:v>
                </c:pt>
                <c:pt idx="309">
                  <c:v>62.673734957373775</c:v>
                </c:pt>
                <c:pt idx="310">
                  <c:v>61.973947024954676</c:v>
                </c:pt>
                <c:pt idx="311">
                  <c:v>61.31657048237917</c:v>
                </c:pt>
                <c:pt idx="312">
                  <c:v>60.731293302537743</c:v>
                </c:pt>
                <c:pt idx="313">
                  <c:v>60.129051566758889</c:v>
                </c:pt>
                <c:pt idx="314">
                  <c:v>59.539533247933115</c:v>
                </c:pt>
                <c:pt idx="315">
                  <c:v>58.920326956216826</c:v>
                </c:pt>
                <c:pt idx="316">
                  <c:v>58.18236877293851</c:v>
                </c:pt>
                <c:pt idx="317">
                  <c:v>57.35958780997305</c:v>
                </c:pt>
                <c:pt idx="318">
                  <c:v>56.418054955445541</c:v>
                </c:pt>
                <c:pt idx="319">
                  <c:v>55.544380324667763</c:v>
                </c:pt>
                <c:pt idx="320">
                  <c:v>54.721599361702275</c:v>
                </c:pt>
                <c:pt idx="321">
                  <c:v>53.54680386303508</c:v>
                </c:pt>
                <c:pt idx="322">
                  <c:v>52.308391279602517</c:v>
                </c:pt>
                <c:pt idx="323">
                  <c:v>50.785822384217944</c:v>
                </c:pt>
                <c:pt idx="324">
                  <c:v>49.466828160082571</c:v>
                </c:pt>
                <c:pt idx="325">
                  <c:v>48.283550383446652</c:v>
                </c:pt>
                <c:pt idx="326">
                  <c:v>47.172371969544827</c:v>
                </c:pt>
                <c:pt idx="327">
                  <c:v>45.840654328456374</c:v>
                </c:pt>
                <c:pt idx="328">
                  <c:v>44.237503792369004</c:v>
                </c:pt>
                <c:pt idx="329">
                  <c:v>42.345955805345284</c:v>
                </c:pt>
                <c:pt idx="330">
                  <c:v>40.301726814884667</c:v>
                </c:pt>
                <c:pt idx="331">
                  <c:v>38.28718579731455</c:v>
                </c:pt>
                <c:pt idx="332">
                  <c:v>36.357467559431605</c:v>
                </c:pt>
                <c:pt idx="333">
                  <c:v>34.516813240220188</c:v>
                </c:pt>
                <c:pt idx="334">
                  <c:v>32.735534866789777</c:v>
                </c:pt>
                <c:pt idx="335">
                  <c:v>30.950015354375005</c:v>
                </c:pt>
                <c:pt idx="336">
                  <c:v>29.177219258913308</c:v>
                </c:pt>
                <c:pt idx="337">
                  <c:v>27.417146580404687</c:v>
                </c:pt>
                <c:pt idx="338">
                  <c:v>25.631627067989918</c:v>
                </c:pt>
                <c:pt idx="339">
                  <c:v>23.892760084403086</c:v>
                </c:pt>
                <c:pt idx="340">
                  <c:v>23.379582267295749</c:v>
                </c:pt>
                <c:pt idx="341">
                  <c:v>23.010603175656595</c:v>
                </c:pt>
                <c:pt idx="342">
                  <c:v>21.687367812536859</c:v>
                </c:pt>
                <c:pt idx="343">
                  <c:v>18.760981913329758</c:v>
                </c:pt>
                <c:pt idx="344">
                  <c:v>15.3638295868589</c:v>
                </c:pt>
                <c:pt idx="345">
                  <c:v>13.446834765929028</c:v>
                </c:pt>
                <c:pt idx="346">
                  <c:v>12.115117124840575</c:v>
                </c:pt>
                <c:pt idx="347">
                  <c:v>10.774917205783407</c:v>
                </c:pt>
                <c:pt idx="348">
                  <c:v>9.2438660324301285</c:v>
                </c:pt>
                <c:pt idx="349">
                  <c:v>7.8146021947014415</c:v>
                </c:pt>
                <c:pt idx="350">
                  <c:v>6.6228421400968065</c:v>
                </c:pt>
                <c:pt idx="351">
                  <c:v>5.5583162550229197</c:v>
                </c:pt>
                <c:pt idx="352">
                  <c:v>4.582854288620549</c:v>
                </c:pt>
                <c:pt idx="353">
                  <c:v>3.7261442137802083</c:v>
                </c:pt>
                <c:pt idx="354">
                  <c:v>3.0136328644080392</c:v>
                </c:pt>
                <c:pt idx="355">
                  <c:v>2.4622847964414873</c:v>
                </c:pt>
                <c:pt idx="356">
                  <c:v>2.000000647146452</c:v>
                </c:pt>
              </c:numCache>
            </c:numRef>
          </c:yVal>
          <c:smooth val="1"/>
          <c:extLst>
            <c:ext xmlns:c16="http://schemas.microsoft.com/office/drawing/2014/chart" uri="{C3380CC4-5D6E-409C-BE32-E72D297353CC}">
              <c16:uniqueId val="{00000000-BC75-4D85-9A83-ACFCB27567B6}"/>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14.095728358110209</c:v>
                </c:pt>
                <c:pt idx="1">
                  <c:v>10.821569062185739</c:v>
                </c:pt>
                <c:pt idx="2">
                  <c:v>8.3277793393831612</c:v>
                </c:pt>
                <c:pt idx="3">
                  <c:v>7.8018781053227553</c:v>
                </c:pt>
                <c:pt idx="4">
                  <c:v>7.9630413867283636</c:v>
                </c:pt>
                <c:pt idx="5">
                  <c:v>8.2387154207116424</c:v>
                </c:pt>
                <c:pt idx="6">
                  <c:v>8.0648287223529582</c:v>
                </c:pt>
                <c:pt idx="7">
                  <c:v>7.6619205188389374</c:v>
                </c:pt>
                <c:pt idx="8">
                  <c:v>7.5134806543864023</c:v>
                </c:pt>
                <c:pt idx="9">
                  <c:v>7.2929414271997794</c:v>
                </c:pt>
                <c:pt idx="10">
                  <c:v>6.5125718540778852</c:v>
                </c:pt>
                <c:pt idx="11">
                  <c:v>5.4056345791604148</c:v>
                </c:pt>
                <c:pt idx="12">
                  <c:v>4.7312934806474729</c:v>
                </c:pt>
                <c:pt idx="13">
                  <c:v>4.9348681518966631</c:v>
                </c:pt>
                <c:pt idx="14">
                  <c:v>6.2453800980633236</c:v>
                </c:pt>
                <c:pt idx="15">
                  <c:v>8.8494394344592102</c:v>
                </c:pt>
                <c:pt idx="16">
                  <c:v>12.208421510070846</c:v>
                </c:pt>
                <c:pt idx="17">
                  <c:v>15.139048548262309</c:v>
                </c:pt>
                <c:pt idx="18">
                  <c:v>17.123901592941912</c:v>
                </c:pt>
                <c:pt idx="19">
                  <c:v>18.408966705202424</c:v>
                </c:pt>
                <c:pt idx="20">
                  <c:v>19.142683749496378</c:v>
                </c:pt>
                <c:pt idx="21">
                  <c:v>18.930626800278471</c:v>
                </c:pt>
                <c:pt idx="22">
                  <c:v>17.217206650597788</c:v>
                </c:pt>
                <c:pt idx="23">
                  <c:v>14.184792276781732</c:v>
                </c:pt>
                <c:pt idx="24">
                  <c:v>10.427143136640433</c:v>
                </c:pt>
                <c:pt idx="25">
                  <c:v>6.9027566406388328</c:v>
                </c:pt>
                <c:pt idx="26">
                  <c:v>4.5998181721323714</c:v>
                </c:pt>
                <c:pt idx="27">
                  <c:v>3.5522568429959147</c:v>
                </c:pt>
                <c:pt idx="28">
                  <c:v>3.1366252225288189</c:v>
                </c:pt>
                <c:pt idx="29">
                  <c:v>2.971220802138852</c:v>
                </c:pt>
                <c:pt idx="30">
                  <c:v>2.8482277715924664</c:v>
                </c:pt>
                <c:pt idx="31">
                  <c:v>2.7125113240930068</c:v>
                </c:pt>
                <c:pt idx="32">
                  <c:v>2.5895182935466208</c:v>
                </c:pt>
                <c:pt idx="33">
                  <c:v>2.4792486799533098</c:v>
                </c:pt>
                <c:pt idx="34">
                  <c:v>2.3986670392505052</c:v>
                </c:pt>
                <c:pt idx="35">
                  <c:v>2.3138442595633428</c:v>
                </c:pt>
                <c:pt idx="36">
                  <c:v>2.2332626188605387</c:v>
                </c:pt>
                <c:pt idx="37">
                  <c:v>2.1569221171420923</c:v>
                </c:pt>
                <c:pt idx="38">
                  <c:v>2.084822754408004</c:v>
                </c:pt>
                <c:pt idx="39">
                  <c:v>2.0381702255800649</c:v>
                </c:pt>
                <c:pt idx="40">
                  <c:v>2.0127233916739162</c:v>
                </c:pt>
                <c:pt idx="41">
                  <c:v>1.9999999747208419</c:v>
                </c:pt>
                <c:pt idx="42">
                  <c:v>1.9999999747208419</c:v>
                </c:pt>
                <c:pt idx="43">
                  <c:v>2.0127233916739162</c:v>
                </c:pt>
                <c:pt idx="44">
                  <c:v>2.0424113645644231</c:v>
                </c:pt>
                <c:pt idx="45">
                  <c:v>2.084822754408004</c:v>
                </c:pt>
                <c:pt idx="46">
                  <c:v>2.13995756120466</c:v>
                </c:pt>
                <c:pt idx="47">
                  <c:v>2.1993335069856736</c:v>
                </c:pt>
                <c:pt idx="48">
                  <c:v>2.2671917307354037</c:v>
                </c:pt>
                <c:pt idx="49">
                  <c:v>2.3392910934694915</c:v>
                </c:pt>
                <c:pt idx="50">
                  <c:v>2.4453195680784447</c:v>
                </c:pt>
                <c:pt idx="51">
                  <c:v>2.5555891816717562</c:v>
                </c:pt>
                <c:pt idx="52">
                  <c:v>2.6828233512024995</c:v>
                </c:pt>
                <c:pt idx="53">
                  <c:v>2.8567100495611824</c:v>
                </c:pt>
                <c:pt idx="54">
                  <c:v>3.0136321919824334</c:v>
                </c:pt>
                <c:pt idx="55">
                  <c:v>3.1960011683098326</c:v>
                </c:pt>
                <c:pt idx="56">
                  <c:v>3.3910935615903064</c:v>
                </c:pt>
                <c:pt idx="57">
                  <c:v>3.5989093718238543</c:v>
                </c:pt>
                <c:pt idx="58">
                  <c:v>3.8448954329166254</c:v>
                </c:pt>
                <c:pt idx="59">
                  <c:v>4.0908814940093965</c:v>
                </c:pt>
                <c:pt idx="60">
                  <c:v>4.2774916093211548</c:v>
                </c:pt>
                <c:pt idx="61">
                  <c:v>4.4301726127580467</c:v>
                </c:pt>
                <c:pt idx="62">
                  <c:v>4.565889060257506</c:v>
                </c:pt>
                <c:pt idx="63">
                  <c:v>4.6252650060385205</c:v>
                </c:pt>
                <c:pt idx="64">
                  <c:v>4.6931232297882506</c:v>
                </c:pt>
                <c:pt idx="65">
                  <c:v>4.8076339823659193</c:v>
                </c:pt>
                <c:pt idx="66">
                  <c:v>4.9433504298653794</c:v>
                </c:pt>
                <c:pt idx="67">
                  <c:v>5.0833080163491982</c:v>
                </c:pt>
                <c:pt idx="68">
                  <c:v>5.2402301587704478</c:v>
                </c:pt>
                <c:pt idx="69">
                  <c:v>5.4480459690039966</c:v>
                </c:pt>
                <c:pt idx="70">
                  <c:v>5.6940320300967668</c:v>
                </c:pt>
                <c:pt idx="71">
                  <c:v>5.910330118299032</c:v>
                </c:pt>
                <c:pt idx="72">
                  <c:v>6.1393516234543695</c:v>
                </c:pt>
                <c:pt idx="73">
                  <c:v>6.2920326268912632</c:v>
                </c:pt>
                <c:pt idx="74">
                  <c:v>6.4277490743907224</c:v>
                </c:pt>
                <c:pt idx="75">
                  <c:v>6.5804300778276152</c:v>
                </c:pt>
                <c:pt idx="76">
                  <c:v>6.7288699422801495</c:v>
                </c:pt>
                <c:pt idx="77">
                  <c:v>6.7543167761862977</c:v>
                </c:pt>
                <c:pt idx="78">
                  <c:v>6.7034231083740003</c:v>
                </c:pt>
                <c:pt idx="79">
                  <c:v>6.7924870270455209</c:v>
                </c:pt>
                <c:pt idx="80">
                  <c:v>6.8688275287639673</c:v>
                </c:pt>
                <c:pt idx="81">
                  <c:v>6.8942743626701164</c:v>
                </c:pt>
                <c:pt idx="82">
                  <c:v>6.8561041118108923</c:v>
                </c:pt>
                <c:pt idx="83">
                  <c:v>6.9154800575919069</c:v>
                </c:pt>
                <c:pt idx="84">
                  <c:v>7.119054728841097</c:v>
                </c:pt>
                <c:pt idx="85">
                  <c:v>7.2844591492310631</c:v>
                </c:pt>
                <c:pt idx="86">
                  <c:v>7.4456224306366723</c:v>
                </c:pt>
                <c:pt idx="87">
                  <c:v>7.4880338204802532</c:v>
                </c:pt>
                <c:pt idx="88">
                  <c:v>7.4668281255584636</c:v>
                </c:pt>
                <c:pt idx="89">
                  <c:v>7.3353528170433604</c:v>
                </c:pt>
                <c:pt idx="90">
                  <c:v>7.2250832034500494</c:v>
                </c:pt>
                <c:pt idx="91">
                  <c:v>7.1911540915751848</c:v>
                </c:pt>
                <c:pt idx="92">
                  <c:v>7.216600925481333</c:v>
                </c:pt>
                <c:pt idx="93">
                  <c:v>7.1275370068098134</c:v>
                </c:pt>
                <c:pt idx="94">
                  <c:v>6.9663737254042042</c:v>
                </c:pt>
                <c:pt idx="95">
                  <c:v>6.8476218338421768</c:v>
                </c:pt>
                <c:pt idx="96">
                  <c:v>6.8645863897796087</c:v>
                </c:pt>
                <c:pt idx="97">
                  <c:v>7.008785115247786</c:v>
                </c:pt>
                <c:pt idx="98">
                  <c:v>7.271735732277989</c:v>
                </c:pt>
                <c:pt idx="99">
                  <c:v>7.5558920442299842</c:v>
                </c:pt>
                <c:pt idx="100">
                  <c:v>7.861254051103769</c:v>
                </c:pt>
                <c:pt idx="101">
                  <c:v>8.0605875833685996</c:v>
                </c:pt>
                <c:pt idx="102">
                  <c:v>8.1750983359462701</c:v>
                </c:pt>
                <c:pt idx="103">
                  <c:v>8.1750983359462701</c:v>
                </c:pt>
                <c:pt idx="104">
                  <c:v>8.1496515020401219</c:v>
                </c:pt>
                <c:pt idx="105">
                  <c:v>7.9757648036814377</c:v>
                </c:pt>
                <c:pt idx="106">
                  <c:v>7.8103603832914708</c:v>
                </c:pt>
                <c:pt idx="107">
                  <c:v>7.9121477189160663</c:v>
                </c:pt>
                <c:pt idx="108">
                  <c:v>8.3574673122736698</c:v>
                </c:pt>
                <c:pt idx="109">
                  <c:v>8.5949710953977245</c:v>
                </c:pt>
                <c:pt idx="110">
                  <c:v>8.5695242614915745</c:v>
                </c:pt>
                <c:pt idx="111">
                  <c:v>8.6204179293038727</c:v>
                </c:pt>
                <c:pt idx="112">
                  <c:v>8.7985457666469138</c:v>
                </c:pt>
                <c:pt idx="113">
                  <c:v>8.8494394344592102</c:v>
                </c:pt>
                <c:pt idx="114">
                  <c:v>8.6119356513351573</c:v>
                </c:pt>
                <c:pt idx="115">
                  <c:v>8.2175097257898511</c:v>
                </c:pt>
                <c:pt idx="116">
                  <c:v>7.8782186070412017</c:v>
                </c:pt>
                <c:pt idx="117">
                  <c:v>7.6746439357920107</c:v>
                </c:pt>
                <c:pt idx="118">
                  <c:v>7.6619205188389374</c:v>
                </c:pt>
                <c:pt idx="119">
                  <c:v>7.7976369663383958</c:v>
                </c:pt>
                <c:pt idx="120">
                  <c:v>7.9842470816501541</c:v>
                </c:pt>
                <c:pt idx="121">
                  <c:v>9.2311419430514441</c:v>
                </c:pt>
                <c:pt idx="122">
                  <c:v>10.210845048438168</c:v>
                </c:pt>
                <c:pt idx="123">
                  <c:v>10.427143136640433</c:v>
                </c:pt>
                <c:pt idx="124">
                  <c:v>9.6552558414872554</c:v>
                </c:pt>
                <c:pt idx="125">
                  <c:v>8.8918508243027929</c:v>
                </c:pt>
                <c:pt idx="126">
                  <c:v>8.7391698208659001</c:v>
                </c:pt>
                <c:pt idx="127">
                  <c:v>8.5737654004759314</c:v>
                </c:pt>
                <c:pt idx="128">
                  <c:v>8.3574673122736698</c:v>
                </c:pt>
                <c:pt idx="129">
                  <c:v>8.1920628918837028</c:v>
                </c:pt>
                <c:pt idx="130">
                  <c:v>8.302332505477013</c:v>
                </c:pt>
                <c:pt idx="131">
                  <c:v>8.8621628514122861</c:v>
                </c:pt>
                <c:pt idx="132">
                  <c:v>9.3498938346134697</c:v>
                </c:pt>
                <c:pt idx="133">
                  <c:v>9.6086033126593158</c:v>
                </c:pt>
                <c:pt idx="134">
                  <c:v>9.1675248582860718</c:v>
                </c:pt>
                <c:pt idx="135">
                  <c:v>8.3574673122736698</c:v>
                </c:pt>
                <c:pt idx="136">
                  <c:v>7.8230838002445449</c:v>
                </c:pt>
                <c:pt idx="137">
                  <c:v>7.6704027968076529</c:v>
                </c:pt>
                <c:pt idx="138">
                  <c:v>7.7128141866512347</c:v>
                </c:pt>
                <c:pt idx="139">
                  <c:v>7.8103603832914708</c:v>
                </c:pt>
                <c:pt idx="140">
                  <c:v>7.8358072171976199</c:v>
                </c:pt>
                <c:pt idx="141">
                  <c:v>7.9842470816501541</c:v>
                </c:pt>
                <c:pt idx="142">
                  <c:v>8.2217508647742079</c:v>
                </c:pt>
                <c:pt idx="143">
                  <c:v>8.3532261732893112</c:v>
                </c:pt>
                <c:pt idx="144">
                  <c:v>9.3329292786760369</c:v>
                </c:pt>
                <c:pt idx="145">
                  <c:v>20.771281119489895</c:v>
                </c:pt>
                <c:pt idx="146">
                  <c:v>39.907300216913747</c:v>
                </c:pt>
                <c:pt idx="147">
                  <c:v>40.166009694959591</c:v>
                </c:pt>
                <c:pt idx="148">
                  <c:v>24.673128985099371</c:v>
                </c:pt>
                <c:pt idx="149">
                  <c:v>12.802180967880982</c:v>
                </c:pt>
                <c:pt idx="150">
                  <c:v>9.1717659972704304</c:v>
                </c:pt>
                <c:pt idx="151">
                  <c:v>8.9088153802402239</c:v>
                </c:pt>
                <c:pt idx="152">
                  <c:v>8.8451982954748534</c:v>
                </c:pt>
                <c:pt idx="153">
                  <c:v>8.6204179293038727</c:v>
                </c:pt>
                <c:pt idx="154">
                  <c:v>8.5440774275854263</c:v>
                </c:pt>
                <c:pt idx="155">
                  <c:v>8.4168432580546835</c:v>
                </c:pt>
                <c:pt idx="156">
                  <c:v>8.7603755157876897</c:v>
                </c:pt>
                <c:pt idx="157">
                  <c:v>9.0318084107866117</c:v>
                </c:pt>
                <c:pt idx="158">
                  <c:v>8.9300210751620153</c:v>
                </c:pt>
                <c:pt idx="159">
                  <c:v>8.382914146179818</c:v>
                </c:pt>
                <c:pt idx="160">
                  <c:v>7.7933958273540389</c:v>
                </c:pt>
                <c:pt idx="161">
                  <c:v>7.5262040713394773</c:v>
                </c:pt>
                <c:pt idx="162">
                  <c:v>7.5770977391517746</c:v>
                </c:pt>
                <c:pt idx="163">
                  <c:v>8.302332505477013</c:v>
                </c:pt>
                <c:pt idx="164">
                  <c:v>9.0106027158648203</c:v>
                </c:pt>
                <c:pt idx="165">
                  <c:v>9.0148438548491789</c:v>
                </c:pt>
                <c:pt idx="166">
                  <c:v>8.505907176726204</c:v>
                </c:pt>
                <c:pt idx="167">
                  <c:v>8.0733110003216737</c:v>
                </c:pt>
                <c:pt idx="168">
                  <c:v>7.8824597460255585</c:v>
                </c:pt>
                <c:pt idx="169">
                  <c:v>7.958800247744005</c:v>
                </c:pt>
                <c:pt idx="170">
                  <c:v>8.0860344172747496</c:v>
                </c:pt>
                <c:pt idx="171">
                  <c:v>8.2387154207116424</c:v>
                </c:pt>
                <c:pt idx="172">
                  <c:v>9.0614963836771167</c:v>
                </c:pt>
                <c:pt idx="173">
                  <c:v>10.325355801015839</c:v>
                </c:pt>
                <c:pt idx="174">
                  <c:v>10.448348831562223</c:v>
                </c:pt>
                <c:pt idx="175">
                  <c:v>10.910632980857258</c:v>
                </c:pt>
                <c:pt idx="176">
                  <c:v>11.080278540231584</c:v>
                </c:pt>
                <c:pt idx="177">
                  <c:v>10.244774160313034</c:v>
                </c:pt>
                <c:pt idx="178">
                  <c:v>9.5195393939877953</c:v>
                </c:pt>
                <c:pt idx="179">
                  <c:v>9.4219931973475575</c:v>
                </c:pt>
                <c:pt idx="180">
                  <c:v>9.1208723294581304</c:v>
                </c:pt>
                <c:pt idx="181">
                  <c:v>8.5313540106323522</c:v>
                </c:pt>
                <c:pt idx="182">
                  <c:v>8.2175097257898511</c:v>
                </c:pt>
                <c:pt idx="183">
                  <c:v>8.4168432580546835</c:v>
                </c:pt>
                <c:pt idx="184">
                  <c:v>26.204180158452655</c:v>
                </c:pt>
                <c:pt idx="185">
                  <c:v>59.539532575507501</c:v>
                </c:pt>
                <c:pt idx="186">
                  <c:v>65.930929024935196</c:v>
                </c:pt>
                <c:pt idx="187">
                  <c:v>45.518327093219547</c:v>
                </c:pt>
                <c:pt idx="188">
                  <c:v>20.487124807537903</c:v>
                </c:pt>
                <c:pt idx="189">
                  <c:v>10.244774160313034</c:v>
                </c:pt>
                <c:pt idx="190">
                  <c:v>7.8994243019629913</c:v>
                </c:pt>
                <c:pt idx="191">
                  <c:v>7.8782186070412017</c:v>
                </c:pt>
                <c:pt idx="192">
                  <c:v>7.916388857900424</c:v>
                </c:pt>
                <c:pt idx="193">
                  <c:v>7.8824597460255585</c:v>
                </c:pt>
                <c:pt idx="194">
                  <c:v>7.8146015222758285</c:v>
                </c:pt>
                <c:pt idx="195">
                  <c:v>7.7637078544635312</c:v>
                </c:pt>
                <c:pt idx="196">
                  <c:v>7.7891546883696803</c:v>
                </c:pt>
                <c:pt idx="197">
                  <c:v>7.9630413867283636</c:v>
                </c:pt>
                <c:pt idx="198">
                  <c:v>8.0224173325093773</c:v>
                </c:pt>
                <c:pt idx="199">
                  <c:v>7.9630413867283636</c:v>
                </c:pt>
                <c:pt idx="200">
                  <c:v>7.8146015222758285</c:v>
                </c:pt>
                <c:pt idx="201">
                  <c:v>7.7509844375104571</c:v>
                </c:pt>
                <c:pt idx="202">
                  <c:v>7.7425021595417407</c:v>
                </c:pt>
                <c:pt idx="203">
                  <c:v>7.7425021595417407</c:v>
                </c:pt>
                <c:pt idx="204">
                  <c:v>7.8273249392289035</c:v>
                </c:pt>
                <c:pt idx="205">
                  <c:v>8.0351407494624514</c:v>
                </c:pt>
                <c:pt idx="206">
                  <c:v>8.0902755562591082</c:v>
                </c:pt>
                <c:pt idx="207">
                  <c:v>7.9333534138378567</c:v>
                </c:pt>
                <c:pt idx="208">
                  <c:v>7.8146015222758285</c:v>
                </c:pt>
                <c:pt idx="209">
                  <c:v>7.7933958273540389</c:v>
                </c:pt>
                <c:pt idx="210">
                  <c:v>7.8061192443071121</c:v>
                </c:pt>
                <c:pt idx="211">
                  <c:v>7.8273249392289035</c:v>
                </c:pt>
                <c:pt idx="212">
                  <c:v>7.8358072171976199</c:v>
                </c:pt>
                <c:pt idx="213">
                  <c:v>7.8273249392289035</c:v>
                </c:pt>
                <c:pt idx="214">
                  <c:v>7.8527717731350526</c:v>
                </c:pt>
                <c:pt idx="215">
                  <c:v>7.8994243019629913</c:v>
                </c:pt>
                <c:pt idx="216">
                  <c:v>7.9630413867283636</c:v>
                </c:pt>
                <c:pt idx="217">
                  <c:v>8.01393505454066</c:v>
                </c:pt>
                <c:pt idx="218">
                  <c:v>8.0181761935250186</c:v>
                </c:pt>
                <c:pt idx="219">
                  <c:v>7.9927293596188704</c:v>
                </c:pt>
                <c:pt idx="220">
                  <c:v>7.9884882206345127</c:v>
                </c:pt>
                <c:pt idx="221">
                  <c:v>8.0181761935250186</c:v>
                </c:pt>
                <c:pt idx="222">
                  <c:v>8.0181761935250186</c:v>
                </c:pt>
                <c:pt idx="223">
                  <c:v>8.0054527765719445</c:v>
                </c:pt>
                <c:pt idx="224">
                  <c:v>7.9672825257127213</c:v>
                </c:pt>
                <c:pt idx="225">
                  <c:v>7.9884882206345127</c:v>
                </c:pt>
                <c:pt idx="226">
                  <c:v>8.0860344172747496</c:v>
                </c:pt>
                <c:pt idx="227">
                  <c:v>8.1878217528993424</c:v>
                </c:pt>
                <c:pt idx="228">
                  <c:v>8.2302331427429252</c:v>
                </c:pt>
                <c:pt idx="229">
                  <c:v>8.1538926410244805</c:v>
                </c:pt>
                <c:pt idx="230">
                  <c:v>8.0605875833685996</c:v>
                </c:pt>
                <c:pt idx="231">
                  <c:v>8.01393505454066</c:v>
                </c:pt>
                <c:pt idx="232">
                  <c:v>8.0012116375875877</c:v>
                </c:pt>
                <c:pt idx="233">
                  <c:v>8.0181761935250186</c:v>
                </c:pt>
                <c:pt idx="234">
                  <c:v>8.03938188844681</c:v>
                </c:pt>
                <c:pt idx="235">
                  <c:v>8.0563464443842427</c:v>
                </c:pt>
                <c:pt idx="236">
                  <c:v>8.0733110003216737</c:v>
                </c:pt>
                <c:pt idx="237">
                  <c:v>8.0945166952434651</c:v>
                </c:pt>
                <c:pt idx="238">
                  <c:v>8.1326869461026892</c:v>
                </c:pt>
                <c:pt idx="239">
                  <c:v>8.1793394749306287</c:v>
                </c:pt>
                <c:pt idx="240">
                  <c:v>8.1920628918837028</c:v>
                </c:pt>
                <c:pt idx="241">
                  <c:v>8.2302331427429252</c:v>
                </c:pt>
                <c:pt idx="242">
                  <c:v>8.2641622546177906</c:v>
                </c:pt>
                <c:pt idx="243">
                  <c:v>8.3277793393831612</c:v>
                </c:pt>
                <c:pt idx="244">
                  <c:v>8.5398362886010695</c:v>
                </c:pt>
                <c:pt idx="245">
                  <c:v>8.6119356513351573</c:v>
                </c:pt>
                <c:pt idx="246">
                  <c:v>8.645864763210021</c:v>
                </c:pt>
                <c:pt idx="247">
                  <c:v>8.4847014818044126</c:v>
                </c:pt>
                <c:pt idx="248">
                  <c:v>8.3320204783675216</c:v>
                </c:pt>
                <c:pt idx="249">
                  <c:v>8.2726445325865079</c:v>
                </c:pt>
                <c:pt idx="250">
                  <c:v>8.2768856715708647</c:v>
                </c:pt>
                <c:pt idx="251">
                  <c:v>8.2980913664926561</c:v>
                </c:pt>
                <c:pt idx="252">
                  <c:v>8.3405027563362353</c:v>
                </c:pt>
                <c:pt idx="253">
                  <c:v>8.3532261732893112</c:v>
                </c:pt>
                <c:pt idx="254">
                  <c:v>8.3617084512580266</c:v>
                </c:pt>
                <c:pt idx="255">
                  <c:v>8.3701907292267439</c:v>
                </c:pt>
                <c:pt idx="256">
                  <c:v>8.4083609800859662</c:v>
                </c:pt>
                <c:pt idx="257">
                  <c:v>8.4422900919608317</c:v>
                </c:pt>
                <c:pt idx="258">
                  <c:v>8.4550135089139058</c:v>
                </c:pt>
                <c:pt idx="259">
                  <c:v>8.4634957868826213</c:v>
                </c:pt>
                <c:pt idx="260">
                  <c:v>8.4889426207887695</c:v>
                </c:pt>
                <c:pt idx="261">
                  <c:v>8.505907176726204</c:v>
                </c:pt>
                <c:pt idx="262">
                  <c:v>8.5780065394602918</c:v>
                </c:pt>
                <c:pt idx="263">
                  <c:v>8.6501059021943796</c:v>
                </c:pt>
                <c:pt idx="264">
                  <c:v>8.6713115971161709</c:v>
                </c:pt>
                <c:pt idx="265">
                  <c:v>8.7264464039128242</c:v>
                </c:pt>
                <c:pt idx="266">
                  <c:v>8.6840350140692451</c:v>
                </c:pt>
                <c:pt idx="267">
                  <c:v>8.645864763210021</c:v>
                </c:pt>
                <c:pt idx="268">
                  <c:v>8.62890020727259</c:v>
                </c:pt>
                <c:pt idx="269">
                  <c:v>8.6076945123507969</c:v>
                </c:pt>
                <c:pt idx="270">
                  <c:v>8.6119356513351573</c:v>
                </c:pt>
                <c:pt idx="271">
                  <c:v>8.60345337336644</c:v>
                </c:pt>
                <c:pt idx="272">
                  <c:v>8.5992122343820832</c:v>
                </c:pt>
                <c:pt idx="273">
                  <c:v>8.6373824852413055</c:v>
                </c:pt>
                <c:pt idx="274">
                  <c:v>8.6713115971161709</c:v>
                </c:pt>
                <c:pt idx="275">
                  <c:v>8.6882761530536037</c:v>
                </c:pt>
                <c:pt idx="276">
                  <c:v>8.6797938750848864</c:v>
                </c:pt>
                <c:pt idx="277">
                  <c:v>8.6840350140692451</c:v>
                </c:pt>
                <c:pt idx="278">
                  <c:v>8.6882761530536037</c:v>
                </c:pt>
                <c:pt idx="279">
                  <c:v>8.7264464039128242</c:v>
                </c:pt>
                <c:pt idx="280">
                  <c:v>8.8197514615687034</c:v>
                </c:pt>
                <c:pt idx="281">
                  <c:v>8.8876096853184343</c:v>
                </c:pt>
                <c:pt idx="282">
                  <c:v>8.9342622141463721</c:v>
                </c:pt>
                <c:pt idx="283">
                  <c:v>8.9172976582089412</c:v>
                </c:pt>
                <c:pt idx="284">
                  <c:v>8.9088153802402239</c:v>
                </c:pt>
                <c:pt idx="285">
                  <c:v>8.9130565192245825</c:v>
                </c:pt>
                <c:pt idx="286">
                  <c:v>8.9215387971932998</c:v>
                </c:pt>
                <c:pt idx="287">
                  <c:v>8.946985631099448</c:v>
                </c:pt>
                <c:pt idx="288">
                  <c:v>8.9681913260212376</c:v>
                </c:pt>
                <c:pt idx="289">
                  <c:v>8.9893970209430289</c:v>
                </c:pt>
                <c:pt idx="290">
                  <c:v>9.0021204378961031</c:v>
                </c:pt>
                <c:pt idx="291">
                  <c:v>9.0275672718022513</c:v>
                </c:pt>
                <c:pt idx="292">
                  <c:v>9.0572552446927599</c:v>
                </c:pt>
                <c:pt idx="293">
                  <c:v>9.1039077735206995</c:v>
                </c:pt>
                <c:pt idx="294">
                  <c:v>9.1760071362547873</c:v>
                </c:pt>
                <c:pt idx="295">
                  <c:v>9.1887305532078614</c:v>
                </c:pt>
                <c:pt idx="296">
                  <c:v>9.2438653600045164</c:v>
                </c:pt>
                <c:pt idx="297">
                  <c:v>9.2608299159419509</c:v>
                </c:pt>
                <c:pt idx="298">
                  <c:v>9.2141773871140096</c:v>
                </c:pt>
                <c:pt idx="299">
                  <c:v>9.1887305532078614</c:v>
                </c:pt>
                <c:pt idx="300">
                  <c:v>9.2141773871140096</c:v>
                </c:pt>
                <c:pt idx="301">
                  <c:v>9.2735533328950233</c:v>
                </c:pt>
                <c:pt idx="302">
                  <c:v>9.3202058617229628</c:v>
                </c:pt>
                <c:pt idx="303">
                  <c:v>9.371099529535261</c:v>
                </c:pt>
                <c:pt idx="304">
                  <c:v>9.3965463634414093</c:v>
                </c:pt>
                <c:pt idx="305">
                  <c:v>9.4304754753162747</c:v>
                </c:pt>
                <c:pt idx="306">
                  <c:v>9.4389577532849884</c:v>
                </c:pt>
                <c:pt idx="307">
                  <c:v>9.4601634482067798</c:v>
                </c:pt>
                <c:pt idx="308">
                  <c:v>9.4813691431285712</c:v>
                </c:pt>
                <c:pt idx="309">
                  <c:v>9.511057116019078</c:v>
                </c:pt>
                <c:pt idx="310">
                  <c:v>9.5449862278939435</c:v>
                </c:pt>
                <c:pt idx="311">
                  <c:v>9.6086033126593158</c:v>
                </c:pt>
                <c:pt idx="312">
                  <c:v>9.6807026753934036</c:v>
                </c:pt>
                <c:pt idx="313">
                  <c:v>9.7358374821900604</c:v>
                </c:pt>
                <c:pt idx="314">
                  <c:v>9.7909722889867155</c:v>
                </c:pt>
                <c:pt idx="315">
                  <c:v>9.8503482347677291</c:v>
                </c:pt>
                <c:pt idx="316">
                  <c:v>9.8842773466425928</c:v>
                </c:pt>
                <c:pt idx="317">
                  <c:v>9.880036207658236</c:v>
                </c:pt>
                <c:pt idx="318">
                  <c:v>9.9139653195330997</c:v>
                </c:pt>
                <c:pt idx="319">
                  <c:v>9.9436532924236083</c:v>
                </c:pt>
                <c:pt idx="320">
                  <c:v>9.9860646822671875</c:v>
                </c:pt>
                <c:pt idx="321">
                  <c:v>10.019993794142053</c:v>
                </c:pt>
                <c:pt idx="322">
                  <c:v>10.066646322969993</c:v>
                </c:pt>
                <c:pt idx="323">
                  <c:v>10.100575434844858</c:v>
                </c:pt>
                <c:pt idx="324">
                  <c:v>10.172674797578946</c:v>
                </c:pt>
                <c:pt idx="325">
                  <c:v>10.261738716250466</c:v>
                </c:pt>
                <c:pt idx="326">
                  <c:v>10.333838078984556</c:v>
                </c:pt>
                <c:pt idx="327">
                  <c:v>10.397455163749926</c:v>
                </c:pt>
                <c:pt idx="328">
                  <c:v>10.439866553593507</c:v>
                </c:pt>
                <c:pt idx="329">
                  <c:v>10.478036804452731</c:v>
                </c:pt>
                <c:pt idx="330">
                  <c:v>10.495001360390164</c:v>
                </c:pt>
                <c:pt idx="331">
                  <c:v>10.533171611249385</c:v>
                </c:pt>
                <c:pt idx="332">
                  <c:v>10.601029834999116</c:v>
                </c:pt>
                <c:pt idx="333">
                  <c:v>10.70281717062371</c:v>
                </c:pt>
                <c:pt idx="334">
                  <c:v>10.813086784217024</c:v>
                </c:pt>
                <c:pt idx="335">
                  <c:v>10.910632980857258</c:v>
                </c:pt>
                <c:pt idx="336">
                  <c:v>11.037867150388003</c:v>
                </c:pt>
                <c:pt idx="337">
                  <c:v>11.152377902965672</c:v>
                </c:pt>
                <c:pt idx="338">
                  <c:v>11.245682960621551</c:v>
                </c:pt>
                <c:pt idx="339">
                  <c:v>11.360193713199221</c:v>
                </c:pt>
                <c:pt idx="340">
                  <c:v>11.432293075933309</c:v>
                </c:pt>
                <c:pt idx="341">
                  <c:v>11.534080411557904</c:v>
                </c:pt>
                <c:pt idx="342">
                  <c:v>11.601938635307635</c:v>
                </c:pt>
                <c:pt idx="343">
                  <c:v>11.648591164135572</c:v>
                </c:pt>
                <c:pt idx="344">
                  <c:v>11.741896221791452</c:v>
                </c:pt>
                <c:pt idx="345">
                  <c:v>11.864889252337838</c:v>
                </c:pt>
                <c:pt idx="346">
                  <c:v>12.004846838821654</c:v>
                </c:pt>
                <c:pt idx="347">
                  <c:v>12.12783986936804</c:v>
                </c:pt>
                <c:pt idx="348">
                  <c:v>12.19993923210213</c:v>
                </c:pt>
                <c:pt idx="349">
                  <c:v>12.267797455851861</c:v>
                </c:pt>
                <c:pt idx="350">
                  <c:v>12.433201876241824</c:v>
                </c:pt>
                <c:pt idx="351">
                  <c:v>12.594365157647434</c:v>
                </c:pt>
                <c:pt idx="352">
                  <c:v>12.69191135428767</c:v>
                </c:pt>
                <c:pt idx="353">
                  <c:v>12.725840466162534</c:v>
                </c:pt>
                <c:pt idx="354">
                  <c:v>12.725840466162534</c:v>
                </c:pt>
                <c:pt idx="355">
                  <c:v>12.789457550927908</c:v>
                </c:pt>
                <c:pt idx="356">
                  <c:v>12.882762608583787</c:v>
                </c:pt>
              </c:numCache>
            </c:numRef>
          </c:yVal>
          <c:smooth val="1"/>
          <c:extLst>
            <c:ext xmlns:c16="http://schemas.microsoft.com/office/drawing/2014/chart" uri="{C3380CC4-5D6E-409C-BE32-E72D297353CC}">
              <c16:uniqueId val="{00000001-BC75-4D85-9A83-ACFCB27567B6}"/>
            </c:ext>
          </c:extLst>
        </c:ser>
        <c:ser>
          <c:idx val="4"/>
          <c:order val="4"/>
          <c:tx>
            <c:v>Labels</c:v>
          </c:tx>
          <c:spPr>
            <a:ln w="19050" cap="rnd">
              <a:noFill/>
              <a:round/>
            </a:ln>
            <a:effectLst/>
          </c:spPr>
          <c:marker>
            <c:symbol val="none"/>
          </c:marker>
          <c:dLbls>
            <c:dLbl>
              <c:idx val="0"/>
              <c:tx>
                <c:rich>
                  <a:bodyPr/>
                  <a:lstStyle/>
                  <a:p>
                    <a:fld id="{E99244C9-FAAF-42AB-A94C-A05502143F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651-4595-82B9-617BAFAA8E4B}"/>
                </c:ext>
              </c:extLst>
            </c:dLbl>
            <c:dLbl>
              <c:idx val="1"/>
              <c:tx>
                <c:rich>
                  <a:bodyPr/>
                  <a:lstStyle/>
                  <a:p>
                    <a:fld id="{8DBFE5C1-9A06-418E-936B-24B24AD024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651-4595-82B9-617BAFAA8E4B}"/>
                </c:ext>
              </c:extLst>
            </c:dLbl>
            <c:dLbl>
              <c:idx val="2"/>
              <c:tx>
                <c:rich>
                  <a:bodyPr/>
                  <a:lstStyle/>
                  <a:p>
                    <a:fld id="{81C3A77F-7FCF-4495-8828-6F1879FA81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51-4595-82B9-617BAFAA8E4B}"/>
                </c:ext>
              </c:extLst>
            </c:dLbl>
            <c:dLbl>
              <c:idx val="3"/>
              <c:tx>
                <c:rich>
                  <a:bodyPr/>
                  <a:lstStyle/>
                  <a:p>
                    <a:fld id="{F7977396-E1FD-4A50-8CF6-4B283C3067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51-4595-82B9-617BAFAA8E4B}"/>
                </c:ext>
              </c:extLst>
            </c:dLbl>
            <c:dLbl>
              <c:idx val="4"/>
              <c:tx>
                <c:rich>
                  <a:bodyPr/>
                  <a:lstStyle/>
                  <a:p>
                    <a:fld id="{DB9AC070-9CD4-45C1-B08D-967DE33191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51-4595-82B9-617BAFAA8E4B}"/>
                </c:ext>
              </c:extLst>
            </c:dLbl>
            <c:dLbl>
              <c:idx val="5"/>
              <c:tx>
                <c:rich>
                  <a:bodyPr/>
                  <a:lstStyle/>
                  <a:p>
                    <a:fld id="{A5314462-E9F6-4C9A-86E2-6A41CB61CD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51-4595-82B9-617BAFAA8E4B}"/>
                </c:ext>
              </c:extLst>
            </c:dLbl>
            <c:dLbl>
              <c:idx val="6"/>
              <c:tx>
                <c:rich>
                  <a:bodyPr/>
                  <a:lstStyle/>
                  <a:p>
                    <a:fld id="{85DC9F26-EDF7-4966-A6A0-29DDFF8333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51-4595-82B9-617BAFAA8E4B}"/>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8651-4595-82B9-617BAFAA8E4B}"/>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8651-4595-82B9-617BAFAA8E4B}"/>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8651-4595-82B9-617BAFAA8E4B}"/>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8651-4595-82B9-617BAFAA8E4B}"/>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8651-4595-82B9-617BAFAA8E4B}"/>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8651-4595-82B9-617BAFAA8E4B}"/>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8651-4595-82B9-617BAFAA8E4B}"/>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8651-4595-82B9-617BAFAA8E4B}"/>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8651-4595-82B9-617BAFAA8E4B}"/>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8651-4595-82B9-617BAFAA8E4B}"/>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8651-4595-82B9-617BAFAA8E4B}"/>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8651-4595-82B9-617BAFAA8E4B}"/>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8651-4595-82B9-617BAFAA8E4B}"/>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8651-4595-82B9-617BAFAA8E4B}"/>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8651-4595-82B9-617BAFAA8E4B}"/>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8651-4595-82B9-617BAFAA8E4B}"/>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8651-4595-82B9-617BAFAA8E4B}"/>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8651-4595-82B9-617BAFAA8E4B}"/>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8651-4595-82B9-617BAFAA8E4B}"/>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8651-4595-82B9-617BAFAA8E4B}"/>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8651-4595-82B9-617BAFAA8E4B}"/>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8651-4595-82B9-617BAFAA8E4B}"/>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8651-4595-82B9-617BAFAA8E4B}"/>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8651-4595-82B9-617BAFAA8E4B}"/>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8651-4595-82B9-617BAFAA8E4B}"/>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8651-4595-82B9-617BAFAA8E4B}"/>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8651-4595-82B9-617BAFAA8E4B}"/>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8651-4595-82B9-617BAFAA8E4B}"/>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8651-4595-82B9-617BAFAA8E4B}"/>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8651-4595-82B9-617BAFAA8E4B}"/>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8651-4595-82B9-617BAFAA8E4B}"/>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8651-4595-82B9-617BAFAA8E4B}"/>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8651-4595-82B9-617BAFAA8E4B}"/>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8651-4595-82B9-617BAFAA8E4B}"/>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8651-4595-82B9-617BAFAA8E4B}"/>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8651-4595-82B9-617BAFAA8E4B}"/>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8651-4595-82B9-617BAFAA8E4B}"/>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8651-4595-82B9-617BAFAA8E4B}"/>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8651-4595-82B9-617BAFAA8E4B}"/>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8651-4595-82B9-617BAFAA8E4B}"/>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8651-4595-82B9-617BAFAA8E4B}"/>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8651-4595-82B9-617BAFAA8E4B}"/>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8651-4595-82B9-617BAFAA8E4B}"/>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8651-4595-82B9-617BAFAA8E4B}"/>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8651-4595-82B9-617BAFAA8E4B}"/>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8651-4595-82B9-617BAFAA8E4B}"/>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8651-4595-82B9-617BAFAA8E4B}"/>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8651-4595-82B9-617BAFAA8E4B}"/>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8651-4595-82B9-617BAFAA8E4B}"/>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8651-4595-82B9-617BAFAA8E4B}"/>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8651-4595-82B9-617BAFAA8E4B}"/>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8651-4595-82B9-617BAFAA8E4B}"/>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8651-4595-82B9-617BAFAA8E4B}"/>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8651-4595-82B9-617BAFAA8E4B}"/>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8651-4595-82B9-617BAFAA8E4B}"/>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8651-4595-82B9-617BAFAA8E4B}"/>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8651-4595-82B9-617BAFAA8E4B}"/>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8651-4595-82B9-617BAFAA8E4B}"/>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8651-4595-82B9-617BAFAA8E4B}"/>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8651-4595-82B9-617BAFAA8E4B}"/>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8651-4595-82B9-617BAFAA8E4B}"/>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8651-4595-82B9-617BAFAA8E4B}"/>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8651-4595-82B9-617BAFAA8E4B}"/>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8651-4595-82B9-617BAFAA8E4B}"/>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8651-4595-82B9-617BAFAA8E4B}"/>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8651-4595-82B9-617BAFAA8E4B}"/>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8651-4595-82B9-617BAFAA8E4B}"/>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8651-4595-82B9-617BAFAA8E4B}"/>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8651-4595-82B9-617BAFAA8E4B}"/>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8651-4595-82B9-617BAFAA8E4B}"/>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8651-4595-82B9-617BAFAA8E4B}"/>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8651-4595-82B9-617BAFAA8E4B}"/>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8651-4595-82B9-617BAFAA8E4B}"/>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8651-4595-82B9-617BAFAA8E4B}"/>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8651-4595-82B9-617BAFAA8E4B}"/>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8651-4595-82B9-617BAFAA8E4B}"/>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8651-4595-82B9-617BAFAA8E4B}"/>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8651-4595-82B9-617BAFAA8E4B}"/>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8651-4595-82B9-617BAFAA8E4B}"/>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8651-4595-82B9-617BAFAA8E4B}"/>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8651-4595-82B9-617BAFAA8E4B}"/>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8651-4595-82B9-617BAFAA8E4B}"/>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8651-4595-82B9-617BAFAA8E4B}"/>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8651-4595-82B9-617BAFAA8E4B}"/>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8651-4595-82B9-617BAFAA8E4B}"/>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8651-4595-82B9-617BAFAA8E4B}"/>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8651-4595-82B9-617BAFAA8E4B}"/>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8651-4595-82B9-617BAFAA8E4B}"/>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8651-4595-82B9-617BAFAA8E4B}"/>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8651-4595-82B9-617BAFAA8E4B}"/>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8651-4595-82B9-617BAFAA8E4B}"/>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8651-4595-82B9-617BAFAA8E4B}"/>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8651-4595-82B9-617BAFAA8E4B}"/>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1.0442830000000001</c:v>
                </c:pt>
                <c:pt idx="1">
                  <c:v>2.6570019999999999</c:v>
                </c:pt>
                <c:pt idx="2">
                  <c:v>3.7890090000000001</c:v>
                </c:pt>
                <c:pt idx="3">
                  <c:v>4.047237</c:v>
                </c:pt>
                <c:pt idx="4">
                  <c:v>4.4155439999999997</c:v>
                </c:pt>
                <c:pt idx="5">
                  <c:v>5.4613060000000004</c:v>
                </c:pt>
                <c:pt idx="6">
                  <c:v>8.5674030000000005</c:v>
                </c:pt>
              </c:numCache>
            </c:numRef>
          </c:xVal>
          <c:yVal>
            <c:numRef>
              <c:f>Peaks!$R$5:$R$104</c:f>
              <c:numCache>
                <c:formatCode>0.0</c:formatCode>
                <c:ptCount val="100"/>
                <c:pt idx="0">
                  <c:v>40.200904080153293</c:v>
                </c:pt>
                <c:pt idx="1">
                  <c:v>28.608402807831535</c:v>
                </c:pt>
                <c:pt idx="2">
                  <c:v>20.395929195543136</c:v>
                </c:pt>
                <c:pt idx="3">
                  <c:v>16.457682905309426</c:v>
                </c:pt>
                <c:pt idx="4">
                  <c:v>74.176871051788837</c:v>
                </c:pt>
                <c:pt idx="5">
                  <c:v>100</c:v>
                </c:pt>
                <c:pt idx="6">
                  <c:v>68.315735558260116</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15:dlblRangeCache>
              </c15:datalabelsRange>
            </c:ext>
            <c:ext xmlns:c16="http://schemas.microsoft.com/office/drawing/2014/chart" uri="{C3380CC4-5D6E-409C-BE32-E72D297353CC}">
              <c16:uniqueId val="{00000002-BC75-4D85-9A83-ACFCB27567B6}"/>
            </c:ext>
          </c:extLst>
        </c:ser>
        <c:dLbls>
          <c:showLegendKey val="0"/>
          <c:showVal val="0"/>
          <c:showCatName val="0"/>
          <c:showSerName val="0"/>
          <c:showPercent val="0"/>
          <c:showBubbleSize val="0"/>
        </c:dLbls>
        <c:axId val="1816206016"/>
        <c:axId val="1816206560"/>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BC75-4D85-9A83-ACFCB27567B6}"/>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BC75-4D85-9A83-ACFCB27567B6}"/>
            </c:ext>
          </c:extLst>
        </c:ser>
        <c:dLbls>
          <c:showLegendKey val="0"/>
          <c:showVal val="0"/>
          <c:showCatName val="0"/>
          <c:showSerName val="0"/>
          <c:showPercent val="0"/>
          <c:showBubbleSize val="0"/>
        </c:dLbls>
        <c:axId val="1816209280"/>
        <c:axId val="1816207104"/>
      </c:scatterChart>
      <c:valAx>
        <c:axId val="18162060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r>
                  <a:rPr lang="en-AU" sz="1200">
                    <a:solidFill>
                      <a:schemeClr val="tx1"/>
                    </a:solidFill>
                    <a:latin typeface="Arial" panose="020B0604020202020204" pitchFamily="34" charset="0"/>
                    <a:cs typeface="Arial" panose="020B0604020202020204" pitchFamily="34" charset="0"/>
                  </a:rPr>
                  <a:t>Retention</a:t>
                </a:r>
                <a:r>
                  <a:rPr lang="en-AU" sz="1200" baseline="0">
                    <a:solidFill>
                      <a:schemeClr val="tx1"/>
                    </a:solidFill>
                    <a:latin typeface="Arial" panose="020B0604020202020204" pitchFamily="34" charset="0"/>
                    <a:cs typeface="Arial" panose="020B0604020202020204" pitchFamily="34" charset="0"/>
                  </a:rPr>
                  <a:t> Time (min)</a:t>
                </a:r>
                <a:endParaRPr lang="en-AU" sz="12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560"/>
        <c:crosses val="autoZero"/>
        <c:crossBetween val="midCat"/>
        <c:majorUnit val="0.5"/>
      </c:valAx>
      <c:valAx>
        <c:axId val="1816206560"/>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016"/>
        <c:crosses val="autoZero"/>
        <c:crossBetween val="midCat"/>
        <c:majorUnit val="20"/>
        <c:minorUnit val="5"/>
      </c:valAx>
      <c:valAx>
        <c:axId val="1816207104"/>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09280"/>
        <c:crosses val="max"/>
        <c:crossBetween val="midCat"/>
        <c:minorUnit val="5"/>
      </c:valAx>
      <c:valAx>
        <c:axId val="1816209280"/>
        <c:scaling>
          <c:orientation val="minMax"/>
        </c:scaling>
        <c:delete val="1"/>
        <c:axPos val="b"/>
        <c:numFmt formatCode="General" sourceLinked="1"/>
        <c:majorTickMark val="out"/>
        <c:minorTickMark val="none"/>
        <c:tickLblPos val="nextTo"/>
        <c:crossAx val="1816207104"/>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sz="1100">
                <a:solidFill>
                  <a:schemeClr val="tx1"/>
                </a:solidFill>
                <a:latin typeface="Arial" panose="020B0604020202020204" pitchFamily="34" charset="0"/>
                <a:cs typeface="Arial" panose="020B0604020202020204" pitchFamily="34" charset="0"/>
              </a:rPr>
              <a:t>ID</a:t>
            </a:r>
          </a:p>
        </c:rich>
      </c:tx>
      <c:layout>
        <c:manualLayout>
          <c:xMode val="edge"/>
          <c:yMode val="edge"/>
          <c:x val="0.76368499125865907"/>
          <c:y val="0.10296010296010295"/>
        </c:manualLayout>
      </c:layout>
      <c:overlay val="0"/>
      <c:spPr>
        <a:noFill/>
        <a:ln>
          <a:noFill/>
        </a:ln>
        <a:effectLst/>
      </c:spPr>
      <c:txPr>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38.431667327880859</c:v>
                </c:pt>
                <c:pt idx="1">
                  <c:v>40.675846099853516</c:v>
                </c:pt>
                <c:pt idx="2">
                  <c:v>43.58526611328125</c:v>
                </c:pt>
                <c:pt idx="3">
                  <c:v>46.7218017578125</c:v>
                </c:pt>
                <c:pt idx="4">
                  <c:v>49.593414306640625</c:v>
                </c:pt>
                <c:pt idx="5">
                  <c:v>52.281455993652344</c:v>
                </c:pt>
                <c:pt idx="6">
                  <c:v>54.91229248046875</c:v>
                </c:pt>
                <c:pt idx="7">
                  <c:v>56.863868713378906</c:v>
                </c:pt>
                <c:pt idx="8">
                  <c:v>57.893363952636719</c:v>
                </c:pt>
                <c:pt idx="9">
                  <c:v>57.694194793701172</c:v>
                </c:pt>
                <c:pt idx="10">
                  <c:v>56.039260864257813</c:v>
                </c:pt>
                <c:pt idx="11">
                  <c:v>53.282806396484375</c:v>
                </c:pt>
                <c:pt idx="12">
                  <c:v>49.646408081054688</c:v>
                </c:pt>
                <c:pt idx="13">
                  <c:v>45.307060241699219</c:v>
                </c:pt>
                <c:pt idx="14">
                  <c:v>41.034206390380859</c:v>
                </c:pt>
                <c:pt idx="15">
                  <c:v>37.828556060791016</c:v>
                </c:pt>
                <c:pt idx="16">
                  <c:v>36.573879241943359</c:v>
                </c:pt>
                <c:pt idx="17">
                  <c:v>37.75164794921875</c:v>
                </c:pt>
                <c:pt idx="18">
                  <c:v>41.453994750976563</c:v>
                </c:pt>
                <c:pt idx="19">
                  <c:v>47.408882141113281</c:v>
                </c:pt>
                <c:pt idx="20">
                  <c:v>54.874118804931641</c:v>
                </c:pt>
                <c:pt idx="21">
                  <c:v>63.523292541503906</c:v>
                </c:pt>
                <c:pt idx="22">
                  <c:v>72.964385986328125</c:v>
                </c:pt>
                <c:pt idx="23">
                  <c:v>82.05975341796875</c:v>
                </c:pt>
                <c:pt idx="24">
                  <c:v>90.422309875488281</c:v>
                </c:pt>
                <c:pt idx="25">
                  <c:v>96.662528991699219</c:v>
                </c:pt>
                <c:pt idx="26">
                  <c:v>100</c:v>
                </c:pt>
                <c:pt idx="27">
                  <c:v>99.145965576171875</c:v>
                </c:pt>
                <c:pt idx="28">
                  <c:v>94.218177795410156</c:v>
                </c:pt>
                <c:pt idx="29">
                  <c:v>87.161537170410156</c:v>
                </c:pt>
                <c:pt idx="30">
                  <c:v>79.878746032714844</c:v>
                </c:pt>
                <c:pt idx="31">
                  <c:v>74.322120666503906</c:v>
                </c:pt>
                <c:pt idx="32">
                  <c:v>70.574050903320313</c:v>
                </c:pt>
                <c:pt idx="33">
                  <c:v>68.240531921386719</c:v>
                </c:pt>
                <c:pt idx="34">
                  <c:v>66.390655517578125</c:v>
                </c:pt>
                <c:pt idx="35">
                  <c:v>64.109428405761719</c:v>
                </c:pt>
                <c:pt idx="36">
                  <c:v>61.059345245361328</c:v>
                </c:pt>
                <c:pt idx="37">
                  <c:v>56.862045288085938</c:v>
                </c:pt>
                <c:pt idx="38">
                  <c:v>51.700069427490234</c:v>
                </c:pt>
                <c:pt idx="39">
                  <c:v>45.960895538330078</c:v>
                </c:pt>
                <c:pt idx="40">
                  <c:v>40.500846862792969</c:v>
                </c:pt>
                <c:pt idx="41">
                  <c:v>35.871627807617188</c:v>
                </c:pt>
                <c:pt idx="42">
                  <c:v>32.515693664550781</c:v>
                </c:pt>
                <c:pt idx="43">
                  <c:v>30.335350036621094</c:v>
                </c:pt>
                <c:pt idx="44">
                  <c:v>29.171567916870117</c:v>
                </c:pt>
                <c:pt idx="45">
                  <c:v>28.750514984130859</c:v>
                </c:pt>
                <c:pt idx="46">
                  <c:v>28.585330963134766</c:v>
                </c:pt>
                <c:pt idx="47">
                  <c:v>28.606842041015625</c:v>
                </c:pt>
                <c:pt idx="48">
                  <c:v>28.567039489746094</c:v>
                </c:pt>
                <c:pt idx="49">
                  <c:v>28.229511260986328</c:v>
                </c:pt>
                <c:pt idx="50">
                  <c:v>27.516651153564453</c:v>
                </c:pt>
                <c:pt idx="51">
                  <c:v>26.453151702880859</c:v>
                </c:pt>
                <c:pt idx="52">
                  <c:v>25.102827072143555</c:v>
                </c:pt>
                <c:pt idx="53">
                  <c:v>23.429309844970703</c:v>
                </c:pt>
                <c:pt idx="54">
                  <c:v>21.415374755859375</c:v>
                </c:pt>
                <c:pt idx="55">
                  <c:v>19.279315948486328</c:v>
                </c:pt>
                <c:pt idx="56">
                  <c:v>17.175960540771484</c:v>
                </c:pt>
                <c:pt idx="57">
                  <c:v>15.233911514282227</c:v>
                </c:pt>
                <c:pt idx="58">
                  <c:v>13.55583667755127</c:v>
                </c:pt>
                <c:pt idx="59">
                  <c:v>12.414612770080566</c:v>
                </c:pt>
                <c:pt idx="60">
                  <c:v>11.614193916320801</c:v>
                </c:pt>
                <c:pt idx="61">
                  <c:v>11.175665855407715</c:v>
                </c:pt>
                <c:pt idx="62">
                  <c:v>11.290555000305176</c:v>
                </c:pt>
                <c:pt idx="63">
                  <c:v>11.778487205505371</c:v>
                </c:pt>
                <c:pt idx="64">
                  <c:v>12.295844078063965</c:v>
                </c:pt>
                <c:pt idx="65">
                  <c:v>13.040942192077637</c:v>
                </c:pt>
                <c:pt idx="66">
                  <c:v>14.086267471313477</c:v>
                </c:pt>
                <c:pt idx="67">
                  <c:v>15.190249443054199</c:v>
                </c:pt>
                <c:pt idx="68">
                  <c:v>16.567127227783203</c:v>
                </c:pt>
                <c:pt idx="69">
                  <c:v>18.077127456665039</c:v>
                </c:pt>
                <c:pt idx="70">
                  <c:v>19.470046997070313</c:v>
                </c:pt>
                <c:pt idx="71">
                  <c:v>20.803224563598633</c:v>
                </c:pt>
                <c:pt idx="72">
                  <c:v>22.267332077026367</c:v>
                </c:pt>
                <c:pt idx="73">
                  <c:v>23.877479553222656</c:v>
                </c:pt>
                <c:pt idx="74">
                  <c:v>25.350683212280273</c:v>
                </c:pt>
                <c:pt idx="75">
                  <c:v>26.631351470947266</c:v>
                </c:pt>
                <c:pt idx="76">
                  <c:v>27.937934875488281</c:v>
                </c:pt>
                <c:pt idx="77">
                  <c:v>29.107149124145508</c:v>
                </c:pt>
                <c:pt idx="78">
                  <c:v>29.946128845214844</c:v>
                </c:pt>
                <c:pt idx="79">
                  <c:v>30.671501159667969</c:v>
                </c:pt>
                <c:pt idx="80">
                  <c:v>31.493934631347656</c:v>
                </c:pt>
                <c:pt idx="81">
                  <c:v>32.179832458496094</c:v>
                </c:pt>
                <c:pt idx="82">
                  <c:v>32.550491333007813</c:v>
                </c:pt>
                <c:pt idx="83">
                  <c:v>32.521957397460938</c:v>
                </c:pt>
                <c:pt idx="84">
                  <c:v>32.284149169921875</c:v>
                </c:pt>
                <c:pt idx="85">
                  <c:v>31.924005508422852</c:v>
                </c:pt>
                <c:pt idx="86">
                  <c:v>31.362382888793945</c:v>
                </c:pt>
                <c:pt idx="87">
                  <c:v>30.576648712158203</c:v>
                </c:pt>
                <c:pt idx="88">
                  <c:v>29.488824844360352</c:v>
                </c:pt>
                <c:pt idx="89">
                  <c:v>28.509681701660156</c:v>
                </c:pt>
                <c:pt idx="90">
                  <c:v>27.246820449829102</c:v>
                </c:pt>
                <c:pt idx="91">
                  <c:v>25.768379211425781</c:v>
                </c:pt>
                <c:pt idx="92">
                  <c:v>24.416269302368164</c:v>
                </c:pt>
                <c:pt idx="93">
                  <c:v>22.627708435058594</c:v>
                </c:pt>
                <c:pt idx="94">
                  <c:v>20.931497573852539</c:v>
                </c:pt>
                <c:pt idx="95">
                  <c:v>19.507076263427734</c:v>
                </c:pt>
                <c:pt idx="96">
                  <c:v>17.827119827270508</c:v>
                </c:pt>
                <c:pt idx="97">
                  <c:v>16.044378280639648</c:v>
                </c:pt>
                <c:pt idx="98">
                  <c:v>14.340329170227051</c:v>
                </c:pt>
                <c:pt idx="99">
                  <c:v>12.925801277160645</c:v>
                </c:pt>
                <c:pt idx="100">
                  <c:v>11.506793022155762</c:v>
                </c:pt>
                <c:pt idx="101">
                  <c:v>10.252347946166992</c:v>
                </c:pt>
                <c:pt idx="102">
                  <c:v>9.1054019927978516</c:v>
                </c:pt>
                <c:pt idx="103">
                  <c:v>7.9691047668457031</c:v>
                </c:pt>
                <c:pt idx="104">
                  <c:v>7.0922622680664063</c:v>
                </c:pt>
                <c:pt idx="105">
                  <c:v>6.3158769607543945</c:v>
                </c:pt>
                <c:pt idx="106">
                  <c:v>5.5174565315246582</c:v>
                </c:pt>
                <c:pt idx="107">
                  <c:v>4.8549900054931641</c:v>
                </c:pt>
                <c:pt idx="108">
                  <c:v>4.411651611328125</c:v>
                </c:pt>
                <c:pt idx="109">
                  <c:v>3.9312841892242432</c:v>
                </c:pt>
                <c:pt idx="110">
                  <c:v>3.5566694736480713</c:v>
                </c:pt>
                <c:pt idx="111">
                  <c:v>3.4629042148590088</c:v>
                </c:pt>
                <c:pt idx="112">
                  <c:v>3.2101805210113525</c:v>
                </c:pt>
                <c:pt idx="113">
                  <c:v>2.923123836517334</c:v>
                </c:pt>
                <c:pt idx="114">
                  <c:v>2.8022027015686035</c:v>
                </c:pt>
                <c:pt idx="115">
                  <c:v>2.6235949993133545</c:v>
                </c:pt>
                <c:pt idx="116">
                  <c:v>2.4718520641326904</c:v>
                </c:pt>
                <c:pt idx="117">
                  <c:v>2.4767594337463379</c:v>
                </c:pt>
                <c:pt idx="118">
                  <c:v>2.5129930973052979</c:v>
                </c:pt>
                <c:pt idx="119">
                  <c:v>2.4454915523529053</c:v>
                </c:pt>
                <c:pt idx="120">
                  <c:v>2.2175376415252686</c:v>
                </c:pt>
                <c:pt idx="121">
                  <c:v>2.1843104362487793</c:v>
                </c:pt>
                <c:pt idx="122">
                  <c:v>2.3471097946166992</c:v>
                </c:pt>
                <c:pt idx="123">
                  <c:v>2.4235146045684814</c:v>
                </c:pt>
                <c:pt idx="124">
                  <c:v>2.378164529800415</c:v>
                </c:pt>
                <c:pt idx="125">
                  <c:v>2.2332491874694824</c:v>
                </c:pt>
                <c:pt idx="126">
                  <c:v>2.337721586227417</c:v>
                </c:pt>
                <c:pt idx="127">
                  <c:v>2.6073596477508545</c:v>
                </c:pt>
                <c:pt idx="128">
                  <c:v>2.6661908626556396</c:v>
                </c:pt>
                <c:pt idx="129">
                  <c:v>2.4931888580322266</c:v>
                </c:pt>
                <c:pt idx="130">
                  <c:v>2.4133119583129883</c:v>
                </c:pt>
                <c:pt idx="131">
                  <c:v>2.4391486644744873</c:v>
                </c:pt>
                <c:pt idx="132">
                  <c:v>2.486283540725708</c:v>
                </c:pt>
                <c:pt idx="133">
                  <c:v>2.6051290035247803</c:v>
                </c:pt>
                <c:pt idx="134">
                  <c:v>2.5865077972412109</c:v>
                </c:pt>
                <c:pt idx="135">
                  <c:v>2.5023055076599121</c:v>
                </c:pt>
                <c:pt idx="136">
                  <c:v>3.7227468490600586</c:v>
                </c:pt>
                <c:pt idx="137">
                  <c:v>4.3872499465942383</c:v>
                </c:pt>
                <c:pt idx="138">
                  <c:v>3.1413404941558838</c:v>
                </c:pt>
                <c:pt idx="139">
                  <c:v>2.3660025596618652</c:v>
                </c:pt>
                <c:pt idx="140">
                  <c:v>2.4272778034210205</c:v>
                </c:pt>
                <c:pt idx="141">
                  <c:v>2.3124666213989258</c:v>
                </c:pt>
                <c:pt idx="142">
                  <c:v>2.4577116966247559</c:v>
                </c:pt>
                <c:pt idx="143">
                  <c:v>2.6955192089080811</c:v>
                </c:pt>
                <c:pt idx="144">
                  <c:v>2.3710458278656006</c:v>
                </c:pt>
                <c:pt idx="145">
                  <c:v>2.2090611457824707</c:v>
                </c:pt>
                <c:pt idx="146">
                  <c:v>2.5360949039459229</c:v>
                </c:pt>
                <c:pt idx="147">
                  <c:v>2.6912713050842285</c:v>
                </c:pt>
                <c:pt idx="148">
                  <c:v>2.4710955619812012</c:v>
                </c:pt>
                <c:pt idx="149">
                  <c:v>2.3749251365661621</c:v>
                </c:pt>
                <c:pt idx="150">
                  <c:v>2.5242047309875488</c:v>
                </c:pt>
                <c:pt idx="151">
                  <c:v>2.3024771213531494</c:v>
                </c:pt>
                <c:pt idx="152">
                  <c:v>2.2615690231323242</c:v>
                </c:pt>
                <c:pt idx="153">
                  <c:v>2.2361781597137451</c:v>
                </c:pt>
                <c:pt idx="154">
                  <c:v>2.4763326644897461</c:v>
                </c:pt>
                <c:pt idx="155">
                  <c:v>2.8369817733764648</c:v>
                </c:pt>
                <c:pt idx="156">
                  <c:v>2.5877106189727783</c:v>
                </c:pt>
                <c:pt idx="157">
                  <c:v>2.4610090255737305</c:v>
                </c:pt>
                <c:pt idx="158">
                  <c:v>2.4593603610992432</c:v>
                </c:pt>
                <c:pt idx="159">
                  <c:v>2.2204084396362305</c:v>
                </c:pt>
                <c:pt idx="160">
                  <c:v>2.3760502338409424</c:v>
                </c:pt>
                <c:pt idx="161">
                  <c:v>2.4353275299072266</c:v>
                </c:pt>
                <c:pt idx="162">
                  <c:v>2.1839807033538818</c:v>
                </c:pt>
                <c:pt idx="163">
                  <c:v>2.2217469215393066</c:v>
                </c:pt>
                <c:pt idx="164">
                  <c:v>2.3214669227600098</c:v>
                </c:pt>
                <c:pt idx="165">
                  <c:v>2.1554090976715088</c:v>
                </c:pt>
                <c:pt idx="166">
                  <c:v>2.1886553764343262</c:v>
                </c:pt>
                <c:pt idx="167">
                  <c:v>2.325986385345459</c:v>
                </c:pt>
                <c:pt idx="168">
                  <c:v>2.3806860446929932</c:v>
                </c:pt>
                <c:pt idx="169">
                  <c:v>2.7003684043884277</c:v>
                </c:pt>
                <c:pt idx="170">
                  <c:v>2.786588191986084</c:v>
                </c:pt>
                <c:pt idx="171">
                  <c:v>2.6226058006286621</c:v>
                </c:pt>
                <c:pt idx="172">
                  <c:v>2.5088422298431396</c:v>
                </c:pt>
                <c:pt idx="173">
                  <c:v>2.524146556854248</c:v>
                </c:pt>
                <c:pt idx="174">
                  <c:v>2.2706661224365234</c:v>
                </c:pt>
                <c:pt idx="175">
                  <c:v>2.0817584991455078</c:v>
                </c:pt>
                <c:pt idx="176">
                  <c:v>2</c:v>
                </c:pt>
                <c:pt idx="177">
                  <c:v>2.3111865520477295</c:v>
                </c:pt>
                <c:pt idx="178">
                  <c:v>2.6303839683532715</c:v>
                </c:pt>
                <c:pt idx="179">
                  <c:v>2.491675853729248</c:v>
                </c:pt>
                <c:pt idx="180">
                  <c:v>2.5590806007385254</c:v>
                </c:pt>
                <c:pt idx="181">
                  <c:v>2.5878655910491943</c:v>
                </c:pt>
                <c:pt idx="182">
                  <c:v>2.404951810836792</c:v>
                </c:pt>
                <c:pt idx="183">
                  <c:v>2.5531449317932129</c:v>
                </c:pt>
                <c:pt idx="184">
                  <c:v>2.820979118347168</c:v>
                </c:pt>
                <c:pt idx="185">
                  <c:v>2.6605851650238037</c:v>
                </c:pt>
                <c:pt idx="186">
                  <c:v>2.7006399631500244</c:v>
                </c:pt>
                <c:pt idx="187">
                  <c:v>2.4763522148132324</c:v>
                </c:pt>
                <c:pt idx="188">
                  <c:v>2.5381510257720947</c:v>
                </c:pt>
                <c:pt idx="189">
                  <c:v>2.8113000392913818</c:v>
                </c:pt>
                <c:pt idx="190">
                  <c:v>2.7071962356567383</c:v>
                </c:pt>
                <c:pt idx="191">
                  <c:v>2.6050515174865723</c:v>
                </c:pt>
                <c:pt idx="192">
                  <c:v>2.6688482761383057</c:v>
                </c:pt>
                <c:pt idx="193">
                  <c:v>2.5456576347351074</c:v>
                </c:pt>
                <c:pt idx="194">
                  <c:v>2.4977858066558838</c:v>
                </c:pt>
                <c:pt idx="195">
                  <c:v>2.3996951580047607</c:v>
                </c:pt>
                <c:pt idx="196">
                  <c:v>2.3194303512573242</c:v>
                </c:pt>
                <c:pt idx="197">
                  <c:v>2.3958544731140137</c:v>
                </c:pt>
                <c:pt idx="198">
                  <c:v>2.5189869403839111</c:v>
                </c:pt>
                <c:pt idx="199">
                  <c:v>2.5391016006469727</c:v>
                </c:pt>
                <c:pt idx="200">
                  <c:v>2.3738195896148682</c:v>
                </c:pt>
                <c:pt idx="201">
                  <c:v>2.4255514144897461</c:v>
                </c:pt>
                <c:pt idx="202">
                  <c:v>2.1743016242980957</c:v>
                </c:pt>
                <c:pt idx="203">
                  <c:v>2.4336400032043457</c:v>
                </c:pt>
                <c:pt idx="204">
                  <c:v>2.4266376495361328</c:v>
                </c:pt>
                <c:pt idx="205">
                  <c:v>2.3682913780212402</c:v>
                </c:pt>
                <c:pt idx="206">
                  <c:v>2.3783195018768311</c:v>
                </c:pt>
                <c:pt idx="207">
                  <c:v>2.3665649890899658</c:v>
                </c:pt>
                <c:pt idx="208">
                  <c:v>2.201185941696167</c:v>
                </c:pt>
                <c:pt idx="209">
                  <c:v>2.1788406372070313</c:v>
                </c:pt>
                <c:pt idx="210">
                  <c:v>2.432185173034668</c:v>
                </c:pt>
                <c:pt idx="211">
                  <c:v>2.33469557762146</c:v>
                </c:pt>
                <c:pt idx="212">
                  <c:v>2.2607543468475342</c:v>
                </c:pt>
                <c:pt idx="213">
                  <c:v>2.1154704093933105</c:v>
                </c:pt>
                <c:pt idx="214">
                  <c:v>2.3357818126678467</c:v>
                </c:pt>
                <c:pt idx="215">
                  <c:v>2.3782031536102295</c:v>
                </c:pt>
                <c:pt idx="216">
                  <c:v>2.2131733894348145</c:v>
                </c:pt>
                <c:pt idx="217">
                  <c:v>2.1765711307525635</c:v>
                </c:pt>
                <c:pt idx="218">
                  <c:v>2.2045028209686279</c:v>
                </c:pt>
                <c:pt idx="219">
                  <c:v>2.3326783180236816</c:v>
                </c:pt>
                <c:pt idx="220">
                  <c:v>2.4402542114257813</c:v>
                </c:pt>
                <c:pt idx="221">
                  <c:v>2.8598313331604004</c:v>
                </c:pt>
                <c:pt idx="222">
                  <c:v>3.0430557727813721</c:v>
                </c:pt>
                <c:pt idx="223">
                  <c:v>3.015667200088501</c:v>
                </c:pt>
                <c:pt idx="224">
                  <c:v>2.6952476501464844</c:v>
                </c:pt>
                <c:pt idx="225">
                  <c:v>2.0402488708496094</c:v>
                </c:pt>
              </c:numCache>
            </c:numRef>
          </c:yVal>
          <c:smooth val="1"/>
          <c:extLst>
            <c:ext xmlns:c16="http://schemas.microsoft.com/office/drawing/2014/chart" uri="{C3380CC4-5D6E-409C-BE32-E72D297353CC}">
              <c16:uniqueId val="{00000000-58F6-4830-8941-1011DB88381F}"/>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86.706832885742188</c:v>
                </c:pt>
                <c:pt idx="2">
                  <c:v>74.7352294921875</c:v>
                </c:pt>
                <c:pt idx="3">
                  <c:v>64.837554931640625</c:v>
                </c:pt>
                <c:pt idx="4">
                  <c:v>57.227306365966797</c:v>
                </c:pt>
                <c:pt idx="5">
                  <c:v>51.529953002929688</c:v>
                </c:pt>
                <c:pt idx="6">
                  <c:v>46.827415466308594</c:v>
                </c:pt>
                <c:pt idx="7">
                  <c:v>43.095241546630859</c:v>
                </c:pt>
                <c:pt idx="8">
                  <c:v>39.90447998046875</c:v>
                </c:pt>
                <c:pt idx="9">
                  <c:v>36.854412078857422</c:v>
                </c:pt>
                <c:pt idx="10">
                  <c:v>34.270755767822266</c:v>
                </c:pt>
                <c:pt idx="11">
                  <c:v>31.986848831176758</c:v>
                </c:pt>
                <c:pt idx="12">
                  <c:v>29.960493087768555</c:v>
                </c:pt>
                <c:pt idx="13">
                  <c:v>28.152612686157227</c:v>
                </c:pt>
                <c:pt idx="14">
                  <c:v>26.397735595703125</c:v>
                </c:pt>
                <c:pt idx="15">
                  <c:v>24.651115417480469</c:v>
                </c:pt>
                <c:pt idx="16">
                  <c:v>23.149831771850586</c:v>
                </c:pt>
                <c:pt idx="17">
                  <c:v>21.771577835083008</c:v>
                </c:pt>
                <c:pt idx="18">
                  <c:v>20.578182220458984</c:v>
                </c:pt>
                <c:pt idx="19">
                  <c:v>19.580018997192383</c:v>
                </c:pt>
                <c:pt idx="20">
                  <c:v>18.832754135131836</c:v>
                </c:pt>
                <c:pt idx="21">
                  <c:v>18.202821731567383</c:v>
                </c:pt>
                <c:pt idx="22">
                  <c:v>17.537832260131836</c:v>
                </c:pt>
                <c:pt idx="23">
                  <c:v>16.954668045043945</c:v>
                </c:pt>
                <c:pt idx="24">
                  <c:v>16.343172073364258</c:v>
                </c:pt>
                <c:pt idx="25">
                  <c:v>15.707540512084961</c:v>
                </c:pt>
                <c:pt idx="26">
                  <c:v>14.921706199645996</c:v>
                </c:pt>
                <c:pt idx="27">
                  <c:v>14.028449058532715</c:v>
                </c:pt>
                <c:pt idx="28">
                  <c:v>13.039318084716797</c:v>
                </c:pt>
                <c:pt idx="29">
                  <c:v>12.220226287841797</c:v>
                </c:pt>
                <c:pt idx="30">
                  <c:v>11.613715171813965</c:v>
                </c:pt>
                <c:pt idx="31">
                  <c:v>11.23807430267334</c:v>
                </c:pt>
                <c:pt idx="32">
                  <c:v>11.032158851623535</c:v>
                </c:pt>
                <c:pt idx="33">
                  <c:v>10.865721702575684</c:v>
                </c:pt>
                <c:pt idx="34">
                  <c:v>10.848787307739258</c:v>
                </c:pt>
                <c:pt idx="35">
                  <c:v>10.794831275939941</c:v>
                </c:pt>
                <c:pt idx="36">
                  <c:v>10.61724853515625</c:v>
                </c:pt>
                <c:pt idx="37">
                  <c:v>10.508635520935059</c:v>
                </c:pt>
                <c:pt idx="38">
                  <c:v>10.453414916992188</c:v>
                </c:pt>
                <c:pt idx="39">
                  <c:v>10.401422500610352</c:v>
                </c:pt>
                <c:pt idx="40">
                  <c:v>10.316455841064453</c:v>
                </c:pt>
                <c:pt idx="41">
                  <c:v>10.311842918395996</c:v>
                </c:pt>
                <c:pt idx="42">
                  <c:v>10.370084762573242</c:v>
                </c:pt>
                <c:pt idx="43">
                  <c:v>10.432879447937012</c:v>
                </c:pt>
                <c:pt idx="44">
                  <c:v>10.503621101379395</c:v>
                </c:pt>
                <c:pt idx="45">
                  <c:v>10.532102584838867</c:v>
                </c:pt>
                <c:pt idx="46">
                  <c:v>10.659330368041992</c:v>
                </c:pt>
                <c:pt idx="47">
                  <c:v>10.785337448120117</c:v>
                </c:pt>
                <c:pt idx="48">
                  <c:v>10.896702766418457</c:v>
                </c:pt>
                <c:pt idx="49">
                  <c:v>11.025819778442383</c:v>
                </c:pt>
                <c:pt idx="50">
                  <c:v>11.153687477111816</c:v>
                </c:pt>
                <c:pt idx="51">
                  <c:v>11.309350967407227</c:v>
                </c:pt>
                <c:pt idx="52">
                  <c:v>11.412948608398438</c:v>
                </c:pt>
                <c:pt idx="53">
                  <c:v>11.545637130737305</c:v>
                </c:pt>
                <c:pt idx="54">
                  <c:v>11.749439239501953</c:v>
                </c:pt>
                <c:pt idx="55">
                  <c:v>11.931679725646973</c:v>
                </c:pt>
                <c:pt idx="56">
                  <c:v>12.093340873718262</c:v>
                </c:pt>
                <c:pt idx="57">
                  <c:v>12.181745529174805</c:v>
                </c:pt>
                <c:pt idx="58">
                  <c:v>12.280045509338379</c:v>
                </c:pt>
                <c:pt idx="59">
                  <c:v>12.391246795654297</c:v>
                </c:pt>
                <c:pt idx="60">
                  <c:v>12.516911506652832</c:v>
                </c:pt>
                <c:pt idx="61">
                  <c:v>12.595733642578125</c:v>
                </c:pt>
                <c:pt idx="62">
                  <c:v>12.756352424621582</c:v>
                </c:pt>
                <c:pt idx="63">
                  <c:v>12.904010772705078</c:v>
                </c:pt>
                <c:pt idx="64">
                  <c:v>12.933191299438477</c:v>
                </c:pt>
                <c:pt idx="65">
                  <c:v>12.921658515930176</c:v>
                </c:pt>
                <c:pt idx="66">
                  <c:v>12.932283401489258</c:v>
                </c:pt>
                <c:pt idx="67">
                  <c:v>12.951791763305664</c:v>
                </c:pt>
                <c:pt idx="68">
                  <c:v>12.97103214263916</c:v>
                </c:pt>
                <c:pt idx="69">
                  <c:v>12.954946517944336</c:v>
                </c:pt>
                <c:pt idx="70">
                  <c:v>12.857687950134277</c:v>
                </c:pt>
                <c:pt idx="71">
                  <c:v>12.678780555725098</c:v>
                </c:pt>
                <c:pt idx="72">
                  <c:v>12.480291366577148</c:v>
                </c:pt>
                <c:pt idx="73">
                  <c:v>12.262873649597168</c:v>
                </c:pt>
                <c:pt idx="74">
                  <c:v>12.134945869445801</c:v>
                </c:pt>
                <c:pt idx="75">
                  <c:v>12.038520812988281</c:v>
                </c:pt>
                <c:pt idx="76">
                  <c:v>11.862902641296387</c:v>
                </c:pt>
                <c:pt idx="77">
                  <c:v>11.623968124389648</c:v>
                </c:pt>
                <c:pt idx="78">
                  <c:v>11.358545303344727</c:v>
                </c:pt>
                <c:pt idx="79">
                  <c:v>11.127140045166016</c:v>
                </c:pt>
                <c:pt idx="80">
                  <c:v>10.891941070556641</c:v>
                </c:pt>
                <c:pt idx="81">
                  <c:v>10.589794158935547</c:v>
                </c:pt>
                <c:pt idx="82">
                  <c:v>10.150940895080566</c:v>
                </c:pt>
                <c:pt idx="83">
                  <c:v>9.8132743835449219</c:v>
                </c:pt>
                <c:pt idx="84">
                  <c:v>9.7499427795410156</c:v>
                </c:pt>
                <c:pt idx="85">
                  <c:v>9.6200523376464844</c:v>
                </c:pt>
                <c:pt idx="86">
                  <c:v>9.4929141998291016</c:v>
                </c:pt>
                <c:pt idx="87">
                  <c:v>9.291046142578125</c:v>
                </c:pt>
                <c:pt idx="88">
                  <c:v>8.8465976715087891</c:v>
                </c:pt>
                <c:pt idx="89">
                  <c:v>8.4847211837768555</c:v>
                </c:pt>
                <c:pt idx="90">
                  <c:v>8.4297971725463867</c:v>
                </c:pt>
                <c:pt idx="91">
                  <c:v>8.5203895568847656</c:v>
                </c:pt>
                <c:pt idx="92">
                  <c:v>8.4282798767089844</c:v>
                </c:pt>
                <c:pt idx="93">
                  <c:v>8.2825708389282227</c:v>
                </c:pt>
                <c:pt idx="94">
                  <c:v>8.0301542282104492</c:v>
                </c:pt>
                <c:pt idx="95">
                  <c:v>7.8623180389404297</c:v>
                </c:pt>
                <c:pt idx="96">
                  <c:v>7.9174051284790039</c:v>
                </c:pt>
                <c:pt idx="97">
                  <c:v>8.0738430023193359</c:v>
                </c:pt>
                <c:pt idx="98">
                  <c:v>7.995765209197998</c:v>
                </c:pt>
                <c:pt idx="99">
                  <c:v>7.7994480133056641</c:v>
                </c:pt>
                <c:pt idx="100">
                  <c:v>7.7211027145385742</c:v>
                </c:pt>
                <c:pt idx="101">
                  <c:v>7.7976474761962891</c:v>
                </c:pt>
                <c:pt idx="102">
                  <c:v>7.8972420692443848</c:v>
                </c:pt>
                <c:pt idx="103">
                  <c:v>7.7392568588256836</c:v>
                </c:pt>
                <c:pt idx="104">
                  <c:v>7.5999317169189453</c:v>
                </c:pt>
                <c:pt idx="105">
                  <c:v>7.6910295486450195</c:v>
                </c:pt>
                <c:pt idx="106">
                  <c:v>7.7186770439147949</c:v>
                </c:pt>
                <c:pt idx="107">
                  <c:v>7.7166385650634766</c:v>
                </c:pt>
                <c:pt idx="108">
                  <c:v>7.7097043991088867</c:v>
                </c:pt>
                <c:pt idx="109">
                  <c:v>7.6869521141052246</c:v>
                </c:pt>
                <c:pt idx="110">
                  <c:v>7.7597026824951172</c:v>
                </c:pt>
                <c:pt idx="111">
                  <c:v>7.7867698669433594</c:v>
                </c:pt>
                <c:pt idx="112">
                  <c:v>7.7657442092895508</c:v>
                </c:pt>
                <c:pt idx="113">
                  <c:v>7.7057313919067383</c:v>
                </c:pt>
                <c:pt idx="114">
                  <c:v>7.6330108642578125</c:v>
                </c:pt>
                <c:pt idx="115">
                  <c:v>7.5665993690490723</c:v>
                </c:pt>
                <c:pt idx="116">
                  <c:v>7.4899206161499023</c:v>
                </c:pt>
                <c:pt idx="117">
                  <c:v>7.3977961540222168</c:v>
                </c:pt>
                <c:pt idx="118">
                  <c:v>7.391441822052002</c:v>
                </c:pt>
                <c:pt idx="119">
                  <c:v>7.4303245544433594</c:v>
                </c:pt>
                <c:pt idx="120">
                  <c:v>7.4071707725524902</c:v>
                </c:pt>
                <c:pt idx="121">
                  <c:v>7.3533334732055664</c:v>
                </c:pt>
                <c:pt idx="122">
                  <c:v>7.5299639701843262</c:v>
                </c:pt>
                <c:pt idx="123">
                  <c:v>7.7088265419006348</c:v>
                </c:pt>
                <c:pt idx="124">
                  <c:v>7.6193952560424805</c:v>
                </c:pt>
                <c:pt idx="125">
                  <c:v>7.7335872650146484</c:v>
                </c:pt>
                <c:pt idx="126">
                  <c:v>7.6206450462341309</c:v>
                </c:pt>
                <c:pt idx="127">
                  <c:v>7.5729384422302246</c:v>
                </c:pt>
                <c:pt idx="128">
                  <c:v>7.7189154624938965</c:v>
                </c:pt>
                <c:pt idx="129">
                  <c:v>7.5679535865783691</c:v>
                </c:pt>
                <c:pt idx="130">
                  <c:v>7.3448662757873535</c:v>
                </c:pt>
                <c:pt idx="131">
                  <c:v>7.0566921234130859</c:v>
                </c:pt>
                <c:pt idx="132">
                  <c:v>7.1127171516418457</c:v>
                </c:pt>
                <c:pt idx="133">
                  <c:v>7.3816509246826172</c:v>
                </c:pt>
                <c:pt idx="134">
                  <c:v>7.705805778503418</c:v>
                </c:pt>
                <c:pt idx="135">
                  <c:v>7.6282491683959961</c:v>
                </c:pt>
                <c:pt idx="136">
                  <c:v>3.9430396556854248</c:v>
                </c:pt>
                <c:pt idx="137">
                  <c:v>1.9999998807907104</c:v>
                </c:pt>
                <c:pt idx="138">
                  <c:v>5.209660530090332</c:v>
                </c:pt>
                <c:pt idx="139">
                  <c:v>7.0263657569885254</c:v>
                </c:pt>
                <c:pt idx="140">
                  <c:v>6.9484224319458008</c:v>
                </c:pt>
                <c:pt idx="141">
                  <c:v>7.7291679382324219</c:v>
                </c:pt>
                <c:pt idx="142">
                  <c:v>8.0754795074462891</c:v>
                </c:pt>
                <c:pt idx="143">
                  <c:v>7.4504280090332031</c:v>
                </c:pt>
                <c:pt idx="144">
                  <c:v>7.2523398399353027</c:v>
                </c:pt>
                <c:pt idx="145">
                  <c:v>7.8272895812988281</c:v>
                </c:pt>
                <c:pt idx="146">
                  <c:v>6.1778993606567383</c:v>
                </c:pt>
                <c:pt idx="147">
                  <c:v>4.69317626953125</c:v>
                </c:pt>
                <c:pt idx="148">
                  <c:v>7.0044770240783691</c:v>
                </c:pt>
                <c:pt idx="149">
                  <c:v>8.622528076171875</c:v>
                </c:pt>
                <c:pt idx="150">
                  <c:v>7.2185020446777344</c:v>
                </c:pt>
                <c:pt idx="151">
                  <c:v>7.5593080520629883</c:v>
                </c:pt>
                <c:pt idx="152">
                  <c:v>7.7716069221496582</c:v>
                </c:pt>
                <c:pt idx="153">
                  <c:v>7.6006755828857422</c:v>
                </c:pt>
                <c:pt idx="154">
                  <c:v>7.3261618614196777</c:v>
                </c:pt>
                <c:pt idx="155">
                  <c:v>7.4168281555175781</c:v>
                </c:pt>
                <c:pt idx="156">
                  <c:v>7.0868549346923828</c:v>
                </c:pt>
                <c:pt idx="157">
                  <c:v>7.0331215858459473</c:v>
                </c:pt>
                <c:pt idx="158">
                  <c:v>7.2746753692626953</c:v>
                </c:pt>
                <c:pt idx="159">
                  <c:v>6.7714047431945801</c:v>
                </c:pt>
                <c:pt idx="160">
                  <c:v>7.1793069839477539</c:v>
                </c:pt>
                <c:pt idx="161">
                  <c:v>7.2958354949951172</c:v>
                </c:pt>
                <c:pt idx="162">
                  <c:v>6.5625581741333008</c:v>
                </c:pt>
                <c:pt idx="163">
                  <c:v>7.4629125595092773</c:v>
                </c:pt>
                <c:pt idx="164">
                  <c:v>7.1808395385742188</c:v>
                </c:pt>
                <c:pt idx="165">
                  <c:v>6.8447356224060059</c:v>
                </c:pt>
                <c:pt idx="166">
                  <c:v>7.2118501663208008</c:v>
                </c:pt>
                <c:pt idx="167">
                  <c:v>6.4664607048034668</c:v>
                </c:pt>
                <c:pt idx="168">
                  <c:v>7.6374449729919434</c:v>
                </c:pt>
                <c:pt idx="169">
                  <c:v>7.3570981025695801</c:v>
                </c:pt>
                <c:pt idx="170">
                  <c:v>6.6638193130493164</c:v>
                </c:pt>
                <c:pt idx="171">
                  <c:v>7.4923014640808105</c:v>
                </c:pt>
                <c:pt idx="172">
                  <c:v>7.3692998886108398</c:v>
                </c:pt>
                <c:pt idx="173">
                  <c:v>7.5319876670837402</c:v>
                </c:pt>
                <c:pt idx="174">
                  <c:v>7.042332649230957</c:v>
                </c:pt>
                <c:pt idx="175">
                  <c:v>7.1542630195617676</c:v>
                </c:pt>
                <c:pt idx="176">
                  <c:v>6.5792393684387207</c:v>
                </c:pt>
                <c:pt idx="177">
                  <c:v>6.8065524101257324</c:v>
                </c:pt>
                <c:pt idx="178">
                  <c:v>7.5444869995117188</c:v>
                </c:pt>
                <c:pt idx="179">
                  <c:v>7.3756093978881836</c:v>
                </c:pt>
                <c:pt idx="180">
                  <c:v>7.5768222808837891</c:v>
                </c:pt>
                <c:pt idx="181">
                  <c:v>7.261967658996582</c:v>
                </c:pt>
                <c:pt idx="182">
                  <c:v>6.8667435646057129</c:v>
                </c:pt>
                <c:pt idx="183">
                  <c:v>7.0098934173583984</c:v>
                </c:pt>
                <c:pt idx="184">
                  <c:v>7.0471982955932617</c:v>
                </c:pt>
                <c:pt idx="185">
                  <c:v>7.0693850517272949</c:v>
                </c:pt>
                <c:pt idx="186">
                  <c:v>6.9141526222229004</c:v>
                </c:pt>
                <c:pt idx="187">
                  <c:v>7.0816316604614258</c:v>
                </c:pt>
                <c:pt idx="188">
                  <c:v>7.2959990501403809</c:v>
                </c:pt>
                <c:pt idx="189">
                  <c:v>7.3680648803710938</c:v>
                </c:pt>
                <c:pt idx="190">
                  <c:v>6.5611743927001953</c:v>
                </c:pt>
                <c:pt idx="191">
                  <c:v>8.0053930282592773</c:v>
                </c:pt>
                <c:pt idx="192">
                  <c:v>6.9420685768127441</c:v>
                </c:pt>
                <c:pt idx="193">
                  <c:v>6.9673948287963867</c:v>
                </c:pt>
                <c:pt idx="194">
                  <c:v>5.6347794532775879</c:v>
                </c:pt>
                <c:pt idx="195">
                  <c:v>5.5594396591186523</c:v>
                </c:pt>
                <c:pt idx="196">
                  <c:v>5.5339198112487793</c:v>
                </c:pt>
                <c:pt idx="197">
                  <c:v>6.0400323867797852</c:v>
                </c:pt>
                <c:pt idx="198">
                  <c:v>8.8483982086181641</c:v>
                </c:pt>
                <c:pt idx="199">
                  <c:v>7.4965572357177734</c:v>
                </c:pt>
                <c:pt idx="200">
                  <c:v>6.9979739189147949</c:v>
                </c:pt>
                <c:pt idx="201">
                  <c:v>6.1025600433349609</c:v>
                </c:pt>
                <c:pt idx="202">
                  <c:v>7.7765026092529297</c:v>
                </c:pt>
                <c:pt idx="203">
                  <c:v>5.8763628005981445</c:v>
                </c:pt>
                <c:pt idx="204">
                  <c:v>7.4425263404846191</c:v>
                </c:pt>
                <c:pt idx="205">
                  <c:v>6.0414013862609863</c:v>
                </c:pt>
                <c:pt idx="206">
                  <c:v>6.8046774864196777</c:v>
                </c:pt>
                <c:pt idx="207">
                  <c:v>7.5791287422180176</c:v>
                </c:pt>
                <c:pt idx="208">
                  <c:v>7.4056529998779297</c:v>
                </c:pt>
                <c:pt idx="209">
                  <c:v>8.3677902221679688</c:v>
                </c:pt>
                <c:pt idx="210">
                  <c:v>6.1830925941467285</c:v>
                </c:pt>
                <c:pt idx="211">
                  <c:v>8.125269889831543</c:v>
                </c:pt>
                <c:pt idx="212">
                  <c:v>6.3420600891113281</c:v>
                </c:pt>
                <c:pt idx="213">
                  <c:v>7.3164892196655273</c:v>
                </c:pt>
                <c:pt idx="214">
                  <c:v>6.2842798233032227</c:v>
                </c:pt>
                <c:pt idx="215">
                  <c:v>6.3851537704467773</c:v>
                </c:pt>
                <c:pt idx="216">
                  <c:v>7.5821495056152344</c:v>
                </c:pt>
                <c:pt idx="217">
                  <c:v>6.5008640289306641</c:v>
                </c:pt>
                <c:pt idx="218">
                  <c:v>8.5376653671264648</c:v>
                </c:pt>
                <c:pt idx="219">
                  <c:v>5.9773859977722168</c:v>
                </c:pt>
                <c:pt idx="220">
                  <c:v>6.868678092956543</c:v>
                </c:pt>
                <c:pt idx="221">
                  <c:v>7.5668673515319824</c:v>
                </c:pt>
                <c:pt idx="222">
                  <c:v>5.5075068473815918</c:v>
                </c:pt>
                <c:pt idx="223">
                  <c:v>9.1479558944702148</c:v>
                </c:pt>
                <c:pt idx="224">
                  <c:v>5.6392583847045898</c:v>
                </c:pt>
                <c:pt idx="225">
                  <c:v>7.4999799728393555</c:v>
                </c:pt>
              </c:numCache>
            </c:numRef>
          </c:yVal>
          <c:smooth val="1"/>
          <c:extLst>
            <c:ext xmlns:c16="http://schemas.microsoft.com/office/drawing/2014/chart" uri="{C3380CC4-5D6E-409C-BE32-E72D297353CC}">
              <c16:uniqueId val="{00000001-58F6-4830-8941-1011DB88381F}"/>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100</c:v>
                </c:pt>
                <c:pt idx="1">
                  <c:v>98.479629516601563</c:v>
                </c:pt>
                <c:pt idx="2">
                  <c:v>92.706459045410156</c:v>
                </c:pt>
                <c:pt idx="3">
                  <c:v>87.413429260253906</c:v>
                </c:pt>
                <c:pt idx="4">
                  <c:v>82.660682678222656</c:v>
                </c:pt>
                <c:pt idx="5">
                  <c:v>78.284286499023438</c:v>
                </c:pt>
                <c:pt idx="6">
                  <c:v>74.062919616699219</c:v>
                </c:pt>
                <c:pt idx="7">
                  <c:v>70.749809265136719</c:v>
                </c:pt>
                <c:pt idx="8">
                  <c:v>68.57098388671875</c:v>
                </c:pt>
                <c:pt idx="9">
                  <c:v>66.4552001953125</c:v>
                </c:pt>
                <c:pt idx="10">
                  <c:v>64.656791687011719</c:v>
                </c:pt>
                <c:pt idx="11">
                  <c:v>62.559169769287109</c:v>
                </c:pt>
                <c:pt idx="12">
                  <c:v>59.810138702392578</c:v>
                </c:pt>
                <c:pt idx="13">
                  <c:v>57.320663452148438</c:v>
                </c:pt>
                <c:pt idx="14">
                  <c:v>55.822067260742188</c:v>
                </c:pt>
                <c:pt idx="15">
                  <c:v>56.538337707519531</c:v>
                </c:pt>
                <c:pt idx="16">
                  <c:v>60.184284210205078</c:v>
                </c:pt>
                <c:pt idx="17">
                  <c:v>65.436058044433594</c:v>
                </c:pt>
                <c:pt idx="18">
                  <c:v>71.331771850585938</c:v>
                </c:pt>
                <c:pt idx="19">
                  <c:v>77.482246398925781</c:v>
                </c:pt>
                <c:pt idx="20">
                  <c:v>82.433013916015625</c:v>
                </c:pt>
                <c:pt idx="21">
                  <c:v>85.10345458984375</c:v>
                </c:pt>
                <c:pt idx="22">
                  <c:v>85.009361267089844</c:v>
                </c:pt>
                <c:pt idx="23">
                  <c:v>82.212203979492188</c:v>
                </c:pt>
                <c:pt idx="24">
                  <c:v>77.546882629394531</c:v>
                </c:pt>
                <c:pt idx="25">
                  <c:v>72.504989624023438</c:v>
                </c:pt>
                <c:pt idx="26">
                  <c:v>67.593467712402344</c:v>
                </c:pt>
                <c:pt idx="27">
                  <c:v>62.511547088623047</c:v>
                </c:pt>
                <c:pt idx="28">
                  <c:v>56.121875762939453</c:v>
                </c:pt>
                <c:pt idx="29">
                  <c:v>49.225677490234375</c:v>
                </c:pt>
                <c:pt idx="30">
                  <c:v>42.148689270019531</c:v>
                </c:pt>
                <c:pt idx="31">
                  <c:v>35.860572814941406</c:v>
                </c:pt>
                <c:pt idx="32">
                  <c:v>30.322669982910156</c:v>
                </c:pt>
                <c:pt idx="33">
                  <c:v>26.107429504394531</c:v>
                </c:pt>
                <c:pt idx="34">
                  <c:v>23.192209243774414</c:v>
                </c:pt>
                <c:pt idx="35">
                  <c:v>21.425365447998047</c:v>
                </c:pt>
                <c:pt idx="36">
                  <c:v>20.400728225708008</c:v>
                </c:pt>
                <c:pt idx="37">
                  <c:v>19.437068939208984</c:v>
                </c:pt>
                <c:pt idx="38">
                  <c:v>18.66425895690918</c:v>
                </c:pt>
                <c:pt idx="39">
                  <c:v>18.006952285766602</c:v>
                </c:pt>
                <c:pt idx="40">
                  <c:v>17.643739700317383</c:v>
                </c:pt>
                <c:pt idx="41">
                  <c:v>17.206785202026367</c:v>
                </c:pt>
                <c:pt idx="42">
                  <c:v>16.636119842529297</c:v>
                </c:pt>
                <c:pt idx="43">
                  <c:v>16.478437423706055</c:v>
                </c:pt>
                <c:pt idx="44">
                  <c:v>16.090293884277344</c:v>
                </c:pt>
                <c:pt idx="45">
                  <c:v>15.756722450256348</c:v>
                </c:pt>
                <c:pt idx="46">
                  <c:v>15.849813461303711</c:v>
                </c:pt>
                <c:pt idx="47">
                  <c:v>16.182376861572266</c:v>
                </c:pt>
                <c:pt idx="48">
                  <c:v>16.263711929321289</c:v>
                </c:pt>
                <c:pt idx="49">
                  <c:v>16.826417922973633</c:v>
                </c:pt>
                <c:pt idx="50">
                  <c:v>17.855354309082031</c:v>
                </c:pt>
                <c:pt idx="51">
                  <c:v>19.003501892089844</c:v>
                </c:pt>
                <c:pt idx="52">
                  <c:v>20.281196594238281</c:v>
                </c:pt>
                <c:pt idx="53">
                  <c:v>21.537256240844727</c:v>
                </c:pt>
                <c:pt idx="54">
                  <c:v>23.109228134155273</c:v>
                </c:pt>
                <c:pt idx="55">
                  <c:v>24.9923095703125</c:v>
                </c:pt>
                <c:pt idx="56">
                  <c:v>27.006404876708984</c:v>
                </c:pt>
                <c:pt idx="57">
                  <c:v>29.074251174926758</c:v>
                </c:pt>
                <c:pt idx="58">
                  <c:v>31.332302093505859</c:v>
                </c:pt>
                <c:pt idx="59">
                  <c:v>33.528919219970703</c:v>
                </c:pt>
                <c:pt idx="60">
                  <c:v>35.107936859130859</c:v>
                </c:pt>
                <c:pt idx="61">
                  <c:v>36.332569122314453</c:v>
                </c:pt>
                <c:pt idx="62">
                  <c:v>37.106430053710938</c:v>
                </c:pt>
                <c:pt idx="63">
                  <c:v>37.693153381347656</c:v>
                </c:pt>
                <c:pt idx="64">
                  <c:v>37.827827453613281</c:v>
                </c:pt>
                <c:pt idx="65">
                  <c:v>37.336071014404297</c:v>
                </c:pt>
                <c:pt idx="66">
                  <c:v>36.455116271972656</c:v>
                </c:pt>
                <c:pt idx="67">
                  <c:v>34.715309143066406</c:v>
                </c:pt>
                <c:pt idx="68">
                  <c:v>32.700893402099609</c:v>
                </c:pt>
                <c:pt idx="69">
                  <c:v>30.275873184204102</c:v>
                </c:pt>
                <c:pt idx="70">
                  <c:v>27.807899475097656</c:v>
                </c:pt>
                <c:pt idx="71">
                  <c:v>25.432924270629883</c:v>
                </c:pt>
                <c:pt idx="72">
                  <c:v>22.913074493408203</c:v>
                </c:pt>
                <c:pt idx="73">
                  <c:v>20.198810577392578</c:v>
                </c:pt>
                <c:pt idx="74">
                  <c:v>17.834447860717773</c:v>
                </c:pt>
                <c:pt idx="75">
                  <c:v>15.802192687988281</c:v>
                </c:pt>
                <c:pt idx="76">
                  <c:v>13.78411865234375</c:v>
                </c:pt>
                <c:pt idx="77">
                  <c:v>11.99284553527832</c:v>
                </c:pt>
                <c:pt idx="78">
                  <c:v>10.730291366577148</c:v>
                </c:pt>
                <c:pt idx="79">
                  <c:v>9.8607749938964844</c:v>
                </c:pt>
                <c:pt idx="80">
                  <c:v>8.5264930725097656</c:v>
                </c:pt>
                <c:pt idx="81">
                  <c:v>7.674863338470459</c:v>
                </c:pt>
                <c:pt idx="82">
                  <c:v>7.6666746139526367</c:v>
                </c:pt>
                <c:pt idx="83">
                  <c:v>7.5534567832946777</c:v>
                </c:pt>
                <c:pt idx="84">
                  <c:v>7.2751455307006836</c:v>
                </c:pt>
                <c:pt idx="85">
                  <c:v>7.2703423500061035</c:v>
                </c:pt>
                <c:pt idx="86">
                  <c:v>7.2409286499023438</c:v>
                </c:pt>
                <c:pt idx="87">
                  <c:v>7.1558432579040527</c:v>
                </c:pt>
                <c:pt idx="88">
                  <c:v>7.440284252166748</c:v>
                </c:pt>
                <c:pt idx="89">
                  <c:v>7.9468154907226563</c:v>
                </c:pt>
                <c:pt idx="90">
                  <c:v>7.9263219833374023</c:v>
                </c:pt>
                <c:pt idx="91">
                  <c:v>7.6314973831176758</c:v>
                </c:pt>
                <c:pt idx="92">
                  <c:v>8.267486572265625</c:v>
                </c:pt>
                <c:pt idx="93">
                  <c:v>8.6822080612182617</c:v>
                </c:pt>
                <c:pt idx="94">
                  <c:v>8.295710563659668</c:v>
                </c:pt>
                <c:pt idx="95">
                  <c:v>8.5578737258911133</c:v>
                </c:pt>
                <c:pt idx="96">
                  <c:v>8.9492197036743164</c:v>
                </c:pt>
                <c:pt idx="97">
                  <c:v>8.9787712097167969</c:v>
                </c:pt>
                <c:pt idx="98">
                  <c:v>9.149627685546875</c:v>
                </c:pt>
                <c:pt idx="99">
                  <c:v>9.4624757766723633</c:v>
                </c:pt>
                <c:pt idx="100">
                  <c:v>10.055418968200684</c:v>
                </c:pt>
                <c:pt idx="101">
                  <c:v>10.352943420410156</c:v>
                </c:pt>
                <c:pt idx="102">
                  <c:v>10.695845603942871</c:v>
                </c:pt>
                <c:pt idx="103">
                  <c:v>11.217884063720703</c:v>
                </c:pt>
                <c:pt idx="104">
                  <c:v>10.980195045471191</c:v>
                </c:pt>
                <c:pt idx="105">
                  <c:v>11.403973579406738</c:v>
                </c:pt>
                <c:pt idx="106">
                  <c:v>12.040420532226563</c:v>
                </c:pt>
                <c:pt idx="107">
                  <c:v>12.126283645629883</c:v>
                </c:pt>
                <c:pt idx="108">
                  <c:v>12.681670188903809</c:v>
                </c:pt>
                <c:pt idx="109">
                  <c:v>12.810304641723633</c:v>
                </c:pt>
                <c:pt idx="110">
                  <c:v>13.226856231689453</c:v>
                </c:pt>
                <c:pt idx="111">
                  <c:v>14.053143501281738</c:v>
                </c:pt>
                <c:pt idx="112">
                  <c:v>14.248061180114746</c:v>
                </c:pt>
                <c:pt idx="113">
                  <c:v>14.577789306640625</c:v>
                </c:pt>
                <c:pt idx="114">
                  <c:v>14.761317253112793</c:v>
                </c:pt>
                <c:pt idx="115">
                  <c:v>15.070643424987793</c:v>
                </c:pt>
                <c:pt idx="116">
                  <c:v>15.550139427185059</c:v>
                </c:pt>
                <c:pt idx="117">
                  <c:v>15.853289604187012</c:v>
                </c:pt>
                <c:pt idx="118">
                  <c:v>16.677244186401367</c:v>
                </c:pt>
                <c:pt idx="119">
                  <c:v>17.795017242431641</c:v>
                </c:pt>
                <c:pt idx="120">
                  <c:v>18.481416702270508</c:v>
                </c:pt>
                <c:pt idx="121">
                  <c:v>19.141696929931641</c:v>
                </c:pt>
                <c:pt idx="122">
                  <c:v>19.582630157470703</c:v>
                </c:pt>
                <c:pt idx="123">
                  <c:v>19.804216384887695</c:v>
                </c:pt>
                <c:pt idx="124">
                  <c:v>20.31879997253418</c:v>
                </c:pt>
                <c:pt idx="125">
                  <c:v>21.005702972412109</c:v>
                </c:pt>
                <c:pt idx="126">
                  <c:v>21.61822509765625</c:v>
                </c:pt>
                <c:pt idx="127">
                  <c:v>22.588470458984375</c:v>
                </c:pt>
                <c:pt idx="128">
                  <c:v>23.372489929199219</c:v>
                </c:pt>
                <c:pt idx="129">
                  <c:v>24.506685256958008</c:v>
                </c:pt>
                <c:pt idx="130">
                  <c:v>25.598428726196289</c:v>
                </c:pt>
                <c:pt idx="131">
                  <c:v>25.876373291015625</c:v>
                </c:pt>
                <c:pt idx="132">
                  <c:v>26.513277053833008</c:v>
                </c:pt>
                <c:pt idx="133">
                  <c:v>27.88630485534668</c:v>
                </c:pt>
                <c:pt idx="134">
                  <c:v>28.019468307495117</c:v>
                </c:pt>
                <c:pt idx="135">
                  <c:v>28.482267379760742</c:v>
                </c:pt>
                <c:pt idx="136">
                  <c:v>35.043296813964844</c:v>
                </c:pt>
                <c:pt idx="137">
                  <c:v>37.930889129638672</c:v>
                </c:pt>
                <c:pt idx="138">
                  <c:v>32.566082000732422</c:v>
                </c:pt>
                <c:pt idx="139">
                  <c:v>28.943466186523438</c:v>
                </c:pt>
                <c:pt idx="140">
                  <c:v>28.971736907958984</c:v>
                </c:pt>
                <c:pt idx="141">
                  <c:v>28.326370239257813</c:v>
                </c:pt>
                <c:pt idx="142">
                  <c:v>28.461545944213867</c:v>
                </c:pt>
                <c:pt idx="143">
                  <c:v>30.672250747680664</c:v>
                </c:pt>
                <c:pt idx="144">
                  <c:v>31.807041168212891</c:v>
                </c:pt>
                <c:pt idx="145">
                  <c:v>31.136560440063477</c:v>
                </c:pt>
                <c:pt idx="146">
                  <c:v>33.333999633789063</c:v>
                </c:pt>
                <c:pt idx="147">
                  <c:v>33.891307830810547</c:v>
                </c:pt>
                <c:pt idx="148">
                  <c:v>31.993816375732422</c:v>
                </c:pt>
                <c:pt idx="149">
                  <c:v>32.094959259033203</c:v>
                </c:pt>
                <c:pt idx="150">
                  <c:v>33.815143585205078</c:v>
                </c:pt>
                <c:pt idx="151">
                  <c:v>33.704898834228516</c:v>
                </c:pt>
                <c:pt idx="152">
                  <c:v>33.008571624755859</c:v>
                </c:pt>
                <c:pt idx="153">
                  <c:v>31.484724044799805</c:v>
                </c:pt>
                <c:pt idx="154">
                  <c:v>30.6865234375</c:v>
                </c:pt>
                <c:pt idx="155">
                  <c:v>29.393320083618164</c:v>
                </c:pt>
                <c:pt idx="156">
                  <c:v>27.206584930419922</c:v>
                </c:pt>
                <c:pt idx="157">
                  <c:v>26.203083038330078</c:v>
                </c:pt>
                <c:pt idx="158">
                  <c:v>26.310583114624023</c:v>
                </c:pt>
                <c:pt idx="159">
                  <c:v>25.126663208007813</c:v>
                </c:pt>
                <c:pt idx="160">
                  <c:v>23.756607055664063</c:v>
                </c:pt>
                <c:pt idx="161">
                  <c:v>24.268720626831055</c:v>
                </c:pt>
                <c:pt idx="162">
                  <c:v>24.37983512878418</c:v>
                </c:pt>
                <c:pt idx="163">
                  <c:v>23.298612594604492</c:v>
                </c:pt>
                <c:pt idx="164">
                  <c:v>23.678476333618164</c:v>
                </c:pt>
                <c:pt idx="165">
                  <c:v>24.448406219482422</c:v>
                </c:pt>
                <c:pt idx="166">
                  <c:v>23.920419692993164</c:v>
                </c:pt>
                <c:pt idx="167">
                  <c:v>24.866191864013672</c:v>
                </c:pt>
                <c:pt idx="168">
                  <c:v>25.525007247924805</c:v>
                </c:pt>
                <c:pt idx="169">
                  <c:v>25.708215713500977</c:v>
                </c:pt>
                <c:pt idx="170">
                  <c:v>24.388936996459961</c:v>
                </c:pt>
                <c:pt idx="171">
                  <c:v>22.798805236816406</c:v>
                </c:pt>
                <c:pt idx="172">
                  <c:v>21.498052597045898</c:v>
                </c:pt>
                <c:pt idx="173">
                  <c:v>19.008350372314453</c:v>
                </c:pt>
                <c:pt idx="174">
                  <c:v>16.437816619873047</c:v>
                </c:pt>
                <c:pt idx="175">
                  <c:v>12.959066390991211</c:v>
                </c:pt>
                <c:pt idx="176">
                  <c:v>11.124153137207031</c:v>
                </c:pt>
                <c:pt idx="177">
                  <c:v>9.9491081237792969</c:v>
                </c:pt>
                <c:pt idx="178">
                  <c:v>7.8562870025634766</c:v>
                </c:pt>
                <c:pt idx="179">
                  <c:v>6.9692964553833008</c:v>
                </c:pt>
                <c:pt idx="180">
                  <c:v>6.5145478248596191</c:v>
                </c:pt>
                <c:pt idx="181">
                  <c:v>5.585472583770752</c:v>
                </c:pt>
                <c:pt idx="182">
                  <c:v>5.2723956108093262</c:v>
                </c:pt>
                <c:pt idx="183">
                  <c:v>5.5650701522827148</c:v>
                </c:pt>
                <c:pt idx="184">
                  <c:v>4.768425464630127</c:v>
                </c:pt>
                <c:pt idx="185">
                  <c:v>3.7286934852600098</c:v>
                </c:pt>
                <c:pt idx="186">
                  <c:v>3.5785136222839355</c:v>
                </c:pt>
                <c:pt idx="187">
                  <c:v>3.8398532867431641</c:v>
                </c:pt>
                <c:pt idx="188">
                  <c:v>4.9855756759643555</c:v>
                </c:pt>
                <c:pt idx="189">
                  <c:v>4.7595510482788086</c:v>
                </c:pt>
                <c:pt idx="190">
                  <c:v>4.8289918899536133</c:v>
                </c:pt>
                <c:pt idx="191">
                  <c:v>5.2049217224121094</c:v>
                </c:pt>
                <c:pt idx="192">
                  <c:v>5.1283450126647949</c:v>
                </c:pt>
                <c:pt idx="193">
                  <c:v>5.2054252624511719</c:v>
                </c:pt>
                <c:pt idx="194">
                  <c:v>4.809596061706543</c:v>
                </c:pt>
                <c:pt idx="195">
                  <c:v>5.3511676788330078</c:v>
                </c:pt>
                <c:pt idx="196">
                  <c:v>4.474790096282959</c:v>
                </c:pt>
                <c:pt idx="197">
                  <c:v>4.0067758560180664</c:v>
                </c:pt>
                <c:pt idx="198">
                  <c:v>4.1810173988342285</c:v>
                </c:pt>
                <c:pt idx="199">
                  <c:v>4.7202563285827637</c:v>
                </c:pt>
                <c:pt idx="200">
                  <c:v>4.4700326919555664</c:v>
                </c:pt>
                <c:pt idx="201">
                  <c:v>4.9494833946228027</c:v>
                </c:pt>
                <c:pt idx="202">
                  <c:v>5.4631052017211914</c:v>
                </c:pt>
                <c:pt idx="203">
                  <c:v>4.1328024864196777</c:v>
                </c:pt>
                <c:pt idx="204">
                  <c:v>4.2161951065063477</c:v>
                </c:pt>
                <c:pt idx="205">
                  <c:v>3.7890307903289795</c:v>
                </c:pt>
                <c:pt idx="206">
                  <c:v>4.4256601333618164</c:v>
                </c:pt>
                <c:pt idx="207">
                  <c:v>3.8951129913330078</c:v>
                </c:pt>
                <c:pt idx="208">
                  <c:v>4.1918134689331055</c:v>
                </c:pt>
                <c:pt idx="209">
                  <c:v>3.727961540222168</c:v>
                </c:pt>
                <c:pt idx="210">
                  <c:v>4.1880621910095215</c:v>
                </c:pt>
                <c:pt idx="211">
                  <c:v>5.7456245422363281</c:v>
                </c:pt>
                <c:pt idx="212">
                  <c:v>4.6338448524475098</c:v>
                </c:pt>
                <c:pt idx="213">
                  <c:v>4.0312490463256836</c:v>
                </c:pt>
                <c:pt idx="214">
                  <c:v>3.1097671985626221</c:v>
                </c:pt>
                <c:pt idx="215">
                  <c:v>3.3556909561157227</c:v>
                </c:pt>
                <c:pt idx="216">
                  <c:v>3.3364324569702148</c:v>
                </c:pt>
                <c:pt idx="217">
                  <c:v>3.8275022506713867</c:v>
                </c:pt>
                <c:pt idx="218">
                  <c:v>4.2452888488769531</c:v>
                </c:pt>
                <c:pt idx="219">
                  <c:v>3.5130529403686523</c:v>
                </c:pt>
                <c:pt idx="220">
                  <c:v>4.2679781913757324</c:v>
                </c:pt>
                <c:pt idx="221">
                  <c:v>4.8881855010986328</c:v>
                </c:pt>
                <c:pt idx="222">
                  <c:v>6.5150966644287109</c:v>
                </c:pt>
                <c:pt idx="223">
                  <c:v>5.4253201484680176</c:v>
                </c:pt>
                <c:pt idx="224">
                  <c:v>2</c:v>
                </c:pt>
                <c:pt idx="225">
                  <c:v>4.7030563354492188</c:v>
                </c:pt>
              </c:numCache>
            </c:numRef>
          </c:yVal>
          <c:smooth val="1"/>
          <c:extLst>
            <c:ext xmlns:c16="http://schemas.microsoft.com/office/drawing/2014/chart" uri="{C3380CC4-5D6E-409C-BE32-E72D297353CC}">
              <c16:uniqueId val="{00000002-58F6-4830-8941-1011DB88381F}"/>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50.523117065429688</c:v>
                </c:pt>
                <c:pt idx="1">
                  <c:v>58.153018951416016</c:v>
                </c:pt>
                <c:pt idx="2">
                  <c:v>60.616897583007813</c:v>
                </c:pt>
                <c:pt idx="3">
                  <c:v>61.750778198242188</c:v>
                </c:pt>
                <c:pt idx="4">
                  <c:v>61.539337158203125</c:v>
                </c:pt>
                <c:pt idx="5">
                  <c:v>61.403224945068359</c:v>
                </c:pt>
                <c:pt idx="6">
                  <c:v>61.2900390625</c:v>
                </c:pt>
                <c:pt idx="7">
                  <c:v>61.533592224121094</c:v>
                </c:pt>
                <c:pt idx="8">
                  <c:v>61.285701751708984</c:v>
                </c:pt>
                <c:pt idx="9">
                  <c:v>61.369869232177734</c:v>
                </c:pt>
                <c:pt idx="10">
                  <c:v>61.985771179199219</c:v>
                </c:pt>
                <c:pt idx="11">
                  <c:v>63.021339416503906</c:v>
                </c:pt>
                <c:pt idx="12">
                  <c:v>66.164276123046875</c:v>
                </c:pt>
                <c:pt idx="13">
                  <c:v>71.650077819824219</c:v>
                </c:pt>
                <c:pt idx="14">
                  <c:v>79.338348388671875</c:v>
                </c:pt>
                <c:pt idx="15">
                  <c:v>87.847419738769531</c:v>
                </c:pt>
                <c:pt idx="16">
                  <c:v>95.246269226074219</c:v>
                </c:pt>
                <c:pt idx="17">
                  <c:v>100</c:v>
                </c:pt>
                <c:pt idx="18">
                  <c:v>99.995437622070313</c:v>
                </c:pt>
                <c:pt idx="19">
                  <c:v>95.475067138671875</c:v>
                </c:pt>
                <c:pt idx="20">
                  <c:v>86.97021484375</c:v>
                </c:pt>
                <c:pt idx="21">
                  <c:v>76.244987487792969</c:v>
                </c:pt>
                <c:pt idx="22">
                  <c:v>65.126960754394531</c:v>
                </c:pt>
                <c:pt idx="23">
                  <c:v>55.03656005859375</c:v>
                </c:pt>
                <c:pt idx="24">
                  <c:v>46.496669769287109</c:v>
                </c:pt>
                <c:pt idx="25">
                  <c:v>39.918003082275391</c:v>
                </c:pt>
                <c:pt idx="26">
                  <c:v>34.994522094726563</c:v>
                </c:pt>
                <c:pt idx="27">
                  <c:v>31.5911865234375</c:v>
                </c:pt>
                <c:pt idx="28">
                  <c:v>29.124208450317383</c:v>
                </c:pt>
                <c:pt idx="29">
                  <c:v>27.643726348876953</c:v>
                </c:pt>
                <c:pt idx="30">
                  <c:v>26.344602584838867</c:v>
                </c:pt>
                <c:pt idx="31">
                  <c:v>25.473543167114258</c:v>
                </c:pt>
                <c:pt idx="32">
                  <c:v>24.985757827758789</c:v>
                </c:pt>
                <c:pt idx="33">
                  <c:v>24.766654968261719</c:v>
                </c:pt>
                <c:pt idx="34">
                  <c:v>24.960912704467773</c:v>
                </c:pt>
                <c:pt idx="35">
                  <c:v>25.534557342529297</c:v>
                </c:pt>
                <c:pt idx="36">
                  <c:v>25.950115203857422</c:v>
                </c:pt>
                <c:pt idx="37">
                  <c:v>26.527254104614258</c:v>
                </c:pt>
                <c:pt idx="38">
                  <c:v>27.669193267822266</c:v>
                </c:pt>
                <c:pt idx="39">
                  <c:v>28.722396850585938</c:v>
                </c:pt>
                <c:pt idx="40">
                  <c:v>29.818023681640625</c:v>
                </c:pt>
                <c:pt idx="41">
                  <c:v>31.241884231567383</c:v>
                </c:pt>
                <c:pt idx="42">
                  <c:v>33.017242431640625</c:v>
                </c:pt>
                <c:pt idx="43">
                  <c:v>34.622066497802734</c:v>
                </c:pt>
                <c:pt idx="44">
                  <c:v>36.421592712402344</c:v>
                </c:pt>
                <c:pt idx="45">
                  <c:v>38.45318603515625</c:v>
                </c:pt>
                <c:pt idx="46">
                  <c:v>40.085891723632813</c:v>
                </c:pt>
                <c:pt idx="47">
                  <c:v>41.697700500488281</c:v>
                </c:pt>
                <c:pt idx="48">
                  <c:v>43.143306732177734</c:v>
                </c:pt>
                <c:pt idx="49">
                  <c:v>44.812015533447266</c:v>
                </c:pt>
                <c:pt idx="50">
                  <c:v>46.050857543945313</c:v>
                </c:pt>
                <c:pt idx="51">
                  <c:v>46.902030944824219</c:v>
                </c:pt>
                <c:pt idx="52">
                  <c:v>48.102672576904297</c:v>
                </c:pt>
                <c:pt idx="53">
                  <c:v>48.999591827392578</c:v>
                </c:pt>
                <c:pt idx="54">
                  <c:v>49.307655334472656</c:v>
                </c:pt>
                <c:pt idx="55">
                  <c:v>49.266471862792969</c:v>
                </c:pt>
                <c:pt idx="56">
                  <c:v>48.765727996826172</c:v>
                </c:pt>
                <c:pt idx="57">
                  <c:v>47.97906494140625</c:v>
                </c:pt>
                <c:pt idx="58">
                  <c:v>46.801353454589844</c:v>
                </c:pt>
                <c:pt idx="59">
                  <c:v>45.253433227539063</c:v>
                </c:pt>
                <c:pt idx="60">
                  <c:v>43.027191162109375</c:v>
                </c:pt>
                <c:pt idx="61">
                  <c:v>40.131752014160156</c:v>
                </c:pt>
                <c:pt idx="62">
                  <c:v>37.472320556640625</c:v>
                </c:pt>
                <c:pt idx="63">
                  <c:v>34.796489715576172</c:v>
                </c:pt>
                <c:pt idx="64">
                  <c:v>32.247989654541016</c:v>
                </c:pt>
                <c:pt idx="65">
                  <c:v>29.321001052856445</c:v>
                </c:pt>
                <c:pt idx="66">
                  <c:v>26.44432258605957</c:v>
                </c:pt>
                <c:pt idx="67">
                  <c:v>23.472545623779297</c:v>
                </c:pt>
                <c:pt idx="68">
                  <c:v>20.464822769165039</c:v>
                </c:pt>
                <c:pt idx="69">
                  <c:v>18.064323425292969</c:v>
                </c:pt>
                <c:pt idx="70">
                  <c:v>16.273189544677734</c:v>
                </c:pt>
                <c:pt idx="71">
                  <c:v>14.917949676513672</c:v>
                </c:pt>
                <c:pt idx="72">
                  <c:v>13.478371620178223</c:v>
                </c:pt>
                <c:pt idx="73">
                  <c:v>12.290291786193848</c:v>
                </c:pt>
                <c:pt idx="74">
                  <c:v>11.775576591491699</c:v>
                </c:pt>
                <c:pt idx="75">
                  <c:v>11.075393676757813</c:v>
                </c:pt>
                <c:pt idx="76">
                  <c:v>10.32985782623291</c:v>
                </c:pt>
                <c:pt idx="77">
                  <c:v>9.5685462951660156</c:v>
                </c:pt>
                <c:pt idx="78">
                  <c:v>9.0860576629638672</c:v>
                </c:pt>
                <c:pt idx="79">
                  <c:v>8.9318017959594727</c:v>
                </c:pt>
                <c:pt idx="80">
                  <c:v>8.1785469055175781</c:v>
                </c:pt>
                <c:pt idx="81">
                  <c:v>7.7064247131347656</c:v>
                </c:pt>
                <c:pt idx="82">
                  <c:v>7.3636569976806641</c:v>
                </c:pt>
                <c:pt idx="83">
                  <c:v>6.864098072052002</c:v>
                </c:pt>
                <c:pt idx="84">
                  <c:v>6.8820700645446777</c:v>
                </c:pt>
                <c:pt idx="85">
                  <c:v>7.0538482666015625</c:v>
                </c:pt>
                <c:pt idx="86">
                  <c:v>6.9097328186035156</c:v>
                </c:pt>
                <c:pt idx="87">
                  <c:v>6.6602625846862793</c:v>
                </c:pt>
                <c:pt idx="88">
                  <c:v>5.9793477058410645</c:v>
                </c:pt>
                <c:pt idx="89">
                  <c:v>5.7645263671875</c:v>
                </c:pt>
                <c:pt idx="90">
                  <c:v>5.6997365951538086</c:v>
                </c:pt>
                <c:pt idx="91">
                  <c:v>5.6837363243103027</c:v>
                </c:pt>
                <c:pt idx="92">
                  <c:v>5.3365178108215332</c:v>
                </c:pt>
                <c:pt idx="93">
                  <c:v>5.4583230018615723</c:v>
                </c:pt>
                <c:pt idx="94">
                  <c:v>5.7749490737915039</c:v>
                </c:pt>
                <c:pt idx="95">
                  <c:v>5.8865571022033691</c:v>
                </c:pt>
                <c:pt idx="96">
                  <c:v>6.0992374420166016</c:v>
                </c:pt>
                <c:pt idx="97">
                  <c:v>6.56488037109375</c:v>
                </c:pt>
                <c:pt idx="98">
                  <c:v>6.5771627426147461</c:v>
                </c:pt>
                <c:pt idx="99">
                  <c:v>6.8658442497253418</c:v>
                </c:pt>
                <c:pt idx="100">
                  <c:v>7.2646694183349609</c:v>
                </c:pt>
                <c:pt idx="101">
                  <c:v>6.9985232353210449</c:v>
                </c:pt>
                <c:pt idx="102">
                  <c:v>7.0909194946289063</c:v>
                </c:pt>
                <c:pt idx="103">
                  <c:v>6.7904062271118164</c:v>
                </c:pt>
                <c:pt idx="104">
                  <c:v>6.8884363174438477</c:v>
                </c:pt>
                <c:pt idx="105">
                  <c:v>7.4164471626281738</c:v>
                </c:pt>
                <c:pt idx="106">
                  <c:v>7.401179313659668</c:v>
                </c:pt>
                <c:pt idx="107">
                  <c:v>8.0379247665405273</c:v>
                </c:pt>
                <c:pt idx="108">
                  <c:v>8.5068912506103516</c:v>
                </c:pt>
                <c:pt idx="109">
                  <c:v>8.4044666290283203</c:v>
                </c:pt>
                <c:pt idx="110">
                  <c:v>9.241215705871582</c:v>
                </c:pt>
                <c:pt idx="111">
                  <c:v>9.9731740951538086</c:v>
                </c:pt>
                <c:pt idx="112">
                  <c:v>9.7946920394897461</c:v>
                </c:pt>
                <c:pt idx="113">
                  <c:v>9.9770059585571289</c:v>
                </c:pt>
                <c:pt idx="114">
                  <c:v>10.338027000427246</c:v>
                </c:pt>
                <c:pt idx="115">
                  <c:v>10.66783618927002</c:v>
                </c:pt>
                <c:pt idx="116">
                  <c:v>11.213312149047852</c:v>
                </c:pt>
                <c:pt idx="117">
                  <c:v>11.565657615661621</c:v>
                </c:pt>
                <c:pt idx="118">
                  <c:v>12.133442878723145</c:v>
                </c:pt>
                <c:pt idx="119">
                  <c:v>12.814865112304688</c:v>
                </c:pt>
                <c:pt idx="120">
                  <c:v>13.092279434204102</c:v>
                </c:pt>
                <c:pt idx="121">
                  <c:v>13.775955200195313</c:v>
                </c:pt>
                <c:pt idx="122">
                  <c:v>14.355403900146484</c:v>
                </c:pt>
                <c:pt idx="123">
                  <c:v>14.64870548248291</c:v>
                </c:pt>
                <c:pt idx="124">
                  <c:v>15.339141845703125</c:v>
                </c:pt>
                <c:pt idx="125">
                  <c:v>16.264625549316406</c:v>
                </c:pt>
                <c:pt idx="126">
                  <c:v>16.719339370727539</c:v>
                </c:pt>
                <c:pt idx="127">
                  <c:v>17.278392791748047</c:v>
                </c:pt>
                <c:pt idx="128">
                  <c:v>18.063760757446289</c:v>
                </c:pt>
                <c:pt idx="129">
                  <c:v>19.014934539794922</c:v>
                </c:pt>
                <c:pt idx="130">
                  <c:v>19.620241165161133</c:v>
                </c:pt>
                <c:pt idx="131">
                  <c:v>19.060342788696289</c:v>
                </c:pt>
                <c:pt idx="132">
                  <c:v>18.870199203491211</c:v>
                </c:pt>
                <c:pt idx="133">
                  <c:v>20.62054443359375</c:v>
                </c:pt>
                <c:pt idx="134">
                  <c:v>21.469181060791016</c:v>
                </c:pt>
                <c:pt idx="135">
                  <c:v>20.808773040771484</c:v>
                </c:pt>
                <c:pt idx="136">
                  <c:v>29.065952301025391</c:v>
                </c:pt>
                <c:pt idx="137">
                  <c:v>34.703533172607422</c:v>
                </c:pt>
                <c:pt idx="138">
                  <c:v>27.908576965332031</c:v>
                </c:pt>
                <c:pt idx="139">
                  <c:v>23.441896438598633</c:v>
                </c:pt>
                <c:pt idx="140">
                  <c:v>24.070697784423828</c:v>
                </c:pt>
                <c:pt idx="141">
                  <c:v>25.111337661743164</c:v>
                </c:pt>
                <c:pt idx="142">
                  <c:v>25.036745071411133</c:v>
                </c:pt>
                <c:pt idx="143">
                  <c:v>24.776063919067383</c:v>
                </c:pt>
                <c:pt idx="144">
                  <c:v>25.457712173461914</c:v>
                </c:pt>
                <c:pt idx="145">
                  <c:v>25.225988388061523</c:v>
                </c:pt>
                <c:pt idx="146">
                  <c:v>24.916799545288086</c:v>
                </c:pt>
                <c:pt idx="147">
                  <c:v>25.474388122558594</c:v>
                </c:pt>
                <c:pt idx="148">
                  <c:v>25.681039810180664</c:v>
                </c:pt>
                <c:pt idx="149">
                  <c:v>25.97242546081543</c:v>
                </c:pt>
                <c:pt idx="150">
                  <c:v>26.560268402099609</c:v>
                </c:pt>
                <c:pt idx="151">
                  <c:v>25.826789855957031</c:v>
                </c:pt>
                <c:pt idx="152">
                  <c:v>26.094570159912109</c:v>
                </c:pt>
                <c:pt idx="153">
                  <c:v>27.618093490600586</c:v>
                </c:pt>
                <c:pt idx="154">
                  <c:v>27.563726425170898</c:v>
                </c:pt>
                <c:pt idx="155">
                  <c:v>26.515310287475586</c:v>
                </c:pt>
                <c:pt idx="156">
                  <c:v>26.474859237670898</c:v>
                </c:pt>
                <c:pt idx="157">
                  <c:v>25.598052978515625</c:v>
                </c:pt>
                <c:pt idx="158">
                  <c:v>24.469184875488281</c:v>
                </c:pt>
                <c:pt idx="159">
                  <c:v>24.53312873840332</c:v>
                </c:pt>
                <c:pt idx="160">
                  <c:v>23.639308929443359</c:v>
                </c:pt>
                <c:pt idx="161">
                  <c:v>22.109588623046875</c:v>
                </c:pt>
                <c:pt idx="162">
                  <c:v>20.788602828979492</c:v>
                </c:pt>
                <c:pt idx="163">
                  <c:v>20.036306381225586</c:v>
                </c:pt>
                <c:pt idx="164">
                  <c:v>20.428709030151367</c:v>
                </c:pt>
                <c:pt idx="165">
                  <c:v>18.839662551879883</c:v>
                </c:pt>
                <c:pt idx="166">
                  <c:v>16.840692520141602</c:v>
                </c:pt>
                <c:pt idx="167">
                  <c:v>17.845333099365234</c:v>
                </c:pt>
                <c:pt idx="168">
                  <c:v>18.477119445800781</c:v>
                </c:pt>
                <c:pt idx="169">
                  <c:v>19.193923950195313</c:v>
                </c:pt>
                <c:pt idx="170">
                  <c:v>18.543544769287109</c:v>
                </c:pt>
                <c:pt idx="171">
                  <c:v>17.209827423095703</c:v>
                </c:pt>
                <c:pt idx="172">
                  <c:v>17.438226699829102</c:v>
                </c:pt>
                <c:pt idx="173">
                  <c:v>17.363407135009766</c:v>
                </c:pt>
                <c:pt idx="174">
                  <c:v>16.513418197631836</c:v>
                </c:pt>
                <c:pt idx="175">
                  <c:v>15.704726219177246</c:v>
                </c:pt>
                <c:pt idx="176">
                  <c:v>15.374748229980469</c:v>
                </c:pt>
                <c:pt idx="177">
                  <c:v>14.579689979553223</c:v>
                </c:pt>
                <c:pt idx="178">
                  <c:v>13.167943000793457</c:v>
                </c:pt>
                <c:pt idx="179">
                  <c:v>11.801323890686035</c:v>
                </c:pt>
                <c:pt idx="180">
                  <c:v>9.6126604080200195</c:v>
                </c:pt>
                <c:pt idx="181">
                  <c:v>8.5635690689086914</c:v>
                </c:pt>
                <c:pt idx="182">
                  <c:v>8.7635164260864258</c:v>
                </c:pt>
                <c:pt idx="183">
                  <c:v>7.5381960868835449</c:v>
                </c:pt>
                <c:pt idx="184">
                  <c:v>6.3062276840209961</c:v>
                </c:pt>
                <c:pt idx="185">
                  <c:v>5.2022614479064941</c:v>
                </c:pt>
                <c:pt idx="186">
                  <c:v>5.1915574073791504</c:v>
                </c:pt>
                <c:pt idx="187">
                  <c:v>4.9292984008789063</c:v>
                </c:pt>
                <c:pt idx="188">
                  <c:v>4.2261857986450195</c:v>
                </c:pt>
                <c:pt idx="189">
                  <c:v>3.8519246578216553</c:v>
                </c:pt>
                <c:pt idx="190">
                  <c:v>3.7826838493347168</c:v>
                </c:pt>
                <c:pt idx="191">
                  <c:v>3.5332703590393066</c:v>
                </c:pt>
                <c:pt idx="192">
                  <c:v>3.3932111263275146</c:v>
                </c:pt>
                <c:pt idx="193">
                  <c:v>3.074782133102417</c:v>
                </c:pt>
                <c:pt idx="194">
                  <c:v>3.4364233016967773</c:v>
                </c:pt>
                <c:pt idx="195">
                  <c:v>3.8336143493652344</c:v>
                </c:pt>
                <c:pt idx="196">
                  <c:v>3.1735446453094482</c:v>
                </c:pt>
                <c:pt idx="197">
                  <c:v>2.8309462070465088</c:v>
                </c:pt>
                <c:pt idx="198">
                  <c:v>2.7625505924224854</c:v>
                </c:pt>
                <c:pt idx="199">
                  <c:v>3.2614901065826416</c:v>
                </c:pt>
                <c:pt idx="200">
                  <c:v>3.8218395709991455</c:v>
                </c:pt>
                <c:pt idx="201">
                  <c:v>3.5025091171264648</c:v>
                </c:pt>
                <c:pt idx="202">
                  <c:v>3.0239078998565674</c:v>
                </c:pt>
                <c:pt idx="203">
                  <c:v>3.6608221530914307</c:v>
                </c:pt>
                <c:pt idx="204">
                  <c:v>3.1410369873046875</c:v>
                </c:pt>
                <c:pt idx="205">
                  <c:v>2.8792853355407715</c:v>
                </c:pt>
                <c:pt idx="206">
                  <c:v>3.347069263458252</c:v>
                </c:pt>
                <c:pt idx="207">
                  <c:v>2.8522987365722656</c:v>
                </c:pt>
                <c:pt idx="208">
                  <c:v>2.9671742916107178</c:v>
                </c:pt>
                <c:pt idx="209">
                  <c:v>2.6658725738525391</c:v>
                </c:pt>
                <c:pt idx="210">
                  <c:v>3.0594015121459961</c:v>
                </c:pt>
                <c:pt idx="211">
                  <c:v>2.9107224941253662</c:v>
                </c:pt>
                <c:pt idx="212">
                  <c:v>3.0566411018371582</c:v>
                </c:pt>
                <c:pt idx="213">
                  <c:v>2.8930883407592773</c:v>
                </c:pt>
                <c:pt idx="214">
                  <c:v>2.5488560199737549</c:v>
                </c:pt>
                <c:pt idx="215">
                  <c:v>3.0988953113555908</c:v>
                </c:pt>
                <c:pt idx="216">
                  <c:v>2.6849715709686279</c:v>
                </c:pt>
                <c:pt idx="217">
                  <c:v>2.5252499580383301</c:v>
                </c:pt>
                <c:pt idx="218">
                  <c:v>2.1081712245941162</c:v>
                </c:pt>
                <c:pt idx="219">
                  <c:v>2.003831148147583</c:v>
                </c:pt>
                <c:pt idx="220">
                  <c:v>2.542377233505249</c:v>
                </c:pt>
                <c:pt idx="221">
                  <c:v>2</c:v>
                </c:pt>
                <c:pt idx="222">
                  <c:v>3.2034609317779541</c:v>
                </c:pt>
                <c:pt idx="223">
                  <c:v>3.0144991874694824</c:v>
                </c:pt>
                <c:pt idx="224">
                  <c:v>3.5241434574127197</c:v>
                </c:pt>
                <c:pt idx="225">
                  <c:v>6.0260529518127441</c:v>
                </c:pt>
              </c:numCache>
            </c:numRef>
          </c:yVal>
          <c:smooth val="1"/>
          <c:extLst>
            <c:ext xmlns:c16="http://schemas.microsoft.com/office/drawing/2014/chart" uri="{C3380CC4-5D6E-409C-BE32-E72D297353CC}">
              <c16:uniqueId val="{00000003-58F6-4830-8941-1011DB88381F}"/>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55.585727691650391</c:v>
                </c:pt>
                <c:pt idx="1">
                  <c:v>55.741680145263672</c:v>
                </c:pt>
                <c:pt idx="2">
                  <c:v>54.860397338867188</c:v>
                </c:pt>
                <c:pt idx="3">
                  <c:v>53.489048004150391</c:v>
                </c:pt>
                <c:pt idx="4">
                  <c:v>51.678470611572266</c:v>
                </c:pt>
                <c:pt idx="5">
                  <c:v>49.409534454345703</c:v>
                </c:pt>
                <c:pt idx="6">
                  <c:v>46.666027069091797</c:v>
                </c:pt>
                <c:pt idx="7">
                  <c:v>43.942905426025391</c:v>
                </c:pt>
                <c:pt idx="8">
                  <c:v>41.745586395263672</c:v>
                </c:pt>
                <c:pt idx="9">
                  <c:v>40.272445678710938</c:v>
                </c:pt>
                <c:pt idx="10">
                  <c:v>39.548824310302734</c:v>
                </c:pt>
                <c:pt idx="11">
                  <c:v>39.103271484375</c:v>
                </c:pt>
                <c:pt idx="12">
                  <c:v>38.605094909667969</c:v>
                </c:pt>
                <c:pt idx="13">
                  <c:v>37.873004913330078</c:v>
                </c:pt>
                <c:pt idx="14">
                  <c:v>36.719593048095703</c:v>
                </c:pt>
                <c:pt idx="15">
                  <c:v>35.194301605224609</c:v>
                </c:pt>
                <c:pt idx="16">
                  <c:v>33.558895111083984</c:v>
                </c:pt>
                <c:pt idx="17">
                  <c:v>31.705888748168945</c:v>
                </c:pt>
                <c:pt idx="18">
                  <c:v>29.83262825012207</c:v>
                </c:pt>
                <c:pt idx="19">
                  <c:v>28.19573974609375</c:v>
                </c:pt>
                <c:pt idx="20">
                  <c:v>27.129753112792969</c:v>
                </c:pt>
                <c:pt idx="21">
                  <c:v>26.713335037231445</c:v>
                </c:pt>
                <c:pt idx="22">
                  <c:v>26.938266754150391</c:v>
                </c:pt>
                <c:pt idx="23">
                  <c:v>27.817346572875977</c:v>
                </c:pt>
                <c:pt idx="24">
                  <c:v>29.358501434326172</c:v>
                </c:pt>
                <c:pt idx="25">
                  <c:v>31.511222839355469</c:v>
                </c:pt>
                <c:pt idx="26">
                  <c:v>34.385646820068359</c:v>
                </c:pt>
                <c:pt idx="27">
                  <c:v>37.804580688476563</c:v>
                </c:pt>
                <c:pt idx="28">
                  <c:v>41.849880218505859</c:v>
                </c:pt>
                <c:pt idx="29">
                  <c:v>46.155139923095703</c:v>
                </c:pt>
                <c:pt idx="30">
                  <c:v>50.914756774902344</c:v>
                </c:pt>
                <c:pt idx="31">
                  <c:v>55.7218017578125</c:v>
                </c:pt>
                <c:pt idx="32">
                  <c:v>60.7567138671875</c:v>
                </c:pt>
                <c:pt idx="33">
                  <c:v>65.785987854003906</c:v>
                </c:pt>
                <c:pt idx="34">
                  <c:v>70.629806518554688</c:v>
                </c:pt>
                <c:pt idx="35">
                  <c:v>75.479888916015625</c:v>
                </c:pt>
                <c:pt idx="36">
                  <c:v>80.146926879882813</c:v>
                </c:pt>
                <c:pt idx="37">
                  <c:v>84.582931518554688</c:v>
                </c:pt>
                <c:pt idx="38">
                  <c:v>88.592002868652344</c:v>
                </c:pt>
                <c:pt idx="39">
                  <c:v>92.285377502441406</c:v>
                </c:pt>
                <c:pt idx="40">
                  <c:v>95.475006103515625</c:v>
                </c:pt>
                <c:pt idx="41">
                  <c:v>97.927017211914063</c:v>
                </c:pt>
                <c:pt idx="42">
                  <c:v>99.461822509765625</c:v>
                </c:pt>
                <c:pt idx="43">
                  <c:v>100</c:v>
                </c:pt>
                <c:pt idx="44">
                  <c:v>99.577461242675781</c:v>
                </c:pt>
                <c:pt idx="45">
                  <c:v>98.180755615234375</c:v>
                </c:pt>
                <c:pt idx="46">
                  <c:v>95.780128479003906</c:v>
                </c:pt>
                <c:pt idx="47">
                  <c:v>92.524032592773438</c:v>
                </c:pt>
                <c:pt idx="48">
                  <c:v>88.421676635742188</c:v>
                </c:pt>
                <c:pt idx="49">
                  <c:v>83.60394287109375</c:v>
                </c:pt>
                <c:pt idx="50">
                  <c:v>78.111061096191406</c:v>
                </c:pt>
                <c:pt idx="51">
                  <c:v>72.124336242675781</c:v>
                </c:pt>
                <c:pt idx="52">
                  <c:v>65.840965270996094</c:v>
                </c:pt>
                <c:pt idx="53">
                  <c:v>59.363887786865234</c:v>
                </c:pt>
                <c:pt idx="54">
                  <c:v>52.670646667480469</c:v>
                </c:pt>
                <c:pt idx="55">
                  <c:v>46.243637084960938</c:v>
                </c:pt>
                <c:pt idx="56">
                  <c:v>40.000480651855469</c:v>
                </c:pt>
                <c:pt idx="57">
                  <c:v>34.138027191162109</c:v>
                </c:pt>
                <c:pt idx="58">
                  <c:v>28.595794677734375</c:v>
                </c:pt>
                <c:pt idx="59">
                  <c:v>23.798246383666992</c:v>
                </c:pt>
                <c:pt idx="60">
                  <c:v>19.630956649780273</c:v>
                </c:pt>
                <c:pt idx="61">
                  <c:v>15.934002876281738</c:v>
                </c:pt>
                <c:pt idx="62">
                  <c:v>12.965081214904785</c:v>
                </c:pt>
                <c:pt idx="63">
                  <c:v>10.422237396240234</c:v>
                </c:pt>
                <c:pt idx="64">
                  <c:v>8.3316764831542969</c:v>
                </c:pt>
                <c:pt idx="65">
                  <c:v>6.7249665260314941</c:v>
                </c:pt>
                <c:pt idx="66">
                  <c:v>5.5986394882202148</c:v>
                </c:pt>
                <c:pt idx="67">
                  <c:v>4.6970558166503906</c:v>
                </c:pt>
                <c:pt idx="68">
                  <c:v>4.0904669761657715</c:v>
                </c:pt>
                <c:pt idx="69">
                  <c:v>3.6819748878479004</c:v>
                </c:pt>
                <c:pt idx="70">
                  <c:v>3.3271710872650146</c:v>
                </c:pt>
                <c:pt idx="71">
                  <c:v>3.0091691017150879</c:v>
                </c:pt>
                <c:pt idx="72">
                  <c:v>2.8273477554321289</c:v>
                </c:pt>
                <c:pt idx="73">
                  <c:v>2.7176334857940674</c:v>
                </c:pt>
                <c:pt idx="74">
                  <c:v>2.6193044185638428</c:v>
                </c:pt>
                <c:pt idx="75">
                  <c:v>2.5967142581939697</c:v>
                </c:pt>
                <c:pt idx="76">
                  <c:v>2.6196999549865723</c:v>
                </c:pt>
                <c:pt idx="77">
                  <c:v>2.5642063617706299</c:v>
                </c:pt>
                <c:pt idx="78">
                  <c:v>2.4529242515563965</c:v>
                </c:pt>
                <c:pt idx="79">
                  <c:v>2.4389142990112305</c:v>
                </c:pt>
                <c:pt idx="80">
                  <c:v>2.4686892032623291</c:v>
                </c:pt>
                <c:pt idx="81">
                  <c:v>2.4520251750946045</c:v>
                </c:pt>
                <c:pt idx="82">
                  <c:v>2.4055361747741699</c:v>
                </c:pt>
                <c:pt idx="83">
                  <c:v>2.4144830703735352</c:v>
                </c:pt>
                <c:pt idx="84">
                  <c:v>2.4550602436065674</c:v>
                </c:pt>
                <c:pt idx="85">
                  <c:v>2.4318230152130127</c:v>
                </c:pt>
                <c:pt idx="86">
                  <c:v>2.3104865550994873</c:v>
                </c:pt>
                <c:pt idx="87">
                  <c:v>2.2582077980041504</c:v>
                </c:pt>
                <c:pt idx="88">
                  <c:v>2.2872633934020996</c:v>
                </c:pt>
                <c:pt idx="89">
                  <c:v>2.3550913333892822</c:v>
                </c:pt>
                <c:pt idx="90">
                  <c:v>2.425544261932373</c:v>
                </c:pt>
                <c:pt idx="91">
                  <c:v>2.3524374961853027</c:v>
                </c:pt>
                <c:pt idx="92">
                  <c:v>2.281099796295166</c:v>
                </c:pt>
                <c:pt idx="93">
                  <c:v>2.2590131759643555</c:v>
                </c:pt>
                <c:pt idx="94">
                  <c:v>2.3436200618743896</c:v>
                </c:pt>
                <c:pt idx="95">
                  <c:v>2.3640382289886475</c:v>
                </c:pt>
                <c:pt idx="96">
                  <c:v>2.2394869327545166</c:v>
                </c:pt>
                <c:pt idx="97">
                  <c:v>2.2084605693817139</c:v>
                </c:pt>
                <c:pt idx="98">
                  <c:v>2.2267642021179199</c:v>
                </c:pt>
                <c:pt idx="99">
                  <c:v>2.2249231338500977</c:v>
                </c:pt>
                <c:pt idx="100">
                  <c:v>2.2691969871520996</c:v>
                </c:pt>
                <c:pt idx="101">
                  <c:v>2.2658240795135498</c:v>
                </c:pt>
                <c:pt idx="102">
                  <c:v>2.2609333992004395</c:v>
                </c:pt>
                <c:pt idx="103">
                  <c:v>2.3089690208435059</c:v>
                </c:pt>
                <c:pt idx="104">
                  <c:v>2.2911975383758545</c:v>
                </c:pt>
                <c:pt idx="105">
                  <c:v>2.2788057327270508</c:v>
                </c:pt>
                <c:pt idx="106">
                  <c:v>2.3207135200500488</c:v>
                </c:pt>
                <c:pt idx="107">
                  <c:v>2.3134424686431885</c:v>
                </c:pt>
                <c:pt idx="108">
                  <c:v>2.3428144454956055</c:v>
                </c:pt>
                <c:pt idx="109">
                  <c:v>2.3590757846832275</c:v>
                </c:pt>
                <c:pt idx="110">
                  <c:v>2.3378305435180664</c:v>
                </c:pt>
                <c:pt idx="111">
                  <c:v>2.3493521213531494</c:v>
                </c:pt>
                <c:pt idx="112">
                  <c:v>2.310227632522583</c:v>
                </c:pt>
                <c:pt idx="113">
                  <c:v>2.2508070468902588</c:v>
                </c:pt>
                <c:pt idx="114">
                  <c:v>2.2118983268737793</c:v>
                </c:pt>
                <c:pt idx="115">
                  <c:v>2.1583034992218018</c:v>
                </c:pt>
                <c:pt idx="116">
                  <c:v>2.2282600402832031</c:v>
                </c:pt>
                <c:pt idx="117">
                  <c:v>2.2929162979125977</c:v>
                </c:pt>
                <c:pt idx="118">
                  <c:v>2.2473478317260742</c:v>
                </c:pt>
                <c:pt idx="119">
                  <c:v>2.329315185546875</c:v>
                </c:pt>
                <c:pt idx="120">
                  <c:v>2.3409590721130371</c:v>
                </c:pt>
                <c:pt idx="121">
                  <c:v>2.2122147083282471</c:v>
                </c:pt>
                <c:pt idx="122">
                  <c:v>2.2273972034454346</c:v>
                </c:pt>
                <c:pt idx="123">
                  <c:v>2.2305614948272705</c:v>
                </c:pt>
                <c:pt idx="124">
                  <c:v>2.2206509113311768</c:v>
                </c:pt>
                <c:pt idx="125">
                  <c:v>2.3290777206420898</c:v>
                </c:pt>
                <c:pt idx="126">
                  <c:v>2.3883616924285889</c:v>
                </c:pt>
                <c:pt idx="127">
                  <c:v>2.3553574085235596</c:v>
                </c:pt>
                <c:pt idx="128">
                  <c:v>2.2352075576782227</c:v>
                </c:pt>
                <c:pt idx="129">
                  <c:v>2.126600980758667</c:v>
                </c:pt>
                <c:pt idx="130">
                  <c:v>2.2113158702850342</c:v>
                </c:pt>
                <c:pt idx="131">
                  <c:v>2.262242317199707</c:v>
                </c:pt>
                <c:pt idx="132">
                  <c:v>2.2311010360717773</c:v>
                </c:pt>
                <c:pt idx="133">
                  <c:v>2.2368762493133545</c:v>
                </c:pt>
                <c:pt idx="134">
                  <c:v>2.2670466899871826</c:v>
                </c:pt>
                <c:pt idx="135">
                  <c:v>2.2907588481903076</c:v>
                </c:pt>
                <c:pt idx="136">
                  <c:v>2.2641770839691162</c:v>
                </c:pt>
                <c:pt idx="137">
                  <c:v>2.3125936985015869</c:v>
                </c:pt>
                <c:pt idx="138">
                  <c:v>2.2551295757293701</c:v>
                </c:pt>
                <c:pt idx="139">
                  <c:v>2.1281616687774658</c:v>
                </c:pt>
                <c:pt idx="140">
                  <c:v>2.1140508651733398</c:v>
                </c:pt>
                <c:pt idx="141">
                  <c:v>2.0830750465393066</c:v>
                </c:pt>
                <c:pt idx="142">
                  <c:v>2.1300532817840576</c:v>
                </c:pt>
                <c:pt idx="143">
                  <c:v>2.2489588260650635</c:v>
                </c:pt>
                <c:pt idx="144">
                  <c:v>2.3115508556365967</c:v>
                </c:pt>
                <c:pt idx="145">
                  <c:v>2.2523534297943115</c:v>
                </c:pt>
                <c:pt idx="146">
                  <c:v>2.3678572177886963</c:v>
                </c:pt>
                <c:pt idx="147">
                  <c:v>2.2672264575958252</c:v>
                </c:pt>
                <c:pt idx="148">
                  <c:v>2.1545851230621338</c:v>
                </c:pt>
                <c:pt idx="149">
                  <c:v>2.1877620220184326</c:v>
                </c:pt>
                <c:pt idx="150">
                  <c:v>2.1247742176055908</c:v>
                </c:pt>
                <c:pt idx="151">
                  <c:v>2.1211709976196289</c:v>
                </c:pt>
                <c:pt idx="152">
                  <c:v>2.1216959953308105</c:v>
                </c:pt>
                <c:pt idx="153">
                  <c:v>2.2124807834625244</c:v>
                </c:pt>
                <c:pt idx="154">
                  <c:v>2.2590563297271729</c:v>
                </c:pt>
                <c:pt idx="155">
                  <c:v>2.2258365154266357</c:v>
                </c:pt>
                <c:pt idx="156">
                  <c:v>2.1060175895690918</c:v>
                </c:pt>
                <c:pt idx="157">
                  <c:v>2.0774579048156738</c:v>
                </c:pt>
                <c:pt idx="158">
                  <c:v>2.1471414566040039</c:v>
                </c:pt>
                <c:pt idx="159">
                  <c:v>2.063347339630127</c:v>
                </c:pt>
                <c:pt idx="160">
                  <c:v>2.0534079074859619</c:v>
                </c:pt>
                <c:pt idx="161">
                  <c:v>2.1446385383605957</c:v>
                </c:pt>
                <c:pt idx="162">
                  <c:v>2.2221901416778564</c:v>
                </c:pt>
                <c:pt idx="163">
                  <c:v>2.1981112957000732</c:v>
                </c:pt>
                <c:pt idx="164">
                  <c:v>2.1757152080535889</c:v>
                </c:pt>
                <c:pt idx="165">
                  <c:v>2.2297418117523193</c:v>
                </c:pt>
                <c:pt idx="166">
                  <c:v>2.1347136497497559</c:v>
                </c:pt>
                <c:pt idx="167">
                  <c:v>2.0995302200317383</c:v>
                </c:pt>
                <c:pt idx="168">
                  <c:v>2.2538061141967773</c:v>
                </c:pt>
                <c:pt idx="169">
                  <c:v>2.2019517421722412</c:v>
                </c:pt>
                <c:pt idx="170">
                  <c:v>2.1352169513702393</c:v>
                </c:pt>
                <c:pt idx="171">
                  <c:v>2.0266823768615723</c:v>
                </c:pt>
                <c:pt idx="172">
                  <c:v>2</c:v>
                </c:pt>
                <c:pt idx="173">
                  <c:v>2.1308372020721436</c:v>
                </c:pt>
                <c:pt idx="174">
                  <c:v>2.1478533744812012</c:v>
                </c:pt>
                <c:pt idx="175">
                  <c:v>2.085944652557373</c:v>
                </c:pt>
                <c:pt idx="176">
                  <c:v>2.1606407165527344</c:v>
                </c:pt>
                <c:pt idx="177">
                  <c:v>2.3118312358856201</c:v>
                </c:pt>
                <c:pt idx="178">
                  <c:v>2.1580014228820801</c:v>
                </c:pt>
                <c:pt idx="179">
                  <c:v>2.1055786609649658</c:v>
                </c:pt>
                <c:pt idx="180">
                  <c:v>2.1131374835968018</c:v>
                </c:pt>
                <c:pt idx="181">
                  <c:v>2.0638937950134277</c:v>
                </c:pt>
                <c:pt idx="182">
                  <c:v>2.1354904174804688</c:v>
                </c:pt>
                <c:pt idx="183">
                  <c:v>2.073178768157959</c:v>
                </c:pt>
                <c:pt idx="184">
                  <c:v>2.034902811050415</c:v>
                </c:pt>
                <c:pt idx="185">
                  <c:v>2.1074342727661133</c:v>
                </c:pt>
                <c:pt idx="186">
                  <c:v>2.2215068340301514</c:v>
                </c:pt>
                <c:pt idx="187">
                  <c:v>2.3371689319610596</c:v>
                </c:pt>
                <c:pt idx="188">
                  <c:v>2.1671783924102783</c:v>
                </c:pt>
                <c:pt idx="189">
                  <c:v>2.1650855541229248</c:v>
                </c:pt>
                <c:pt idx="190">
                  <c:v>2.2232761383056641</c:v>
                </c:pt>
                <c:pt idx="191">
                  <c:v>2.2367322444915771</c:v>
                </c:pt>
                <c:pt idx="192">
                  <c:v>2.2108986377716064</c:v>
                </c:pt>
                <c:pt idx="193">
                  <c:v>2.2100858688354492</c:v>
                </c:pt>
                <c:pt idx="194">
                  <c:v>2.2182776927947998</c:v>
                </c:pt>
                <c:pt idx="195">
                  <c:v>2.1601014137268066</c:v>
                </c:pt>
                <c:pt idx="196">
                  <c:v>2.3312785625457764</c:v>
                </c:pt>
                <c:pt idx="197">
                  <c:v>2.2750225067138672</c:v>
                </c:pt>
                <c:pt idx="198">
                  <c:v>2.1883227825164795</c:v>
                </c:pt>
                <c:pt idx="199">
                  <c:v>2.2347977161407471</c:v>
                </c:pt>
                <c:pt idx="200">
                  <c:v>2.2348983287811279</c:v>
                </c:pt>
                <c:pt idx="201">
                  <c:v>2.2748212814331055</c:v>
                </c:pt>
                <c:pt idx="202">
                  <c:v>2.2064683437347412</c:v>
                </c:pt>
                <c:pt idx="203">
                  <c:v>2.2815384864807129</c:v>
                </c:pt>
                <c:pt idx="204">
                  <c:v>2.2478151321411133</c:v>
                </c:pt>
                <c:pt idx="205">
                  <c:v>2.2975263595581055</c:v>
                </c:pt>
                <c:pt idx="206">
                  <c:v>2.2273323535919189</c:v>
                </c:pt>
                <c:pt idx="207">
                  <c:v>2.2594015598297119</c:v>
                </c:pt>
                <c:pt idx="208">
                  <c:v>2.2309212684631348</c:v>
                </c:pt>
                <c:pt idx="209">
                  <c:v>2.3167147636413574</c:v>
                </c:pt>
                <c:pt idx="210">
                  <c:v>2.3391034603118896</c:v>
                </c:pt>
                <c:pt idx="211">
                  <c:v>2.1941053867340088</c:v>
                </c:pt>
                <c:pt idx="212">
                  <c:v>2.159353494644165</c:v>
                </c:pt>
                <c:pt idx="213">
                  <c:v>2.1549952030181885</c:v>
                </c:pt>
                <c:pt idx="214">
                  <c:v>2.1994562149047852</c:v>
                </c:pt>
                <c:pt idx="215">
                  <c:v>2.037384033203125</c:v>
                </c:pt>
                <c:pt idx="216">
                  <c:v>2.2121212482452393</c:v>
                </c:pt>
                <c:pt idx="217">
                  <c:v>2.2262032032012939</c:v>
                </c:pt>
                <c:pt idx="218">
                  <c:v>2.0761275291442871</c:v>
                </c:pt>
                <c:pt idx="219">
                  <c:v>2.2205502986907959</c:v>
                </c:pt>
                <c:pt idx="220">
                  <c:v>2.2110495567321777</c:v>
                </c:pt>
                <c:pt idx="221">
                  <c:v>2.3186135292053223</c:v>
                </c:pt>
                <c:pt idx="222">
                  <c:v>2.3934175968170166</c:v>
                </c:pt>
                <c:pt idx="223">
                  <c:v>2.3500785827636719</c:v>
                </c:pt>
                <c:pt idx="224">
                  <c:v>2.4086430072784424</c:v>
                </c:pt>
                <c:pt idx="225">
                  <c:v>2.1079521179199219</c:v>
                </c:pt>
              </c:numCache>
            </c:numRef>
          </c:yVal>
          <c:smooth val="1"/>
          <c:extLst>
            <c:ext xmlns:c16="http://schemas.microsoft.com/office/drawing/2014/chart" uri="{C3380CC4-5D6E-409C-BE32-E72D297353CC}">
              <c16:uniqueId val="{00000004-58F6-4830-8941-1011DB88381F}"/>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53.92596435546875</c:v>
                </c:pt>
                <c:pt idx="1">
                  <c:v>54.142951965332031</c:v>
                </c:pt>
                <c:pt idx="2">
                  <c:v>52.982967376708984</c:v>
                </c:pt>
                <c:pt idx="3">
                  <c:v>51.259494781494141</c:v>
                </c:pt>
                <c:pt idx="4">
                  <c:v>49.121040344238281</c:v>
                </c:pt>
                <c:pt idx="5">
                  <c:v>46.437198638916016</c:v>
                </c:pt>
                <c:pt idx="6">
                  <c:v>43.007728576660156</c:v>
                </c:pt>
                <c:pt idx="7">
                  <c:v>39.498558044433594</c:v>
                </c:pt>
                <c:pt idx="8">
                  <c:v>36.532234191894531</c:v>
                </c:pt>
                <c:pt idx="9">
                  <c:v>34.31036376953125</c:v>
                </c:pt>
                <c:pt idx="10">
                  <c:v>32.922348022460938</c:v>
                </c:pt>
                <c:pt idx="11">
                  <c:v>32.013099670410156</c:v>
                </c:pt>
                <c:pt idx="12">
                  <c:v>31.255100250244141</c:v>
                </c:pt>
                <c:pt idx="13">
                  <c:v>30.460559844970703</c:v>
                </c:pt>
                <c:pt idx="14">
                  <c:v>29.497268676757813</c:v>
                </c:pt>
                <c:pt idx="15">
                  <c:v>28.358795166015625</c:v>
                </c:pt>
                <c:pt idx="16">
                  <c:v>27.217052459716797</c:v>
                </c:pt>
                <c:pt idx="17">
                  <c:v>26.137733459472656</c:v>
                </c:pt>
                <c:pt idx="18">
                  <c:v>25.24473762512207</c:v>
                </c:pt>
                <c:pt idx="19">
                  <c:v>24.596651077270508</c:v>
                </c:pt>
                <c:pt idx="20">
                  <c:v>24.360797882080078</c:v>
                </c:pt>
                <c:pt idx="21">
                  <c:v>24.596431732177734</c:v>
                </c:pt>
                <c:pt idx="22">
                  <c:v>25.364433288574219</c:v>
                </c:pt>
                <c:pt idx="23">
                  <c:v>26.67591667175293</c:v>
                </c:pt>
                <c:pt idx="24">
                  <c:v>28.656757354736328</c:v>
                </c:pt>
                <c:pt idx="25">
                  <c:v>31.243862152099609</c:v>
                </c:pt>
                <c:pt idx="26">
                  <c:v>34.526393890380859</c:v>
                </c:pt>
                <c:pt idx="27">
                  <c:v>38.267154693603516</c:v>
                </c:pt>
                <c:pt idx="28">
                  <c:v>42.570030212402344</c:v>
                </c:pt>
                <c:pt idx="29">
                  <c:v>47.113021850585938</c:v>
                </c:pt>
                <c:pt idx="30">
                  <c:v>52.058452606201172</c:v>
                </c:pt>
                <c:pt idx="31">
                  <c:v>57.055656433105469</c:v>
                </c:pt>
                <c:pt idx="32">
                  <c:v>62.307468414306641</c:v>
                </c:pt>
                <c:pt idx="33">
                  <c:v>67.60064697265625</c:v>
                </c:pt>
                <c:pt idx="34">
                  <c:v>72.683296203613281</c:v>
                </c:pt>
                <c:pt idx="35">
                  <c:v>77.704177856445313</c:v>
                </c:pt>
                <c:pt idx="36">
                  <c:v>82.491561889648438</c:v>
                </c:pt>
                <c:pt idx="37">
                  <c:v>87.0078125</c:v>
                </c:pt>
                <c:pt idx="38">
                  <c:v>90.941162109375</c:v>
                </c:pt>
                <c:pt idx="39">
                  <c:v>94.427955627441406</c:v>
                </c:pt>
                <c:pt idx="40">
                  <c:v>97.193321228027344</c:v>
                </c:pt>
                <c:pt idx="41">
                  <c:v>99.080894470214844</c:v>
                </c:pt>
                <c:pt idx="42">
                  <c:v>99.999992370605469</c:v>
                </c:pt>
                <c:pt idx="43">
                  <c:v>99.895309448242188</c:v>
                </c:pt>
                <c:pt idx="44">
                  <c:v>98.726921081542969</c:v>
                </c:pt>
                <c:pt idx="45">
                  <c:v>96.554710388183594</c:v>
                </c:pt>
                <c:pt idx="46">
                  <c:v>93.453895568847656</c:v>
                </c:pt>
                <c:pt idx="47">
                  <c:v>89.450721740722656</c:v>
                </c:pt>
                <c:pt idx="48">
                  <c:v>84.699249267578125</c:v>
                </c:pt>
                <c:pt idx="49">
                  <c:v>79.291114807128906</c:v>
                </c:pt>
                <c:pt idx="50">
                  <c:v>73.351089477539063</c:v>
                </c:pt>
                <c:pt idx="51">
                  <c:v>67.049087524414063</c:v>
                </c:pt>
                <c:pt idx="52">
                  <c:v>60.481868743896484</c:v>
                </c:pt>
                <c:pt idx="53">
                  <c:v>53.835006713867188</c:v>
                </c:pt>
                <c:pt idx="54">
                  <c:v>47.091072082519531</c:v>
                </c:pt>
                <c:pt idx="55">
                  <c:v>40.717948913574219</c:v>
                </c:pt>
                <c:pt idx="56">
                  <c:v>34.684589385986328</c:v>
                </c:pt>
                <c:pt idx="57">
                  <c:v>29.136428833007813</c:v>
                </c:pt>
                <c:pt idx="58">
                  <c:v>24.04371452331543</c:v>
                </c:pt>
                <c:pt idx="59">
                  <c:v>19.654140472412109</c:v>
                </c:pt>
                <c:pt idx="60">
                  <c:v>15.855818748474121</c:v>
                </c:pt>
                <c:pt idx="61">
                  <c:v>12.617978096008301</c:v>
                </c:pt>
                <c:pt idx="62">
                  <c:v>10.089668273925781</c:v>
                </c:pt>
                <c:pt idx="63">
                  <c:v>8.0189065933227539</c:v>
                </c:pt>
                <c:pt idx="64">
                  <c:v>6.4411172866821289</c:v>
                </c:pt>
                <c:pt idx="65">
                  <c:v>5.228391170501709</c:v>
                </c:pt>
                <c:pt idx="66">
                  <c:v>4.3417940139770508</c:v>
                </c:pt>
                <c:pt idx="67">
                  <c:v>3.6771328449249268</c:v>
                </c:pt>
                <c:pt idx="68">
                  <c:v>3.2041304111480713</c:v>
                </c:pt>
                <c:pt idx="69">
                  <c:v>2.8715591430664063</c:v>
                </c:pt>
                <c:pt idx="70">
                  <c:v>2.6619870662689209</c:v>
                </c:pt>
                <c:pt idx="71">
                  <c:v>2.5152363777160645</c:v>
                </c:pt>
                <c:pt idx="72">
                  <c:v>2.4146802425384521</c:v>
                </c:pt>
                <c:pt idx="73">
                  <c:v>2.333122730255127</c:v>
                </c:pt>
                <c:pt idx="74">
                  <c:v>2.2765204906463623</c:v>
                </c:pt>
                <c:pt idx="75">
                  <c:v>2.2654740810394287</c:v>
                </c:pt>
                <c:pt idx="76">
                  <c:v>2.2475388050079346</c:v>
                </c:pt>
                <c:pt idx="77">
                  <c:v>2.2416698932647705</c:v>
                </c:pt>
                <c:pt idx="78">
                  <c:v>2.2549002170562744</c:v>
                </c:pt>
                <c:pt idx="79">
                  <c:v>2.250269889831543</c:v>
                </c:pt>
                <c:pt idx="80">
                  <c:v>2.2383744716644287</c:v>
                </c:pt>
                <c:pt idx="81">
                  <c:v>2.2495126724243164</c:v>
                </c:pt>
                <c:pt idx="82">
                  <c:v>2.2469043731689453</c:v>
                </c:pt>
                <c:pt idx="83">
                  <c:v>2.2697806358337402</c:v>
                </c:pt>
                <c:pt idx="84">
                  <c:v>2.2858514785766602</c:v>
                </c:pt>
                <c:pt idx="85">
                  <c:v>2.2708835601806641</c:v>
                </c:pt>
                <c:pt idx="86">
                  <c:v>2.2684369087219238</c:v>
                </c:pt>
                <c:pt idx="87">
                  <c:v>2.3255555629730225</c:v>
                </c:pt>
                <c:pt idx="88">
                  <c:v>2.3313326835632324</c:v>
                </c:pt>
                <c:pt idx="89">
                  <c:v>2.2806477546691895</c:v>
                </c:pt>
                <c:pt idx="90">
                  <c:v>2.2721176147460938</c:v>
                </c:pt>
                <c:pt idx="91">
                  <c:v>2.2757635116577148</c:v>
                </c:pt>
                <c:pt idx="92">
                  <c:v>2.2524099349975586</c:v>
                </c:pt>
                <c:pt idx="93">
                  <c:v>2.2424664497375488</c:v>
                </c:pt>
                <c:pt idx="94">
                  <c:v>2.2120211124420166</c:v>
                </c:pt>
                <c:pt idx="95">
                  <c:v>2.2269165515899658</c:v>
                </c:pt>
                <c:pt idx="96">
                  <c:v>2.2323696613311768</c:v>
                </c:pt>
                <c:pt idx="97">
                  <c:v>2.2323958873748779</c:v>
                </c:pt>
                <c:pt idx="98">
                  <c:v>2.2522087097167969</c:v>
                </c:pt>
                <c:pt idx="99">
                  <c:v>2.2448954582214355</c:v>
                </c:pt>
                <c:pt idx="100">
                  <c:v>2.2220408916473389</c:v>
                </c:pt>
                <c:pt idx="101">
                  <c:v>2.2267851829528809</c:v>
                </c:pt>
                <c:pt idx="102">
                  <c:v>2.2430572509765625</c:v>
                </c:pt>
                <c:pt idx="103">
                  <c:v>2.2455124855041504</c:v>
                </c:pt>
                <c:pt idx="104">
                  <c:v>2.2759778499603271</c:v>
                </c:pt>
                <c:pt idx="105">
                  <c:v>2.2772383689880371</c:v>
                </c:pt>
                <c:pt idx="106">
                  <c:v>2.2437620162963867</c:v>
                </c:pt>
                <c:pt idx="107">
                  <c:v>2.2176206111907959</c:v>
                </c:pt>
                <c:pt idx="108">
                  <c:v>2.1949717998504639</c:v>
                </c:pt>
                <c:pt idx="109">
                  <c:v>2.2014448642730713</c:v>
                </c:pt>
                <c:pt idx="110">
                  <c:v>2.1825904846191406</c:v>
                </c:pt>
                <c:pt idx="111">
                  <c:v>2.1754918098449707</c:v>
                </c:pt>
                <c:pt idx="112">
                  <c:v>2.195873498916626</c:v>
                </c:pt>
                <c:pt idx="113">
                  <c:v>2.2316431999206543</c:v>
                </c:pt>
                <c:pt idx="114">
                  <c:v>2.2530272006988525</c:v>
                </c:pt>
                <c:pt idx="115">
                  <c:v>2.2364354133605957</c:v>
                </c:pt>
                <c:pt idx="116">
                  <c:v>2.2429435253143311</c:v>
                </c:pt>
                <c:pt idx="117">
                  <c:v>2.2394378185272217</c:v>
                </c:pt>
                <c:pt idx="118">
                  <c:v>2.2199447154998779</c:v>
                </c:pt>
                <c:pt idx="119">
                  <c:v>2.1862843036651611</c:v>
                </c:pt>
                <c:pt idx="120">
                  <c:v>2.1690363883972168</c:v>
                </c:pt>
                <c:pt idx="121">
                  <c:v>2.2034187316894531</c:v>
                </c:pt>
                <c:pt idx="122">
                  <c:v>2.2110164165496826</c:v>
                </c:pt>
                <c:pt idx="123">
                  <c:v>2.2307109832763672</c:v>
                </c:pt>
                <c:pt idx="124">
                  <c:v>2.2234501838684082</c:v>
                </c:pt>
                <c:pt idx="125">
                  <c:v>2.1943986415863037</c:v>
                </c:pt>
                <c:pt idx="126">
                  <c:v>2.1636662483215332</c:v>
                </c:pt>
                <c:pt idx="127">
                  <c:v>2.138378381729126</c:v>
                </c:pt>
                <c:pt idx="128">
                  <c:v>2.1461031436920166</c:v>
                </c:pt>
                <c:pt idx="129">
                  <c:v>2.1832382678985596</c:v>
                </c:pt>
                <c:pt idx="130">
                  <c:v>2.1869628429412842</c:v>
                </c:pt>
                <c:pt idx="131">
                  <c:v>2.1203601360321045</c:v>
                </c:pt>
                <c:pt idx="132">
                  <c:v>2.1624188423156738</c:v>
                </c:pt>
                <c:pt idx="133">
                  <c:v>2.207134485244751</c:v>
                </c:pt>
                <c:pt idx="134">
                  <c:v>2.2271528244018555</c:v>
                </c:pt>
                <c:pt idx="135">
                  <c:v>2.2610623836517334</c:v>
                </c:pt>
                <c:pt idx="136">
                  <c:v>2.0866780281066895</c:v>
                </c:pt>
                <c:pt idx="137">
                  <c:v>2</c:v>
                </c:pt>
                <c:pt idx="138">
                  <c:v>2.1263341903686523</c:v>
                </c:pt>
                <c:pt idx="139">
                  <c:v>2.1803934574127197</c:v>
                </c:pt>
                <c:pt idx="140">
                  <c:v>2.1555521488189697</c:v>
                </c:pt>
                <c:pt idx="141">
                  <c:v>2.214648962020874</c:v>
                </c:pt>
                <c:pt idx="142">
                  <c:v>2.2097384929656982</c:v>
                </c:pt>
                <c:pt idx="143">
                  <c:v>2.228330135345459</c:v>
                </c:pt>
                <c:pt idx="144">
                  <c:v>2.2686645984649658</c:v>
                </c:pt>
                <c:pt idx="145">
                  <c:v>2.2231919765472412</c:v>
                </c:pt>
                <c:pt idx="146">
                  <c:v>2.2057337760925293</c:v>
                </c:pt>
                <c:pt idx="147">
                  <c:v>2.1836848258972168</c:v>
                </c:pt>
                <c:pt idx="148">
                  <c:v>2.176936149597168</c:v>
                </c:pt>
                <c:pt idx="149">
                  <c:v>2.2002367973327637</c:v>
                </c:pt>
                <c:pt idx="150">
                  <c:v>2.2112438678741455</c:v>
                </c:pt>
                <c:pt idx="151">
                  <c:v>2.2231919765472412</c:v>
                </c:pt>
                <c:pt idx="152">
                  <c:v>2.2556662559509277</c:v>
                </c:pt>
                <c:pt idx="153">
                  <c:v>2.2166316509246826</c:v>
                </c:pt>
                <c:pt idx="154">
                  <c:v>2.1893305778503418</c:v>
                </c:pt>
                <c:pt idx="155">
                  <c:v>2.1912648677825928</c:v>
                </c:pt>
                <c:pt idx="156">
                  <c:v>2.2084648609161377</c:v>
                </c:pt>
                <c:pt idx="157">
                  <c:v>2.1869232654571533</c:v>
                </c:pt>
                <c:pt idx="158">
                  <c:v>2.1939258575439453</c:v>
                </c:pt>
                <c:pt idx="159">
                  <c:v>2.2418363094329834</c:v>
                </c:pt>
                <c:pt idx="160">
                  <c:v>2.2091519832611084</c:v>
                </c:pt>
                <c:pt idx="161">
                  <c:v>2.2502391338348389</c:v>
                </c:pt>
                <c:pt idx="162">
                  <c:v>2.2272446155548096</c:v>
                </c:pt>
                <c:pt idx="163">
                  <c:v>2.1552107334136963</c:v>
                </c:pt>
                <c:pt idx="164">
                  <c:v>2.1854572296142578</c:v>
                </c:pt>
                <c:pt idx="165">
                  <c:v>2.219555139541626</c:v>
                </c:pt>
                <c:pt idx="166">
                  <c:v>2.18174147605896</c:v>
                </c:pt>
                <c:pt idx="167">
                  <c:v>2.1549043655395508</c:v>
                </c:pt>
                <c:pt idx="168">
                  <c:v>2.1809229850769043</c:v>
                </c:pt>
                <c:pt idx="169">
                  <c:v>2.2221066951751709</c:v>
                </c:pt>
                <c:pt idx="170">
                  <c:v>2.2954010963439941</c:v>
                </c:pt>
                <c:pt idx="171">
                  <c:v>2.2509176731109619</c:v>
                </c:pt>
                <c:pt idx="172">
                  <c:v>2.2625024318695068</c:v>
                </c:pt>
                <c:pt idx="173">
                  <c:v>2.2740914821624756</c:v>
                </c:pt>
                <c:pt idx="174">
                  <c:v>2.2365975379943848</c:v>
                </c:pt>
                <c:pt idx="175">
                  <c:v>2.2032260894775391</c:v>
                </c:pt>
                <c:pt idx="176">
                  <c:v>2.2582571506500244</c:v>
                </c:pt>
                <c:pt idx="177">
                  <c:v>2.2681307792663574</c:v>
                </c:pt>
                <c:pt idx="178">
                  <c:v>2.2184433937072754</c:v>
                </c:pt>
                <c:pt idx="179">
                  <c:v>2.2176949977874756</c:v>
                </c:pt>
                <c:pt idx="180">
                  <c:v>2.2240540981292725</c:v>
                </c:pt>
                <c:pt idx="181">
                  <c:v>2.2696669101715088</c:v>
                </c:pt>
                <c:pt idx="182">
                  <c:v>2.2766211032867432</c:v>
                </c:pt>
                <c:pt idx="183">
                  <c:v>2.2241635322570801</c:v>
                </c:pt>
                <c:pt idx="184">
                  <c:v>2.2854881286621094</c:v>
                </c:pt>
                <c:pt idx="185">
                  <c:v>2.2391839027404785</c:v>
                </c:pt>
                <c:pt idx="186">
                  <c:v>2.1930856704711914</c:v>
                </c:pt>
                <c:pt idx="187">
                  <c:v>2.2291879653930664</c:v>
                </c:pt>
                <c:pt idx="188">
                  <c:v>2.1915843486785889</c:v>
                </c:pt>
                <c:pt idx="189">
                  <c:v>2.1930375099182129</c:v>
                </c:pt>
                <c:pt idx="190">
                  <c:v>2.2508432865142822</c:v>
                </c:pt>
                <c:pt idx="191">
                  <c:v>2.2204215526580811</c:v>
                </c:pt>
                <c:pt idx="192">
                  <c:v>2.1846737861633301</c:v>
                </c:pt>
                <c:pt idx="193">
                  <c:v>2.2004776000976563</c:v>
                </c:pt>
                <c:pt idx="194">
                  <c:v>2.2002456188201904</c:v>
                </c:pt>
                <c:pt idx="195">
                  <c:v>2.2273454666137695</c:v>
                </c:pt>
                <c:pt idx="196">
                  <c:v>2.1817808151245117</c:v>
                </c:pt>
                <c:pt idx="197">
                  <c:v>2.1411707401275635</c:v>
                </c:pt>
                <c:pt idx="198">
                  <c:v>2.1635394096374512</c:v>
                </c:pt>
                <c:pt idx="199">
                  <c:v>2.19622802734375</c:v>
                </c:pt>
                <c:pt idx="200">
                  <c:v>2.1748089790344238</c:v>
                </c:pt>
                <c:pt idx="201">
                  <c:v>2.2053837776184082</c:v>
                </c:pt>
                <c:pt idx="202">
                  <c:v>2.2445104122161865</c:v>
                </c:pt>
                <c:pt idx="203">
                  <c:v>2.2467992305755615</c:v>
                </c:pt>
                <c:pt idx="204">
                  <c:v>2.2205486297607422</c:v>
                </c:pt>
                <c:pt idx="205">
                  <c:v>2.1820785999298096</c:v>
                </c:pt>
                <c:pt idx="206">
                  <c:v>2.1772992610931396</c:v>
                </c:pt>
                <c:pt idx="207">
                  <c:v>2.1481513977050781</c:v>
                </c:pt>
                <c:pt idx="208">
                  <c:v>2.1764283180236816</c:v>
                </c:pt>
                <c:pt idx="209">
                  <c:v>2.1839122772216797</c:v>
                </c:pt>
                <c:pt idx="210">
                  <c:v>2.2401425838470459</c:v>
                </c:pt>
                <c:pt idx="211">
                  <c:v>2.2660517692565918</c:v>
                </c:pt>
                <c:pt idx="212">
                  <c:v>2.1816234588623047</c:v>
                </c:pt>
                <c:pt idx="213">
                  <c:v>2.1945736408233643</c:v>
                </c:pt>
                <c:pt idx="214">
                  <c:v>2.1811680793762207</c:v>
                </c:pt>
                <c:pt idx="215">
                  <c:v>2.2120518684387207</c:v>
                </c:pt>
                <c:pt idx="216">
                  <c:v>2.2429523468017578</c:v>
                </c:pt>
                <c:pt idx="217">
                  <c:v>2.2349081039428711</c:v>
                </c:pt>
                <c:pt idx="218">
                  <c:v>2.1858029365539551</c:v>
                </c:pt>
                <c:pt idx="219">
                  <c:v>2.2301769256591797</c:v>
                </c:pt>
                <c:pt idx="220">
                  <c:v>2.3324837684631348</c:v>
                </c:pt>
                <c:pt idx="221">
                  <c:v>2.2049198150634766</c:v>
                </c:pt>
                <c:pt idx="222">
                  <c:v>2.1258089542388916</c:v>
                </c:pt>
                <c:pt idx="223">
                  <c:v>2.2406589984893799</c:v>
                </c:pt>
                <c:pt idx="224">
                  <c:v>2.2473857402801514</c:v>
                </c:pt>
                <c:pt idx="225">
                  <c:v>2.2565240859985352</c:v>
                </c:pt>
              </c:numCache>
            </c:numRef>
          </c:yVal>
          <c:smooth val="1"/>
          <c:extLst>
            <c:ext xmlns:c16="http://schemas.microsoft.com/office/drawing/2014/chart" uri="{C3380CC4-5D6E-409C-BE32-E72D297353CC}">
              <c16:uniqueId val="{00000005-58F6-4830-8941-1011DB88381F}"/>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100</c:v>
                </c:pt>
                <c:pt idx="1">
                  <c:v>87.120109558105469</c:v>
                </c:pt>
                <c:pt idx="2">
                  <c:v>73.416000366210938</c:v>
                </c:pt>
                <c:pt idx="3">
                  <c:v>60.704277038574219</c:v>
                </c:pt>
                <c:pt idx="4">
                  <c:v>49.853225708007813</c:v>
                </c:pt>
                <c:pt idx="5">
                  <c:v>40.702011108398438</c:v>
                </c:pt>
                <c:pt idx="6">
                  <c:v>32.392601013183594</c:v>
                </c:pt>
                <c:pt idx="7">
                  <c:v>25.43927001953125</c:v>
                </c:pt>
                <c:pt idx="8">
                  <c:v>19.612394332885742</c:v>
                </c:pt>
                <c:pt idx="9">
                  <c:v>14.417017936706543</c:v>
                </c:pt>
                <c:pt idx="10">
                  <c:v>10.30030632019043</c:v>
                </c:pt>
                <c:pt idx="11">
                  <c:v>7.2796883583068848</c:v>
                </c:pt>
                <c:pt idx="12">
                  <c:v>5.2365665435791016</c:v>
                </c:pt>
                <c:pt idx="13">
                  <c:v>3.8889193534851074</c:v>
                </c:pt>
                <c:pt idx="14">
                  <c:v>3.0529284477233887</c:v>
                </c:pt>
                <c:pt idx="15">
                  <c:v>2.5336732864379883</c:v>
                </c:pt>
                <c:pt idx="16">
                  <c:v>2.2499604225158691</c:v>
                </c:pt>
                <c:pt idx="17">
                  <c:v>2.1010787487030029</c:v>
                </c:pt>
                <c:pt idx="18">
                  <c:v>2.0205538272857666</c:v>
                </c:pt>
                <c:pt idx="19">
                  <c:v>2</c:v>
                </c:pt>
                <c:pt idx="20">
                  <c:v>2.0076122283935547</c:v>
                </c:pt>
                <c:pt idx="21">
                  <c:v>2.0281827449798584</c:v>
                </c:pt>
                <c:pt idx="22">
                  <c:v>2.0652954578399658</c:v>
                </c:pt>
                <c:pt idx="23">
                  <c:v>2.1116104125976563</c:v>
                </c:pt>
                <c:pt idx="24">
                  <c:v>2.1486110687255859</c:v>
                </c:pt>
                <c:pt idx="25">
                  <c:v>2.1806700229644775</c:v>
                </c:pt>
                <c:pt idx="26">
                  <c:v>2.2231104373931885</c:v>
                </c:pt>
                <c:pt idx="27">
                  <c:v>2.2672441005706787</c:v>
                </c:pt>
                <c:pt idx="28">
                  <c:v>2.2947921752929688</c:v>
                </c:pt>
                <c:pt idx="29">
                  <c:v>2.3216638565063477</c:v>
                </c:pt>
                <c:pt idx="30">
                  <c:v>2.3413140773773193</c:v>
                </c:pt>
                <c:pt idx="31">
                  <c:v>2.3510992527008057</c:v>
                </c:pt>
                <c:pt idx="32">
                  <c:v>2.3687303066253662</c:v>
                </c:pt>
                <c:pt idx="33">
                  <c:v>2.3846795558929443</c:v>
                </c:pt>
                <c:pt idx="34">
                  <c:v>2.3871114253997803</c:v>
                </c:pt>
                <c:pt idx="35">
                  <c:v>2.3818221092224121</c:v>
                </c:pt>
                <c:pt idx="36">
                  <c:v>2.3772244453430176</c:v>
                </c:pt>
                <c:pt idx="37">
                  <c:v>2.3822245597839355</c:v>
                </c:pt>
                <c:pt idx="38">
                  <c:v>2.3873600959777832</c:v>
                </c:pt>
                <c:pt idx="39">
                  <c:v>2.378448486328125</c:v>
                </c:pt>
                <c:pt idx="40">
                  <c:v>2.3772962093353271</c:v>
                </c:pt>
                <c:pt idx="41">
                  <c:v>2.3777287006378174</c:v>
                </c:pt>
                <c:pt idx="42">
                  <c:v>2.3742516040802002</c:v>
                </c:pt>
                <c:pt idx="43">
                  <c:v>2.3729372024536133</c:v>
                </c:pt>
                <c:pt idx="44">
                  <c:v>2.3651797771453857</c:v>
                </c:pt>
                <c:pt idx="45">
                  <c:v>2.3686401844024658</c:v>
                </c:pt>
                <c:pt idx="46">
                  <c:v>2.3725664615631104</c:v>
                </c:pt>
                <c:pt idx="47">
                  <c:v>2.3702383041381836</c:v>
                </c:pt>
                <c:pt idx="48">
                  <c:v>2.3686885833740234</c:v>
                </c:pt>
                <c:pt idx="49">
                  <c:v>2.3680689334869385</c:v>
                </c:pt>
                <c:pt idx="50">
                  <c:v>2.37325119972229</c:v>
                </c:pt>
                <c:pt idx="51">
                  <c:v>2.3748495578765869</c:v>
                </c:pt>
                <c:pt idx="52">
                  <c:v>2.3770723342895508</c:v>
                </c:pt>
                <c:pt idx="53">
                  <c:v>2.3781545162200928</c:v>
                </c:pt>
                <c:pt idx="54">
                  <c:v>2.3899705410003662</c:v>
                </c:pt>
                <c:pt idx="55">
                  <c:v>2.3993330001831055</c:v>
                </c:pt>
                <c:pt idx="56">
                  <c:v>2.3990473747253418</c:v>
                </c:pt>
                <c:pt idx="57">
                  <c:v>2.3892924785614014</c:v>
                </c:pt>
                <c:pt idx="58">
                  <c:v>2.4017295837402344</c:v>
                </c:pt>
                <c:pt idx="59">
                  <c:v>2.4147295951843262</c:v>
                </c:pt>
                <c:pt idx="60">
                  <c:v>2.4233505725860596</c:v>
                </c:pt>
                <c:pt idx="61">
                  <c:v>2.4336533546447754</c:v>
                </c:pt>
                <c:pt idx="62">
                  <c:v>2.429511547088623</c:v>
                </c:pt>
                <c:pt idx="63">
                  <c:v>2.4293210506439209</c:v>
                </c:pt>
                <c:pt idx="64">
                  <c:v>2.4238364696502686</c:v>
                </c:pt>
                <c:pt idx="65">
                  <c:v>2.4224836826324463</c:v>
                </c:pt>
                <c:pt idx="66">
                  <c:v>2.4319181442260742</c:v>
                </c:pt>
                <c:pt idx="67">
                  <c:v>2.433030366897583</c:v>
                </c:pt>
                <c:pt idx="68">
                  <c:v>2.4453589916229248</c:v>
                </c:pt>
                <c:pt idx="69">
                  <c:v>2.4485487937927246</c:v>
                </c:pt>
                <c:pt idx="70">
                  <c:v>2.4357209205627441</c:v>
                </c:pt>
                <c:pt idx="71">
                  <c:v>2.433250904083252</c:v>
                </c:pt>
                <c:pt idx="72">
                  <c:v>2.4322822093963623</c:v>
                </c:pt>
                <c:pt idx="73">
                  <c:v>2.43121337890625</c:v>
                </c:pt>
                <c:pt idx="74">
                  <c:v>2.4419403076171875</c:v>
                </c:pt>
                <c:pt idx="75">
                  <c:v>2.4424612522125244</c:v>
                </c:pt>
                <c:pt idx="76">
                  <c:v>2.4289169311523438</c:v>
                </c:pt>
                <c:pt idx="77">
                  <c:v>2.4208521842956543</c:v>
                </c:pt>
                <c:pt idx="78">
                  <c:v>2.4378936290740967</c:v>
                </c:pt>
                <c:pt idx="79">
                  <c:v>2.4431159496307373</c:v>
                </c:pt>
                <c:pt idx="80">
                  <c:v>2.4471759796142578</c:v>
                </c:pt>
                <c:pt idx="81">
                  <c:v>2.4548935890197754</c:v>
                </c:pt>
                <c:pt idx="82">
                  <c:v>2.44400954246521</c:v>
                </c:pt>
                <c:pt idx="83">
                  <c:v>2.4264235496520996</c:v>
                </c:pt>
                <c:pt idx="84">
                  <c:v>2.4261112213134766</c:v>
                </c:pt>
                <c:pt idx="85">
                  <c:v>2.4349894523620605</c:v>
                </c:pt>
                <c:pt idx="86">
                  <c:v>2.4304299354553223</c:v>
                </c:pt>
                <c:pt idx="87">
                  <c:v>2.4283709526062012</c:v>
                </c:pt>
                <c:pt idx="88">
                  <c:v>2.4336349964141846</c:v>
                </c:pt>
                <c:pt idx="89">
                  <c:v>2.4296116828918457</c:v>
                </c:pt>
                <c:pt idx="90">
                  <c:v>2.4171679019927979</c:v>
                </c:pt>
                <c:pt idx="91">
                  <c:v>2.4243125915527344</c:v>
                </c:pt>
                <c:pt idx="92">
                  <c:v>2.4324924945831299</c:v>
                </c:pt>
                <c:pt idx="93">
                  <c:v>2.4253981113433838</c:v>
                </c:pt>
                <c:pt idx="94">
                  <c:v>2.4128272533416748</c:v>
                </c:pt>
                <c:pt idx="95">
                  <c:v>2.415471076965332</c:v>
                </c:pt>
                <c:pt idx="96">
                  <c:v>2.4300944805145264</c:v>
                </c:pt>
                <c:pt idx="97">
                  <c:v>2.4343781471252441</c:v>
                </c:pt>
                <c:pt idx="98">
                  <c:v>2.4252426624298096</c:v>
                </c:pt>
                <c:pt idx="99">
                  <c:v>2.4153542518615723</c:v>
                </c:pt>
                <c:pt idx="100">
                  <c:v>2.4275774955749512</c:v>
                </c:pt>
                <c:pt idx="101">
                  <c:v>2.4279882907867432</c:v>
                </c:pt>
                <c:pt idx="102">
                  <c:v>2.4203276634216309</c:v>
                </c:pt>
                <c:pt idx="103">
                  <c:v>2.4184138774871826</c:v>
                </c:pt>
                <c:pt idx="104">
                  <c:v>2.4051582813262939</c:v>
                </c:pt>
                <c:pt idx="105">
                  <c:v>2.4051632881164551</c:v>
                </c:pt>
                <c:pt idx="106">
                  <c:v>2.4157333374023438</c:v>
                </c:pt>
                <c:pt idx="107">
                  <c:v>2.4230749607086182</c:v>
                </c:pt>
                <c:pt idx="108">
                  <c:v>2.4203910827636719</c:v>
                </c:pt>
                <c:pt idx="109">
                  <c:v>2.4316592216491699</c:v>
                </c:pt>
                <c:pt idx="110">
                  <c:v>2.4462826251983643</c:v>
                </c:pt>
                <c:pt idx="111">
                  <c:v>2.4234240055084229</c:v>
                </c:pt>
                <c:pt idx="112">
                  <c:v>2.4043083190917969</c:v>
                </c:pt>
                <c:pt idx="113">
                  <c:v>2.4163880348205566</c:v>
                </c:pt>
                <c:pt idx="114">
                  <c:v>2.4322521686553955</c:v>
                </c:pt>
                <c:pt idx="115">
                  <c:v>2.4345366954803467</c:v>
                </c:pt>
                <c:pt idx="116">
                  <c:v>2.4323639869689941</c:v>
                </c:pt>
                <c:pt idx="117">
                  <c:v>2.436537504196167</c:v>
                </c:pt>
                <c:pt idx="118">
                  <c:v>2.4510154724121094</c:v>
                </c:pt>
                <c:pt idx="119">
                  <c:v>2.44199538230896</c:v>
                </c:pt>
                <c:pt idx="120">
                  <c:v>2.4264652729034424</c:v>
                </c:pt>
                <c:pt idx="121">
                  <c:v>2.4241554737091064</c:v>
                </c:pt>
                <c:pt idx="122">
                  <c:v>2.4213931560516357</c:v>
                </c:pt>
                <c:pt idx="123">
                  <c:v>2.4425816535949707</c:v>
                </c:pt>
                <c:pt idx="124">
                  <c:v>2.4382743835449219</c:v>
                </c:pt>
                <c:pt idx="125">
                  <c:v>2.4188013076782227</c:v>
                </c:pt>
                <c:pt idx="126">
                  <c:v>2.4176003932952881</c:v>
                </c:pt>
                <c:pt idx="127">
                  <c:v>2.4076683521270752</c:v>
                </c:pt>
                <c:pt idx="128">
                  <c:v>2.4126503467559814</c:v>
                </c:pt>
                <c:pt idx="129">
                  <c:v>2.4376766681671143</c:v>
                </c:pt>
                <c:pt idx="130">
                  <c:v>2.4318163394927979</c:v>
                </c:pt>
                <c:pt idx="131">
                  <c:v>2.4158685207366943</c:v>
                </c:pt>
                <c:pt idx="132">
                  <c:v>2.4026381969451904</c:v>
                </c:pt>
                <c:pt idx="133">
                  <c:v>2.3984427452087402</c:v>
                </c:pt>
                <c:pt idx="134">
                  <c:v>2.4323923587799072</c:v>
                </c:pt>
                <c:pt idx="135">
                  <c:v>2.4676430225372314</c:v>
                </c:pt>
                <c:pt idx="136">
                  <c:v>2.650576114654541</c:v>
                </c:pt>
                <c:pt idx="137">
                  <c:v>2.7315452098846436</c:v>
                </c:pt>
                <c:pt idx="138">
                  <c:v>2.5527389049530029</c:v>
                </c:pt>
                <c:pt idx="139">
                  <c:v>2.4262146949768066</c:v>
                </c:pt>
                <c:pt idx="140">
                  <c:v>2.3950526714324951</c:v>
                </c:pt>
                <c:pt idx="141">
                  <c:v>2.4343264102935791</c:v>
                </c:pt>
                <c:pt idx="142">
                  <c:v>2.4634208679199219</c:v>
                </c:pt>
                <c:pt idx="143">
                  <c:v>2.4092667102813721</c:v>
                </c:pt>
                <c:pt idx="144">
                  <c:v>2.4083731174468994</c:v>
                </c:pt>
                <c:pt idx="145">
                  <c:v>2.432579517364502</c:v>
                </c:pt>
                <c:pt idx="146">
                  <c:v>2.4193873405456543</c:v>
                </c:pt>
                <c:pt idx="147">
                  <c:v>2.4620983600616455</c:v>
                </c:pt>
                <c:pt idx="148">
                  <c:v>2.5336499214172363</c:v>
                </c:pt>
                <c:pt idx="149">
                  <c:v>2.5115928649902344</c:v>
                </c:pt>
                <c:pt idx="150">
                  <c:v>2.3948822021484375</c:v>
                </c:pt>
                <c:pt idx="151">
                  <c:v>2.4073176383972168</c:v>
                </c:pt>
                <c:pt idx="152">
                  <c:v>2.4254615306854248</c:v>
                </c:pt>
                <c:pt idx="153">
                  <c:v>2.4175353050231934</c:v>
                </c:pt>
                <c:pt idx="154">
                  <c:v>2.4447660446166992</c:v>
                </c:pt>
                <c:pt idx="155">
                  <c:v>2.4458332061767578</c:v>
                </c:pt>
                <c:pt idx="156">
                  <c:v>2.4157249927520752</c:v>
                </c:pt>
                <c:pt idx="157">
                  <c:v>2.4382393360137939</c:v>
                </c:pt>
                <c:pt idx="158">
                  <c:v>2.4334244728088379</c:v>
                </c:pt>
                <c:pt idx="159">
                  <c:v>2.4030356407165527</c:v>
                </c:pt>
                <c:pt idx="160">
                  <c:v>2.4328901767730713</c:v>
                </c:pt>
                <c:pt idx="161">
                  <c:v>2.4457981586456299</c:v>
                </c:pt>
                <c:pt idx="162">
                  <c:v>2.4470374584197998</c:v>
                </c:pt>
                <c:pt idx="163">
                  <c:v>2.4581301212310791</c:v>
                </c:pt>
                <c:pt idx="164">
                  <c:v>2.4270849227905273</c:v>
                </c:pt>
                <c:pt idx="165">
                  <c:v>2.4112374782562256</c:v>
                </c:pt>
                <c:pt idx="166">
                  <c:v>2.4410717487335205</c:v>
                </c:pt>
                <c:pt idx="167">
                  <c:v>2.4506497383117676</c:v>
                </c:pt>
                <c:pt idx="168">
                  <c:v>2.4515132904052734</c:v>
                </c:pt>
                <c:pt idx="169">
                  <c:v>2.4188847541809082</c:v>
                </c:pt>
                <c:pt idx="170">
                  <c:v>2.4179344177246094</c:v>
                </c:pt>
                <c:pt idx="171">
                  <c:v>2.438488245010376</c:v>
                </c:pt>
                <c:pt idx="172">
                  <c:v>2.4103271961212158</c:v>
                </c:pt>
                <c:pt idx="173">
                  <c:v>2.4286279678344727</c:v>
                </c:pt>
                <c:pt idx="174">
                  <c:v>2.4503607749938965</c:v>
                </c:pt>
                <c:pt idx="175">
                  <c:v>2.4322171211242676</c:v>
                </c:pt>
                <c:pt idx="176">
                  <c:v>2.4350595474243164</c:v>
                </c:pt>
                <c:pt idx="177">
                  <c:v>2.4306821823120117</c:v>
                </c:pt>
                <c:pt idx="178">
                  <c:v>2.4268960952758789</c:v>
                </c:pt>
                <c:pt idx="179">
                  <c:v>2.4071323871612549</c:v>
                </c:pt>
                <c:pt idx="180">
                  <c:v>2.3905951976776123</c:v>
                </c:pt>
                <c:pt idx="181">
                  <c:v>2.3906903266906738</c:v>
                </c:pt>
                <c:pt idx="182">
                  <c:v>2.3978333473205566</c:v>
                </c:pt>
                <c:pt idx="183">
                  <c:v>2.3985097408294678</c:v>
                </c:pt>
                <c:pt idx="184">
                  <c:v>2.4165065288543701</c:v>
                </c:pt>
                <c:pt idx="185">
                  <c:v>2.3913934230804443</c:v>
                </c:pt>
                <c:pt idx="186">
                  <c:v>2.3894877433776855</c:v>
                </c:pt>
                <c:pt idx="187">
                  <c:v>2.3942909240722656</c:v>
                </c:pt>
                <c:pt idx="188">
                  <c:v>2.3773062229156494</c:v>
                </c:pt>
                <c:pt idx="189">
                  <c:v>2.4416496753692627</c:v>
                </c:pt>
                <c:pt idx="190">
                  <c:v>2.4438090324401855</c:v>
                </c:pt>
                <c:pt idx="191">
                  <c:v>2.3977580070495605</c:v>
                </c:pt>
                <c:pt idx="192">
                  <c:v>2.4033846855163574</c:v>
                </c:pt>
                <c:pt idx="193">
                  <c:v>2.3983476161956787</c:v>
                </c:pt>
                <c:pt idx="194">
                  <c:v>2.4358594417572021</c:v>
                </c:pt>
                <c:pt idx="195">
                  <c:v>2.4462056159973145</c:v>
                </c:pt>
                <c:pt idx="196">
                  <c:v>2.4676814079284668</c:v>
                </c:pt>
                <c:pt idx="197">
                  <c:v>2.4445958137512207</c:v>
                </c:pt>
                <c:pt idx="198">
                  <c:v>2.4331488609313965</c:v>
                </c:pt>
                <c:pt idx="199">
                  <c:v>2.4480228424072266</c:v>
                </c:pt>
                <c:pt idx="200">
                  <c:v>2.4610042572021484</c:v>
                </c:pt>
                <c:pt idx="201">
                  <c:v>2.4440979957580566</c:v>
                </c:pt>
                <c:pt idx="202">
                  <c:v>2.3918359279632568</c:v>
                </c:pt>
                <c:pt idx="203">
                  <c:v>2.4584991931915283</c:v>
                </c:pt>
                <c:pt idx="204">
                  <c:v>2.4474315643310547</c:v>
                </c:pt>
                <c:pt idx="205">
                  <c:v>2.4643127918243408</c:v>
                </c:pt>
                <c:pt idx="206">
                  <c:v>2.42746901512146</c:v>
                </c:pt>
                <c:pt idx="207">
                  <c:v>2.4295032024383545</c:v>
                </c:pt>
                <c:pt idx="208">
                  <c:v>2.4071540832519531</c:v>
                </c:pt>
                <c:pt idx="209">
                  <c:v>2.3899405002593994</c:v>
                </c:pt>
                <c:pt idx="210">
                  <c:v>2.394017219543457</c:v>
                </c:pt>
                <c:pt idx="211">
                  <c:v>2.3860139846801758</c:v>
                </c:pt>
                <c:pt idx="212">
                  <c:v>2.4439177513122559</c:v>
                </c:pt>
                <c:pt idx="213">
                  <c:v>2.4029855728149414</c:v>
                </c:pt>
                <c:pt idx="214">
                  <c:v>2.4786205291748047</c:v>
                </c:pt>
                <c:pt idx="215">
                  <c:v>2.4372789859771729</c:v>
                </c:pt>
                <c:pt idx="216">
                  <c:v>2.3995952606201172</c:v>
                </c:pt>
                <c:pt idx="217">
                  <c:v>2.4199469089508057</c:v>
                </c:pt>
                <c:pt idx="218">
                  <c:v>2.3726885318756104</c:v>
                </c:pt>
                <c:pt idx="219">
                  <c:v>2.4018697738647461</c:v>
                </c:pt>
                <c:pt idx="220">
                  <c:v>2.382685661315918</c:v>
                </c:pt>
                <c:pt idx="221">
                  <c:v>2.4550004005432129</c:v>
                </c:pt>
                <c:pt idx="222">
                  <c:v>2.5456912517547607</c:v>
                </c:pt>
                <c:pt idx="223">
                  <c:v>2.4148964881896973</c:v>
                </c:pt>
                <c:pt idx="224">
                  <c:v>2.4798495769500732</c:v>
                </c:pt>
                <c:pt idx="225">
                  <c:v>2.3701748847961426</c:v>
                </c:pt>
              </c:numCache>
            </c:numRef>
          </c:yVal>
          <c:smooth val="1"/>
          <c:extLst>
            <c:ext xmlns:c16="http://schemas.microsoft.com/office/drawing/2014/chart" uri="{C3380CC4-5D6E-409C-BE32-E72D297353CC}">
              <c16:uniqueId val="{00000006-58F6-4830-8941-1011DB88381F}"/>
            </c:ext>
          </c:extLst>
        </c:ser>
        <c:ser>
          <c:idx val="7"/>
          <c:order val="7"/>
          <c:tx>
            <c:v>8</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numCache>
            </c:numRef>
          </c:yVal>
          <c:smooth val="1"/>
          <c:extLst>
            <c:ext xmlns:c16="http://schemas.microsoft.com/office/drawing/2014/chart" uri="{C3380CC4-5D6E-409C-BE32-E72D297353CC}">
              <c16:uniqueId val="{00000007-58F6-4830-8941-1011DB88381F}"/>
            </c:ext>
          </c:extLst>
        </c:ser>
        <c:ser>
          <c:idx val="8"/>
          <c:order val="8"/>
          <c:tx>
            <c:v>9</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NormalisedUVVisData!$J$2:$J$300</c:f>
              <c:numCache>
                <c:formatCode>General</c:formatCode>
                <c:ptCount val="299"/>
              </c:numCache>
            </c:numRef>
          </c:yVal>
          <c:smooth val="1"/>
          <c:extLst>
            <c:ext xmlns:c16="http://schemas.microsoft.com/office/drawing/2014/chart" uri="{C3380CC4-5D6E-409C-BE32-E72D297353CC}">
              <c16:uniqueId val="{00000008-58F6-4830-8941-1011DB88381F}"/>
            </c:ext>
          </c:extLst>
        </c:ser>
        <c:ser>
          <c:idx val="9"/>
          <c:order val="9"/>
          <c:tx>
            <c:v>10</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NormalisedUVVisData!$K$2:$K$300</c:f>
              <c:numCache>
                <c:formatCode>General</c:formatCode>
                <c:ptCount val="299"/>
              </c:numCache>
            </c:numRef>
          </c:yVal>
          <c:smooth val="1"/>
          <c:extLst>
            <c:ext xmlns:c16="http://schemas.microsoft.com/office/drawing/2014/chart" uri="{C3380CC4-5D6E-409C-BE32-E72D297353CC}">
              <c16:uniqueId val="{00000009-58F6-4830-8941-1011DB88381F}"/>
            </c:ext>
          </c:extLst>
        </c:ser>
        <c:ser>
          <c:idx val="10"/>
          <c:order val="10"/>
          <c:tx>
            <c:v>11</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NormalisedUVVisData!$L$2:$L$300</c:f>
              <c:numCache>
                <c:formatCode>General</c:formatCode>
                <c:ptCount val="299"/>
              </c:numCache>
            </c:numRef>
          </c:yVal>
          <c:smooth val="1"/>
          <c:extLst>
            <c:ext xmlns:c16="http://schemas.microsoft.com/office/drawing/2014/chart" uri="{C3380CC4-5D6E-409C-BE32-E72D297353CC}">
              <c16:uniqueId val="{0000000A-58F6-4830-8941-1011DB88381F}"/>
            </c:ext>
          </c:extLst>
        </c:ser>
        <c:ser>
          <c:idx val="11"/>
          <c:order val="11"/>
          <c:tx>
            <c:v>12</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NormalisedUVVisData!$M$2:$M$300</c:f>
              <c:numCache>
                <c:formatCode>General</c:formatCode>
                <c:ptCount val="299"/>
              </c:numCache>
            </c:numRef>
          </c:yVal>
          <c:smooth val="1"/>
          <c:extLst>
            <c:ext xmlns:c16="http://schemas.microsoft.com/office/drawing/2014/chart" uri="{C3380CC4-5D6E-409C-BE32-E72D297353CC}">
              <c16:uniqueId val="{0000000B-58F6-4830-8941-1011DB88381F}"/>
            </c:ext>
          </c:extLst>
        </c:ser>
        <c:ser>
          <c:idx val="12"/>
          <c:order val="12"/>
          <c:tx>
            <c:v>13</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NormalisedUVVisData!$N$2:$N$300</c:f>
              <c:numCache>
                <c:formatCode>General</c:formatCode>
                <c:ptCount val="299"/>
              </c:numCache>
            </c:numRef>
          </c:yVal>
          <c:smooth val="1"/>
          <c:extLst>
            <c:ext xmlns:c16="http://schemas.microsoft.com/office/drawing/2014/chart" uri="{C3380CC4-5D6E-409C-BE32-E72D297353CC}">
              <c16:uniqueId val="{0000000C-58F6-4830-8941-1011DB88381F}"/>
            </c:ext>
          </c:extLst>
        </c:ser>
        <c:ser>
          <c:idx val="13"/>
          <c:order val="13"/>
          <c:tx>
            <c:v>14</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NormalisedUVVisData!$O$2:$O$300</c:f>
              <c:numCache>
                <c:formatCode>General</c:formatCode>
                <c:ptCount val="299"/>
              </c:numCache>
            </c:numRef>
          </c:yVal>
          <c:smooth val="1"/>
          <c:extLst>
            <c:ext xmlns:c16="http://schemas.microsoft.com/office/drawing/2014/chart" uri="{C3380CC4-5D6E-409C-BE32-E72D297353CC}">
              <c16:uniqueId val="{0000000D-58F6-4830-8941-1011DB88381F}"/>
            </c:ext>
          </c:extLst>
        </c:ser>
        <c:ser>
          <c:idx val="14"/>
          <c:order val="14"/>
          <c:tx>
            <c:v>15</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NormalisedUVVisData!$P$2:$P$300</c:f>
              <c:numCache>
                <c:formatCode>General</c:formatCode>
                <c:ptCount val="299"/>
              </c:numCache>
            </c:numRef>
          </c:yVal>
          <c:smooth val="1"/>
          <c:extLst>
            <c:ext xmlns:c16="http://schemas.microsoft.com/office/drawing/2014/chart" uri="{C3380CC4-5D6E-409C-BE32-E72D297353CC}">
              <c16:uniqueId val="{0000000E-58F6-4830-8941-1011DB88381F}"/>
            </c:ext>
          </c:extLst>
        </c:ser>
        <c:ser>
          <c:idx val="15"/>
          <c:order val="15"/>
          <c:tx>
            <c:v>16</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NormalisedUVVisData!$Q$2:$Q$300</c:f>
              <c:numCache>
                <c:formatCode>General</c:formatCode>
                <c:ptCount val="299"/>
              </c:numCache>
            </c:numRef>
          </c:yVal>
          <c:smooth val="1"/>
          <c:extLst>
            <c:ext xmlns:c16="http://schemas.microsoft.com/office/drawing/2014/chart" uri="{C3380CC4-5D6E-409C-BE32-E72D297353CC}">
              <c16:uniqueId val="{0000000F-58F6-4830-8941-1011DB88381F}"/>
            </c:ext>
          </c:extLst>
        </c:ser>
        <c:ser>
          <c:idx val="16"/>
          <c:order val="16"/>
          <c:tx>
            <c:v>17</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NormalisedUVVisData!$R$2:$R$300</c:f>
              <c:numCache>
                <c:formatCode>General</c:formatCode>
                <c:ptCount val="299"/>
              </c:numCache>
            </c:numRef>
          </c:yVal>
          <c:smooth val="1"/>
          <c:extLst>
            <c:ext xmlns:c16="http://schemas.microsoft.com/office/drawing/2014/chart" uri="{C3380CC4-5D6E-409C-BE32-E72D297353CC}">
              <c16:uniqueId val="{00000010-58F6-4830-8941-1011DB88381F}"/>
            </c:ext>
          </c:extLst>
        </c:ser>
        <c:ser>
          <c:idx val="17"/>
          <c:order val="17"/>
          <c:tx>
            <c:v>18</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NormalisedUVVisData!$S$2:$S$300</c:f>
              <c:numCache>
                <c:formatCode>General</c:formatCode>
                <c:ptCount val="299"/>
              </c:numCache>
            </c:numRef>
          </c:yVal>
          <c:smooth val="1"/>
          <c:extLst>
            <c:ext xmlns:c16="http://schemas.microsoft.com/office/drawing/2014/chart" uri="{C3380CC4-5D6E-409C-BE32-E72D297353CC}">
              <c16:uniqueId val="{00000011-58F6-4830-8941-1011DB88381F}"/>
            </c:ext>
          </c:extLst>
        </c:ser>
        <c:ser>
          <c:idx val="18"/>
          <c:order val="18"/>
          <c:tx>
            <c:v>19</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NormalisedUVVisData!$T$2:$T$300</c:f>
              <c:numCache>
                <c:formatCode>General</c:formatCode>
                <c:ptCount val="299"/>
              </c:numCache>
            </c:numRef>
          </c:yVal>
          <c:smooth val="1"/>
          <c:extLst>
            <c:ext xmlns:c16="http://schemas.microsoft.com/office/drawing/2014/chart" uri="{C3380CC4-5D6E-409C-BE32-E72D297353CC}">
              <c16:uniqueId val="{00000012-58F6-4830-8941-1011DB88381F}"/>
            </c:ext>
          </c:extLst>
        </c:ser>
        <c:ser>
          <c:idx val="19"/>
          <c:order val="19"/>
          <c:tx>
            <c:v>20</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NormalisedUVVisData!$U$2:$U$300</c:f>
              <c:numCache>
                <c:formatCode>General</c:formatCode>
                <c:ptCount val="299"/>
              </c:numCache>
            </c:numRef>
          </c:yVal>
          <c:smooth val="1"/>
          <c:extLst>
            <c:ext xmlns:c16="http://schemas.microsoft.com/office/drawing/2014/chart" uri="{C3380CC4-5D6E-409C-BE32-E72D297353CC}">
              <c16:uniqueId val="{00000013-58F6-4830-8941-1011DB88381F}"/>
            </c:ext>
          </c:extLst>
        </c:ser>
        <c:ser>
          <c:idx val="20"/>
          <c:order val="20"/>
          <c:tx>
            <c:v>21</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NormalisedUVVisData!$V$2:$V$300</c:f>
              <c:numCache>
                <c:formatCode>General</c:formatCode>
                <c:ptCount val="299"/>
              </c:numCache>
            </c:numRef>
          </c:yVal>
          <c:smooth val="1"/>
          <c:extLst>
            <c:ext xmlns:c16="http://schemas.microsoft.com/office/drawing/2014/chart" uri="{C3380CC4-5D6E-409C-BE32-E72D297353CC}">
              <c16:uniqueId val="{00000014-58F6-4830-8941-1011DB88381F}"/>
            </c:ext>
          </c:extLst>
        </c:ser>
        <c:ser>
          <c:idx val="21"/>
          <c:order val="21"/>
          <c:tx>
            <c:v>22</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NormalisedUVVisData!$W$2:$W$300</c:f>
              <c:numCache>
                <c:formatCode>General</c:formatCode>
                <c:ptCount val="299"/>
              </c:numCache>
            </c:numRef>
          </c:yVal>
          <c:smooth val="1"/>
          <c:extLst>
            <c:ext xmlns:c16="http://schemas.microsoft.com/office/drawing/2014/chart" uri="{C3380CC4-5D6E-409C-BE32-E72D297353CC}">
              <c16:uniqueId val="{00000015-58F6-4830-8941-1011DB88381F}"/>
            </c:ext>
          </c:extLst>
        </c:ser>
        <c:ser>
          <c:idx val="22"/>
          <c:order val="22"/>
          <c:tx>
            <c:v>23</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NormalisedUVVisData!$X$2:$X$300</c:f>
              <c:numCache>
                <c:formatCode>General</c:formatCode>
                <c:ptCount val="299"/>
              </c:numCache>
            </c:numRef>
          </c:yVal>
          <c:smooth val="1"/>
          <c:extLst>
            <c:ext xmlns:c16="http://schemas.microsoft.com/office/drawing/2014/chart" uri="{C3380CC4-5D6E-409C-BE32-E72D297353CC}">
              <c16:uniqueId val="{00000016-58F6-4830-8941-1011DB88381F}"/>
            </c:ext>
          </c:extLst>
        </c:ser>
        <c:ser>
          <c:idx val="23"/>
          <c:order val="23"/>
          <c:tx>
            <c:v>24</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NormalisedUVVisData!$Y$2:$Y$300</c:f>
              <c:numCache>
                <c:formatCode>General</c:formatCode>
                <c:ptCount val="299"/>
              </c:numCache>
            </c:numRef>
          </c:yVal>
          <c:smooth val="1"/>
          <c:extLst>
            <c:ext xmlns:c16="http://schemas.microsoft.com/office/drawing/2014/chart" uri="{C3380CC4-5D6E-409C-BE32-E72D297353CC}">
              <c16:uniqueId val="{00000017-58F6-4830-8941-1011DB88381F}"/>
            </c:ext>
          </c:extLst>
        </c:ser>
        <c:ser>
          <c:idx val="24"/>
          <c:order val="24"/>
          <c:tx>
            <c:v>25</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NormalisedUVVisData!$Z$2:$Z$300</c:f>
              <c:numCache>
                <c:formatCode>General</c:formatCode>
                <c:ptCount val="299"/>
              </c:numCache>
            </c:numRef>
          </c:yVal>
          <c:smooth val="1"/>
          <c:extLst>
            <c:ext xmlns:c16="http://schemas.microsoft.com/office/drawing/2014/chart" uri="{C3380CC4-5D6E-409C-BE32-E72D297353CC}">
              <c16:uniqueId val="{00000018-58F6-4830-8941-1011DB88381F}"/>
            </c:ext>
          </c:extLst>
        </c:ser>
        <c:ser>
          <c:idx val="25"/>
          <c:order val="25"/>
          <c:tx>
            <c:v>26</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NormalisedUVVisData!$AA$2:$AA$300</c:f>
              <c:numCache>
                <c:formatCode>General</c:formatCode>
                <c:ptCount val="299"/>
              </c:numCache>
            </c:numRef>
          </c:yVal>
          <c:smooth val="1"/>
          <c:extLst>
            <c:ext xmlns:c16="http://schemas.microsoft.com/office/drawing/2014/chart" uri="{C3380CC4-5D6E-409C-BE32-E72D297353CC}">
              <c16:uniqueId val="{00000019-58F6-4830-8941-1011DB88381F}"/>
            </c:ext>
          </c:extLst>
        </c:ser>
        <c:ser>
          <c:idx val="26"/>
          <c:order val="26"/>
          <c:tx>
            <c:v>27</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NormalisedUVVisData!$AB$2:$AB$300</c:f>
              <c:numCache>
                <c:formatCode>General</c:formatCode>
                <c:ptCount val="299"/>
              </c:numCache>
            </c:numRef>
          </c:yVal>
          <c:smooth val="1"/>
          <c:extLst>
            <c:ext xmlns:c16="http://schemas.microsoft.com/office/drawing/2014/chart" uri="{C3380CC4-5D6E-409C-BE32-E72D297353CC}">
              <c16:uniqueId val="{0000001A-58F6-4830-8941-1011DB88381F}"/>
            </c:ext>
          </c:extLst>
        </c:ser>
        <c:ser>
          <c:idx val="27"/>
          <c:order val="27"/>
          <c:tx>
            <c:v>28</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NormalisedUVVisData!$AC$2:$AC$300</c:f>
              <c:numCache>
                <c:formatCode>General</c:formatCode>
                <c:ptCount val="299"/>
              </c:numCache>
            </c:numRef>
          </c:yVal>
          <c:smooth val="1"/>
          <c:extLst>
            <c:ext xmlns:c16="http://schemas.microsoft.com/office/drawing/2014/chart" uri="{C3380CC4-5D6E-409C-BE32-E72D297353CC}">
              <c16:uniqueId val="{0000001B-58F6-4830-8941-1011DB88381F}"/>
            </c:ext>
          </c:extLst>
        </c:ser>
        <c:ser>
          <c:idx val="28"/>
          <c:order val="28"/>
          <c:tx>
            <c:v>29</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NormalisedUVVisData!$AD$2:$AD$300</c:f>
              <c:numCache>
                <c:formatCode>General</c:formatCode>
                <c:ptCount val="299"/>
              </c:numCache>
            </c:numRef>
          </c:yVal>
          <c:smooth val="1"/>
          <c:extLst>
            <c:ext xmlns:c16="http://schemas.microsoft.com/office/drawing/2014/chart" uri="{C3380CC4-5D6E-409C-BE32-E72D297353CC}">
              <c16:uniqueId val="{0000001C-58F6-4830-8941-1011DB88381F}"/>
            </c:ext>
          </c:extLst>
        </c:ser>
        <c:ser>
          <c:idx val="29"/>
          <c:order val="29"/>
          <c:tx>
            <c:v>30</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NormalisedUVVisData!$AE$2:$AE$300</c:f>
              <c:numCache>
                <c:formatCode>General</c:formatCode>
                <c:ptCount val="299"/>
              </c:numCache>
            </c:numRef>
          </c:yVal>
          <c:smooth val="1"/>
          <c:extLst>
            <c:ext xmlns:c16="http://schemas.microsoft.com/office/drawing/2014/chart" uri="{C3380CC4-5D6E-409C-BE32-E72D297353CC}">
              <c16:uniqueId val="{0000001D-58F6-4830-8941-1011DB88381F}"/>
            </c:ext>
          </c:extLst>
        </c:ser>
        <c:ser>
          <c:idx val="30"/>
          <c:order val="30"/>
          <c:tx>
            <c:v>31</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NormalisedUVVisData!$AF$2:$AF$300</c:f>
              <c:numCache>
                <c:formatCode>General</c:formatCode>
                <c:ptCount val="299"/>
              </c:numCache>
            </c:numRef>
          </c:yVal>
          <c:smooth val="1"/>
          <c:extLst>
            <c:ext xmlns:c16="http://schemas.microsoft.com/office/drawing/2014/chart" uri="{C3380CC4-5D6E-409C-BE32-E72D297353CC}">
              <c16:uniqueId val="{0000001E-58F6-4830-8941-1011DB88381F}"/>
            </c:ext>
          </c:extLst>
        </c:ser>
        <c:ser>
          <c:idx val="31"/>
          <c:order val="31"/>
          <c:tx>
            <c:v>32</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NormalisedUVVisData!$AG$2:$AG$300</c:f>
              <c:numCache>
                <c:formatCode>General</c:formatCode>
                <c:ptCount val="299"/>
              </c:numCache>
            </c:numRef>
          </c:yVal>
          <c:smooth val="1"/>
          <c:extLst>
            <c:ext xmlns:c16="http://schemas.microsoft.com/office/drawing/2014/chart" uri="{C3380CC4-5D6E-409C-BE32-E72D297353CC}">
              <c16:uniqueId val="{0000001F-58F6-4830-8941-1011DB88381F}"/>
            </c:ext>
          </c:extLst>
        </c:ser>
        <c:ser>
          <c:idx val="32"/>
          <c:order val="32"/>
          <c:tx>
            <c:v>33</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NormalisedUVVisData!$AH$2:$AH$300</c:f>
              <c:numCache>
                <c:formatCode>General</c:formatCode>
                <c:ptCount val="299"/>
              </c:numCache>
            </c:numRef>
          </c:yVal>
          <c:smooth val="1"/>
          <c:extLst>
            <c:ext xmlns:c16="http://schemas.microsoft.com/office/drawing/2014/chart" uri="{C3380CC4-5D6E-409C-BE32-E72D297353CC}">
              <c16:uniqueId val="{00000020-58F6-4830-8941-1011DB88381F}"/>
            </c:ext>
          </c:extLst>
        </c:ser>
        <c:ser>
          <c:idx val="33"/>
          <c:order val="33"/>
          <c:tx>
            <c:v>34</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NormalisedUVVisData!$AI$2:$AI$300</c:f>
              <c:numCache>
                <c:formatCode>General</c:formatCode>
                <c:ptCount val="299"/>
              </c:numCache>
            </c:numRef>
          </c:yVal>
          <c:smooth val="1"/>
          <c:extLst>
            <c:ext xmlns:c16="http://schemas.microsoft.com/office/drawing/2014/chart" uri="{C3380CC4-5D6E-409C-BE32-E72D297353CC}">
              <c16:uniqueId val="{00000021-58F6-4830-8941-1011DB88381F}"/>
            </c:ext>
          </c:extLst>
        </c:ser>
        <c:ser>
          <c:idx val="34"/>
          <c:order val="34"/>
          <c:tx>
            <c:v>35</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NormalisedUVVisData!$AJ$2:$AJ$300</c:f>
              <c:numCache>
                <c:formatCode>General</c:formatCode>
                <c:ptCount val="299"/>
              </c:numCache>
            </c:numRef>
          </c:yVal>
          <c:smooth val="1"/>
          <c:extLst>
            <c:ext xmlns:c16="http://schemas.microsoft.com/office/drawing/2014/chart" uri="{C3380CC4-5D6E-409C-BE32-E72D297353CC}">
              <c16:uniqueId val="{00000022-58F6-4830-8941-1011DB88381F}"/>
            </c:ext>
          </c:extLst>
        </c:ser>
        <c:ser>
          <c:idx val="35"/>
          <c:order val="35"/>
          <c:tx>
            <c:v>36</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NormalisedUVVisData!$AK$2:$AK$300</c:f>
              <c:numCache>
                <c:formatCode>General</c:formatCode>
                <c:ptCount val="299"/>
              </c:numCache>
            </c:numRef>
          </c:yVal>
          <c:smooth val="1"/>
          <c:extLst>
            <c:ext xmlns:c16="http://schemas.microsoft.com/office/drawing/2014/chart" uri="{C3380CC4-5D6E-409C-BE32-E72D297353CC}">
              <c16:uniqueId val="{00000023-58F6-4830-8941-1011DB88381F}"/>
            </c:ext>
          </c:extLst>
        </c:ser>
        <c:ser>
          <c:idx val="36"/>
          <c:order val="36"/>
          <c:tx>
            <c:v>37</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NormalisedUVVisData!$AL$2:$AL$300</c:f>
              <c:numCache>
                <c:formatCode>General</c:formatCode>
                <c:ptCount val="299"/>
              </c:numCache>
            </c:numRef>
          </c:yVal>
          <c:smooth val="1"/>
          <c:extLst>
            <c:ext xmlns:c16="http://schemas.microsoft.com/office/drawing/2014/chart" uri="{C3380CC4-5D6E-409C-BE32-E72D297353CC}">
              <c16:uniqueId val="{00000024-58F6-4830-8941-1011DB88381F}"/>
            </c:ext>
          </c:extLst>
        </c:ser>
        <c:ser>
          <c:idx val="37"/>
          <c:order val="37"/>
          <c:tx>
            <c:v>38</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NormalisedUVVisData!$AM$2:$AM$300</c:f>
              <c:numCache>
                <c:formatCode>General</c:formatCode>
                <c:ptCount val="299"/>
              </c:numCache>
            </c:numRef>
          </c:yVal>
          <c:smooth val="1"/>
          <c:extLst>
            <c:ext xmlns:c16="http://schemas.microsoft.com/office/drawing/2014/chart" uri="{C3380CC4-5D6E-409C-BE32-E72D297353CC}">
              <c16:uniqueId val="{00000025-58F6-4830-8941-1011DB88381F}"/>
            </c:ext>
          </c:extLst>
        </c:ser>
        <c:ser>
          <c:idx val="38"/>
          <c:order val="38"/>
          <c:tx>
            <c:v>39</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NormalisedUVVisData!$AN$2:$AN$300</c:f>
              <c:numCache>
                <c:formatCode>General</c:formatCode>
                <c:ptCount val="299"/>
              </c:numCache>
            </c:numRef>
          </c:yVal>
          <c:smooth val="1"/>
          <c:extLst>
            <c:ext xmlns:c16="http://schemas.microsoft.com/office/drawing/2014/chart" uri="{C3380CC4-5D6E-409C-BE32-E72D297353CC}">
              <c16:uniqueId val="{00000026-58F6-4830-8941-1011DB88381F}"/>
            </c:ext>
          </c:extLst>
        </c:ser>
        <c:ser>
          <c:idx val="39"/>
          <c:order val="39"/>
          <c:tx>
            <c:v>40</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NormalisedUVVisData!$AO$2:$AO$300</c:f>
              <c:numCache>
                <c:formatCode>General</c:formatCode>
                <c:ptCount val="299"/>
              </c:numCache>
            </c:numRef>
          </c:yVal>
          <c:smooth val="1"/>
          <c:extLst>
            <c:ext xmlns:c16="http://schemas.microsoft.com/office/drawing/2014/chart" uri="{C3380CC4-5D6E-409C-BE32-E72D297353CC}">
              <c16:uniqueId val="{00000027-58F6-4830-8941-1011DB88381F}"/>
            </c:ext>
          </c:extLst>
        </c:ser>
        <c:ser>
          <c:idx val="40"/>
          <c:order val="40"/>
          <c:tx>
            <c:v>41</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NormalisedUVVisData!$AP$2:$AP$300</c:f>
              <c:numCache>
                <c:formatCode>General</c:formatCode>
                <c:ptCount val="299"/>
              </c:numCache>
            </c:numRef>
          </c:yVal>
          <c:smooth val="1"/>
          <c:extLst>
            <c:ext xmlns:c16="http://schemas.microsoft.com/office/drawing/2014/chart" uri="{C3380CC4-5D6E-409C-BE32-E72D297353CC}">
              <c16:uniqueId val="{00000028-58F6-4830-8941-1011DB88381F}"/>
            </c:ext>
          </c:extLst>
        </c:ser>
        <c:ser>
          <c:idx val="41"/>
          <c:order val="41"/>
          <c:tx>
            <c:v>42</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NormalisedUVVisData!$AQ$2:$AQ$300</c:f>
              <c:numCache>
                <c:formatCode>General</c:formatCode>
                <c:ptCount val="299"/>
              </c:numCache>
            </c:numRef>
          </c:yVal>
          <c:smooth val="1"/>
          <c:extLst>
            <c:ext xmlns:c16="http://schemas.microsoft.com/office/drawing/2014/chart" uri="{C3380CC4-5D6E-409C-BE32-E72D297353CC}">
              <c16:uniqueId val="{00000029-58F6-4830-8941-1011DB88381F}"/>
            </c:ext>
          </c:extLst>
        </c:ser>
        <c:ser>
          <c:idx val="42"/>
          <c:order val="42"/>
          <c:tx>
            <c:v>43</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NormalisedUVVisData!$AR$2:$AR$300</c:f>
              <c:numCache>
                <c:formatCode>General</c:formatCode>
                <c:ptCount val="299"/>
              </c:numCache>
            </c:numRef>
          </c:yVal>
          <c:smooth val="1"/>
          <c:extLst>
            <c:ext xmlns:c16="http://schemas.microsoft.com/office/drawing/2014/chart" uri="{C3380CC4-5D6E-409C-BE32-E72D297353CC}">
              <c16:uniqueId val="{0000002A-58F6-4830-8941-1011DB88381F}"/>
            </c:ext>
          </c:extLst>
        </c:ser>
        <c:ser>
          <c:idx val="43"/>
          <c:order val="43"/>
          <c:tx>
            <c:v>44</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NormalisedUVVisData!$AS$2:$AS$300</c:f>
              <c:numCache>
                <c:formatCode>General</c:formatCode>
                <c:ptCount val="299"/>
              </c:numCache>
            </c:numRef>
          </c:yVal>
          <c:smooth val="1"/>
          <c:extLst>
            <c:ext xmlns:c16="http://schemas.microsoft.com/office/drawing/2014/chart" uri="{C3380CC4-5D6E-409C-BE32-E72D297353CC}">
              <c16:uniqueId val="{0000002B-58F6-4830-8941-1011DB88381F}"/>
            </c:ext>
          </c:extLst>
        </c:ser>
        <c:ser>
          <c:idx val="44"/>
          <c:order val="44"/>
          <c:tx>
            <c:v>45</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NormalisedUVVisData!$AT$2:$AT$300</c:f>
              <c:numCache>
                <c:formatCode>General</c:formatCode>
                <c:ptCount val="299"/>
              </c:numCache>
            </c:numRef>
          </c:yVal>
          <c:smooth val="1"/>
          <c:extLst>
            <c:ext xmlns:c16="http://schemas.microsoft.com/office/drawing/2014/chart" uri="{C3380CC4-5D6E-409C-BE32-E72D297353CC}">
              <c16:uniqueId val="{0000002C-58F6-4830-8941-1011DB88381F}"/>
            </c:ext>
          </c:extLst>
        </c:ser>
        <c:ser>
          <c:idx val="45"/>
          <c:order val="45"/>
          <c:tx>
            <c:v>46</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NormalisedUVVisData!$AU$2:$AU$300</c:f>
              <c:numCache>
                <c:formatCode>General</c:formatCode>
                <c:ptCount val="299"/>
              </c:numCache>
            </c:numRef>
          </c:yVal>
          <c:smooth val="1"/>
          <c:extLst>
            <c:ext xmlns:c16="http://schemas.microsoft.com/office/drawing/2014/chart" uri="{C3380CC4-5D6E-409C-BE32-E72D297353CC}">
              <c16:uniqueId val="{0000002D-58F6-4830-8941-1011DB88381F}"/>
            </c:ext>
          </c:extLst>
        </c:ser>
        <c:ser>
          <c:idx val="46"/>
          <c:order val="46"/>
          <c:tx>
            <c:v>47</c:v>
          </c:tx>
          <c:spPr>
            <a:ln w="19050" cap="rnd">
              <a:noFill/>
              <a:round/>
            </a:ln>
            <a:effectLst/>
            <a:extLst>
              <a:ext uri="{91240B29-F687-4F45-9708-019B960494DF}">
                <a14:hiddenLine xmlns:a14="http://schemas.microsoft.com/office/drawing/2010/main" w="19050" cap="rnd">
                  <a:solidFill>
                    <a:srgbClr val="4472C4">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NormalisedUVVisData!$AV$2:$AV$300</c:f>
              <c:numCache>
                <c:formatCode>General</c:formatCode>
                <c:ptCount val="299"/>
              </c:numCache>
            </c:numRef>
          </c:yVal>
          <c:smooth val="1"/>
          <c:extLst>
            <c:ext xmlns:c16="http://schemas.microsoft.com/office/drawing/2014/chart" uri="{C3380CC4-5D6E-409C-BE32-E72D297353CC}">
              <c16:uniqueId val="{0000002E-58F6-4830-8941-1011DB88381F}"/>
            </c:ext>
          </c:extLst>
        </c:ser>
        <c:ser>
          <c:idx val="47"/>
          <c:order val="47"/>
          <c:tx>
            <c:v>48</c:v>
          </c:tx>
          <c:spPr>
            <a:ln w="19050" cap="rnd">
              <a:noFill/>
              <a:round/>
            </a:ln>
            <a:effectLst/>
            <a:extLst>
              <a:ext uri="{91240B29-F687-4F45-9708-019B960494DF}">
                <a14:hiddenLine xmlns:a14="http://schemas.microsoft.com/office/drawing/2010/main" w="19050" cap="rnd">
                  <a:solidFill>
                    <a:srgbClr val="70AD47">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NormalisedUVVisData!$AW$2:$AW$300</c:f>
              <c:numCache>
                <c:formatCode>General</c:formatCode>
                <c:ptCount val="299"/>
              </c:numCache>
            </c:numRef>
          </c:yVal>
          <c:smooth val="1"/>
          <c:extLst>
            <c:ext xmlns:c16="http://schemas.microsoft.com/office/drawing/2014/chart" uri="{C3380CC4-5D6E-409C-BE32-E72D297353CC}">
              <c16:uniqueId val="{0000002F-58F6-4830-8941-1011DB88381F}"/>
            </c:ext>
          </c:extLst>
        </c:ser>
        <c:ser>
          <c:idx val="48"/>
          <c:order val="48"/>
          <c:tx>
            <c:v>49</c:v>
          </c:tx>
          <c:spPr>
            <a:ln w="19050" cap="rnd">
              <a:noFill/>
              <a:round/>
            </a:ln>
            <a:effectLst/>
            <a:extLst>
              <a:ext uri="{91240B29-F687-4F45-9708-019B960494DF}">
                <a14:hiddenLine xmlns:a14="http://schemas.microsoft.com/office/drawing/2010/main" w="19050" cap="rnd">
                  <a:solidFill>
                    <a:srgbClr val="5B9BD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NormalisedUVVisData!$AX$2:$AX$300</c:f>
              <c:numCache>
                <c:formatCode>General</c:formatCode>
                <c:ptCount val="299"/>
              </c:numCache>
            </c:numRef>
          </c:yVal>
          <c:smooth val="1"/>
          <c:extLst>
            <c:ext xmlns:c16="http://schemas.microsoft.com/office/drawing/2014/chart" uri="{C3380CC4-5D6E-409C-BE32-E72D297353CC}">
              <c16:uniqueId val="{00000030-58F6-4830-8941-1011DB88381F}"/>
            </c:ext>
          </c:extLst>
        </c:ser>
        <c:ser>
          <c:idx val="49"/>
          <c:order val="49"/>
          <c:tx>
            <c:v>50</c:v>
          </c:tx>
          <c:spPr>
            <a:ln w="19050" cap="rnd">
              <a:noFill/>
              <a:round/>
            </a:ln>
            <a:effectLst/>
            <a:extLst>
              <a:ext uri="{91240B29-F687-4F45-9708-019B960494DF}">
                <a14:hiddenLine xmlns:a14="http://schemas.microsoft.com/office/drawing/2010/main" w="19050" cap="rnd">
                  <a:solidFill>
                    <a:srgbClr val="ED7D31">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NormalisedUVVisData!$AY$2:$AY$300</c:f>
              <c:numCache>
                <c:formatCode>General</c:formatCode>
                <c:ptCount val="299"/>
              </c:numCache>
            </c:numRef>
          </c:yVal>
          <c:smooth val="1"/>
          <c:extLst>
            <c:ext xmlns:c16="http://schemas.microsoft.com/office/drawing/2014/chart" uri="{C3380CC4-5D6E-409C-BE32-E72D297353CC}">
              <c16:uniqueId val="{00000031-58F6-4830-8941-1011DB88381F}"/>
            </c:ext>
          </c:extLst>
        </c:ser>
        <c:ser>
          <c:idx val="50"/>
          <c:order val="50"/>
          <c:tx>
            <c:v>51</c:v>
          </c:tx>
          <c:spPr>
            <a:ln w="19050" cap="rnd">
              <a:noFill/>
              <a:round/>
            </a:ln>
            <a:effectLst/>
            <a:extLst>
              <a:ext uri="{91240B29-F687-4F45-9708-019B960494DF}">
                <a14:hiddenLine xmlns:a14="http://schemas.microsoft.com/office/drawing/2010/main" w="19050" cap="rnd">
                  <a:solidFill>
                    <a:srgbClr val="A5A5A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NormalisedUVVisData!$AZ$2:$AZ$300</c:f>
              <c:numCache>
                <c:formatCode>General</c:formatCode>
                <c:ptCount val="299"/>
              </c:numCache>
            </c:numRef>
          </c:yVal>
          <c:smooth val="1"/>
          <c:extLst>
            <c:ext xmlns:c16="http://schemas.microsoft.com/office/drawing/2014/chart" uri="{C3380CC4-5D6E-409C-BE32-E72D297353CC}">
              <c16:uniqueId val="{00000032-58F6-4830-8941-1011DB88381F}"/>
            </c:ext>
          </c:extLst>
        </c:ser>
        <c:ser>
          <c:idx val="51"/>
          <c:order val="51"/>
          <c:tx>
            <c:v>52</c:v>
          </c:tx>
          <c:spPr>
            <a:ln w="19050" cap="rnd">
              <a:noFill/>
              <a:round/>
            </a:ln>
            <a:effectLst/>
            <a:extLst>
              <a:ext uri="{91240B29-F687-4F45-9708-019B960494DF}">
                <a14:hiddenLine xmlns:a14="http://schemas.microsoft.com/office/drawing/2010/main" w="19050" cap="rnd">
                  <a:solidFill>
                    <a:srgbClr val="FFC000">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NormalisedUVVisData!$BA$2:$BA$300</c:f>
              <c:numCache>
                <c:formatCode>General</c:formatCode>
                <c:ptCount val="299"/>
              </c:numCache>
            </c:numRef>
          </c:yVal>
          <c:smooth val="1"/>
          <c:extLst>
            <c:ext xmlns:c16="http://schemas.microsoft.com/office/drawing/2014/chart" uri="{C3380CC4-5D6E-409C-BE32-E72D297353CC}">
              <c16:uniqueId val="{00000033-58F6-4830-8941-1011DB88381F}"/>
            </c:ext>
          </c:extLst>
        </c:ser>
        <c:ser>
          <c:idx val="52"/>
          <c:order val="52"/>
          <c:tx>
            <c:v>53</c:v>
          </c:tx>
          <c:spPr>
            <a:ln w="19050" cap="rnd">
              <a:noFill/>
              <a:round/>
            </a:ln>
            <a:effectLst/>
            <a:extLst>
              <a:ext uri="{91240B29-F687-4F45-9708-019B960494DF}">
                <a14:hiddenLine xmlns:a14="http://schemas.microsoft.com/office/drawing/2010/main" w="19050" cap="rnd">
                  <a:solidFill>
                    <a:srgbClr val="4472C4">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NormalisedUVVisData!$BB$2:$BB$300</c:f>
              <c:numCache>
                <c:formatCode>General</c:formatCode>
                <c:ptCount val="299"/>
              </c:numCache>
            </c:numRef>
          </c:yVal>
          <c:smooth val="1"/>
          <c:extLst>
            <c:ext xmlns:c16="http://schemas.microsoft.com/office/drawing/2014/chart" uri="{C3380CC4-5D6E-409C-BE32-E72D297353CC}">
              <c16:uniqueId val="{00000034-58F6-4830-8941-1011DB88381F}"/>
            </c:ext>
          </c:extLst>
        </c:ser>
        <c:ser>
          <c:idx val="53"/>
          <c:order val="53"/>
          <c:tx>
            <c:v>54</c:v>
          </c:tx>
          <c:spPr>
            <a:ln w="19050" cap="rnd">
              <a:noFill/>
              <a:round/>
            </a:ln>
            <a:effectLst/>
            <a:extLst>
              <a:ext uri="{91240B29-F687-4F45-9708-019B960494DF}">
                <a14:hiddenLine xmlns:a14="http://schemas.microsoft.com/office/drawing/2010/main" w="19050" cap="rnd">
                  <a:solidFill>
                    <a:srgbClr val="70AD47">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NormalisedUVVisData!$BC$2:$BC$300</c:f>
              <c:numCache>
                <c:formatCode>General</c:formatCode>
                <c:ptCount val="299"/>
              </c:numCache>
            </c:numRef>
          </c:yVal>
          <c:smooth val="1"/>
          <c:extLst>
            <c:ext xmlns:c16="http://schemas.microsoft.com/office/drawing/2014/chart" uri="{C3380CC4-5D6E-409C-BE32-E72D297353CC}">
              <c16:uniqueId val="{00000035-58F6-4830-8941-1011DB88381F}"/>
            </c:ext>
          </c:extLst>
        </c:ser>
        <c:ser>
          <c:idx val="54"/>
          <c:order val="54"/>
          <c:tx>
            <c:v>55</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NormalisedUVVisData!$BD$2:$BD$300</c:f>
              <c:numCache>
                <c:formatCode>General</c:formatCode>
                <c:ptCount val="299"/>
              </c:numCache>
            </c:numRef>
          </c:yVal>
          <c:smooth val="1"/>
          <c:extLst>
            <c:ext xmlns:c16="http://schemas.microsoft.com/office/drawing/2014/chart" uri="{C3380CC4-5D6E-409C-BE32-E72D297353CC}">
              <c16:uniqueId val="{00000036-58F6-4830-8941-1011DB88381F}"/>
            </c:ext>
          </c:extLst>
        </c:ser>
        <c:ser>
          <c:idx val="55"/>
          <c:order val="55"/>
          <c:tx>
            <c:v>56</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NormalisedUVVisData!$BE$2:$BE$300</c:f>
              <c:numCache>
                <c:formatCode>General</c:formatCode>
                <c:ptCount val="299"/>
              </c:numCache>
            </c:numRef>
          </c:yVal>
          <c:smooth val="1"/>
          <c:extLst>
            <c:ext xmlns:c16="http://schemas.microsoft.com/office/drawing/2014/chart" uri="{C3380CC4-5D6E-409C-BE32-E72D297353CC}">
              <c16:uniqueId val="{00000037-58F6-4830-8941-1011DB88381F}"/>
            </c:ext>
          </c:extLst>
        </c:ser>
        <c:ser>
          <c:idx val="56"/>
          <c:order val="56"/>
          <c:tx>
            <c:v>57</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NormalisedUVVisData!$BF$2:$BF$300</c:f>
              <c:numCache>
                <c:formatCode>General</c:formatCode>
                <c:ptCount val="299"/>
              </c:numCache>
            </c:numRef>
          </c:yVal>
          <c:smooth val="1"/>
          <c:extLst>
            <c:ext xmlns:c16="http://schemas.microsoft.com/office/drawing/2014/chart" uri="{C3380CC4-5D6E-409C-BE32-E72D297353CC}">
              <c16:uniqueId val="{00000038-58F6-4830-8941-1011DB88381F}"/>
            </c:ext>
          </c:extLst>
        </c:ser>
        <c:ser>
          <c:idx val="57"/>
          <c:order val="57"/>
          <c:tx>
            <c:v>58</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NormalisedUVVisData!$BG$2:$BG$300</c:f>
              <c:numCache>
                <c:formatCode>General</c:formatCode>
                <c:ptCount val="299"/>
              </c:numCache>
            </c:numRef>
          </c:yVal>
          <c:smooth val="1"/>
          <c:extLst>
            <c:ext xmlns:c16="http://schemas.microsoft.com/office/drawing/2014/chart" uri="{C3380CC4-5D6E-409C-BE32-E72D297353CC}">
              <c16:uniqueId val="{00000039-58F6-4830-8941-1011DB88381F}"/>
            </c:ext>
          </c:extLst>
        </c:ser>
        <c:ser>
          <c:idx val="58"/>
          <c:order val="58"/>
          <c:tx>
            <c:v>59</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NormalisedUVVisData!$BH$2:$BH$300</c:f>
              <c:numCache>
                <c:formatCode>General</c:formatCode>
                <c:ptCount val="299"/>
              </c:numCache>
            </c:numRef>
          </c:yVal>
          <c:smooth val="1"/>
          <c:extLst>
            <c:ext xmlns:c16="http://schemas.microsoft.com/office/drawing/2014/chart" uri="{C3380CC4-5D6E-409C-BE32-E72D297353CC}">
              <c16:uniqueId val="{0000003A-58F6-4830-8941-1011DB88381F}"/>
            </c:ext>
          </c:extLst>
        </c:ser>
        <c:ser>
          <c:idx val="59"/>
          <c:order val="59"/>
          <c:tx>
            <c:v>60</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NormalisedUVVisData!$BI$2:$BI$300</c:f>
              <c:numCache>
                <c:formatCode>General</c:formatCode>
                <c:ptCount val="299"/>
              </c:numCache>
            </c:numRef>
          </c:yVal>
          <c:smooth val="1"/>
          <c:extLst>
            <c:ext xmlns:c16="http://schemas.microsoft.com/office/drawing/2014/chart" uri="{C3380CC4-5D6E-409C-BE32-E72D297353CC}">
              <c16:uniqueId val="{0000003B-58F6-4830-8941-1011DB88381F}"/>
            </c:ext>
          </c:extLst>
        </c:ser>
        <c:ser>
          <c:idx val="60"/>
          <c:order val="60"/>
          <c:tx>
            <c:v>61</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NormalisedUVVisData!$BJ$2:$BJ$300</c:f>
              <c:numCache>
                <c:formatCode>General</c:formatCode>
                <c:ptCount val="299"/>
              </c:numCache>
            </c:numRef>
          </c:yVal>
          <c:smooth val="1"/>
          <c:extLst>
            <c:ext xmlns:c16="http://schemas.microsoft.com/office/drawing/2014/chart" uri="{C3380CC4-5D6E-409C-BE32-E72D297353CC}">
              <c16:uniqueId val="{0000003C-58F6-4830-8941-1011DB88381F}"/>
            </c:ext>
          </c:extLst>
        </c:ser>
        <c:ser>
          <c:idx val="61"/>
          <c:order val="61"/>
          <c:tx>
            <c:v>62</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NormalisedUVVisData!$BK$2:$BK$300</c:f>
              <c:numCache>
                <c:formatCode>General</c:formatCode>
                <c:ptCount val="299"/>
              </c:numCache>
            </c:numRef>
          </c:yVal>
          <c:smooth val="1"/>
          <c:extLst>
            <c:ext xmlns:c16="http://schemas.microsoft.com/office/drawing/2014/chart" uri="{C3380CC4-5D6E-409C-BE32-E72D297353CC}">
              <c16:uniqueId val="{0000003D-58F6-4830-8941-1011DB88381F}"/>
            </c:ext>
          </c:extLst>
        </c:ser>
        <c:ser>
          <c:idx val="62"/>
          <c:order val="62"/>
          <c:tx>
            <c:v>63</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NormalisedUVVisData!$BL$2:$BL$300</c:f>
              <c:numCache>
                <c:formatCode>General</c:formatCode>
                <c:ptCount val="299"/>
              </c:numCache>
            </c:numRef>
          </c:yVal>
          <c:smooth val="1"/>
          <c:extLst>
            <c:ext xmlns:c16="http://schemas.microsoft.com/office/drawing/2014/chart" uri="{C3380CC4-5D6E-409C-BE32-E72D297353CC}">
              <c16:uniqueId val="{0000003E-58F6-4830-8941-1011DB88381F}"/>
            </c:ext>
          </c:extLst>
        </c:ser>
        <c:ser>
          <c:idx val="63"/>
          <c:order val="63"/>
          <c:tx>
            <c:v>64</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NormalisedUVVisData!$BM$2:$BM$300</c:f>
              <c:numCache>
                <c:formatCode>General</c:formatCode>
                <c:ptCount val="299"/>
              </c:numCache>
            </c:numRef>
          </c:yVal>
          <c:smooth val="1"/>
          <c:extLst>
            <c:ext xmlns:c16="http://schemas.microsoft.com/office/drawing/2014/chart" uri="{C3380CC4-5D6E-409C-BE32-E72D297353CC}">
              <c16:uniqueId val="{0000003F-58F6-4830-8941-1011DB88381F}"/>
            </c:ext>
          </c:extLst>
        </c:ser>
        <c:ser>
          <c:idx val="64"/>
          <c:order val="64"/>
          <c:tx>
            <c:v>65</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NormalisedUVVisData!$BN$2:$BN$300</c:f>
              <c:numCache>
                <c:formatCode>General</c:formatCode>
                <c:ptCount val="299"/>
              </c:numCache>
            </c:numRef>
          </c:yVal>
          <c:smooth val="1"/>
          <c:extLst>
            <c:ext xmlns:c16="http://schemas.microsoft.com/office/drawing/2014/chart" uri="{C3380CC4-5D6E-409C-BE32-E72D297353CC}">
              <c16:uniqueId val="{00000040-58F6-4830-8941-1011DB88381F}"/>
            </c:ext>
          </c:extLst>
        </c:ser>
        <c:ser>
          <c:idx val="65"/>
          <c:order val="65"/>
          <c:tx>
            <c:v>66</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NormalisedUVVisData!$BO$2:$BO$300</c:f>
              <c:numCache>
                <c:formatCode>General</c:formatCode>
                <c:ptCount val="299"/>
              </c:numCache>
            </c:numRef>
          </c:yVal>
          <c:smooth val="1"/>
          <c:extLst>
            <c:ext xmlns:c16="http://schemas.microsoft.com/office/drawing/2014/chart" uri="{C3380CC4-5D6E-409C-BE32-E72D297353CC}">
              <c16:uniqueId val="{00000041-58F6-4830-8941-1011DB88381F}"/>
            </c:ext>
          </c:extLst>
        </c:ser>
        <c:ser>
          <c:idx val="66"/>
          <c:order val="66"/>
          <c:tx>
            <c:v>67</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NormalisedUVVisData!$BP$2:$BP$300</c:f>
              <c:numCache>
                <c:formatCode>General</c:formatCode>
                <c:ptCount val="299"/>
              </c:numCache>
            </c:numRef>
          </c:yVal>
          <c:smooth val="1"/>
          <c:extLst>
            <c:ext xmlns:c16="http://schemas.microsoft.com/office/drawing/2014/chart" uri="{C3380CC4-5D6E-409C-BE32-E72D297353CC}">
              <c16:uniqueId val="{00000042-58F6-4830-8941-1011DB88381F}"/>
            </c:ext>
          </c:extLst>
        </c:ser>
        <c:ser>
          <c:idx val="67"/>
          <c:order val="67"/>
          <c:tx>
            <c:v>68</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NormalisedUVVisData!$BQ$2:$BQ$300</c:f>
              <c:numCache>
                <c:formatCode>General</c:formatCode>
                <c:ptCount val="299"/>
              </c:numCache>
            </c:numRef>
          </c:yVal>
          <c:smooth val="1"/>
          <c:extLst>
            <c:ext xmlns:c16="http://schemas.microsoft.com/office/drawing/2014/chart" uri="{C3380CC4-5D6E-409C-BE32-E72D297353CC}">
              <c16:uniqueId val="{00000043-58F6-4830-8941-1011DB88381F}"/>
            </c:ext>
          </c:extLst>
        </c:ser>
        <c:ser>
          <c:idx val="68"/>
          <c:order val="68"/>
          <c:tx>
            <c:v>69</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NormalisedUVVisData!$BR$2:$BR$300</c:f>
              <c:numCache>
                <c:formatCode>General</c:formatCode>
                <c:ptCount val="299"/>
              </c:numCache>
            </c:numRef>
          </c:yVal>
          <c:smooth val="1"/>
          <c:extLst>
            <c:ext xmlns:c16="http://schemas.microsoft.com/office/drawing/2014/chart" uri="{C3380CC4-5D6E-409C-BE32-E72D297353CC}">
              <c16:uniqueId val="{00000044-58F6-4830-8941-1011DB88381F}"/>
            </c:ext>
          </c:extLst>
        </c:ser>
        <c:ser>
          <c:idx val="69"/>
          <c:order val="69"/>
          <c:tx>
            <c:v>70</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NormalisedUVVisData!$BS$2:$BS$300</c:f>
              <c:numCache>
                <c:formatCode>General</c:formatCode>
                <c:ptCount val="299"/>
              </c:numCache>
            </c:numRef>
          </c:yVal>
          <c:smooth val="1"/>
          <c:extLst>
            <c:ext xmlns:c16="http://schemas.microsoft.com/office/drawing/2014/chart" uri="{C3380CC4-5D6E-409C-BE32-E72D297353CC}">
              <c16:uniqueId val="{00000045-58F6-4830-8941-1011DB88381F}"/>
            </c:ext>
          </c:extLst>
        </c:ser>
        <c:ser>
          <c:idx val="70"/>
          <c:order val="70"/>
          <c:tx>
            <c:v>71</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NormalisedUVVisData!$BT$2:$BT$300</c:f>
              <c:numCache>
                <c:formatCode>General</c:formatCode>
                <c:ptCount val="299"/>
              </c:numCache>
            </c:numRef>
          </c:yVal>
          <c:smooth val="1"/>
          <c:extLst>
            <c:ext xmlns:c16="http://schemas.microsoft.com/office/drawing/2014/chart" uri="{C3380CC4-5D6E-409C-BE32-E72D297353CC}">
              <c16:uniqueId val="{00000046-58F6-4830-8941-1011DB88381F}"/>
            </c:ext>
          </c:extLst>
        </c:ser>
        <c:ser>
          <c:idx val="71"/>
          <c:order val="71"/>
          <c:tx>
            <c:v>72</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NormalisedUVVisData!$BU$2:$BU$300</c:f>
              <c:numCache>
                <c:formatCode>General</c:formatCode>
                <c:ptCount val="299"/>
              </c:numCache>
            </c:numRef>
          </c:yVal>
          <c:smooth val="1"/>
          <c:extLst>
            <c:ext xmlns:c16="http://schemas.microsoft.com/office/drawing/2014/chart" uri="{C3380CC4-5D6E-409C-BE32-E72D297353CC}">
              <c16:uniqueId val="{00000047-58F6-4830-8941-1011DB88381F}"/>
            </c:ext>
          </c:extLst>
        </c:ser>
        <c:ser>
          <c:idx val="72"/>
          <c:order val="72"/>
          <c:tx>
            <c:v>73</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NormalisedUVVisData!$BV$2:$BV$300</c:f>
              <c:numCache>
                <c:formatCode>General</c:formatCode>
                <c:ptCount val="299"/>
              </c:numCache>
            </c:numRef>
          </c:yVal>
          <c:smooth val="1"/>
          <c:extLst>
            <c:ext xmlns:c16="http://schemas.microsoft.com/office/drawing/2014/chart" uri="{C3380CC4-5D6E-409C-BE32-E72D297353CC}">
              <c16:uniqueId val="{00000048-58F6-4830-8941-1011DB88381F}"/>
            </c:ext>
          </c:extLst>
        </c:ser>
        <c:ser>
          <c:idx val="73"/>
          <c:order val="73"/>
          <c:tx>
            <c:v>74</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NormalisedUVVisData!$BW$2:$BW$300</c:f>
              <c:numCache>
                <c:formatCode>General</c:formatCode>
                <c:ptCount val="299"/>
              </c:numCache>
            </c:numRef>
          </c:yVal>
          <c:smooth val="1"/>
          <c:extLst>
            <c:ext xmlns:c16="http://schemas.microsoft.com/office/drawing/2014/chart" uri="{C3380CC4-5D6E-409C-BE32-E72D297353CC}">
              <c16:uniqueId val="{00000049-58F6-4830-8941-1011DB88381F}"/>
            </c:ext>
          </c:extLst>
        </c:ser>
        <c:ser>
          <c:idx val="74"/>
          <c:order val="74"/>
          <c:tx>
            <c:v>75</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NormalisedUVVisData!$BX$2:$BX$300</c:f>
              <c:numCache>
                <c:formatCode>General</c:formatCode>
                <c:ptCount val="299"/>
              </c:numCache>
            </c:numRef>
          </c:yVal>
          <c:smooth val="1"/>
          <c:extLst>
            <c:ext xmlns:c16="http://schemas.microsoft.com/office/drawing/2014/chart" uri="{C3380CC4-5D6E-409C-BE32-E72D297353CC}">
              <c16:uniqueId val="{0000004A-58F6-4830-8941-1011DB88381F}"/>
            </c:ext>
          </c:extLst>
        </c:ser>
        <c:ser>
          <c:idx val="75"/>
          <c:order val="75"/>
          <c:tx>
            <c:v>76</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NormalisedUVVisData!$BY$2:$BY$300</c:f>
              <c:numCache>
                <c:formatCode>General</c:formatCode>
                <c:ptCount val="299"/>
              </c:numCache>
            </c:numRef>
          </c:yVal>
          <c:smooth val="1"/>
          <c:extLst>
            <c:ext xmlns:c16="http://schemas.microsoft.com/office/drawing/2014/chart" uri="{C3380CC4-5D6E-409C-BE32-E72D297353CC}">
              <c16:uniqueId val="{0000004B-58F6-4830-8941-1011DB88381F}"/>
            </c:ext>
          </c:extLst>
        </c:ser>
        <c:ser>
          <c:idx val="76"/>
          <c:order val="76"/>
          <c:tx>
            <c:v>77</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NormalisedUVVisData!$BZ$2:$BZ$300</c:f>
              <c:numCache>
                <c:formatCode>General</c:formatCode>
                <c:ptCount val="299"/>
              </c:numCache>
            </c:numRef>
          </c:yVal>
          <c:smooth val="1"/>
          <c:extLst>
            <c:ext xmlns:c16="http://schemas.microsoft.com/office/drawing/2014/chart" uri="{C3380CC4-5D6E-409C-BE32-E72D297353CC}">
              <c16:uniqueId val="{0000004C-58F6-4830-8941-1011DB88381F}"/>
            </c:ext>
          </c:extLst>
        </c:ser>
        <c:ser>
          <c:idx val="77"/>
          <c:order val="77"/>
          <c:tx>
            <c:v>78</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NormalisedUVVisData!$CA$2:$CA$300</c:f>
              <c:numCache>
                <c:formatCode>General</c:formatCode>
                <c:ptCount val="299"/>
              </c:numCache>
            </c:numRef>
          </c:yVal>
          <c:smooth val="1"/>
          <c:extLst>
            <c:ext xmlns:c16="http://schemas.microsoft.com/office/drawing/2014/chart" uri="{C3380CC4-5D6E-409C-BE32-E72D297353CC}">
              <c16:uniqueId val="{0000004D-58F6-4830-8941-1011DB88381F}"/>
            </c:ext>
          </c:extLst>
        </c:ser>
        <c:ser>
          <c:idx val="78"/>
          <c:order val="78"/>
          <c:tx>
            <c:v>79</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NormalisedUVVisData!$CB$2:$CB$300</c:f>
              <c:numCache>
                <c:formatCode>General</c:formatCode>
                <c:ptCount val="299"/>
              </c:numCache>
            </c:numRef>
          </c:yVal>
          <c:smooth val="1"/>
          <c:extLst>
            <c:ext xmlns:c16="http://schemas.microsoft.com/office/drawing/2014/chart" uri="{C3380CC4-5D6E-409C-BE32-E72D297353CC}">
              <c16:uniqueId val="{0000004E-58F6-4830-8941-1011DB88381F}"/>
            </c:ext>
          </c:extLst>
        </c:ser>
        <c:ser>
          <c:idx val="79"/>
          <c:order val="79"/>
          <c:tx>
            <c:v>80</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NormalisedUVVisData!$CC$2:$CC$300</c:f>
              <c:numCache>
                <c:formatCode>General</c:formatCode>
                <c:ptCount val="299"/>
              </c:numCache>
            </c:numRef>
          </c:yVal>
          <c:smooth val="1"/>
          <c:extLst>
            <c:ext xmlns:c16="http://schemas.microsoft.com/office/drawing/2014/chart" uri="{C3380CC4-5D6E-409C-BE32-E72D297353CC}">
              <c16:uniqueId val="{0000004F-58F6-4830-8941-1011DB88381F}"/>
            </c:ext>
          </c:extLst>
        </c:ser>
        <c:ser>
          <c:idx val="80"/>
          <c:order val="80"/>
          <c:tx>
            <c:v>81</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NormalisedUVVisData!$CD$2:$CD$300</c:f>
              <c:numCache>
                <c:formatCode>General</c:formatCode>
                <c:ptCount val="299"/>
              </c:numCache>
            </c:numRef>
          </c:yVal>
          <c:smooth val="1"/>
          <c:extLst>
            <c:ext xmlns:c16="http://schemas.microsoft.com/office/drawing/2014/chart" uri="{C3380CC4-5D6E-409C-BE32-E72D297353CC}">
              <c16:uniqueId val="{00000050-58F6-4830-8941-1011DB88381F}"/>
            </c:ext>
          </c:extLst>
        </c:ser>
        <c:ser>
          <c:idx val="81"/>
          <c:order val="81"/>
          <c:tx>
            <c:v>82</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NormalisedUVVisData!$CE$2:$CE$300</c:f>
              <c:numCache>
                <c:formatCode>General</c:formatCode>
                <c:ptCount val="299"/>
              </c:numCache>
            </c:numRef>
          </c:yVal>
          <c:smooth val="1"/>
          <c:extLst>
            <c:ext xmlns:c16="http://schemas.microsoft.com/office/drawing/2014/chart" uri="{C3380CC4-5D6E-409C-BE32-E72D297353CC}">
              <c16:uniqueId val="{00000051-58F6-4830-8941-1011DB88381F}"/>
            </c:ext>
          </c:extLst>
        </c:ser>
        <c:ser>
          <c:idx val="82"/>
          <c:order val="82"/>
          <c:tx>
            <c:v>83</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NormalisedUVVisData!$CF$2:$CF$300</c:f>
              <c:numCache>
                <c:formatCode>General</c:formatCode>
                <c:ptCount val="299"/>
              </c:numCache>
            </c:numRef>
          </c:yVal>
          <c:smooth val="1"/>
          <c:extLst>
            <c:ext xmlns:c16="http://schemas.microsoft.com/office/drawing/2014/chart" uri="{C3380CC4-5D6E-409C-BE32-E72D297353CC}">
              <c16:uniqueId val="{00000052-58F6-4830-8941-1011DB88381F}"/>
            </c:ext>
          </c:extLst>
        </c:ser>
        <c:ser>
          <c:idx val="83"/>
          <c:order val="83"/>
          <c:tx>
            <c:v>84</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NormalisedUVVisData!$CG$2:$CG$300</c:f>
              <c:numCache>
                <c:formatCode>General</c:formatCode>
                <c:ptCount val="299"/>
              </c:numCache>
            </c:numRef>
          </c:yVal>
          <c:smooth val="1"/>
          <c:extLst>
            <c:ext xmlns:c16="http://schemas.microsoft.com/office/drawing/2014/chart" uri="{C3380CC4-5D6E-409C-BE32-E72D297353CC}">
              <c16:uniqueId val="{00000053-58F6-4830-8941-1011DB88381F}"/>
            </c:ext>
          </c:extLst>
        </c:ser>
        <c:ser>
          <c:idx val="84"/>
          <c:order val="84"/>
          <c:tx>
            <c:v>85</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NormalisedUVVisData!$CH$2:$CH$300</c:f>
              <c:numCache>
                <c:formatCode>General</c:formatCode>
                <c:ptCount val="299"/>
              </c:numCache>
            </c:numRef>
          </c:yVal>
          <c:smooth val="1"/>
          <c:extLst>
            <c:ext xmlns:c16="http://schemas.microsoft.com/office/drawing/2014/chart" uri="{C3380CC4-5D6E-409C-BE32-E72D297353CC}">
              <c16:uniqueId val="{00000054-58F6-4830-8941-1011DB88381F}"/>
            </c:ext>
          </c:extLst>
        </c:ser>
        <c:ser>
          <c:idx val="85"/>
          <c:order val="85"/>
          <c:tx>
            <c:v>86</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NormalisedUVVisData!$CI$2:$CI$300</c:f>
              <c:numCache>
                <c:formatCode>General</c:formatCode>
                <c:ptCount val="299"/>
              </c:numCache>
            </c:numRef>
          </c:yVal>
          <c:smooth val="1"/>
          <c:extLst>
            <c:ext xmlns:c16="http://schemas.microsoft.com/office/drawing/2014/chart" uri="{C3380CC4-5D6E-409C-BE32-E72D297353CC}">
              <c16:uniqueId val="{00000055-58F6-4830-8941-1011DB88381F}"/>
            </c:ext>
          </c:extLst>
        </c:ser>
        <c:ser>
          <c:idx val="86"/>
          <c:order val="86"/>
          <c:tx>
            <c:v>87</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NormalisedUVVisData!$CJ$2:$CJ$300</c:f>
              <c:numCache>
                <c:formatCode>General</c:formatCode>
                <c:ptCount val="299"/>
              </c:numCache>
            </c:numRef>
          </c:yVal>
          <c:smooth val="1"/>
          <c:extLst>
            <c:ext xmlns:c16="http://schemas.microsoft.com/office/drawing/2014/chart" uri="{C3380CC4-5D6E-409C-BE32-E72D297353CC}">
              <c16:uniqueId val="{00000056-58F6-4830-8941-1011DB88381F}"/>
            </c:ext>
          </c:extLst>
        </c:ser>
        <c:ser>
          <c:idx val="87"/>
          <c:order val="87"/>
          <c:tx>
            <c:v>88</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NormalisedUVVisData!$CK$2:$CK$300</c:f>
              <c:numCache>
                <c:formatCode>General</c:formatCode>
                <c:ptCount val="299"/>
              </c:numCache>
            </c:numRef>
          </c:yVal>
          <c:smooth val="1"/>
          <c:extLst>
            <c:ext xmlns:c16="http://schemas.microsoft.com/office/drawing/2014/chart" uri="{C3380CC4-5D6E-409C-BE32-E72D297353CC}">
              <c16:uniqueId val="{00000057-58F6-4830-8941-1011DB88381F}"/>
            </c:ext>
          </c:extLst>
        </c:ser>
        <c:ser>
          <c:idx val="88"/>
          <c:order val="88"/>
          <c:tx>
            <c:v>89</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NormalisedUVVisData!$CL$2:$CL$300</c:f>
              <c:numCache>
                <c:formatCode>General</c:formatCode>
                <c:ptCount val="299"/>
              </c:numCache>
            </c:numRef>
          </c:yVal>
          <c:smooth val="1"/>
          <c:extLst>
            <c:ext xmlns:c16="http://schemas.microsoft.com/office/drawing/2014/chart" uri="{C3380CC4-5D6E-409C-BE32-E72D297353CC}">
              <c16:uniqueId val="{00000058-58F6-4830-8941-1011DB88381F}"/>
            </c:ext>
          </c:extLst>
        </c:ser>
        <c:ser>
          <c:idx val="89"/>
          <c:order val="89"/>
          <c:tx>
            <c:v>90</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NormalisedUVVisData!$CM$2:$CM$300</c:f>
              <c:numCache>
                <c:formatCode>General</c:formatCode>
                <c:ptCount val="299"/>
              </c:numCache>
            </c:numRef>
          </c:yVal>
          <c:smooth val="1"/>
          <c:extLst>
            <c:ext xmlns:c16="http://schemas.microsoft.com/office/drawing/2014/chart" uri="{C3380CC4-5D6E-409C-BE32-E72D297353CC}">
              <c16:uniqueId val="{00000059-58F6-4830-8941-1011DB88381F}"/>
            </c:ext>
          </c:extLst>
        </c:ser>
        <c:ser>
          <c:idx val="90"/>
          <c:order val="90"/>
          <c:tx>
            <c:v>91</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NormalisedUVVisData!$CN$2:$CN$300</c:f>
              <c:numCache>
                <c:formatCode>General</c:formatCode>
                <c:ptCount val="299"/>
              </c:numCache>
            </c:numRef>
          </c:yVal>
          <c:smooth val="1"/>
          <c:extLst>
            <c:ext xmlns:c16="http://schemas.microsoft.com/office/drawing/2014/chart" uri="{C3380CC4-5D6E-409C-BE32-E72D297353CC}">
              <c16:uniqueId val="{0000005A-58F6-4830-8941-1011DB88381F}"/>
            </c:ext>
          </c:extLst>
        </c:ser>
        <c:ser>
          <c:idx val="91"/>
          <c:order val="91"/>
          <c:tx>
            <c:v>92</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NormalisedUVVisData!$CO$2:$CO$300</c:f>
              <c:numCache>
                <c:formatCode>General</c:formatCode>
                <c:ptCount val="299"/>
              </c:numCache>
            </c:numRef>
          </c:yVal>
          <c:smooth val="1"/>
          <c:extLst>
            <c:ext xmlns:c16="http://schemas.microsoft.com/office/drawing/2014/chart" uri="{C3380CC4-5D6E-409C-BE32-E72D297353CC}">
              <c16:uniqueId val="{0000005B-58F6-4830-8941-1011DB88381F}"/>
            </c:ext>
          </c:extLst>
        </c:ser>
        <c:ser>
          <c:idx val="92"/>
          <c:order val="92"/>
          <c:tx>
            <c:v>93</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NormalisedUVVisData!$CP$2:$CP$300</c:f>
              <c:numCache>
                <c:formatCode>General</c:formatCode>
                <c:ptCount val="299"/>
              </c:numCache>
            </c:numRef>
          </c:yVal>
          <c:smooth val="1"/>
          <c:extLst>
            <c:ext xmlns:c16="http://schemas.microsoft.com/office/drawing/2014/chart" uri="{C3380CC4-5D6E-409C-BE32-E72D297353CC}">
              <c16:uniqueId val="{0000005C-58F6-4830-8941-1011DB88381F}"/>
            </c:ext>
          </c:extLst>
        </c:ser>
        <c:ser>
          <c:idx val="93"/>
          <c:order val="93"/>
          <c:tx>
            <c:v>94</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NormalisedUVVisData!$CQ$2:$CQ$300</c:f>
              <c:numCache>
                <c:formatCode>General</c:formatCode>
                <c:ptCount val="299"/>
              </c:numCache>
            </c:numRef>
          </c:yVal>
          <c:smooth val="1"/>
          <c:extLst>
            <c:ext xmlns:c16="http://schemas.microsoft.com/office/drawing/2014/chart" uri="{C3380CC4-5D6E-409C-BE32-E72D297353CC}">
              <c16:uniqueId val="{0000005D-58F6-4830-8941-1011DB88381F}"/>
            </c:ext>
          </c:extLst>
        </c:ser>
        <c:ser>
          <c:idx val="94"/>
          <c:order val="94"/>
          <c:tx>
            <c:v>95</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NormalisedUVVisData!$CR$2:$CR$300</c:f>
              <c:numCache>
                <c:formatCode>General</c:formatCode>
                <c:ptCount val="299"/>
              </c:numCache>
            </c:numRef>
          </c:yVal>
          <c:smooth val="1"/>
          <c:extLst>
            <c:ext xmlns:c16="http://schemas.microsoft.com/office/drawing/2014/chart" uri="{C3380CC4-5D6E-409C-BE32-E72D297353CC}">
              <c16:uniqueId val="{0000005E-58F6-4830-8941-1011DB88381F}"/>
            </c:ext>
          </c:extLst>
        </c:ser>
        <c:ser>
          <c:idx val="95"/>
          <c:order val="95"/>
          <c:tx>
            <c:v>96</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NormalisedUVVisData!$CS$2:$CS$300</c:f>
              <c:numCache>
                <c:formatCode>General</c:formatCode>
                <c:ptCount val="299"/>
              </c:numCache>
            </c:numRef>
          </c:yVal>
          <c:smooth val="1"/>
          <c:extLst>
            <c:ext xmlns:c16="http://schemas.microsoft.com/office/drawing/2014/chart" uri="{C3380CC4-5D6E-409C-BE32-E72D297353CC}">
              <c16:uniqueId val="{0000005F-58F6-4830-8941-1011DB88381F}"/>
            </c:ext>
          </c:extLst>
        </c:ser>
        <c:ser>
          <c:idx val="96"/>
          <c:order val="96"/>
          <c:tx>
            <c:v>97</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NormalisedUVVisData!$CT$2:$CT$300</c:f>
              <c:numCache>
                <c:formatCode>General</c:formatCode>
                <c:ptCount val="299"/>
              </c:numCache>
            </c:numRef>
          </c:yVal>
          <c:smooth val="1"/>
          <c:extLst>
            <c:ext xmlns:c16="http://schemas.microsoft.com/office/drawing/2014/chart" uri="{C3380CC4-5D6E-409C-BE32-E72D297353CC}">
              <c16:uniqueId val="{00000060-58F6-4830-8941-1011DB88381F}"/>
            </c:ext>
          </c:extLst>
        </c:ser>
        <c:ser>
          <c:idx val="97"/>
          <c:order val="97"/>
          <c:tx>
            <c:v>98</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NormalisedUVVisData!$CU$2:$CU$300</c:f>
              <c:numCache>
                <c:formatCode>General</c:formatCode>
                <c:ptCount val="299"/>
              </c:numCache>
            </c:numRef>
          </c:yVal>
          <c:smooth val="1"/>
          <c:extLst>
            <c:ext xmlns:c16="http://schemas.microsoft.com/office/drawing/2014/chart" uri="{C3380CC4-5D6E-409C-BE32-E72D297353CC}">
              <c16:uniqueId val="{00000061-58F6-4830-8941-1011DB88381F}"/>
            </c:ext>
          </c:extLst>
        </c:ser>
        <c:ser>
          <c:idx val="98"/>
          <c:order val="98"/>
          <c:tx>
            <c:v>99</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NormalisedUVVisData!$CV$2:$CV$300</c:f>
              <c:numCache>
                <c:formatCode>General</c:formatCode>
                <c:ptCount val="299"/>
              </c:numCache>
            </c:numRef>
          </c:yVal>
          <c:smooth val="1"/>
          <c:extLst>
            <c:ext xmlns:c16="http://schemas.microsoft.com/office/drawing/2014/chart" uri="{C3380CC4-5D6E-409C-BE32-E72D297353CC}">
              <c16:uniqueId val="{00000062-58F6-4830-8941-1011DB88381F}"/>
            </c:ext>
          </c:extLst>
        </c:ser>
        <c:ser>
          <c:idx val="99"/>
          <c:order val="99"/>
          <c:tx>
            <c:v>100</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NormalisedUVVisData!$CW$2:$CW$300</c:f>
              <c:numCache>
                <c:formatCode>General</c:formatCode>
                <c:ptCount val="299"/>
              </c:numCache>
            </c:numRef>
          </c:yVal>
          <c:smooth val="1"/>
          <c:extLst>
            <c:ext xmlns:c16="http://schemas.microsoft.com/office/drawing/2014/chart" uri="{C3380CC4-5D6E-409C-BE32-E72D297353CC}">
              <c16:uniqueId val="{00000063-58F6-4830-8941-1011DB88381F}"/>
            </c:ext>
          </c:extLst>
        </c:ser>
        <c:dLbls>
          <c:showLegendKey val="0"/>
          <c:showVal val="0"/>
          <c:showCatName val="0"/>
          <c:showSerName val="0"/>
          <c:showPercent val="0"/>
          <c:showBubbleSize val="0"/>
        </c:dLbls>
        <c:axId val="1816212544"/>
        <c:axId val="1816212000"/>
      </c:scatterChart>
      <c:valAx>
        <c:axId val="1816212544"/>
        <c:scaling>
          <c:orientation val="minMax"/>
          <c:max val="600"/>
          <c:min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000"/>
        <c:crosses val="autoZero"/>
        <c:crossBetween val="midCat"/>
        <c:majorUnit val="100"/>
      </c:valAx>
      <c:valAx>
        <c:axId val="1816212000"/>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544"/>
        <c:crosses val="autoZero"/>
        <c:crossBetween val="midCat"/>
        <c:majorUnit val="2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38.431667327880859</c:v>
                </c:pt>
                <c:pt idx="1">
                  <c:v>40.675846099853516</c:v>
                </c:pt>
                <c:pt idx="2">
                  <c:v>43.58526611328125</c:v>
                </c:pt>
                <c:pt idx="3">
                  <c:v>46.7218017578125</c:v>
                </c:pt>
                <c:pt idx="4">
                  <c:v>49.593414306640625</c:v>
                </c:pt>
                <c:pt idx="5">
                  <c:v>52.281455993652344</c:v>
                </c:pt>
                <c:pt idx="6">
                  <c:v>54.91229248046875</c:v>
                </c:pt>
                <c:pt idx="7">
                  <c:v>56.863868713378906</c:v>
                </c:pt>
                <c:pt idx="8">
                  <c:v>57.893363952636719</c:v>
                </c:pt>
                <c:pt idx="9">
                  <c:v>57.694194793701172</c:v>
                </c:pt>
                <c:pt idx="10">
                  <c:v>56.039260864257813</c:v>
                </c:pt>
                <c:pt idx="11">
                  <c:v>53.282806396484375</c:v>
                </c:pt>
                <c:pt idx="12">
                  <c:v>49.646408081054688</c:v>
                </c:pt>
                <c:pt idx="13">
                  <c:v>45.307060241699219</c:v>
                </c:pt>
                <c:pt idx="14">
                  <c:v>41.034206390380859</c:v>
                </c:pt>
                <c:pt idx="15">
                  <c:v>37.828556060791016</c:v>
                </c:pt>
                <c:pt idx="16">
                  <c:v>36.573879241943359</c:v>
                </c:pt>
                <c:pt idx="17">
                  <c:v>37.75164794921875</c:v>
                </c:pt>
                <c:pt idx="18">
                  <c:v>41.453994750976563</c:v>
                </c:pt>
                <c:pt idx="19">
                  <c:v>47.408882141113281</c:v>
                </c:pt>
                <c:pt idx="20">
                  <c:v>54.874118804931641</c:v>
                </c:pt>
                <c:pt idx="21">
                  <c:v>63.523292541503906</c:v>
                </c:pt>
                <c:pt idx="22">
                  <c:v>72.964385986328125</c:v>
                </c:pt>
                <c:pt idx="23">
                  <c:v>82.05975341796875</c:v>
                </c:pt>
                <c:pt idx="24">
                  <c:v>90.422309875488281</c:v>
                </c:pt>
                <c:pt idx="25">
                  <c:v>96.662528991699219</c:v>
                </c:pt>
                <c:pt idx="26">
                  <c:v>100</c:v>
                </c:pt>
                <c:pt idx="27">
                  <c:v>99.145965576171875</c:v>
                </c:pt>
                <c:pt idx="28">
                  <c:v>94.218177795410156</c:v>
                </c:pt>
                <c:pt idx="29">
                  <c:v>87.161537170410156</c:v>
                </c:pt>
                <c:pt idx="30">
                  <c:v>79.878746032714844</c:v>
                </c:pt>
                <c:pt idx="31">
                  <c:v>74.322120666503906</c:v>
                </c:pt>
                <c:pt idx="32">
                  <c:v>70.574050903320313</c:v>
                </c:pt>
                <c:pt idx="33">
                  <c:v>68.240531921386719</c:v>
                </c:pt>
                <c:pt idx="34">
                  <c:v>66.390655517578125</c:v>
                </c:pt>
                <c:pt idx="35">
                  <c:v>64.109428405761719</c:v>
                </c:pt>
                <c:pt idx="36">
                  <c:v>61.059345245361328</c:v>
                </c:pt>
                <c:pt idx="37">
                  <c:v>56.862045288085938</c:v>
                </c:pt>
                <c:pt idx="38">
                  <c:v>51.700069427490234</c:v>
                </c:pt>
                <c:pt idx="39">
                  <c:v>45.960895538330078</c:v>
                </c:pt>
                <c:pt idx="40">
                  <c:v>40.500846862792969</c:v>
                </c:pt>
                <c:pt idx="41">
                  <c:v>35.871627807617188</c:v>
                </c:pt>
                <c:pt idx="42">
                  <c:v>32.515693664550781</c:v>
                </c:pt>
                <c:pt idx="43">
                  <c:v>30.335350036621094</c:v>
                </c:pt>
                <c:pt idx="44">
                  <c:v>29.171567916870117</c:v>
                </c:pt>
                <c:pt idx="45">
                  <c:v>28.750514984130859</c:v>
                </c:pt>
                <c:pt idx="46">
                  <c:v>28.585330963134766</c:v>
                </c:pt>
                <c:pt idx="47">
                  <c:v>28.606842041015625</c:v>
                </c:pt>
                <c:pt idx="48">
                  <c:v>28.567039489746094</c:v>
                </c:pt>
                <c:pt idx="49">
                  <c:v>28.229511260986328</c:v>
                </c:pt>
                <c:pt idx="50">
                  <c:v>27.516651153564453</c:v>
                </c:pt>
                <c:pt idx="51">
                  <c:v>26.453151702880859</c:v>
                </c:pt>
                <c:pt idx="52">
                  <c:v>25.102827072143555</c:v>
                </c:pt>
                <c:pt idx="53">
                  <c:v>23.429309844970703</c:v>
                </c:pt>
                <c:pt idx="54">
                  <c:v>21.415374755859375</c:v>
                </c:pt>
                <c:pt idx="55">
                  <c:v>19.279315948486328</c:v>
                </c:pt>
                <c:pt idx="56">
                  <c:v>17.175960540771484</c:v>
                </c:pt>
                <c:pt idx="57">
                  <c:v>15.233911514282227</c:v>
                </c:pt>
                <c:pt idx="58">
                  <c:v>13.55583667755127</c:v>
                </c:pt>
                <c:pt idx="59">
                  <c:v>12.414612770080566</c:v>
                </c:pt>
                <c:pt idx="60">
                  <c:v>11.614193916320801</c:v>
                </c:pt>
                <c:pt idx="61">
                  <c:v>11.175665855407715</c:v>
                </c:pt>
                <c:pt idx="62">
                  <c:v>11.290555000305176</c:v>
                </c:pt>
                <c:pt idx="63">
                  <c:v>11.778487205505371</c:v>
                </c:pt>
                <c:pt idx="64">
                  <c:v>12.295844078063965</c:v>
                </c:pt>
                <c:pt idx="65">
                  <c:v>13.040942192077637</c:v>
                </c:pt>
                <c:pt idx="66">
                  <c:v>14.086267471313477</c:v>
                </c:pt>
                <c:pt idx="67">
                  <c:v>15.190249443054199</c:v>
                </c:pt>
                <c:pt idx="68">
                  <c:v>16.567127227783203</c:v>
                </c:pt>
                <c:pt idx="69">
                  <c:v>18.077127456665039</c:v>
                </c:pt>
                <c:pt idx="70">
                  <c:v>19.470046997070313</c:v>
                </c:pt>
                <c:pt idx="71">
                  <c:v>20.803224563598633</c:v>
                </c:pt>
                <c:pt idx="72">
                  <c:v>22.267332077026367</c:v>
                </c:pt>
                <c:pt idx="73">
                  <c:v>23.877479553222656</c:v>
                </c:pt>
                <c:pt idx="74">
                  <c:v>25.350683212280273</c:v>
                </c:pt>
                <c:pt idx="75">
                  <c:v>26.631351470947266</c:v>
                </c:pt>
                <c:pt idx="76">
                  <c:v>27.937934875488281</c:v>
                </c:pt>
                <c:pt idx="77">
                  <c:v>29.107149124145508</c:v>
                </c:pt>
                <c:pt idx="78">
                  <c:v>29.946128845214844</c:v>
                </c:pt>
                <c:pt idx="79">
                  <c:v>30.671501159667969</c:v>
                </c:pt>
                <c:pt idx="80">
                  <c:v>31.493934631347656</c:v>
                </c:pt>
                <c:pt idx="81">
                  <c:v>32.179832458496094</c:v>
                </c:pt>
                <c:pt idx="82">
                  <c:v>32.550491333007813</c:v>
                </c:pt>
                <c:pt idx="83">
                  <c:v>32.521957397460938</c:v>
                </c:pt>
                <c:pt idx="84">
                  <c:v>32.284149169921875</c:v>
                </c:pt>
                <c:pt idx="85">
                  <c:v>31.924005508422852</c:v>
                </c:pt>
                <c:pt idx="86">
                  <c:v>31.362382888793945</c:v>
                </c:pt>
                <c:pt idx="87">
                  <c:v>30.576648712158203</c:v>
                </c:pt>
                <c:pt idx="88">
                  <c:v>29.488824844360352</c:v>
                </c:pt>
                <c:pt idx="89">
                  <c:v>28.509681701660156</c:v>
                </c:pt>
                <c:pt idx="90">
                  <c:v>27.246820449829102</c:v>
                </c:pt>
                <c:pt idx="91">
                  <c:v>25.768379211425781</c:v>
                </c:pt>
                <c:pt idx="92">
                  <c:v>24.416269302368164</c:v>
                </c:pt>
                <c:pt idx="93">
                  <c:v>22.627708435058594</c:v>
                </c:pt>
                <c:pt idx="94">
                  <c:v>20.931497573852539</c:v>
                </c:pt>
                <c:pt idx="95">
                  <c:v>19.507076263427734</c:v>
                </c:pt>
                <c:pt idx="96">
                  <c:v>17.827119827270508</c:v>
                </c:pt>
                <c:pt idx="97">
                  <c:v>16.044378280639648</c:v>
                </c:pt>
                <c:pt idx="98">
                  <c:v>14.340329170227051</c:v>
                </c:pt>
                <c:pt idx="99">
                  <c:v>12.925801277160645</c:v>
                </c:pt>
                <c:pt idx="100">
                  <c:v>11.506793022155762</c:v>
                </c:pt>
                <c:pt idx="101">
                  <c:v>10.252347946166992</c:v>
                </c:pt>
                <c:pt idx="102">
                  <c:v>9.1054019927978516</c:v>
                </c:pt>
                <c:pt idx="103">
                  <c:v>7.9691047668457031</c:v>
                </c:pt>
                <c:pt idx="104">
                  <c:v>7.0922622680664063</c:v>
                </c:pt>
                <c:pt idx="105">
                  <c:v>6.3158769607543945</c:v>
                </c:pt>
                <c:pt idx="106">
                  <c:v>5.5174565315246582</c:v>
                </c:pt>
                <c:pt idx="107">
                  <c:v>4.8549900054931641</c:v>
                </c:pt>
                <c:pt idx="108">
                  <c:v>4.411651611328125</c:v>
                </c:pt>
                <c:pt idx="109">
                  <c:v>3.9312841892242432</c:v>
                </c:pt>
                <c:pt idx="110">
                  <c:v>3.5566694736480713</c:v>
                </c:pt>
                <c:pt idx="111">
                  <c:v>3.4629042148590088</c:v>
                </c:pt>
                <c:pt idx="112">
                  <c:v>3.2101805210113525</c:v>
                </c:pt>
                <c:pt idx="113">
                  <c:v>2.923123836517334</c:v>
                </c:pt>
                <c:pt idx="114">
                  <c:v>2.8022027015686035</c:v>
                </c:pt>
                <c:pt idx="115">
                  <c:v>2.6235949993133545</c:v>
                </c:pt>
                <c:pt idx="116">
                  <c:v>2.4718520641326904</c:v>
                </c:pt>
                <c:pt idx="117">
                  <c:v>2.4767594337463379</c:v>
                </c:pt>
                <c:pt idx="118">
                  <c:v>2.5129930973052979</c:v>
                </c:pt>
                <c:pt idx="119">
                  <c:v>2.4454915523529053</c:v>
                </c:pt>
                <c:pt idx="120">
                  <c:v>2.2175376415252686</c:v>
                </c:pt>
                <c:pt idx="121">
                  <c:v>2.1843104362487793</c:v>
                </c:pt>
                <c:pt idx="122">
                  <c:v>2.3471097946166992</c:v>
                </c:pt>
                <c:pt idx="123">
                  <c:v>2.4235146045684814</c:v>
                </c:pt>
                <c:pt idx="124">
                  <c:v>2.378164529800415</c:v>
                </c:pt>
                <c:pt idx="125">
                  <c:v>2.2332491874694824</c:v>
                </c:pt>
                <c:pt idx="126">
                  <c:v>2.337721586227417</c:v>
                </c:pt>
                <c:pt idx="127">
                  <c:v>2.6073596477508545</c:v>
                </c:pt>
                <c:pt idx="128">
                  <c:v>2.6661908626556396</c:v>
                </c:pt>
                <c:pt idx="129">
                  <c:v>2.4931888580322266</c:v>
                </c:pt>
                <c:pt idx="130">
                  <c:v>2.4133119583129883</c:v>
                </c:pt>
                <c:pt idx="131">
                  <c:v>2.4391486644744873</c:v>
                </c:pt>
                <c:pt idx="132">
                  <c:v>2.486283540725708</c:v>
                </c:pt>
                <c:pt idx="133">
                  <c:v>2.6051290035247803</c:v>
                </c:pt>
                <c:pt idx="134">
                  <c:v>2.5865077972412109</c:v>
                </c:pt>
                <c:pt idx="135">
                  <c:v>2.5023055076599121</c:v>
                </c:pt>
                <c:pt idx="136">
                  <c:v>3.7227468490600586</c:v>
                </c:pt>
                <c:pt idx="137">
                  <c:v>4.3872499465942383</c:v>
                </c:pt>
                <c:pt idx="138">
                  <c:v>3.1413404941558838</c:v>
                </c:pt>
                <c:pt idx="139">
                  <c:v>2.3660025596618652</c:v>
                </c:pt>
                <c:pt idx="140">
                  <c:v>2.4272778034210205</c:v>
                </c:pt>
                <c:pt idx="141">
                  <c:v>2.3124666213989258</c:v>
                </c:pt>
                <c:pt idx="142">
                  <c:v>2.4577116966247559</c:v>
                </c:pt>
                <c:pt idx="143">
                  <c:v>2.6955192089080811</c:v>
                </c:pt>
                <c:pt idx="144">
                  <c:v>2.3710458278656006</c:v>
                </c:pt>
                <c:pt idx="145">
                  <c:v>2.2090611457824707</c:v>
                </c:pt>
                <c:pt idx="146">
                  <c:v>2.5360949039459229</c:v>
                </c:pt>
                <c:pt idx="147">
                  <c:v>2.6912713050842285</c:v>
                </c:pt>
                <c:pt idx="148">
                  <c:v>2.4710955619812012</c:v>
                </c:pt>
                <c:pt idx="149">
                  <c:v>2.3749251365661621</c:v>
                </c:pt>
                <c:pt idx="150">
                  <c:v>2.5242047309875488</c:v>
                </c:pt>
                <c:pt idx="151">
                  <c:v>2.3024771213531494</c:v>
                </c:pt>
                <c:pt idx="152">
                  <c:v>2.2615690231323242</c:v>
                </c:pt>
                <c:pt idx="153">
                  <c:v>2.2361781597137451</c:v>
                </c:pt>
                <c:pt idx="154">
                  <c:v>2.4763326644897461</c:v>
                </c:pt>
                <c:pt idx="155">
                  <c:v>2.8369817733764648</c:v>
                </c:pt>
                <c:pt idx="156">
                  <c:v>2.5877106189727783</c:v>
                </c:pt>
                <c:pt idx="157">
                  <c:v>2.4610090255737305</c:v>
                </c:pt>
                <c:pt idx="158">
                  <c:v>2.4593603610992432</c:v>
                </c:pt>
                <c:pt idx="159">
                  <c:v>2.2204084396362305</c:v>
                </c:pt>
                <c:pt idx="160">
                  <c:v>2.3760502338409424</c:v>
                </c:pt>
                <c:pt idx="161">
                  <c:v>2.4353275299072266</c:v>
                </c:pt>
                <c:pt idx="162">
                  <c:v>2.1839807033538818</c:v>
                </c:pt>
                <c:pt idx="163">
                  <c:v>2.2217469215393066</c:v>
                </c:pt>
                <c:pt idx="164">
                  <c:v>2.3214669227600098</c:v>
                </c:pt>
                <c:pt idx="165">
                  <c:v>2.1554090976715088</c:v>
                </c:pt>
                <c:pt idx="166">
                  <c:v>2.1886553764343262</c:v>
                </c:pt>
                <c:pt idx="167">
                  <c:v>2.325986385345459</c:v>
                </c:pt>
                <c:pt idx="168">
                  <c:v>2.3806860446929932</c:v>
                </c:pt>
                <c:pt idx="169">
                  <c:v>2.7003684043884277</c:v>
                </c:pt>
                <c:pt idx="170">
                  <c:v>2.786588191986084</c:v>
                </c:pt>
                <c:pt idx="171">
                  <c:v>2.6226058006286621</c:v>
                </c:pt>
                <c:pt idx="172">
                  <c:v>2.5088422298431396</c:v>
                </c:pt>
                <c:pt idx="173">
                  <c:v>2.524146556854248</c:v>
                </c:pt>
                <c:pt idx="174">
                  <c:v>2.2706661224365234</c:v>
                </c:pt>
                <c:pt idx="175">
                  <c:v>2.0817584991455078</c:v>
                </c:pt>
                <c:pt idx="176">
                  <c:v>2</c:v>
                </c:pt>
                <c:pt idx="177">
                  <c:v>2.3111865520477295</c:v>
                </c:pt>
                <c:pt idx="178">
                  <c:v>2.6303839683532715</c:v>
                </c:pt>
                <c:pt idx="179">
                  <c:v>2.491675853729248</c:v>
                </c:pt>
                <c:pt idx="180">
                  <c:v>2.5590806007385254</c:v>
                </c:pt>
                <c:pt idx="181">
                  <c:v>2.5878655910491943</c:v>
                </c:pt>
                <c:pt idx="182">
                  <c:v>2.404951810836792</c:v>
                </c:pt>
                <c:pt idx="183">
                  <c:v>2.5531449317932129</c:v>
                </c:pt>
                <c:pt idx="184">
                  <c:v>2.820979118347168</c:v>
                </c:pt>
                <c:pt idx="185">
                  <c:v>2.6605851650238037</c:v>
                </c:pt>
                <c:pt idx="186">
                  <c:v>2.7006399631500244</c:v>
                </c:pt>
                <c:pt idx="187">
                  <c:v>2.4763522148132324</c:v>
                </c:pt>
                <c:pt idx="188">
                  <c:v>2.5381510257720947</c:v>
                </c:pt>
                <c:pt idx="189">
                  <c:v>2.8113000392913818</c:v>
                </c:pt>
                <c:pt idx="190">
                  <c:v>2.7071962356567383</c:v>
                </c:pt>
                <c:pt idx="191">
                  <c:v>2.6050515174865723</c:v>
                </c:pt>
                <c:pt idx="192">
                  <c:v>2.6688482761383057</c:v>
                </c:pt>
                <c:pt idx="193">
                  <c:v>2.5456576347351074</c:v>
                </c:pt>
                <c:pt idx="194">
                  <c:v>2.4977858066558838</c:v>
                </c:pt>
                <c:pt idx="195">
                  <c:v>2.3996951580047607</c:v>
                </c:pt>
                <c:pt idx="196">
                  <c:v>2.3194303512573242</c:v>
                </c:pt>
                <c:pt idx="197">
                  <c:v>2.3958544731140137</c:v>
                </c:pt>
                <c:pt idx="198">
                  <c:v>2.5189869403839111</c:v>
                </c:pt>
                <c:pt idx="199">
                  <c:v>2.5391016006469727</c:v>
                </c:pt>
                <c:pt idx="200">
                  <c:v>2.3738195896148682</c:v>
                </c:pt>
                <c:pt idx="201">
                  <c:v>2.4255514144897461</c:v>
                </c:pt>
                <c:pt idx="202">
                  <c:v>2.1743016242980957</c:v>
                </c:pt>
                <c:pt idx="203">
                  <c:v>2.4336400032043457</c:v>
                </c:pt>
                <c:pt idx="204">
                  <c:v>2.4266376495361328</c:v>
                </c:pt>
                <c:pt idx="205">
                  <c:v>2.3682913780212402</c:v>
                </c:pt>
                <c:pt idx="206">
                  <c:v>2.3783195018768311</c:v>
                </c:pt>
                <c:pt idx="207">
                  <c:v>2.3665649890899658</c:v>
                </c:pt>
                <c:pt idx="208">
                  <c:v>2.201185941696167</c:v>
                </c:pt>
                <c:pt idx="209">
                  <c:v>2.1788406372070313</c:v>
                </c:pt>
                <c:pt idx="210">
                  <c:v>2.432185173034668</c:v>
                </c:pt>
                <c:pt idx="211">
                  <c:v>2.33469557762146</c:v>
                </c:pt>
                <c:pt idx="212">
                  <c:v>2.2607543468475342</c:v>
                </c:pt>
                <c:pt idx="213">
                  <c:v>2.1154704093933105</c:v>
                </c:pt>
                <c:pt idx="214">
                  <c:v>2.3357818126678467</c:v>
                </c:pt>
                <c:pt idx="215">
                  <c:v>2.3782031536102295</c:v>
                </c:pt>
                <c:pt idx="216">
                  <c:v>2.2131733894348145</c:v>
                </c:pt>
                <c:pt idx="217">
                  <c:v>2.1765711307525635</c:v>
                </c:pt>
                <c:pt idx="218">
                  <c:v>2.2045028209686279</c:v>
                </c:pt>
                <c:pt idx="219">
                  <c:v>2.3326783180236816</c:v>
                </c:pt>
                <c:pt idx="220">
                  <c:v>2.4402542114257813</c:v>
                </c:pt>
                <c:pt idx="221">
                  <c:v>2.8598313331604004</c:v>
                </c:pt>
                <c:pt idx="222">
                  <c:v>3.0430557727813721</c:v>
                </c:pt>
                <c:pt idx="223">
                  <c:v>3.015667200088501</c:v>
                </c:pt>
                <c:pt idx="224">
                  <c:v>2.6952476501464844</c:v>
                </c:pt>
                <c:pt idx="225">
                  <c:v>2.0402488708496094</c:v>
                </c:pt>
              </c:numCache>
            </c:numRef>
          </c:yVal>
          <c:smooth val="1"/>
          <c:extLst>
            <c:ext xmlns:c16="http://schemas.microsoft.com/office/drawing/2014/chart" uri="{C3380CC4-5D6E-409C-BE32-E72D297353CC}">
              <c16:uniqueId val="{00000000-C55B-4A1A-87F7-276FE06EA34B}"/>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86.706832885742188</c:v>
                </c:pt>
                <c:pt idx="2">
                  <c:v>74.7352294921875</c:v>
                </c:pt>
                <c:pt idx="3">
                  <c:v>64.837554931640625</c:v>
                </c:pt>
                <c:pt idx="4">
                  <c:v>57.227306365966797</c:v>
                </c:pt>
                <c:pt idx="5">
                  <c:v>51.529953002929688</c:v>
                </c:pt>
                <c:pt idx="6">
                  <c:v>46.827415466308594</c:v>
                </c:pt>
                <c:pt idx="7">
                  <c:v>43.095241546630859</c:v>
                </c:pt>
                <c:pt idx="8">
                  <c:v>39.90447998046875</c:v>
                </c:pt>
                <c:pt idx="9">
                  <c:v>36.854412078857422</c:v>
                </c:pt>
                <c:pt idx="10">
                  <c:v>34.270755767822266</c:v>
                </c:pt>
                <c:pt idx="11">
                  <c:v>31.986848831176758</c:v>
                </c:pt>
                <c:pt idx="12">
                  <c:v>29.960493087768555</c:v>
                </c:pt>
                <c:pt idx="13">
                  <c:v>28.152612686157227</c:v>
                </c:pt>
                <c:pt idx="14">
                  <c:v>26.397735595703125</c:v>
                </c:pt>
                <c:pt idx="15">
                  <c:v>24.651115417480469</c:v>
                </c:pt>
                <c:pt idx="16">
                  <c:v>23.149831771850586</c:v>
                </c:pt>
                <c:pt idx="17">
                  <c:v>21.771577835083008</c:v>
                </c:pt>
                <c:pt idx="18">
                  <c:v>20.578182220458984</c:v>
                </c:pt>
                <c:pt idx="19">
                  <c:v>19.580018997192383</c:v>
                </c:pt>
                <c:pt idx="20">
                  <c:v>18.832754135131836</c:v>
                </c:pt>
                <c:pt idx="21">
                  <c:v>18.202821731567383</c:v>
                </c:pt>
                <c:pt idx="22">
                  <c:v>17.537832260131836</c:v>
                </c:pt>
                <c:pt idx="23">
                  <c:v>16.954668045043945</c:v>
                </c:pt>
                <c:pt idx="24">
                  <c:v>16.343172073364258</c:v>
                </c:pt>
                <c:pt idx="25">
                  <c:v>15.707540512084961</c:v>
                </c:pt>
                <c:pt idx="26">
                  <c:v>14.921706199645996</c:v>
                </c:pt>
                <c:pt idx="27">
                  <c:v>14.028449058532715</c:v>
                </c:pt>
                <c:pt idx="28">
                  <c:v>13.039318084716797</c:v>
                </c:pt>
                <c:pt idx="29">
                  <c:v>12.220226287841797</c:v>
                </c:pt>
                <c:pt idx="30">
                  <c:v>11.613715171813965</c:v>
                </c:pt>
                <c:pt idx="31">
                  <c:v>11.23807430267334</c:v>
                </c:pt>
                <c:pt idx="32">
                  <c:v>11.032158851623535</c:v>
                </c:pt>
                <c:pt idx="33">
                  <c:v>10.865721702575684</c:v>
                </c:pt>
                <c:pt idx="34">
                  <c:v>10.848787307739258</c:v>
                </c:pt>
                <c:pt idx="35">
                  <c:v>10.794831275939941</c:v>
                </c:pt>
                <c:pt idx="36">
                  <c:v>10.61724853515625</c:v>
                </c:pt>
                <c:pt idx="37">
                  <c:v>10.508635520935059</c:v>
                </c:pt>
                <c:pt idx="38">
                  <c:v>10.453414916992188</c:v>
                </c:pt>
                <c:pt idx="39">
                  <c:v>10.401422500610352</c:v>
                </c:pt>
                <c:pt idx="40">
                  <c:v>10.316455841064453</c:v>
                </c:pt>
                <c:pt idx="41">
                  <c:v>10.311842918395996</c:v>
                </c:pt>
                <c:pt idx="42">
                  <c:v>10.370084762573242</c:v>
                </c:pt>
                <c:pt idx="43">
                  <c:v>10.432879447937012</c:v>
                </c:pt>
                <c:pt idx="44">
                  <c:v>10.503621101379395</c:v>
                </c:pt>
                <c:pt idx="45">
                  <c:v>10.532102584838867</c:v>
                </c:pt>
                <c:pt idx="46">
                  <c:v>10.659330368041992</c:v>
                </c:pt>
                <c:pt idx="47">
                  <c:v>10.785337448120117</c:v>
                </c:pt>
                <c:pt idx="48">
                  <c:v>10.896702766418457</c:v>
                </c:pt>
                <c:pt idx="49">
                  <c:v>11.025819778442383</c:v>
                </c:pt>
                <c:pt idx="50">
                  <c:v>11.153687477111816</c:v>
                </c:pt>
                <c:pt idx="51">
                  <c:v>11.309350967407227</c:v>
                </c:pt>
                <c:pt idx="52">
                  <c:v>11.412948608398438</c:v>
                </c:pt>
                <c:pt idx="53">
                  <c:v>11.545637130737305</c:v>
                </c:pt>
                <c:pt idx="54">
                  <c:v>11.749439239501953</c:v>
                </c:pt>
                <c:pt idx="55">
                  <c:v>11.931679725646973</c:v>
                </c:pt>
                <c:pt idx="56">
                  <c:v>12.093340873718262</c:v>
                </c:pt>
                <c:pt idx="57">
                  <c:v>12.181745529174805</c:v>
                </c:pt>
                <c:pt idx="58">
                  <c:v>12.280045509338379</c:v>
                </c:pt>
                <c:pt idx="59">
                  <c:v>12.391246795654297</c:v>
                </c:pt>
                <c:pt idx="60">
                  <c:v>12.516911506652832</c:v>
                </c:pt>
                <c:pt idx="61">
                  <c:v>12.595733642578125</c:v>
                </c:pt>
                <c:pt idx="62">
                  <c:v>12.756352424621582</c:v>
                </c:pt>
                <c:pt idx="63">
                  <c:v>12.904010772705078</c:v>
                </c:pt>
                <c:pt idx="64">
                  <c:v>12.933191299438477</c:v>
                </c:pt>
                <c:pt idx="65">
                  <c:v>12.921658515930176</c:v>
                </c:pt>
                <c:pt idx="66">
                  <c:v>12.932283401489258</c:v>
                </c:pt>
                <c:pt idx="67">
                  <c:v>12.951791763305664</c:v>
                </c:pt>
                <c:pt idx="68">
                  <c:v>12.97103214263916</c:v>
                </c:pt>
                <c:pt idx="69">
                  <c:v>12.954946517944336</c:v>
                </c:pt>
                <c:pt idx="70">
                  <c:v>12.857687950134277</c:v>
                </c:pt>
                <c:pt idx="71">
                  <c:v>12.678780555725098</c:v>
                </c:pt>
                <c:pt idx="72">
                  <c:v>12.480291366577148</c:v>
                </c:pt>
                <c:pt idx="73">
                  <c:v>12.262873649597168</c:v>
                </c:pt>
                <c:pt idx="74">
                  <c:v>12.134945869445801</c:v>
                </c:pt>
                <c:pt idx="75">
                  <c:v>12.038520812988281</c:v>
                </c:pt>
                <c:pt idx="76">
                  <c:v>11.862902641296387</c:v>
                </c:pt>
                <c:pt idx="77">
                  <c:v>11.623968124389648</c:v>
                </c:pt>
                <c:pt idx="78">
                  <c:v>11.358545303344727</c:v>
                </c:pt>
                <c:pt idx="79">
                  <c:v>11.127140045166016</c:v>
                </c:pt>
                <c:pt idx="80">
                  <c:v>10.891941070556641</c:v>
                </c:pt>
                <c:pt idx="81">
                  <c:v>10.589794158935547</c:v>
                </c:pt>
                <c:pt idx="82">
                  <c:v>10.150940895080566</c:v>
                </c:pt>
                <c:pt idx="83">
                  <c:v>9.8132743835449219</c:v>
                </c:pt>
                <c:pt idx="84">
                  <c:v>9.7499427795410156</c:v>
                </c:pt>
                <c:pt idx="85">
                  <c:v>9.6200523376464844</c:v>
                </c:pt>
                <c:pt idx="86">
                  <c:v>9.4929141998291016</c:v>
                </c:pt>
                <c:pt idx="87">
                  <c:v>9.291046142578125</c:v>
                </c:pt>
                <c:pt idx="88">
                  <c:v>8.8465976715087891</c:v>
                </c:pt>
                <c:pt idx="89">
                  <c:v>8.4847211837768555</c:v>
                </c:pt>
                <c:pt idx="90">
                  <c:v>8.4297971725463867</c:v>
                </c:pt>
                <c:pt idx="91">
                  <c:v>8.5203895568847656</c:v>
                </c:pt>
                <c:pt idx="92">
                  <c:v>8.4282798767089844</c:v>
                </c:pt>
                <c:pt idx="93">
                  <c:v>8.2825708389282227</c:v>
                </c:pt>
                <c:pt idx="94">
                  <c:v>8.0301542282104492</c:v>
                </c:pt>
                <c:pt idx="95">
                  <c:v>7.8623180389404297</c:v>
                </c:pt>
                <c:pt idx="96">
                  <c:v>7.9174051284790039</c:v>
                </c:pt>
                <c:pt idx="97">
                  <c:v>8.0738430023193359</c:v>
                </c:pt>
                <c:pt idx="98">
                  <c:v>7.995765209197998</c:v>
                </c:pt>
                <c:pt idx="99">
                  <c:v>7.7994480133056641</c:v>
                </c:pt>
                <c:pt idx="100">
                  <c:v>7.7211027145385742</c:v>
                </c:pt>
                <c:pt idx="101">
                  <c:v>7.7976474761962891</c:v>
                </c:pt>
                <c:pt idx="102">
                  <c:v>7.8972420692443848</c:v>
                </c:pt>
                <c:pt idx="103">
                  <c:v>7.7392568588256836</c:v>
                </c:pt>
                <c:pt idx="104">
                  <c:v>7.5999317169189453</c:v>
                </c:pt>
                <c:pt idx="105">
                  <c:v>7.6910295486450195</c:v>
                </c:pt>
                <c:pt idx="106">
                  <c:v>7.7186770439147949</c:v>
                </c:pt>
                <c:pt idx="107">
                  <c:v>7.7166385650634766</c:v>
                </c:pt>
                <c:pt idx="108">
                  <c:v>7.7097043991088867</c:v>
                </c:pt>
                <c:pt idx="109">
                  <c:v>7.6869521141052246</c:v>
                </c:pt>
                <c:pt idx="110">
                  <c:v>7.7597026824951172</c:v>
                </c:pt>
                <c:pt idx="111">
                  <c:v>7.7867698669433594</c:v>
                </c:pt>
                <c:pt idx="112">
                  <c:v>7.7657442092895508</c:v>
                </c:pt>
                <c:pt idx="113">
                  <c:v>7.7057313919067383</c:v>
                </c:pt>
                <c:pt idx="114">
                  <c:v>7.6330108642578125</c:v>
                </c:pt>
                <c:pt idx="115">
                  <c:v>7.5665993690490723</c:v>
                </c:pt>
                <c:pt idx="116">
                  <c:v>7.4899206161499023</c:v>
                </c:pt>
                <c:pt idx="117">
                  <c:v>7.3977961540222168</c:v>
                </c:pt>
                <c:pt idx="118">
                  <c:v>7.391441822052002</c:v>
                </c:pt>
                <c:pt idx="119">
                  <c:v>7.4303245544433594</c:v>
                </c:pt>
                <c:pt idx="120">
                  <c:v>7.4071707725524902</c:v>
                </c:pt>
                <c:pt idx="121">
                  <c:v>7.3533334732055664</c:v>
                </c:pt>
                <c:pt idx="122">
                  <c:v>7.5299639701843262</c:v>
                </c:pt>
                <c:pt idx="123">
                  <c:v>7.7088265419006348</c:v>
                </c:pt>
                <c:pt idx="124">
                  <c:v>7.6193952560424805</c:v>
                </c:pt>
                <c:pt idx="125">
                  <c:v>7.7335872650146484</c:v>
                </c:pt>
                <c:pt idx="126">
                  <c:v>7.6206450462341309</c:v>
                </c:pt>
                <c:pt idx="127">
                  <c:v>7.5729384422302246</c:v>
                </c:pt>
                <c:pt idx="128">
                  <c:v>7.7189154624938965</c:v>
                </c:pt>
                <c:pt idx="129">
                  <c:v>7.5679535865783691</c:v>
                </c:pt>
                <c:pt idx="130">
                  <c:v>7.3448662757873535</c:v>
                </c:pt>
                <c:pt idx="131">
                  <c:v>7.0566921234130859</c:v>
                </c:pt>
                <c:pt idx="132">
                  <c:v>7.1127171516418457</c:v>
                </c:pt>
                <c:pt idx="133">
                  <c:v>7.3816509246826172</c:v>
                </c:pt>
                <c:pt idx="134">
                  <c:v>7.705805778503418</c:v>
                </c:pt>
                <c:pt idx="135">
                  <c:v>7.6282491683959961</c:v>
                </c:pt>
                <c:pt idx="136">
                  <c:v>3.9430396556854248</c:v>
                </c:pt>
                <c:pt idx="137">
                  <c:v>1.9999998807907104</c:v>
                </c:pt>
                <c:pt idx="138">
                  <c:v>5.209660530090332</c:v>
                </c:pt>
                <c:pt idx="139">
                  <c:v>7.0263657569885254</c:v>
                </c:pt>
                <c:pt idx="140">
                  <c:v>6.9484224319458008</c:v>
                </c:pt>
                <c:pt idx="141">
                  <c:v>7.7291679382324219</c:v>
                </c:pt>
                <c:pt idx="142">
                  <c:v>8.0754795074462891</c:v>
                </c:pt>
                <c:pt idx="143">
                  <c:v>7.4504280090332031</c:v>
                </c:pt>
                <c:pt idx="144">
                  <c:v>7.2523398399353027</c:v>
                </c:pt>
                <c:pt idx="145">
                  <c:v>7.8272895812988281</c:v>
                </c:pt>
                <c:pt idx="146">
                  <c:v>6.1778993606567383</c:v>
                </c:pt>
                <c:pt idx="147">
                  <c:v>4.69317626953125</c:v>
                </c:pt>
                <c:pt idx="148">
                  <c:v>7.0044770240783691</c:v>
                </c:pt>
                <c:pt idx="149">
                  <c:v>8.622528076171875</c:v>
                </c:pt>
                <c:pt idx="150">
                  <c:v>7.2185020446777344</c:v>
                </c:pt>
                <c:pt idx="151">
                  <c:v>7.5593080520629883</c:v>
                </c:pt>
                <c:pt idx="152">
                  <c:v>7.7716069221496582</c:v>
                </c:pt>
                <c:pt idx="153">
                  <c:v>7.6006755828857422</c:v>
                </c:pt>
                <c:pt idx="154">
                  <c:v>7.3261618614196777</c:v>
                </c:pt>
                <c:pt idx="155">
                  <c:v>7.4168281555175781</c:v>
                </c:pt>
                <c:pt idx="156">
                  <c:v>7.0868549346923828</c:v>
                </c:pt>
                <c:pt idx="157">
                  <c:v>7.0331215858459473</c:v>
                </c:pt>
                <c:pt idx="158">
                  <c:v>7.2746753692626953</c:v>
                </c:pt>
                <c:pt idx="159">
                  <c:v>6.7714047431945801</c:v>
                </c:pt>
                <c:pt idx="160">
                  <c:v>7.1793069839477539</c:v>
                </c:pt>
                <c:pt idx="161">
                  <c:v>7.2958354949951172</c:v>
                </c:pt>
                <c:pt idx="162">
                  <c:v>6.5625581741333008</c:v>
                </c:pt>
                <c:pt idx="163">
                  <c:v>7.4629125595092773</c:v>
                </c:pt>
                <c:pt idx="164">
                  <c:v>7.1808395385742188</c:v>
                </c:pt>
                <c:pt idx="165">
                  <c:v>6.8447356224060059</c:v>
                </c:pt>
                <c:pt idx="166">
                  <c:v>7.2118501663208008</c:v>
                </c:pt>
                <c:pt idx="167">
                  <c:v>6.4664607048034668</c:v>
                </c:pt>
                <c:pt idx="168">
                  <c:v>7.6374449729919434</c:v>
                </c:pt>
                <c:pt idx="169">
                  <c:v>7.3570981025695801</c:v>
                </c:pt>
                <c:pt idx="170">
                  <c:v>6.6638193130493164</c:v>
                </c:pt>
                <c:pt idx="171">
                  <c:v>7.4923014640808105</c:v>
                </c:pt>
                <c:pt idx="172">
                  <c:v>7.3692998886108398</c:v>
                </c:pt>
                <c:pt idx="173">
                  <c:v>7.5319876670837402</c:v>
                </c:pt>
                <c:pt idx="174">
                  <c:v>7.042332649230957</c:v>
                </c:pt>
                <c:pt idx="175">
                  <c:v>7.1542630195617676</c:v>
                </c:pt>
                <c:pt idx="176">
                  <c:v>6.5792393684387207</c:v>
                </c:pt>
                <c:pt idx="177">
                  <c:v>6.8065524101257324</c:v>
                </c:pt>
                <c:pt idx="178">
                  <c:v>7.5444869995117188</c:v>
                </c:pt>
                <c:pt idx="179">
                  <c:v>7.3756093978881836</c:v>
                </c:pt>
                <c:pt idx="180">
                  <c:v>7.5768222808837891</c:v>
                </c:pt>
                <c:pt idx="181">
                  <c:v>7.261967658996582</c:v>
                </c:pt>
                <c:pt idx="182">
                  <c:v>6.8667435646057129</c:v>
                </c:pt>
                <c:pt idx="183">
                  <c:v>7.0098934173583984</c:v>
                </c:pt>
                <c:pt idx="184">
                  <c:v>7.0471982955932617</c:v>
                </c:pt>
                <c:pt idx="185">
                  <c:v>7.0693850517272949</c:v>
                </c:pt>
                <c:pt idx="186">
                  <c:v>6.9141526222229004</c:v>
                </c:pt>
                <c:pt idx="187">
                  <c:v>7.0816316604614258</c:v>
                </c:pt>
                <c:pt idx="188">
                  <c:v>7.2959990501403809</c:v>
                </c:pt>
                <c:pt idx="189">
                  <c:v>7.3680648803710938</c:v>
                </c:pt>
                <c:pt idx="190">
                  <c:v>6.5611743927001953</c:v>
                </c:pt>
                <c:pt idx="191">
                  <c:v>8.0053930282592773</c:v>
                </c:pt>
                <c:pt idx="192">
                  <c:v>6.9420685768127441</c:v>
                </c:pt>
                <c:pt idx="193">
                  <c:v>6.9673948287963867</c:v>
                </c:pt>
                <c:pt idx="194">
                  <c:v>5.6347794532775879</c:v>
                </c:pt>
                <c:pt idx="195">
                  <c:v>5.5594396591186523</c:v>
                </c:pt>
                <c:pt idx="196">
                  <c:v>5.5339198112487793</c:v>
                </c:pt>
                <c:pt idx="197">
                  <c:v>6.0400323867797852</c:v>
                </c:pt>
                <c:pt idx="198">
                  <c:v>8.8483982086181641</c:v>
                </c:pt>
                <c:pt idx="199">
                  <c:v>7.4965572357177734</c:v>
                </c:pt>
                <c:pt idx="200">
                  <c:v>6.9979739189147949</c:v>
                </c:pt>
                <c:pt idx="201">
                  <c:v>6.1025600433349609</c:v>
                </c:pt>
                <c:pt idx="202">
                  <c:v>7.7765026092529297</c:v>
                </c:pt>
                <c:pt idx="203">
                  <c:v>5.8763628005981445</c:v>
                </c:pt>
                <c:pt idx="204">
                  <c:v>7.4425263404846191</c:v>
                </c:pt>
                <c:pt idx="205">
                  <c:v>6.0414013862609863</c:v>
                </c:pt>
                <c:pt idx="206">
                  <c:v>6.8046774864196777</c:v>
                </c:pt>
                <c:pt idx="207">
                  <c:v>7.5791287422180176</c:v>
                </c:pt>
                <c:pt idx="208">
                  <c:v>7.4056529998779297</c:v>
                </c:pt>
                <c:pt idx="209">
                  <c:v>8.3677902221679688</c:v>
                </c:pt>
                <c:pt idx="210">
                  <c:v>6.1830925941467285</c:v>
                </c:pt>
                <c:pt idx="211">
                  <c:v>8.125269889831543</c:v>
                </c:pt>
                <c:pt idx="212">
                  <c:v>6.3420600891113281</c:v>
                </c:pt>
                <c:pt idx="213">
                  <c:v>7.3164892196655273</c:v>
                </c:pt>
                <c:pt idx="214">
                  <c:v>6.2842798233032227</c:v>
                </c:pt>
                <c:pt idx="215">
                  <c:v>6.3851537704467773</c:v>
                </c:pt>
                <c:pt idx="216">
                  <c:v>7.5821495056152344</c:v>
                </c:pt>
                <c:pt idx="217">
                  <c:v>6.5008640289306641</c:v>
                </c:pt>
                <c:pt idx="218">
                  <c:v>8.5376653671264648</c:v>
                </c:pt>
                <c:pt idx="219">
                  <c:v>5.9773859977722168</c:v>
                </c:pt>
                <c:pt idx="220">
                  <c:v>6.868678092956543</c:v>
                </c:pt>
                <c:pt idx="221">
                  <c:v>7.5668673515319824</c:v>
                </c:pt>
                <c:pt idx="222">
                  <c:v>5.5075068473815918</c:v>
                </c:pt>
                <c:pt idx="223">
                  <c:v>9.1479558944702148</c:v>
                </c:pt>
                <c:pt idx="224">
                  <c:v>5.6392583847045898</c:v>
                </c:pt>
                <c:pt idx="225">
                  <c:v>7.4999799728393555</c:v>
                </c:pt>
              </c:numCache>
            </c:numRef>
          </c:yVal>
          <c:smooth val="1"/>
          <c:extLst>
            <c:ext xmlns:c16="http://schemas.microsoft.com/office/drawing/2014/chart" uri="{C3380CC4-5D6E-409C-BE32-E72D297353CC}">
              <c16:uniqueId val="{00000001-C55B-4A1A-87F7-276FE06EA34B}"/>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100</c:v>
                </c:pt>
                <c:pt idx="1">
                  <c:v>98.479629516601563</c:v>
                </c:pt>
                <c:pt idx="2">
                  <c:v>92.706459045410156</c:v>
                </c:pt>
                <c:pt idx="3">
                  <c:v>87.413429260253906</c:v>
                </c:pt>
                <c:pt idx="4">
                  <c:v>82.660682678222656</c:v>
                </c:pt>
                <c:pt idx="5">
                  <c:v>78.284286499023438</c:v>
                </c:pt>
                <c:pt idx="6">
                  <c:v>74.062919616699219</c:v>
                </c:pt>
                <c:pt idx="7">
                  <c:v>70.749809265136719</c:v>
                </c:pt>
                <c:pt idx="8">
                  <c:v>68.57098388671875</c:v>
                </c:pt>
                <c:pt idx="9">
                  <c:v>66.4552001953125</c:v>
                </c:pt>
                <c:pt idx="10">
                  <c:v>64.656791687011719</c:v>
                </c:pt>
                <c:pt idx="11">
                  <c:v>62.559169769287109</c:v>
                </c:pt>
                <c:pt idx="12">
                  <c:v>59.810138702392578</c:v>
                </c:pt>
                <c:pt idx="13">
                  <c:v>57.320663452148438</c:v>
                </c:pt>
                <c:pt idx="14">
                  <c:v>55.822067260742188</c:v>
                </c:pt>
                <c:pt idx="15">
                  <c:v>56.538337707519531</c:v>
                </c:pt>
                <c:pt idx="16">
                  <c:v>60.184284210205078</c:v>
                </c:pt>
                <c:pt idx="17">
                  <c:v>65.436058044433594</c:v>
                </c:pt>
                <c:pt idx="18">
                  <c:v>71.331771850585938</c:v>
                </c:pt>
                <c:pt idx="19">
                  <c:v>77.482246398925781</c:v>
                </c:pt>
                <c:pt idx="20">
                  <c:v>82.433013916015625</c:v>
                </c:pt>
                <c:pt idx="21">
                  <c:v>85.10345458984375</c:v>
                </c:pt>
                <c:pt idx="22">
                  <c:v>85.009361267089844</c:v>
                </c:pt>
                <c:pt idx="23">
                  <c:v>82.212203979492188</c:v>
                </c:pt>
                <c:pt idx="24">
                  <c:v>77.546882629394531</c:v>
                </c:pt>
                <c:pt idx="25">
                  <c:v>72.504989624023438</c:v>
                </c:pt>
                <c:pt idx="26">
                  <c:v>67.593467712402344</c:v>
                </c:pt>
                <c:pt idx="27">
                  <c:v>62.511547088623047</c:v>
                </c:pt>
                <c:pt idx="28">
                  <c:v>56.121875762939453</c:v>
                </c:pt>
                <c:pt idx="29">
                  <c:v>49.225677490234375</c:v>
                </c:pt>
                <c:pt idx="30">
                  <c:v>42.148689270019531</c:v>
                </c:pt>
                <c:pt idx="31">
                  <c:v>35.860572814941406</c:v>
                </c:pt>
                <c:pt idx="32">
                  <c:v>30.322669982910156</c:v>
                </c:pt>
                <c:pt idx="33">
                  <c:v>26.107429504394531</c:v>
                </c:pt>
                <c:pt idx="34">
                  <c:v>23.192209243774414</c:v>
                </c:pt>
                <c:pt idx="35">
                  <c:v>21.425365447998047</c:v>
                </c:pt>
                <c:pt idx="36">
                  <c:v>20.400728225708008</c:v>
                </c:pt>
                <c:pt idx="37">
                  <c:v>19.437068939208984</c:v>
                </c:pt>
                <c:pt idx="38">
                  <c:v>18.66425895690918</c:v>
                </c:pt>
                <c:pt idx="39">
                  <c:v>18.006952285766602</c:v>
                </c:pt>
                <c:pt idx="40">
                  <c:v>17.643739700317383</c:v>
                </c:pt>
                <c:pt idx="41">
                  <c:v>17.206785202026367</c:v>
                </c:pt>
                <c:pt idx="42">
                  <c:v>16.636119842529297</c:v>
                </c:pt>
                <c:pt idx="43">
                  <c:v>16.478437423706055</c:v>
                </c:pt>
                <c:pt idx="44">
                  <c:v>16.090293884277344</c:v>
                </c:pt>
                <c:pt idx="45">
                  <c:v>15.756722450256348</c:v>
                </c:pt>
                <c:pt idx="46">
                  <c:v>15.849813461303711</c:v>
                </c:pt>
                <c:pt idx="47">
                  <c:v>16.182376861572266</c:v>
                </c:pt>
                <c:pt idx="48">
                  <c:v>16.263711929321289</c:v>
                </c:pt>
                <c:pt idx="49">
                  <c:v>16.826417922973633</c:v>
                </c:pt>
                <c:pt idx="50">
                  <c:v>17.855354309082031</c:v>
                </c:pt>
                <c:pt idx="51">
                  <c:v>19.003501892089844</c:v>
                </c:pt>
                <c:pt idx="52">
                  <c:v>20.281196594238281</c:v>
                </c:pt>
                <c:pt idx="53">
                  <c:v>21.537256240844727</c:v>
                </c:pt>
                <c:pt idx="54">
                  <c:v>23.109228134155273</c:v>
                </c:pt>
                <c:pt idx="55">
                  <c:v>24.9923095703125</c:v>
                </c:pt>
                <c:pt idx="56">
                  <c:v>27.006404876708984</c:v>
                </c:pt>
                <c:pt idx="57">
                  <c:v>29.074251174926758</c:v>
                </c:pt>
                <c:pt idx="58">
                  <c:v>31.332302093505859</c:v>
                </c:pt>
                <c:pt idx="59">
                  <c:v>33.528919219970703</c:v>
                </c:pt>
                <c:pt idx="60">
                  <c:v>35.107936859130859</c:v>
                </c:pt>
                <c:pt idx="61">
                  <c:v>36.332569122314453</c:v>
                </c:pt>
                <c:pt idx="62">
                  <c:v>37.106430053710938</c:v>
                </c:pt>
                <c:pt idx="63">
                  <c:v>37.693153381347656</c:v>
                </c:pt>
                <c:pt idx="64">
                  <c:v>37.827827453613281</c:v>
                </c:pt>
                <c:pt idx="65">
                  <c:v>37.336071014404297</c:v>
                </c:pt>
                <c:pt idx="66">
                  <c:v>36.455116271972656</c:v>
                </c:pt>
                <c:pt idx="67">
                  <c:v>34.715309143066406</c:v>
                </c:pt>
                <c:pt idx="68">
                  <c:v>32.700893402099609</c:v>
                </c:pt>
                <c:pt idx="69">
                  <c:v>30.275873184204102</c:v>
                </c:pt>
                <c:pt idx="70">
                  <c:v>27.807899475097656</c:v>
                </c:pt>
                <c:pt idx="71">
                  <c:v>25.432924270629883</c:v>
                </c:pt>
                <c:pt idx="72">
                  <c:v>22.913074493408203</c:v>
                </c:pt>
                <c:pt idx="73">
                  <c:v>20.198810577392578</c:v>
                </c:pt>
                <c:pt idx="74">
                  <c:v>17.834447860717773</c:v>
                </c:pt>
                <c:pt idx="75">
                  <c:v>15.802192687988281</c:v>
                </c:pt>
                <c:pt idx="76">
                  <c:v>13.78411865234375</c:v>
                </c:pt>
                <c:pt idx="77">
                  <c:v>11.99284553527832</c:v>
                </c:pt>
                <c:pt idx="78">
                  <c:v>10.730291366577148</c:v>
                </c:pt>
                <c:pt idx="79">
                  <c:v>9.8607749938964844</c:v>
                </c:pt>
                <c:pt idx="80">
                  <c:v>8.5264930725097656</c:v>
                </c:pt>
                <c:pt idx="81">
                  <c:v>7.674863338470459</c:v>
                </c:pt>
                <c:pt idx="82">
                  <c:v>7.6666746139526367</c:v>
                </c:pt>
                <c:pt idx="83">
                  <c:v>7.5534567832946777</c:v>
                </c:pt>
                <c:pt idx="84">
                  <c:v>7.2751455307006836</c:v>
                </c:pt>
                <c:pt idx="85">
                  <c:v>7.2703423500061035</c:v>
                </c:pt>
                <c:pt idx="86">
                  <c:v>7.2409286499023438</c:v>
                </c:pt>
                <c:pt idx="87">
                  <c:v>7.1558432579040527</c:v>
                </c:pt>
                <c:pt idx="88">
                  <c:v>7.440284252166748</c:v>
                </c:pt>
                <c:pt idx="89">
                  <c:v>7.9468154907226563</c:v>
                </c:pt>
                <c:pt idx="90">
                  <c:v>7.9263219833374023</c:v>
                </c:pt>
                <c:pt idx="91">
                  <c:v>7.6314973831176758</c:v>
                </c:pt>
                <c:pt idx="92">
                  <c:v>8.267486572265625</c:v>
                </c:pt>
                <c:pt idx="93">
                  <c:v>8.6822080612182617</c:v>
                </c:pt>
                <c:pt idx="94">
                  <c:v>8.295710563659668</c:v>
                </c:pt>
                <c:pt idx="95">
                  <c:v>8.5578737258911133</c:v>
                </c:pt>
                <c:pt idx="96">
                  <c:v>8.9492197036743164</c:v>
                </c:pt>
                <c:pt idx="97">
                  <c:v>8.9787712097167969</c:v>
                </c:pt>
                <c:pt idx="98">
                  <c:v>9.149627685546875</c:v>
                </c:pt>
                <c:pt idx="99">
                  <c:v>9.4624757766723633</c:v>
                </c:pt>
                <c:pt idx="100">
                  <c:v>10.055418968200684</c:v>
                </c:pt>
                <c:pt idx="101">
                  <c:v>10.352943420410156</c:v>
                </c:pt>
                <c:pt idx="102">
                  <c:v>10.695845603942871</c:v>
                </c:pt>
                <c:pt idx="103">
                  <c:v>11.217884063720703</c:v>
                </c:pt>
                <c:pt idx="104">
                  <c:v>10.980195045471191</c:v>
                </c:pt>
                <c:pt idx="105">
                  <c:v>11.403973579406738</c:v>
                </c:pt>
                <c:pt idx="106">
                  <c:v>12.040420532226563</c:v>
                </c:pt>
                <c:pt idx="107">
                  <c:v>12.126283645629883</c:v>
                </c:pt>
                <c:pt idx="108">
                  <c:v>12.681670188903809</c:v>
                </c:pt>
                <c:pt idx="109">
                  <c:v>12.810304641723633</c:v>
                </c:pt>
                <c:pt idx="110">
                  <c:v>13.226856231689453</c:v>
                </c:pt>
                <c:pt idx="111">
                  <c:v>14.053143501281738</c:v>
                </c:pt>
                <c:pt idx="112">
                  <c:v>14.248061180114746</c:v>
                </c:pt>
                <c:pt idx="113">
                  <c:v>14.577789306640625</c:v>
                </c:pt>
                <c:pt idx="114">
                  <c:v>14.761317253112793</c:v>
                </c:pt>
                <c:pt idx="115">
                  <c:v>15.070643424987793</c:v>
                </c:pt>
                <c:pt idx="116">
                  <c:v>15.550139427185059</c:v>
                </c:pt>
                <c:pt idx="117">
                  <c:v>15.853289604187012</c:v>
                </c:pt>
                <c:pt idx="118">
                  <c:v>16.677244186401367</c:v>
                </c:pt>
                <c:pt idx="119">
                  <c:v>17.795017242431641</c:v>
                </c:pt>
                <c:pt idx="120">
                  <c:v>18.481416702270508</c:v>
                </c:pt>
                <c:pt idx="121">
                  <c:v>19.141696929931641</c:v>
                </c:pt>
                <c:pt idx="122">
                  <c:v>19.582630157470703</c:v>
                </c:pt>
                <c:pt idx="123">
                  <c:v>19.804216384887695</c:v>
                </c:pt>
                <c:pt idx="124">
                  <c:v>20.31879997253418</c:v>
                </c:pt>
                <c:pt idx="125">
                  <c:v>21.005702972412109</c:v>
                </c:pt>
                <c:pt idx="126">
                  <c:v>21.61822509765625</c:v>
                </c:pt>
                <c:pt idx="127">
                  <c:v>22.588470458984375</c:v>
                </c:pt>
                <c:pt idx="128">
                  <c:v>23.372489929199219</c:v>
                </c:pt>
                <c:pt idx="129">
                  <c:v>24.506685256958008</c:v>
                </c:pt>
                <c:pt idx="130">
                  <c:v>25.598428726196289</c:v>
                </c:pt>
                <c:pt idx="131">
                  <c:v>25.876373291015625</c:v>
                </c:pt>
                <c:pt idx="132">
                  <c:v>26.513277053833008</c:v>
                </c:pt>
                <c:pt idx="133">
                  <c:v>27.88630485534668</c:v>
                </c:pt>
                <c:pt idx="134">
                  <c:v>28.019468307495117</c:v>
                </c:pt>
                <c:pt idx="135">
                  <c:v>28.482267379760742</c:v>
                </c:pt>
                <c:pt idx="136">
                  <c:v>35.043296813964844</c:v>
                </c:pt>
                <c:pt idx="137">
                  <c:v>37.930889129638672</c:v>
                </c:pt>
                <c:pt idx="138">
                  <c:v>32.566082000732422</c:v>
                </c:pt>
                <c:pt idx="139">
                  <c:v>28.943466186523438</c:v>
                </c:pt>
                <c:pt idx="140">
                  <c:v>28.971736907958984</c:v>
                </c:pt>
                <c:pt idx="141">
                  <c:v>28.326370239257813</c:v>
                </c:pt>
                <c:pt idx="142">
                  <c:v>28.461545944213867</c:v>
                </c:pt>
                <c:pt idx="143">
                  <c:v>30.672250747680664</c:v>
                </c:pt>
                <c:pt idx="144">
                  <c:v>31.807041168212891</c:v>
                </c:pt>
                <c:pt idx="145">
                  <c:v>31.136560440063477</c:v>
                </c:pt>
                <c:pt idx="146">
                  <c:v>33.333999633789063</c:v>
                </c:pt>
                <c:pt idx="147">
                  <c:v>33.891307830810547</c:v>
                </c:pt>
                <c:pt idx="148">
                  <c:v>31.993816375732422</c:v>
                </c:pt>
                <c:pt idx="149">
                  <c:v>32.094959259033203</c:v>
                </c:pt>
                <c:pt idx="150">
                  <c:v>33.815143585205078</c:v>
                </c:pt>
                <c:pt idx="151">
                  <c:v>33.704898834228516</c:v>
                </c:pt>
                <c:pt idx="152">
                  <c:v>33.008571624755859</c:v>
                </c:pt>
                <c:pt idx="153">
                  <c:v>31.484724044799805</c:v>
                </c:pt>
                <c:pt idx="154">
                  <c:v>30.6865234375</c:v>
                </c:pt>
                <c:pt idx="155">
                  <c:v>29.393320083618164</c:v>
                </c:pt>
                <c:pt idx="156">
                  <c:v>27.206584930419922</c:v>
                </c:pt>
                <c:pt idx="157">
                  <c:v>26.203083038330078</c:v>
                </c:pt>
                <c:pt idx="158">
                  <c:v>26.310583114624023</c:v>
                </c:pt>
                <c:pt idx="159">
                  <c:v>25.126663208007813</c:v>
                </c:pt>
                <c:pt idx="160">
                  <c:v>23.756607055664063</c:v>
                </c:pt>
                <c:pt idx="161">
                  <c:v>24.268720626831055</c:v>
                </c:pt>
                <c:pt idx="162">
                  <c:v>24.37983512878418</c:v>
                </c:pt>
                <c:pt idx="163">
                  <c:v>23.298612594604492</c:v>
                </c:pt>
                <c:pt idx="164">
                  <c:v>23.678476333618164</c:v>
                </c:pt>
                <c:pt idx="165">
                  <c:v>24.448406219482422</c:v>
                </c:pt>
                <c:pt idx="166">
                  <c:v>23.920419692993164</c:v>
                </c:pt>
                <c:pt idx="167">
                  <c:v>24.866191864013672</c:v>
                </c:pt>
                <c:pt idx="168">
                  <c:v>25.525007247924805</c:v>
                </c:pt>
                <c:pt idx="169">
                  <c:v>25.708215713500977</c:v>
                </c:pt>
                <c:pt idx="170">
                  <c:v>24.388936996459961</c:v>
                </c:pt>
                <c:pt idx="171">
                  <c:v>22.798805236816406</c:v>
                </c:pt>
                <c:pt idx="172">
                  <c:v>21.498052597045898</c:v>
                </c:pt>
                <c:pt idx="173">
                  <c:v>19.008350372314453</c:v>
                </c:pt>
                <c:pt idx="174">
                  <c:v>16.437816619873047</c:v>
                </c:pt>
                <c:pt idx="175">
                  <c:v>12.959066390991211</c:v>
                </c:pt>
                <c:pt idx="176">
                  <c:v>11.124153137207031</c:v>
                </c:pt>
                <c:pt idx="177">
                  <c:v>9.9491081237792969</c:v>
                </c:pt>
                <c:pt idx="178">
                  <c:v>7.8562870025634766</c:v>
                </c:pt>
                <c:pt idx="179">
                  <c:v>6.9692964553833008</c:v>
                </c:pt>
                <c:pt idx="180">
                  <c:v>6.5145478248596191</c:v>
                </c:pt>
                <c:pt idx="181">
                  <c:v>5.585472583770752</c:v>
                </c:pt>
                <c:pt idx="182">
                  <c:v>5.2723956108093262</c:v>
                </c:pt>
                <c:pt idx="183">
                  <c:v>5.5650701522827148</c:v>
                </c:pt>
                <c:pt idx="184">
                  <c:v>4.768425464630127</c:v>
                </c:pt>
                <c:pt idx="185">
                  <c:v>3.7286934852600098</c:v>
                </c:pt>
                <c:pt idx="186">
                  <c:v>3.5785136222839355</c:v>
                </c:pt>
                <c:pt idx="187">
                  <c:v>3.8398532867431641</c:v>
                </c:pt>
                <c:pt idx="188">
                  <c:v>4.9855756759643555</c:v>
                </c:pt>
                <c:pt idx="189">
                  <c:v>4.7595510482788086</c:v>
                </c:pt>
                <c:pt idx="190">
                  <c:v>4.8289918899536133</c:v>
                </c:pt>
                <c:pt idx="191">
                  <c:v>5.2049217224121094</c:v>
                </c:pt>
                <c:pt idx="192">
                  <c:v>5.1283450126647949</c:v>
                </c:pt>
                <c:pt idx="193">
                  <c:v>5.2054252624511719</c:v>
                </c:pt>
                <c:pt idx="194">
                  <c:v>4.809596061706543</c:v>
                </c:pt>
                <c:pt idx="195">
                  <c:v>5.3511676788330078</c:v>
                </c:pt>
                <c:pt idx="196">
                  <c:v>4.474790096282959</c:v>
                </c:pt>
                <c:pt idx="197">
                  <c:v>4.0067758560180664</c:v>
                </c:pt>
                <c:pt idx="198">
                  <c:v>4.1810173988342285</c:v>
                </c:pt>
                <c:pt idx="199">
                  <c:v>4.7202563285827637</c:v>
                </c:pt>
                <c:pt idx="200">
                  <c:v>4.4700326919555664</c:v>
                </c:pt>
                <c:pt idx="201">
                  <c:v>4.9494833946228027</c:v>
                </c:pt>
                <c:pt idx="202">
                  <c:v>5.4631052017211914</c:v>
                </c:pt>
                <c:pt idx="203">
                  <c:v>4.1328024864196777</c:v>
                </c:pt>
                <c:pt idx="204">
                  <c:v>4.2161951065063477</c:v>
                </c:pt>
                <c:pt idx="205">
                  <c:v>3.7890307903289795</c:v>
                </c:pt>
                <c:pt idx="206">
                  <c:v>4.4256601333618164</c:v>
                </c:pt>
                <c:pt idx="207">
                  <c:v>3.8951129913330078</c:v>
                </c:pt>
                <c:pt idx="208">
                  <c:v>4.1918134689331055</c:v>
                </c:pt>
                <c:pt idx="209">
                  <c:v>3.727961540222168</c:v>
                </c:pt>
                <c:pt idx="210">
                  <c:v>4.1880621910095215</c:v>
                </c:pt>
                <c:pt idx="211">
                  <c:v>5.7456245422363281</c:v>
                </c:pt>
                <c:pt idx="212">
                  <c:v>4.6338448524475098</c:v>
                </c:pt>
                <c:pt idx="213">
                  <c:v>4.0312490463256836</c:v>
                </c:pt>
                <c:pt idx="214">
                  <c:v>3.1097671985626221</c:v>
                </c:pt>
                <c:pt idx="215">
                  <c:v>3.3556909561157227</c:v>
                </c:pt>
                <c:pt idx="216">
                  <c:v>3.3364324569702148</c:v>
                </c:pt>
                <c:pt idx="217">
                  <c:v>3.8275022506713867</c:v>
                </c:pt>
                <c:pt idx="218">
                  <c:v>4.2452888488769531</c:v>
                </c:pt>
                <c:pt idx="219">
                  <c:v>3.5130529403686523</c:v>
                </c:pt>
                <c:pt idx="220">
                  <c:v>4.2679781913757324</c:v>
                </c:pt>
                <c:pt idx="221">
                  <c:v>4.8881855010986328</c:v>
                </c:pt>
                <c:pt idx="222">
                  <c:v>6.5150966644287109</c:v>
                </c:pt>
                <c:pt idx="223">
                  <c:v>5.4253201484680176</c:v>
                </c:pt>
                <c:pt idx="224">
                  <c:v>2</c:v>
                </c:pt>
                <c:pt idx="225">
                  <c:v>4.7030563354492188</c:v>
                </c:pt>
              </c:numCache>
            </c:numRef>
          </c:yVal>
          <c:smooth val="1"/>
          <c:extLst>
            <c:ext xmlns:c16="http://schemas.microsoft.com/office/drawing/2014/chart" uri="{C3380CC4-5D6E-409C-BE32-E72D297353CC}">
              <c16:uniqueId val="{00000002-C55B-4A1A-87F7-276FE06EA34B}"/>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50.523117065429688</c:v>
                </c:pt>
                <c:pt idx="1">
                  <c:v>58.153018951416016</c:v>
                </c:pt>
                <c:pt idx="2">
                  <c:v>60.616897583007813</c:v>
                </c:pt>
                <c:pt idx="3">
                  <c:v>61.750778198242188</c:v>
                </c:pt>
                <c:pt idx="4">
                  <c:v>61.539337158203125</c:v>
                </c:pt>
                <c:pt idx="5">
                  <c:v>61.403224945068359</c:v>
                </c:pt>
                <c:pt idx="6">
                  <c:v>61.2900390625</c:v>
                </c:pt>
                <c:pt idx="7">
                  <c:v>61.533592224121094</c:v>
                </c:pt>
                <c:pt idx="8">
                  <c:v>61.285701751708984</c:v>
                </c:pt>
                <c:pt idx="9">
                  <c:v>61.369869232177734</c:v>
                </c:pt>
                <c:pt idx="10">
                  <c:v>61.985771179199219</c:v>
                </c:pt>
                <c:pt idx="11">
                  <c:v>63.021339416503906</c:v>
                </c:pt>
                <c:pt idx="12">
                  <c:v>66.164276123046875</c:v>
                </c:pt>
                <c:pt idx="13">
                  <c:v>71.650077819824219</c:v>
                </c:pt>
                <c:pt idx="14">
                  <c:v>79.338348388671875</c:v>
                </c:pt>
                <c:pt idx="15">
                  <c:v>87.847419738769531</c:v>
                </c:pt>
                <c:pt idx="16">
                  <c:v>95.246269226074219</c:v>
                </c:pt>
                <c:pt idx="17">
                  <c:v>100</c:v>
                </c:pt>
                <c:pt idx="18">
                  <c:v>99.995437622070313</c:v>
                </c:pt>
                <c:pt idx="19">
                  <c:v>95.475067138671875</c:v>
                </c:pt>
                <c:pt idx="20">
                  <c:v>86.97021484375</c:v>
                </c:pt>
                <c:pt idx="21">
                  <c:v>76.244987487792969</c:v>
                </c:pt>
                <c:pt idx="22">
                  <c:v>65.126960754394531</c:v>
                </c:pt>
                <c:pt idx="23">
                  <c:v>55.03656005859375</c:v>
                </c:pt>
                <c:pt idx="24">
                  <c:v>46.496669769287109</c:v>
                </c:pt>
                <c:pt idx="25">
                  <c:v>39.918003082275391</c:v>
                </c:pt>
                <c:pt idx="26">
                  <c:v>34.994522094726563</c:v>
                </c:pt>
                <c:pt idx="27">
                  <c:v>31.5911865234375</c:v>
                </c:pt>
                <c:pt idx="28">
                  <c:v>29.124208450317383</c:v>
                </c:pt>
                <c:pt idx="29">
                  <c:v>27.643726348876953</c:v>
                </c:pt>
                <c:pt idx="30">
                  <c:v>26.344602584838867</c:v>
                </c:pt>
                <c:pt idx="31">
                  <c:v>25.473543167114258</c:v>
                </c:pt>
                <c:pt idx="32">
                  <c:v>24.985757827758789</c:v>
                </c:pt>
                <c:pt idx="33">
                  <c:v>24.766654968261719</c:v>
                </c:pt>
                <c:pt idx="34">
                  <c:v>24.960912704467773</c:v>
                </c:pt>
                <c:pt idx="35">
                  <c:v>25.534557342529297</c:v>
                </c:pt>
                <c:pt idx="36">
                  <c:v>25.950115203857422</c:v>
                </c:pt>
                <c:pt idx="37">
                  <c:v>26.527254104614258</c:v>
                </c:pt>
                <c:pt idx="38">
                  <c:v>27.669193267822266</c:v>
                </c:pt>
                <c:pt idx="39">
                  <c:v>28.722396850585938</c:v>
                </c:pt>
                <c:pt idx="40">
                  <c:v>29.818023681640625</c:v>
                </c:pt>
                <c:pt idx="41">
                  <c:v>31.241884231567383</c:v>
                </c:pt>
                <c:pt idx="42">
                  <c:v>33.017242431640625</c:v>
                </c:pt>
                <c:pt idx="43">
                  <c:v>34.622066497802734</c:v>
                </c:pt>
                <c:pt idx="44">
                  <c:v>36.421592712402344</c:v>
                </c:pt>
                <c:pt idx="45">
                  <c:v>38.45318603515625</c:v>
                </c:pt>
                <c:pt idx="46">
                  <c:v>40.085891723632813</c:v>
                </c:pt>
                <c:pt idx="47">
                  <c:v>41.697700500488281</c:v>
                </c:pt>
                <c:pt idx="48">
                  <c:v>43.143306732177734</c:v>
                </c:pt>
                <c:pt idx="49">
                  <c:v>44.812015533447266</c:v>
                </c:pt>
                <c:pt idx="50">
                  <c:v>46.050857543945313</c:v>
                </c:pt>
                <c:pt idx="51">
                  <c:v>46.902030944824219</c:v>
                </c:pt>
                <c:pt idx="52">
                  <c:v>48.102672576904297</c:v>
                </c:pt>
                <c:pt idx="53">
                  <c:v>48.999591827392578</c:v>
                </c:pt>
                <c:pt idx="54">
                  <c:v>49.307655334472656</c:v>
                </c:pt>
                <c:pt idx="55">
                  <c:v>49.266471862792969</c:v>
                </c:pt>
                <c:pt idx="56">
                  <c:v>48.765727996826172</c:v>
                </c:pt>
                <c:pt idx="57">
                  <c:v>47.97906494140625</c:v>
                </c:pt>
                <c:pt idx="58">
                  <c:v>46.801353454589844</c:v>
                </c:pt>
                <c:pt idx="59">
                  <c:v>45.253433227539063</c:v>
                </c:pt>
                <c:pt idx="60">
                  <c:v>43.027191162109375</c:v>
                </c:pt>
                <c:pt idx="61">
                  <c:v>40.131752014160156</c:v>
                </c:pt>
                <c:pt idx="62">
                  <c:v>37.472320556640625</c:v>
                </c:pt>
                <c:pt idx="63">
                  <c:v>34.796489715576172</c:v>
                </c:pt>
                <c:pt idx="64">
                  <c:v>32.247989654541016</c:v>
                </c:pt>
                <c:pt idx="65">
                  <c:v>29.321001052856445</c:v>
                </c:pt>
                <c:pt idx="66">
                  <c:v>26.44432258605957</c:v>
                </c:pt>
                <c:pt idx="67">
                  <c:v>23.472545623779297</c:v>
                </c:pt>
                <c:pt idx="68">
                  <c:v>20.464822769165039</c:v>
                </c:pt>
                <c:pt idx="69">
                  <c:v>18.064323425292969</c:v>
                </c:pt>
                <c:pt idx="70">
                  <c:v>16.273189544677734</c:v>
                </c:pt>
                <c:pt idx="71">
                  <c:v>14.917949676513672</c:v>
                </c:pt>
                <c:pt idx="72">
                  <c:v>13.478371620178223</c:v>
                </c:pt>
                <c:pt idx="73">
                  <c:v>12.290291786193848</c:v>
                </c:pt>
                <c:pt idx="74">
                  <c:v>11.775576591491699</c:v>
                </c:pt>
                <c:pt idx="75">
                  <c:v>11.075393676757813</c:v>
                </c:pt>
                <c:pt idx="76">
                  <c:v>10.32985782623291</c:v>
                </c:pt>
                <c:pt idx="77">
                  <c:v>9.5685462951660156</c:v>
                </c:pt>
                <c:pt idx="78">
                  <c:v>9.0860576629638672</c:v>
                </c:pt>
                <c:pt idx="79">
                  <c:v>8.9318017959594727</c:v>
                </c:pt>
                <c:pt idx="80">
                  <c:v>8.1785469055175781</c:v>
                </c:pt>
                <c:pt idx="81">
                  <c:v>7.7064247131347656</c:v>
                </c:pt>
                <c:pt idx="82">
                  <c:v>7.3636569976806641</c:v>
                </c:pt>
                <c:pt idx="83">
                  <c:v>6.864098072052002</c:v>
                </c:pt>
                <c:pt idx="84">
                  <c:v>6.8820700645446777</c:v>
                </c:pt>
                <c:pt idx="85">
                  <c:v>7.0538482666015625</c:v>
                </c:pt>
                <c:pt idx="86">
                  <c:v>6.9097328186035156</c:v>
                </c:pt>
                <c:pt idx="87">
                  <c:v>6.6602625846862793</c:v>
                </c:pt>
                <c:pt idx="88">
                  <c:v>5.9793477058410645</c:v>
                </c:pt>
                <c:pt idx="89">
                  <c:v>5.7645263671875</c:v>
                </c:pt>
                <c:pt idx="90">
                  <c:v>5.6997365951538086</c:v>
                </c:pt>
                <c:pt idx="91">
                  <c:v>5.6837363243103027</c:v>
                </c:pt>
                <c:pt idx="92">
                  <c:v>5.3365178108215332</c:v>
                </c:pt>
                <c:pt idx="93">
                  <c:v>5.4583230018615723</c:v>
                </c:pt>
                <c:pt idx="94">
                  <c:v>5.7749490737915039</c:v>
                </c:pt>
                <c:pt idx="95">
                  <c:v>5.8865571022033691</c:v>
                </c:pt>
                <c:pt idx="96">
                  <c:v>6.0992374420166016</c:v>
                </c:pt>
                <c:pt idx="97">
                  <c:v>6.56488037109375</c:v>
                </c:pt>
                <c:pt idx="98">
                  <c:v>6.5771627426147461</c:v>
                </c:pt>
                <c:pt idx="99">
                  <c:v>6.8658442497253418</c:v>
                </c:pt>
                <c:pt idx="100">
                  <c:v>7.2646694183349609</c:v>
                </c:pt>
                <c:pt idx="101">
                  <c:v>6.9985232353210449</c:v>
                </c:pt>
                <c:pt idx="102">
                  <c:v>7.0909194946289063</c:v>
                </c:pt>
                <c:pt idx="103">
                  <c:v>6.7904062271118164</c:v>
                </c:pt>
                <c:pt idx="104">
                  <c:v>6.8884363174438477</c:v>
                </c:pt>
                <c:pt idx="105">
                  <c:v>7.4164471626281738</c:v>
                </c:pt>
                <c:pt idx="106">
                  <c:v>7.401179313659668</c:v>
                </c:pt>
                <c:pt idx="107">
                  <c:v>8.0379247665405273</c:v>
                </c:pt>
                <c:pt idx="108">
                  <c:v>8.5068912506103516</c:v>
                </c:pt>
                <c:pt idx="109">
                  <c:v>8.4044666290283203</c:v>
                </c:pt>
                <c:pt idx="110">
                  <c:v>9.241215705871582</c:v>
                </c:pt>
                <c:pt idx="111">
                  <c:v>9.9731740951538086</c:v>
                </c:pt>
                <c:pt idx="112">
                  <c:v>9.7946920394897461</c:v>
                </c:pt>
                <c:pt idx="113">
                  <c:v>9.9770059585571289</c:v>
                </c:pt>
                <c:pt idx="114">
                  <c:v>10.338027000427246</c:v>
                </c:pt>
                <c:pt idx="115">
                  <c:v>10.66783618927002</c:v>
                </c:pt>
                <c:pt idx="116">
                  <c:v>11.213312149047852</c:v>
                </c:pt>
                <c:pt idx="117">
                  <c:v>11.565657615661621</c:v>
                </c:pt>
                <c:pt idx="118">
                  <c:v>12.133442878723145</c:v>
                </c:pt>
                <c:pt idx="119">
                  <c:v>12.814865112304688</c:v>
                </c:pt>
                <c:pt idx="120">
                  <c:v>13.092279434204102</c:v>
                </c:pt>
                <c:pt idx="121">
                  <c:v>13.775955200195313</c:v>
                </c:pt>
                <c:pt idx="122">
                  <c:v>14.355403900146484</c:v>
                </c:pt>
                <c:pt idx="123">
                  <c:v>14.64870548248291</c:v>
                </c:pt>
                <c:pt idx="124">
                  <c:v>15.339141845703125</c:v>
                </c:pt>
                <c:pt idx="125">
                  <c:v>16.264625549316406</c:v>
                </c:pt>
                <c:pt idx="126">
                  <c:v>16.719339370727539</c:v>
                </c:pt>
                <c:pt idx="127">
                  <c:v>17.278392791748047</c:v>
                </c:pt>
                <c:pt idx="128">
                  <c:v>18.063760757446289</c:v>
                </c:pt>
                <c:pt idx="129">
                  <c:v>19.014934539794922</c:v>
                </c:pt>
                <c:pt idx="130">
                  <c:v>19.620241165161133</c:v>
                </c:pt>
                <c:pt idx="131">
                  <c:v>19.060342788696289</c:v>
                </c:pt>
                <c:pt idx="132">
                  <c:v>18.870199203491211</c:v>
                </c:pt>
                <c:pt idx="133">
                  <c:v>20.62054443359375</c:v>
                </c:pt>
                <c:pt idx="134">
                  <c:v>21.469181060791016</c:v>
                </c:pt>
                <c:pt idx="135">
                  <c:v>20.808773040771484</c:v>
                </c:pt>
                <c:pt idx="136">
                  <c:v>29.065952301025391</c:v>
                </c:pt>
                <c:pt idx="137">
                  <c:v>34.703533172607422</c:v>
                </c:pt>
                <c:pt idx="138">
                  <c:v>27.908576965332031</c:v>
                </c:pt>
                <c:pt idx="139">
                  <c:v>23.441896438598633</c:v>
                </c:pt>
                <c:pt idx="140">
                  <c:v>24.070697784423828</c:v>
                </c:pt>
                <c:pt idx="141">
                  <c:v>25.111337661743164</c:v>
                </c:pt>
                <c:pt idx="142">
                  <c:v>25.036745071411133</c:v>
                </c:pt>
                <c:pt idx="143">
                  <c:v>24.776063919067383</c:v>
                </c:pt>
                <c:pt idx="144">
                  <c:v>25.457712173461914</c:v>
                </c:pt>
                <c:pt idx="145">
                  <c:v>25.225988388061523</c:v>
                </c:pt>
                <c:pt idx="146">
                  <c:v>24.916799545288086</c:v>
                </c:pt>
                <c:pt idx="147">
                  <c:v>25.474388122558594</c:v>
                </c:pt>
                <c:pt idx="148">
                  <c:v>25.681039810180664</c:v>
                </c:pt>
                <c:pt idx="149">
                  <c:v>25.97242546081543</c:v>
                </c:pt>
                <c:pt idx="150">
                  <c:v>26.560268402099609</c:v>
                </c:pt>
                <c:pt idx="151">
                  <c:v>25.826789855957031</c:v>
                </c:pt>
                <c:pt idx="152">
                  <c:v>26.094570159912109</c:v>
                </c:pt>
                <c:pt idx="153">
                  <c:v>27.618093490600586</c:v>
                </c:pt>
                <c:pt idx="154">
                  <c:v>27.563726425170898</c:v>
                </c:pt>
                <c:pt idx="155">
                  <c:v>26.515310287475586</c:v>
                </c:pt>
                <c:pt idx="156">
                  <c:v>26.474859237670898</c:v>
                </c:pt>
                <c:pt idx="157">
                  <c:v>25.598052978515625</c:v>
                </c:pt>
                <c:pt idx="158">
                  <c:v>24.469184875488281</c:v>
                </c:pt>
                <c:pt idx="159">
                  <c:v>24.53312873840332</c:v>
                </c:pt>
                <c:pt idx="160">
                  <c:v>23.639308929443359</c:v>
                </c:pt>
                <c:pt idx="161">
                  <c:v>22.109588623046875</c:v>
                </c:pt>
                <c:pt idx="162">
                  <c:v>20.788602828979492</c:v>
                </c:pt>
                <c:pt idx="163">
                  <c:v>20.036306381225586</c:v>
                </c:pt>
                <c:pt idx="164">
                  <c:v>20.428709030151367</c:v>
                </c:pt>
                <c:pt idx="165">
                  <c:v>18.839662551879883</c:v>
                </c:pt>
                <c:pt idx="166">
                  <c:v>16.840692520141602</c:v>
                </c:pt>
                <c:pt idx="167">
                  <c:v>17.845333099365234</c:v>
                </c:pt>
                <c:pt idx="168">
                  <c:v>18.477119445800781</c:v>
                </c:pt>
                <c:pt idx="169">
                  <c:v>19.193923950195313</c:v>
                </c:pt>
                <c:pt idx="170">
                  <c:v>18.543544769287109</c:v>
                </c:pt>
                <c:pt idx="171">
                  <c:v>17.209827423095703</c:v>
                </c:pt>
                <c:pt idx="172">
                  <c:v>17.438226699829102</c:v>
                </c:pt>
                <c:pt idx="173">
                  <c:v>17.363407135009766</c:v>
                </c:pt>
                <c:pt idx="174">
                  <c:v>16.513418197631836</c:v>
                </c:pt>
                <c:pt idx="175">
                  <c:v>15.704726219177246</c:v>
                </c:pt>
                <c:pt idx="176">
                  <c:v>15.374748229980469</c:v>
                </c:pt>
                <c:pt idx="177">
                  <c:v>14.579689979553223</c:v>
                </c:pt>
                <c:pt idx="178">
                  <c:v>13.167943000793457</c:v>
                </c:pt>
                <c:pt idx="179">
                  <c:v>11.801323890686035</c:v>
                </c:pt>
                <c:pt idx="180">
                  <c:v>9.6126604080200195</c:v>
                </c:pt>
                <c:pt idx="181">
                  <c:v>8.5635690689086914</c:v>
                </c:pt>
                <c:pt idx="182">
                  <c:v>8.7635164260864258</c:v>
                </c:pt>
                <c:pt idx="183">
                  <c:v>7.5381960868835449</c:v>
                </c:pt>
                <c:pt idx="184">
                  <c:v>6.3062276840209961</c:v>
                </c:pt>
                <c:pt idx="185">
                  <c:v>5.2022614479064941</c:v>
                </c:pt>
                <c:pt idx="186">
                  <c:v>5.1915574073791504</c:v>
                </c:pt>
                <c:pt idx="187">
                  <c:v>4.9292984008789063</c:v>
                </c:pt>
                <c:pt idx="188">
                  <c:v>4.2261857986450195</c:v>
                </c:pt>
                <c:pt idx="189">
                  <c:v>3.8519246578216553</c:v>
                </c:pt>
                <c:pt idx="190">
                  <c:v>3.7826838493347168</c:v>
                </c:pt>
                <c:pt idx="191">
                  <c:v>3.5332703590393066</c:v>
                </c:pt>
                <c:pt idx="192">
                  <c:v>3.3932111263275146</c:v>
                </c:pt>
                <c:pt idx="193">
                  <c:v>3.074782133102417</c:v>
                </c:pt>
                <c:pt idx="194">
                  <c:v>3.4364233016967773</c:v>
                </c:pt>
                <c:pt idx="195">
                  <c:v>3.8336143493652344</c:v>
                </c:pt>
                <c:pt idx="196">
                  <c:v>3.1735446453094482</c:v>
                </c:pt>
                <c:pt idx="197">
                  <c:v>2.8309462070465088</c:v>
                </c:pt>
                <c:pt idx="198">
                  <c:v>2.7625505924224854</c:v>
                </c:pt>
                <c:pt idx="199">
                  <c:v>3.2614901065826416</c:v>
                </c:pt>
                <c:pt idx="200">
                  <c:v>3.8218395709991455</c:v>
                </c:pt>
                <c:pt idx="201">
                  <c:v>3.5025091171264648</c:v>
                </c:pt>
                <c:pt idx="202">
                  <c:v>3.0239078998565674</c:v>
                </c:pt>
                <c:pt idx="203">
                  <c:v>3.6608221530914307</c:v>
                </c:pt>
                <c:pt idx="204">
                  <c:v>3.1410369873046875</c:v>
                </c:pt>
                <c:pt idx="205">
                  <c:v>2.8792853355407715</c:v>
                </c:pt>
                <c:pt idx="206">
                  <c:v>3.347069263458252</c:v>
                </c:pt>
                <c:pt idx="207">
                  <c:v>2.8522987365722656</c:v>
                </c:pt>
                <c:pt idx="208">
                  <c:v>2.9671742916107178</c:v>
                </c:pt>
                <c:pt idx="209">
                  <c:v>2.6658725738525391</c:v>
                </c:pt>
                <c:pt idx="210">
                  <c:v>3.0594015121459961</c:v>
                </c:pt>
                <c:pt idx="211">
                  <c:v>2.9107224941253662</c:v>
                </c:pt>
                <c:pt idx="212">
                  <c:v>3.0566411018371582</c:v>
                </c:pt>
                <c:pt idx="213">
                  <c:v>2.8930883407592773</c:v>
                </c:pt>
                <c:pt idx="214">
                  <c:v>2.5488560199737549</c:v>
                </c:pt>
                <c:pt idx="215">
                  <c:v>3.0988953113555908</c:v>
                </c:pt>
                <c:pt idx="216">
                  <c:v>2.6849715709686279</c:v>
                </c:pt>
                <c:pt idx="217">
                  <c:v>2.5252499580383301</c:v>
                </c:pt>
                <c:pt idx="218">
                  <c:v>2.1081712245941162</c:v>
                </c:pt>
                <c:pt idx="219">
                  <c:v>2.003831148147583</c:v>
                </c:pt>
                <c:pt idx="220">
                  <c:v>2.542377233505249</c:v>
                </c:pt>
                <c:pt idx="221">
                  <c:v>2</c:v>
                </c:pt>
                <c:pt idx="222">
                  <c:v>3.2034609317779541</c:v>
                </c:pt>
                <c:pt idx="223">
                  <c:v>3.0144991874694824</c:v>
                </c:pt>
                <c:pt idx="224">
                  <c:v>3.5241434574127197</c:v>
                </c:pt>
                <c:pt idx="225">
                  <c:v>6.0260529518127441</c:v>
                </c:pt>
              </c:numCache>
            </c:numRef>
          </c:yVal>
          <c:smooth val="1"/>
          <c:extLst>
            <c:ext xmlns:c16="http://schemas.microsoft.com/office/drawing/2014/chart" uri="{C3380CC4-5D6E-409C-BE32-E72D297353CC}">
              <c16:uniqueId val="{00000003-C55B-4A1A-87F7-276FE06EA34B}"/>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55.585727691650391</c:v>
                </c:pt>
                <c:pt idx="1">
                  <c:v>55.741680145263672</c:v>
                </c:pt>
                <c:pt idx="2">
                  <c:v>54.860397338867188</c:v>
                </c:pt>
                <c:pt idx="3">
                  <c:v>53.489048004150391</c:v>
                </c:pt>
                <c:pt idx="4">
                  <c:v>51.678470611572266</c:v>
                </c:pt>
                <c:pt idx="5">
                  <c:v>49.409534454345703</c:v>
                </c:pt>
                <c:pt idx="6">
                  <c:v>46.666027069091797</c:v>
                </c:pt>
                <c:pt idx="7">
                  <c:v>43.942905426025391</c:v>
                </c:pt>
                <c:pt idx="8">
                  <c:v>41.745586395263672</c:v>
                </c:pt>
                <c:pt idx="9">
                  <c:v>40.272445678710938</c:v>
                </c:pt>
                <c:pt idx="10">
                  <c:v>39.548824310302734</c:v>
                </c:pt>
                <c:pt idx="11">
                  <c:v>39.103271484375</c:v>
                </c:pt>
                <c:pt idx="12">
                  <c:v>38.605094909667969</c:v>
                </c:pt>
                <c:pt idx="13">
                  <c:v>37.873004913330078</c:v>
                </c:pt>
                <c:pt idx="14">
                  <c:v>36.719593048095703</c:v>
                </c:pt>
                <c:pt idx="15">
                  <c:v>35.194301605224609</c:v>
                </c:pt>
                <c:pt idx="16">
                  <c:v>33.558895111083984</c:v>
                </c:pt>
                <c:pt idx="17">
                  <c:v>31.705888748168945</c:v>
                </c:pt>
                <c:pt idx="18">
                  <c:v>29.83262825012207</c:v>
                </c:pt>
                <c:pt idx="19">
                  <c:v>28.19573974609375</c:v>
                </c:pt>
                <c:pt idx="20">
                  <c:v>27.129753112792969</c:v>
                </c:pt>
                <c:pt idx="21">
                  <c:v>26.713335037231445</c:v>
                </c:pt>
                <c:pt idx="22">
                  <c:v>26.938266754150391</c:v>
                </c:pt>
                <c:pt idx="23">
                  <c:v>27.817346572875977</c:v>
                </c:pt>
                <c:pt idx="24">
                  <c:v>29.358501434326172</c:v>
                </c:pt>
                <c:pt idx="25">
                  <c:v>31.511222839355469</c:v>
                </c:pt>
                <c:pt idx="26">
                  <c:v>34.385646820068359</c:v>
                </c:pt>
                <c:pt idx="27">
                  <c:v>37.804580688476563</c:v>
                </c:pt>
                <c:pt idx="28">
                  <c:v>41.849880218505859</c:v>
                </c:pt>
                <c:pt idx="29">
                  <c:v>46.155139923095703</c:v>
                </c:pt>
                <c:pt idx="30">
                  <c:v>50.914756774902344</c:v>
                </c:pt>
                <c:pt idx="31">
                  <c:v>55.7218017578125</c:v>
                </c:pt>
                <c:pt idx="32">
                  <c:v>60.7567138671875</c:v>
                </c:pt>
                <c:pt idx="33">
                  <c:v>65.785987854003906</c:v>
                </c:pt>
                <c:pt idx="34">
                  <c:v>70.629806518554688</c:v>
                </c:pt>
                <c:pt idx="35">
                  <c:v>75.479888916015625</c:v>
                </c:pt>
                <c:pt idx="36">
                  <c:v>80.146926879882813</c:v>
                </c:pt>
                <c:pt idx="37">
                  <c:v>84.582931518554688</c:v>
                </c:pt>
                <c:pt idx="38">
                  <c:v>88.592002868652344</c:v>
                </c:pt>
                <c:pt idx="39">
                  <c:v>92.285377502441406</c:v>
                </c:pt>
                <c:pt idx="40">
                  <c:v>95.475006103515625</c:v>
                </c:pt>
                <c:pt idx="41">
                  <c:v>97.927017211914063</c:v>
                </c:pt>
                <c:pt idx="42">
                  <c:v>99.461822509765625</c:v>
                </c:pt>
                <c:pt idx="43">
                  <c:v>100</c:v>
                </c:pt>
                <c:pt idx="44">
                  <c:v>99.577461242675781</c:v>
                </c:pt>
                <c:pt idx="45">
                  <c:v>98.180755615234375</c:v>
                </c:pt>
                <c:pt idx="46">
                  <c:v>95.780128479003906</c:v>
                </c:pt>
                <c:pt idx="47">
                  <c:v>92.524032592773438</c:v>
                </c:pt>
                <c:pt idx="48">
                  <c:v>88.421676635742188</c:v>
                </c:pt>
                <c:pt idx="49">
                  <c:v>83.60394287109375</c:v>
                </c:pt>
                <c:pt idx="50">
                  <c:v>78.111061096191406</c:v>
                </c:pt>
                <c:pt idx="51">
                  <c:v>72.124336242675781</c:v>
                </c:pt>
                <c:pt idx="52">
                  <c:v>65.840965270996094</c:v>
                </c:pt>
                <c:pt idx="53">
                  <c:v>59.363887786865234</c:v>
                </c:pt>
                <c:pt idx="54">
                  <c:v>52.670646667480469</c:v>
                </c:pt>
                <c:pt idx="55">
                  <c:v>46.243637084960938</c:v>
                </c:pt>
                <c:pt idx="56">
                  <c:v>40.000480651855469</c:v>
                </c:pt>
                <c:pt idx="57">
                  <c:v>34.138027191162109</c:v>
                </c:pt>
                <c:pt idx="58">
                  <c:v>28.595794677734375</c:v>
                </c:pt>
                <c:pt idx="59">
                  <c:v>23.798246383666992</c:v>
                </c:pt>
                <c:pt idx="60">
                  <c:v>19.630956649780273</c:v>
                </c:pt>
                <c:pt idx="61">
                  <c:v>15.934002876281738</c:v>
                </c:pt>
                <c:pt idx="62">
                  <c:v>12.965081214904785</c:v>
                </c:pt>
                <c:pt idx="63">
                  <c:v>10.422237396240234</c:v>
                </c:pt>
                <c:pt idx="64">
                  <c:v>8.3316764831542969</c:v>
                </c:pt>
                <c:pt idx="65">
                  <c:v>6.7249665260314941</c:v>
                </c:pt>
                <c:pt idx="66">
                  <c:v>5.5986394882202148</c:v>
                </c:pt>
                <c:pt idx="67">
                  <c:v>4.6970558166503906</c:v>
                </c:pt>
                <c:pt idx="68">
                  <c:v>4.0904669761657715</c:v>
                </c:pt>
                <c:pt idx="69">
                  <c:v>3.6819748878479004</c:v>
                </c:pt>
                <c:pt idx="70">
                  <c:v>3.3271710872650146</c:v>
                </c:pt>
                <c:pt idx="71">
                  <c:v>3.0091691017150879</c:v>
                </c:pt>
                <c:pt idx="72">
                  <c:v>2.8273477554321289</c:v>
                </c:pt>
                <c:pt idx="73">
                  <c:v>2.7176334857940674</c:v>
                </c:pt>
                <c:pt idx="74">
                  <c:v>2.6193044185638428</c:v>
                </c:pt>
                <c:pt idx="75">
                  <c:v>2.5967142581939697</c:v>
                </c:pt>
                <c:pt idx="76">
                  <c:v>2.6196999549865723</c:v>
                </c:pt>
                <c:pt idx="77">
                  <c:v>2.5642063617706299</c:v>
                </c:pt>
                <c:pt idx="78">
                  <c:v>2.4529242515563965</c:v>
                </c:pt>
                <c:pt idx="79">
                  <c:v>2.4389142990112305</c:v>
                </c:pt>
                <c:pt idx="80">
                  <c:v>2.4686892032623291</c:v>
                </c:pt>
                <c:pt idx="81">
                  <c:v>2.4520251750946045</c:v>
                </c:pt>
                <c:pt idx="82">
                  <c:v>2.4055361747741699</c:v>
                </c:pt>
                <c:pt idx="83">
                  <c:v>2.4144830703735352</c:v>
                </c:pt>
                <c:pt idx="84">
                  <c:v>2.4550602436065674</c:v>
                </c:pt>
                <c:pt idx="85">
                  <c:v>2.4318230152130127</c:v>
                </c:pt>
                <c:pt idx="86">
                  <c:v>2.3104865550994873</c:v>
                </c:pt>
                <c:pt idx="87">
                  <c:v>2.2582077980041504</c:v>
                </c:pt>
                <c:pt idx="88">
                  <c:v>2.2872633934020996</c:v>
                </c:pt>
                <c:pt idx="89">
                  <c:v>2.3550913333892822</c:v>
                </c:pt>
                <c:pt idx="90">
                  <c:v>2.425544261932373</c:v>
                </c:pt>
                <c:pt idx="91">
                  <c:v>2.3524374961853027</c:v>
                </c:pt>
                <c:pt idx="92">
                  <c:v>2.281099796295166</c:v>
                </c:pt>
                <c:pt idx="93">
                  <c:v>2.2590131759643555</c:v>
                </c:pt>
                <c:pt idx="94">
                  <c:v>2.3436200618743896</c:v>
                </c:pt>
                <c:pt idx="95">
                  <c:v>2.3640382289886475</c:v>
                </c:pt>
                <c:pt idx="96">
                  <c:v>2.2394869327545166</c:v>
                </c:pt>
                <c:pt idx="97">
                  <c:v>2.2084605693817139</c:v>
                </c:pt>
                <c:pt idx="98">
                  <c:v>2.2267642021179199</c:v>
                </c:pt>
                <c:pt idx="99">
                  <c:v>2.2249231338500977</c:v>
                </c:pt>
                <c:pt idx="100">
                  <c:v>2.2691969871520996</c:v>
                </c:pt>
                <c:pt idx="101">
                  <c:v>2.2658240795135498</c:v>
                </c:pt>
                <c:pt idx="102">
                  <c:v>2.2609333992004395</c:v>
                </c:pt>
                <c:pt idx="103">
                  <c:v>2.3089690208435059</c:v>
                </c:pt>
                <c:pt idx="104">
                  <c:v>2.2911975383758545</c:v>
                </c:pt>
                <c:pt idx="105">
                  <c:v>2.2788057327270508</c:v>
                </c:pt>
                <c:pt idx="106">
                  <c:v>2.3207135200500488</c:v>
                </c:pt>
                <c:pt idx="107">
                  <c:v>2.3134424686431885</c:v>
                </c:pt>
                <c:pt idx="108">
                  <c:v>2.3428144454956055</c:v>
                </c:pt>
                <c:pt idx="109">
                  <c:v>2.3590757846832275</c:v>
                </c:pt>
                <c:pt idx="110">
                  <c:v>2.3378305435180664</c:v>
                </c:pt>
                <c:pt idx="111">
                  <c:v>2.3493521213531494</c:v>
                </c:pt>
                <c:pt idx="112">
                  <c:v>2.310227632522583</c:v>
                </c:pt>
                <c:pt idx="113">
                  <c:v>2.2508070468902588</c:v>
                </c:pt>
                <c:pt idx="114">
                  <c:v>2.2118983268737793</c:v>
                </c:pt>
                <c:pt idx="115">
                  <c:v>2.1583034992218018</c:v>
                </c:pt>
                <c:pt idx="116">
                  <c:v>2.2282600402832031</c:v>
                </c:pt>
                <c:pt idx="117">
                  <c:v>2.2929162979125977</c:v>
                </c:pt>
                <c:pt idx="118">
                  <c:v>2.2473478317260742</c:v>
                </c:pt>
                <c:pt idx="119">
                  <c:v>2.329315185546875</c:v>
                </c:pt>
                <c:pt idx="120">
                  <c:v>2.3409590721130371</c:v>
                </c:pt>
                <c:pt idx="121">
                  <c:v>2.2122147083282471</c:v>
                </c:pt>
                <c:pt idx="122">
                  <c:v>2.2273972034454346</c:v>
                </c:pt>
                <c:pt idx="123">
                  <c:v>2.2305614948272705</c:v>
                </c:pt>
                <c:pt idx="124">
                  <c:v>2.2206509113311768</c:v>
                </c:pt>
                <c:pt idx="125">
                  <c:v>2.3290777206420898</c:v>
                </c:pt>
                <c:pt idx="126">
                  <c:v>2.3883616924285889</c:v>
                </c:pt>
                <c:pt idx="127">
                  <c:v>2.3553574085235596</c:v>
                </c:pt>
                <c:pt idx="128">
                  <c:v>2.2352075576782227</c:v>
                </c:pt>
                <c:pt idx="129">
                  <c:v>2.126600980758667</c:v>
                </c:pt>
                <c:pt idx="130">
                  <c:v>2.2113158702850342</c:v>
                </c:pt>
                <c:pt idx="131">
                  <c:v>2.262242317199707</c:v>
                </c:pt>
                <c:pt idx="132">
                  <c:v>2.2311010360717773</c:v>
                </c:pt>
                <c:pt idx="133">
                  <c:v>2.2368762493133545</c:v>
                </c:pt>
                <c:pt idx="134">
                  <c:v>2.2670466899871826</c:v>
                </c:pt>
                <c:pt idx="135">
                  <c:v>2.2907588481903076</c:v>
                </c:pt>
                <c:pt idx="136">
                  <c:v>2.2641770839691162</c:v>
                </c:pt>
                <c:pt idx="137">
                  <c:v>2.3125936985015869</c:v>
                </c:pt>
                <c:pt idx="138">
                  <c:v>2.2551295757293701</c:v>
                </c:pt>
                <c:pt idx="139">
                  <c:v>2.1281616687774658</c:v>
                </c:pt>
                <c:pt idx="140">
                  <c:v>2.1140508651733398</c:v>
                </c:pt>
                <c:pt idx="141">
                  <c:v>2.0830750465393066</c:v>
                </c:pt>
                <c:pt idx="142">
                  <c:v>2.1300532817840576</c:v>
                </c:pt>
                <c:pt idx="143">
                  <c:v>2.2489588260650635</c:v>
                </c:pt>
                <c:pt idx="144">
                  <c:v>2.3115508556365967</c:v>
                </c:pt>
                <c:pt idx="145">
                  <c:v>2.2523534297943115</c:v>
                </c:pt>
                <c:pt idx="146">
                  <c:v>2.3678572177886963</c:v>
                </c:pt>
                <c:pt idx="147">
                  <c:v>2.2672264575958252</c:v>
                </c:pt>
                <c:pt idx="148">
                  <c:v>2.1545851230621338</c:v>
                </c:pt>
                <c:pt idx="149">
                  <c:v>2.1877620220184326</c:v>
                </c:pt>
                <c:pt idx="150">
                  <c:v>2.1247742176055908</c:v>
                </c:pt>
                <c:pt idx="151">
                  <c:v>2.1211709976196289</c:v>
                </c:pt>
                <c:pt idx="152">
                  <c:v>2.1216959953308105</c:v>
                </c:pt>
                <c:pt idx="153">
                  <c:v>2.2124807834625244</c:v>
                </c:pt>
                <c:pt idx="154">
                  <c:v>2.2590563297271729</c:v>
                </c:pt>
                <c:pt idx="155">
                  <c:v>2.2258365154266357</c:v>
                </c:pt>
                <c:pt idx="156">
                  <c:v>2.1060175895690918</c:v>
                </c:pt>
                <c:pt idx="157">
                  <c:v>2.0774579048156738</c:v>
                </c:pt>
                <c:pt idx="158">
                  <c:v>2.1471414566040039</c:v>
                </c:pt>
                <c:pt idx="159">
                  <c:v>2.063347339630127</c:v>
                </c:pt>
                <c:pt idx="160">
                  <c:v>2.0534079074859619</c:v>
                </c:pt>
                <c:pt idx="161">
                  <c:v>2.1446385383605957</c:v>
                </c:pt>
                <c:pt idx="162">
                  <c:v>2.2221901416778564</c:v>
                </c:pt>
                <c:pt idx="163">
                  <c:v>2.1981112957000732</c:v>
                </c:pt>
                <c:pt idx="164">
                  <c:v>2.1757152080535889</c:v>
                </c:pt>
                <c:pt idx="165">
                  <c:v>2.2297418117523193</c:v>
                </c:pt>
                <c:pt idx="166">
                  <c:v>2.1347136497497559</c:v>
                </c:pt>
                <c:pt idx="167">
                  <c:v>2.0995302200317383</c:v>
                </c:pt>
                <c:pt idx="168">
                  <c:v>2.2538061141967773</c:v>
                </c:pt>
                <c:pt idx="169">
                  <c:v>2.2019517421722412</c:v>
                </c:pt>
                <c:pt idx="170">
                  <c:v>2.1352169513702393</c:v>
                </c:pt>
                <c:pt idx="171">
                  <c:v>2.0266823768615723</c:v>
                </c:pt>
                <c:pt idx="172">
                  <c:v>2</c:v>
                </c:pt>
                <c:pt idx="173">
                  <c:v>2.1308372020721436</c:v>
                </c:pt>
                <c:pt idx="174">
                  <c:v>2.1478533744812012</c:v>
                </c:pt>
                <c:pt idx="175">
                  <c:v>2.085944652557373</c:v>
                </c:pt>
                <c:pt idx="176">
                  <c:v>2.1606407165527344</c:v>
                </c:pt>
                <c:pt idx="177">
                  <c:v>2.3118312358856201</c:v>
                </c:pt>
                <c:pt idx="178">
                  <c:v>2.1580014228820801</c:v>
                </c:pt>
                <c:pt idx="179">
                  <c:v>2.1055786609649658</c:v>
                </c:pt>
                <c:pt idx="180">
                  <c:v>2.1131374835968018</c:v>
                </c:pt>
                <c:pt idx="181">
                  <c:v>2.0638937950134277</c:v>
                </c:pt>
                <c:pt idx="182">
                  <c:v>2.1354904174804688</c:v>
                </c:pt>
                <c:pt idx="183">
                  <c:v>2.073178768157959</c:v>
                </c:pt>
                <c:pt idx="184">
                  <c:v>2.034902811050415</c:v>
                </c:pt>
                <c:pt idx="185">
                  <c:v>2.1074342727661133</c:v>
                </c:pt>
                <c:pt idx="186">
                  <c:v>2.2215068340301514</c:v>
                </c:pt>
                <c:pt idx="187">
                  <c:v>2.3371689319610596</c:v>
                </c:pt>
                <c:pt idx="188">
                  <c:v>2.1671783924102783</c:v>
                </c:pt>
                <c:pt idx="189">
                  <c:v>2.1650855541229248</c:v>
                </c:pt>
                <c:pt idx="190">
                  <c:v>2.2232761383056641</c:v>
                </c:pt>
                <c:pt idx="191">
                  <c:v>2.2367322444915771</c:v>
                </c:pt>
                <c:pt idx="192">
                  <c:v>2.2108986377716064</c:v>
                </c:pt>
                <c:pt idx="193">
                  <c:v>2.2100858688354492</c:v>
                </c:pt>
                <c:pt idx="194">
                  <c:v>2.2182776927947998</c:v>
                </c:pt>
                <c:pt idx="195">
                  <c:v>2.1601014137268066</c:v>
                </c:pt>
                <c:pt idx="196">
                  <c:v>2.3312785625457764</c:v>
                </c:pt>
                <c:pt idx="197">
                  <c:v>2.2750225067138672</c:v>
                </c:pt>
                <c:pt idx="198">
                  <c:v>2.1883227825164795</c:v>
                </c:pt>
                <c:pt idx="199">
                  <c:v>2.2347977161407471</c:v>
                </c:pt>
                <c:pt idx="200">
                  <c:v>2.2348983287811279</c:v>
                </c:pt>
                <c:pt idx="201">
                  <c:v>2.2748212814331055</c:v>
                </c:pt>
                <c:pt idx="202">
                  <c:v>2.2064683437347412</c:v>
                </c:pt>
                <c:pt idx="203">
                  <c:v>2.2815384864807129</c:v>
                </c:pt>
                <c:pt idx="204">
                  <c:v>2.2478151321411133</c:v>
                </c:pt>
                <c:pt idx="205">
                  <c:v>2.2975263595581055</c:v>
                </c:pt>
                <c:pt idx="206">
                  <c:v>2.2273323535919189</c:v>
                </c:pt>
                <c:pt idx="207">
                  <c:v>2.2594015598297119</c:v>
                </c:pt>
                <c:pt idx="208">
                  <c:v>2.2309212684631348</c:v>
                </c:pt>
                <c:pt idx="209">
                  <c:v>2.3167147636413574</c:v>
                </c:pt>
                <c:pt idx="210">
                  <c:v>2.3391034603118896</c:v>
                </c:pt>
                <c:pt idx="211">
                  <c:v>2.1941053867340088</c:v>
                </c:pt>
                <c:pt idx="212">
                  <c:v>2.159353494644165</c:v>
                </c:pt>
                <c:pt idx="213">
                  <c:v>2.1549952030181885</c:v>
                </c:pt>
                <c:pt idx="214">
                  <c:v>2.1994562149047852</c:v>
                </c:pt>
                <c:pt idx="215">
                  <c:v>2.037384033203125</c:v>
                </c:pt>
                <c:pt idx="216">
                  <c:v>2.2121212482452393</c:v>
                </c:pt>
                <c:pt idx="217">
                  <c:v>2.2262032032012939</c:v>
                </c:pt>
                <c:pt idx="218">
                  <c:v>2.0761275291442871</c:v>
                </c:pt>
                <c:pt idx="219">
                  <c:v>2.2205502986907959</c:v>
                </c:pt>
                <c:pt idx="220">
                  <c:v>2.2110495567321777</c:v>
                </c:pt>
                <c:pt idx="221">
                  <c:v>2.3186135292053223</c:v>
                </c:pt>
                <c:pt idx="222">
                  <c:v>2.3934175968170166</c:v>
                </c:pt>
                <c:pt idx="223">
                  <c:v>2.3500785827636719</c:v>
                </c:pt>
                <c:pt idx="224">
                  <c:v>2.4086430072784424</c:v>
                </c:pt>
                <c:pt idx="225">
                  <c:v>2.1079521179199219</c:v>
                </c:pt>
              </c:numCache>
            </c:numRef>
          </c:yVal>
          <c:smooth val="1"/>
          <c:extLst>
            <c:ext xmlns:c16="http://schemas.microsoft.com/office/drawing/2014/chart" uri="{C3380CC4-5D6E-409C-BE32-E72D297353CC}">
              <c16:uniqueId val="{00000004-C55B-4A1A-87F7-276FE06EA34B}"/>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53.92596435546875</c:v>
                </c:pt>
                <c:pt idx="1">
                  <c:v>54.142951965332031</c:v>
                </c:pt>
                <c:pt idx="2">
                  <c:v>52.982967376708984</c:v>
                </c:pt>
                <c:pt idx="3">
                  <c:v>51.259494781494141</c:v>
                </c:pt>
                <c:pt idx="4">
                  <c:v>49.121040344238281</c:v>
                </c:pt>
                <c:pt idx="5">
                  <c:v>46.437198638916016</c:v>
                </c:pt>
                <c:pt idx="6">
                  <c:v>43.007728576660156</c:v>
                </c:pt>
                <c:pt idx="7">
                  <c:v>39.498558044433594</c:v>
                </c:pt>
                <c:pt idx="8">
                  <c:v>36.532234191894531</c:v>
                </c:pt>
                <c:pt idx="9">
                  <c:v>34.31036376953125</c:v>
                </c:pt>
                <c:pt idx="10">
                  <c:v>32.922348022460938</c:v>
                </c:pt>
                <c:pt idx="11">
                  <c:v>32.013099670410156</c:v>
                </c:pt>
                <c:pt idx="12">
                  <c:v>31.255100250244141</c:v>
                </c:pt>
                <c:pt idx="13">
                  <c:v>30.460559844970703</c:v>
                </c:pt>
                <c:pt idx="14">
                  <c:v>29.497268676757813</c:v>
                </c:pt>
                <c:pt idx="15">
                  <c:v>28.358795166015625</c:v>
                </c:pt>
                <c:pt idx="16">
                  <c:v>27.217052459716797</c:v>
                </c:pt>
                <c:pt idx="17">
                  <c:v>26.137733459472656</c:v>
                </c:pt>
                <c:pt idx="18">
                  <c:v>25.24473762512207</c:v>
                </c:pt>
                <c:pt idx="19">
                  <c:v>24.596651077270508</c:v>
                </c:pt>
                <c:pt idx="20">
                  <c:v>24.360797882080078</c:v>
                </c:pt>
                <c:pt idx="21">
                  <c:v>24.596431732177734</c:v>
                </c:pt>
                <c:pt idx="22">
                  <c:v>25.364433288574219</c:v>
                </c:pt>
                <c:pt idx="23">
                  <c:v>26.67591667175293</c:v>
                </c:pt>
                <c:pt idx="24">
                  <c:v>28.656757354736328</c:v>
                </c:pt>
                <c:pt idx="25">
                  <c:v>31.243862152099609</c:v>
                </c:pt>
                <c:pt idx="26">
                  <c:v>34.526393890380859</c:v>
                </c:pt>
                <c:pt idx="27">
                  <c:v>38.267154693603516</c:v>
                </c:pt>
                <c:pt idx="28">
                  <c:v>42.570030212402344</c:v>
                </c:pt>
                <c:pt idx="29">
                  <c:v>47.113021850585938</c:v>
                </c:pt>
                <c:pt idx="30">
                  <c:v>52.058452606201172</c:v>
                </c:pt>
                <c:pt idx="31">
                  <c:v>57.055656433105469</c:v>
                </c:pt>
                <c:pt idx="32">
                  <c:v>62.307468414306641</c:v>
                </c:pt>
                <c:pt idx="33">
                  <c:v>67.60064697265625</c:v>
                </c:pt>
                <c:pt idx="34">
                  <c:v>72.683296203613281</c:v>
                </c:pt>
                <c:pt idx="35">
                  <c:v>77.704177856445313</c:v>
                </c:pt>
                <c:pt idx="36">
                  <c:v>82.491561889648438</c:v>
                </c:pt>
                <c:pt idx="37">
                  <c:v>87.0078125</c:v>
                </c:pt>
                <c:pt idx="38">
                  <c:v>90.941162109375</c:v>
                </c:pt>
                <c:pt idx="39">
                  <c:v>94.427955627441406</c:v>
                </c:pt>
                <c:pt idx="40">
                  <c:v>97.193321228027344</c:v>
                </c:pt>
                <c:pt idx="41">
                  <c:v>99.080894470214844</c:v>
                </c:pt>
                <c:pt idx="42">
                  <c:v>99.999992370605469</c:v>
                </c:pt>
                <c:pt idx="43">
                  <c:v>99.895309448242188</c:v>
                </c:pt>
                <c:pt idx="44">
                  <c:v>98.726921081542969</c:v>
                </c:pt>
                <c:pt idx="45">
                  <c:v>96.554710388183594</c:v>
                </c:pt>
                <c:pt idx="46">
                  <c:v>93.453895568847656</c:v>
                </c:pt>
                <c:pt idx="47">
                  <c:v>89.450721740722656</c:v>
                </c:pt>
                <c:pt idx="48">
                  <c:v>84.699249267578125</c:v>
                </c:pt>
                <c:pt idx="49">
                  <c:v>79.291114807128906</c:v>
                </c:pt>
                <c:pt idx="50">
                  <c:v>73.351089477539063</c:v>
                </c:pt>
                <c:pt idx="51">
                  <c:v>67.049087524414063</c:v>
                </c:pt>
                <c:pt idx="52">
                  <c:v>60.481868743896484</c:v>
                </c:pt>
                <c:pt idx="53">
                  <c:v>53.835006713867188</c:v>
                </c:pt>
                <c:pt idx="54">
                  <c:v>47.091072082519531</c:v>
                </c:pt>
                <c:pt idx="55">
                  <c:v>40.717948913574219</c:v>
                </c:pt>
                <c:pt idx="56">
                  <c:v>34.684589385986328</c:v>
                </c:pt>
                <c:pt idx="57">
                  <c:v>29.136428833007813</c:v>
                </c:pt>
                <c:pt idx="58">
                  <c:v>24.04371452331543</c:v>
                </c:pt>
                <c:pt idx="59">
                  <c:v>19.654140472412109</c:v>
                </c:pt>
                <c:pt idx="60">
                  <c:v>15.855818748474121</c:v>
                </c:pt>
                <c:pt idx="61">
                  <c:v>12.617978096008301</c:v>
                </c:pt>
                <c:pt idx="62">
                  <c:v>10.089668273925781</c:v>
                </c:pt>
                <c:pt idx="63">
                  <c:v>8.0189065933227539</c:v>
                </c:pt>
                <c:pt idx="64">
                  <c:v>6.4411172866821289</c:v>
                </c:pt>
                <c:pt idx="65">
                  <c:v>5.228391170501709</c:v>
                </c:pt>
                <c:pt idx="66">
                  <c:v>4.3417940139770508</c:v>
                </c:pt>
                <c:pt idx="67">
                  <c:v>3.6771328449249268</c:v>
                </c:pt>
                <c:pt idx="68">
                  <c:v>3.2041304111480713</c:v>
                </c:pt>
                <c:pt idx="69">
                  <c:v>2.8715591430664063</c:v>
                </c:pt>
                <c:pt idx="70">
                  <c:v>2.6619870662689209</c:v>
                </c:pt>
                <c:pt idx="71">
                  <c:v>2.5152363777160645</c:v>
                </c:pt>
                <c:pt idx="72">
                  <c:v>2.4146802425384521</c:v>
                </c:pt>
                <c:pt idx="73">
                  <c:v>2.333122730255127</c:v>
                </c:pt>
                <c:pt idx="74">
                  <c:v>2.2765204906463623</c:v>
                </c:pt>
                <c:pt idx="75">
                  <c:v>2.2654740810394287</c:v>
                </c:pt>
                <c:pt idx="76">
                  <c:v>2.2475388050079346</c:v>
                </c:pt>
                <c:pt idx="77">
                  <c:v>2.2416698932647705</c:v>
                </c:pt>
                <c:pt idx="78">
                  <c:v>2.2549002170562744</c:v>
                </c:pt>
                <c:pt idx="79">
                  <c:v>2.250269889831543</c:v>
                </c:pt>
                <c:pt idx="80">
                  <c:v>2.2383744716644287</c:v>
                </c:pt>
                <c:pt idx="81">
                  <c:v>2.2495126724243164</c:v>
                </c:pt>
                <c:pt idx="82">
                  <c:v>2.2469043731689453</c:v>
                </c:pt>
                <c:pt idx="83">
                  <c:v>2.2697806358337402</c:v>
                </c:pt>
                <c:pt idx="84">
                  <c:v>2.2858514785766602</c:v>
                </c:pt>
                <c:pt idx="85">
                  <c:v>2.2708835601806641</c:v>
                </c:pt>
                <c:pt idx="86">
                  <c:v>2.2684369087219238</c:v>
                </c:pt>
                <c:pt idx="87">
                  <c:v>2.3255555629730225</c:v>
                </c:pt>
                <c:pt idx="88">
                  <c:v>2.3313326835632324</c:v>
                </c:pt>
                <c:pt idx="89">
                  <c:v>2.2806477546691895</c:v>
                </c:pt>
                <c:pt idx="90">
                  <c:v>2.2721176147460938</c:v>
                </c:pt>
                <c:pt idx="91">
                  <c:v>2.2757635116577148</c:v>
                </c:pt>
                <c:pt idx="92">
                  <c:v>2.2524099349975586</c:v>
                </c:pt>
                <c:pt idx="93">
                  <c:v>2.2424664497375488</c:v>
                </c:pt>
                <c:pt idx="94">
                  <c:v>2.2120211124420166</c:v>
                </c:pt>
                <c:pt idx="95">
                  <c:v>2.2269165515899658</c:v>
                </c:pt>
                <c:pt idx="96">
                  <c:v>2.2323696613311768</c:v>
                </c:pt>
                <c:pt idx="97">
                  <c:v>2.2323958873748779</c:v>
                </c:pt>
                <c:pt idx="98">
                  <c:v>2.2522087097167969</c:v>
                </c:pt>
                <c:pt idx="99">
                  <c:v>2.2448954582214355</c:v>
                </c:pt>
                <c:pt idx="100">
                  <c:v>2.2220408916473389</c:v>
                </c:pt>
                <c:pt idx="101">
                  <c:v>2.2267851829528809</c:v>
                </c:pt>
                <c:pt idx="102">
                  <c:v>2.2430572509765625</c:v>
                </c:pt>
                <c:pt idx="103">
                  <c:v>2.2455124855041504</c:v>
                </c:pt>
                <c:pt idx="104">
                  <c:v>2.2759778499603271</c:v>
                </c:pt>
                <c:pt idx="105">
                  <c:v>2.2772383689880371</c:v>
                </c:pt>
                <c:pt idx="106">
                  <c:v>2.2437620162963867</c:v>
                </c:pt>
                <c:pt idx="107">
                  <c:v>2.2176206111907959</c:v>
                </c:pt>
                <c:pt idx="108">
                  <c:v>2.1949717998504639</c:v>
                </c:pt>
                <c:pt idx="109">
                  <c:v>2.2014448642730713</c:v>
                </c:pt>
                <c:pt idx="110">
                  <c:v>2.1825904846191406</c:v>
                </c:pt>
                <c:pt idx="111">
                  <c:v>2.1754918098449707</c:v>
                </c:pt>
                <c:pt idx="112">
                  <c:v>2.195873498916626</c:v>
                </c:pt>
                <c:pt idx="113">
                  <c:v>2.2316431999206543</c:v>
                </c:pt>
                <c:pt idx="114">
                  <c:v>2.2530272006988525</c:v>
                </c:pt>
                <c:pt idx="115">
                  <c:v>2.2364354133605957</c:v>
                </c:pt>
                <c:pt idx="116">
                  <c:v>2.2429435253143311</c:v>
                </c:pt>
                <c:pt idx="117">
                  <c:v>2.2394378185272217</c:v>
                </c:pt>
                <c:pt idx="118">
                  <c:v>2.2199447154998779</c:v>
                </c:pt>
                <c:pt idx="119">
                  <c:v>2.1862843036651611</c:v>
                </c:pt>
                <c:pt idx="120">
                  <c:v>2.1690363883972168</c:v>
                </c:pt>
                <c:pt idx="121">
                  <c:v>2.2034187316894531</c:v>
                </c:pt>
                <c:pt idx="122">
                  <c:v>2.2110164165496826</c:v>
                </c:pt>
                <c:pt idx="123">
                  <c:v>2.2307109832763672</c:v>
                </c:pt>
                <c:pt idx="124">
                  <c:v>2.2234501838684082</c:v>
                </c:pt>
                <c:pt idx="125">
                  <c:v>2.1943986415863037</c:v>
                </c:pt>
                <c:pt idx="126">
                  <c:v>2.1636662483215332</c:v>
                </c:pt>
                <c:pt idx="127">
                  <c:v>2.138378381729126</c:v>
                </c:pt>
                <c:pt idx="128">
                  <c:v>2.1461031436920166</c:v>
                </c:pt>
                <c:pt idx="129">
                  <c:v>2.1832382678985596</c:v>
                </c:pt>
                <c:pt idx="130">
                  <c:v>2.1869628429412842</c:v>
                </c:pt>
                <c:pt idx="131">
                  <c:v>2.1203601360321045</c:v>
                </c:pt>
                <c:pt idx="132">
                  <c:v>2.1624188423156738</c:v>
                </c:pt>
                <c:pt idx="133">
                  <c:v>2.207134485244751</c:v>
                </c:pt>
                <c:pt idx="134">
                  <c:v>2.2271528244018555</c:v>
                </c:pt>
                <c:pt idx="135">
                  <c:v>2.2610623836517334</c:v>
                </c:pt>
                <c:pt idx="136">
                  <c:v>2.0866780281066895</c:v>
                </c:pt>
                <c:pt idx="137">
                  <c:v>2</c:v>
                </c:pt>
                <c:pt idx="138">
                  <c:v>2.1263341903686523</c:v>
                </c:pt>
                <c:pt idx="139">
                  <c:v>2.1803934574127197</c:v>
                </c:pt>
                <c:pt idx="140">
                  <c:v>2.1555521488189697</c:v>
                </c:pt>
                <c:pt idx="141">
                  <c:v>2.214648962020874</c:v>
                </c:pt>
                <c:pt idx="142">
                  <c:v>2.2097384929656982</c:v>
                </c:pt>
                <c:pt idx="143">
                  <c:v>2.228330135345459</c:v>
                </c:pt>
                <c:pt idx="144">
                  <c:v>2.2686645984649658</c:v>
                </c:pt>
                <c:pt idx="145">
                  <c:v>2.2231919765472412</c:v>
                </c:pt>
                <c:pt idx="146">
                  <c:v>2.2057337760925293</c:v>
                </c:pt>
                <c:pt idx="147">
                  <c:v>2.1836848258972168</c:v>
                </c:pt>
                <c:pt idx="148">
                  <c:v>2.176936149597168</c:v>
                </c:pt>
                <c:pt idx="149">
                  <c:v>2.2002367973327637</c:v>
                </c:pt>
                <c:pt idx="150">
                  <c:v>2.2112438678741455</c:v>
                </c:pt>
                <c:pt idx="151">
                  <c:v>2.2231919765472412</c:v>
                </c:pt>
                <c:pt idx="152">
                  <c:v>2.2556662559509277</c:v>
                </c:pt>
                <c:pt idx="153">
                  <c:v>2.2166316509246826</c:v>
                </c:pt>
                <c:pt idx="154">
                  <c:v>2.1893305778503418</c:v>
                </c:pt>
                <c:pt idx="155">
                  <c:v>2.1912648677825928</c:v>
                </c:pt>
                <c:pt idx="156">
                  <c:v>2.2084648609161377</c:v>
                </c:pt>
                <c:pt idx="157">
                  <c:v>2.1869232654571533</c:v>
                </c:pt>
                <c:pt idx="158">
                  <c:v>2.1939258575439453</c:v>
                </c:pt>
                <c:pt idx="159">
                  <c:v>2.2418363094329834</c:v>
                </c:pt>
                <c:pt idx="160">
                  <c:v>2.2091519832611084</c:v>
                </c:pt>
                <c:pt idx="161">
                  <c:v>2.2502391338348389</c:v>
                </c:pt>
                <c:pt idx="162">
                  <c:v>2.2272446155548096</c:v>
                </c:pt>
                <c:pt idx="163">
                  <c:v>2.1552107334136963</c:v>
                </c:pt>
                <c:pt idx="164">
                  <c:v>2.1854572296142578</c:v>
                </c:pt>
                <c:pt idx="165">
                  <c:v>2.219555139541626</c:v>
                </c:pt>
                <c:pt idx="166">
                  <c:v>2.18174147605896</c:v>
                </c:pt>
                <c:pt idx="167">
                  <c:v>2.1549043655395508</c:v>
                </c:pt>
                <c:pt idx="168">
                  <c:v>2.1809229850769043</c:v>
                </c:pt>
                <c:pt idx="169">
                  <c:v>2.2221066951751709</c:v>
                </c:pt>
                <c:pt idx="170">
                  <c:v>2.2954010963439941</c:v>
                </c:pt>
                <c:pt idx="171">
                  <c:v>2.2509176731109619</c:v>
                </c:pt>
                <c:pt idx="172">
                  <c:v>2.2625024318695068</c:v>
                </c:pt>
                <c:pt idx="173">
                  <c:v>2.2740914821624756</c:v>
                </c:pt>
                <c:pt idx="174">
                  <c:v>2.2365975379943848</c:v>
                </c:pt>
                <c:pt idx="175">
                  <c:v>2.2032260894775391</c:v>
                </c:pt>
                <c:pt idx="176">
                  <c:v>2.2582571506500244</c:v>
                </c:pt>
                <c:pt idx="177">
                  <c:v>2.2681307792663574</c:v>
                </c:pt>
                <c:pt idx="178">
                  <c:v>2.2184433937072754</c:v>
                </c:pt>
                <c:pt idx="179">
                  <c:v>2.2176949977874756</c:v>
                </c:pt>
                <c:pt idx="180">
                  <c:v>2.2240540981292725</c:v>
                </c:pt>
                <c:pt idx="181">
                  <c:v>2.2696669101715088</c:v>
                </c:pt>
                <c:pt idx="182">
                  <c:v>2.2766211032867432</c:v>
                </c:pt>
                <c:pt idx="183">
                  <c:v>2.2241635322570801</c:v>
                </c:pt>
                <c:pt idx="184">
                  <c:v>2.2854881286621094</c:v>
                </c:pt>
                <c:pt idx="185">
                  <c:v>2.2391839027404785</c:v>
                </c:pt>
                <c:pt idx="186">
                  <c:v>2.1930856704711914</c:v>
                </c:pt>
                <c:pt idx="187">
                  <c:v>2.2291879653930664</c:v>
                </c:pt>
                <c:pt idx="188">
                  <c:v>2.1915843486785889</c:v>
                </c:pt>
                <c:pt idx="189">
                  <c:v>2.1930375099182129</c:v>
                </c:pt>
                <c:pt idx="190">
                  <c:v>2.2508432865142822</c:v>
                </c:pt>
                <c:pt idx="191">
                  <c:v>2.2204215526580811</c:v>
                </c:pt>
                <c:pt idx="192">
                  <c:v>2.1846737861633301</c:v>
                </c:pt>
                <c:pt idx="193">
                  <c:v>2.2004776000976563</c:v>
                </c:pt>
                <c:pt idx="194">
                  <c:v>2.2002456188201904</c:v>
                </c:pt>
                <c:pt idx="195">
                  <c:v>2.2273454666137695</c:v>
                </c:pt>
                <c:pt idx="196">
                  <c:v>2.1817808151245117</c:v>
                </c:pt>
                <c:pt idx="197">
                  <c:v>2.1411707401275635</c:v>
                </c:pt>
                <c:pt idx="198">
                  <c:v>2.1635394096374512</c:v>
                </c:pt>
                <c:pt idx="199">
                  <c:v>2.19622802734375</c:v>
                </c:pt>
                <c:pt idx="200">
                  <c:v>2.1748089790344238</c:v>
                </c:pt>
                <c:pt idx="201">
                  <c:v>2.2053837776184082</c:v>
                </c:pt>
                <c:pt idx="202">
                  <c:v>2.2445104122161865</c:v>
                </c:pt>
                <c:pt idx="203">
                  <c:v>2.2467992305755615</c:v>
                </c:pt>
                <c:pt idx="204">
                  <c:v>2.2205486297607422</c:v>
                </c:pt>
                <c:pt idx="205">
                  <c:v>2.1820785999298096</c:v>
                </c:pt>
                <c:pt idx="206">
                  <c:v>2.1772992610931396</c:v>
                </c:pt>
                <c:pt idx="207">
                  <c:v>2.1481513977050781</c:v>
                </c:pt>
                <c:pt idx="208">
                  <c:v>2.1764283180236816</c:v>
                </c:pt>
                <c:pt idx="209">
                  <c:v>2.1839122772216797</c:v>
                </c:pt>
                <c:pt idx="210">
                  <c:v>2.2401425838470459</c:v>
                </c:pt>
                <c:pt idx="211">
                  <c:v>2.2660517692565918</c:v>
                </c:pt>
                <c:pt idx="212">
                  <c:v>2.1816234588623047</c:v>
                </c:pt>
                <c:pt idx="213">
                  <c:v>2.1945736408233643</c:v>
                </c:pt>
                <c:pt idx="214">
                  <c:v>2.1811680793762207</c:v>
                </c:pt>
                <c:pt idx="215">
                  <c:v>2.2120518684387207</c:v>
                </c:pt>
                <c:pt idx="216">
                  <c:v>2.2429523468017578</c:v>
                </c:pt>
                <c:pt idx="217">
                  <c:v>2.2349081039428711</c:v>
                </c:pt>
                <c:pt idx="218">
                  <c:v>2.1858029365539551</c:v>
                </c:pt>
                <c:pt idx="219">
                  <c:v>2.2301769256591797</c:v>
                </c:pt>
                <c:pt idx="220">
                  <c:v>2.3324837684631348</c:v>
                </c:pt>
                <c:pt idx="221">
                  <c:v>2.2049198150634766</c:v>
                </c:pt>
                <c:pt idx="222">
                  <c:v>2.1258089542388916</c:v>
                </c:pt>
                <c:pt idx="223">
                  <c:v>2.2406589984893799</c:v>
                </c:pt>
                <c:pt idx="224">
                  <c:v>2.2473857402801514</c:v>
                </c:pt>
                <c:pt idx="225">
                  <c:v>2.2565240859985352</c:v>
                </c:pt>
              </c:numCache>
            </c:numRef>
          </c:yVal>
          <c:smooth val="1"/>
          <c:extLst>
            <c:ext xmlns:c16="http://schemas.microsoft.com/office/drawing/2014/chart" uri="{C3380CC4-5D6E-409C-BE32-E72D297353CC}">
              <c16:uniqueId val="{00000005-C55B-4A1A-87F7-276FE06EA34B}"/>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100</c:v>
                </c:pt>
                <c:pt idx="1">
                  <c:v>87.120109558105469</c:v>
                </c:pt>
                <c:pt idx="2">
                  <c:v>73.416000366210938</c:v>
                </c:pt>
                <c:pt idx="3">
                  <c:v>60.704277038574219</c:v>
                </c:pt>
                <c:pt idx="4">
                  <c:v>49.853225708007813</c:v>
                </c:pt>
                <c:pt idx="5">
                  <c:v>40.702011108398438</c:v>
                </c:pt>
                <c:pt idx="6">
                  <c:v>32.392601013183594</c:v>
                </c:pt>
                <c:pt idx="7">
                  <c:v>25.43927001953125</c:v>
                </c:pt>
                <c:pt idx="8">
                  <c:v>19.612394332885742</c:v>
                </c:pt>
                <c:pt idx="9">
                  <c:v>14.417017936706543</c:v>
                </c:pt>
                <c:pt idx="10">
                  <c:v>10.30030632019043</c:v>
                </c:pt>
                <c:pt idx="11">
                  <c:v>7.2796883583068848</c:v>
                </c:pt>
                <c:pt idx="12">
                  <c:v>5.2365665435791016</c:v>
                </c:pt>
                <c:pt idx="13">
                  <c:v>3.8889193534851074</c:v>
                </c:pt>
                <c:pt idx="14">
                  <c:v>3.0529284477233887</c:v>
                </c:pt>
                <c:pt idx="15">
                  <c:v>2.5336732864379883</c:v>
                </c:pt>
                <c:pt idx="16">
                  <c:v>2.2499604225158691</c:v>
                </c:pt>
                <c:pt idx="17">
                  <c:v>2.1010787487030029</c:v>
                </c:pt>
                <c:pt idx="18">
                  <c:v>2.0205538272857666</c:v>
                </c:pt>
                <c:pt idx="19">
                  <c:v>2</c:v>
                </c:pt>
                <c:pt idx="20">
                  <c:v>2.0076122283935547</c:v>
                </c:pt>
                <c:pt idx="21">
                  <c:v>2.0281827449798584</c:v>
                </c:pt>
                <c:pt idx="22">
                  <c:v>2.0652954578399658</c:v>
                </c:pt>
                <c:pt idx="23">
                  <c:v>2.1116104125976563</c:v>
                </c:pt>
                <c:pt idx="24">
                  <c:v>2.1486110687255859</c:v>
                </c:pt>
                <c:pt idx="25">
                  <c:v>2.1806700229644775</c:v>
                </c:pt>
                <c:pt idx="26">
                  <c:v>2.2231104373931885</c:v>
                </c:pt>
                <c:pt idx="27">
                  <c:v>2.2672441005706787</c:v>
                </c:pt>
                <c:pt idx="28">
                  <c:v>2.2947921752929688</c:v>
                </c:pt>
                <c:pt idx="29">
                  <c:v>2.3216638565063477</c:v>
                </c:pt>
                <c:pt idx="30">
                  <c:v>2.3413140773773193</c:v>
                </c:pt>
                <c:pt idx="31">
                  <c:v>2.3510992527008057</c:v>
                </c:pt>
                <c:pt idx="32">
                  <c:v>2.3687303066253662</c:v>
                </c:pt>
                <c:pt idx="33">
                  <c:v>2.3846795558929443</c:v>
                </c:pt>
                <c:pt idx="34">
                  <c:v>2.3871114253997803</c:v>
                </c:pt>
                <c:pt idx="35">
                  <c:v>2.3818221092224121</c:v>
                </c:pt>
                <c:pt idx="36">
                  <c:v>2.3772244453430176</c:v>
                </c:pt>
                <c:pt idx="37">
                  <c:v>2.3822245597839355</c:v>
                </c:pt>
                <c:pt idx="38">
                  <c:v>2.3873600959777832</c:v>
                </c:pt>
                <c:pt idx="39">
                  <c:v>2.378448486328125</c:v>
                </c:pt>
                <c:pt idx="40">
                  <c:v>2.3772962093353271</c:v>
                </c:pt>
                <c:pt idx="41">
                  <c:v>2.3777287006378174</c:v>
                </c:pt>
                <c:pt idx="42">
                  <c:v>2.3742516040802002</c:v>
                </c:pt>
                <c:pt idx="43">
                  <c:v>2.3729372024536133</c:v>
                </c:pt>
                <c:pt idx="44">
                  <c:v>2.3651797771453857</c:v>
                </c:pt>
                <c:pt idx="45">
                  <c:v>2.3686401844024658</c:v>
                </c:pt>
                <c:pt idx="46">
                  <c:v>2.3725664615631104</c:v>
                </c:pt>
                <c:pt idx="47">
                  <c:v>2.3702383041381836</c:v>
                </c:pt>
                <c:pt idx="48">
                  <c:v>2.3686885833740234</c:v>
                </c:pt>
                <c:pt idx="49">
                  <c:v>2.3680689334869385</c:v>
                </c:pt>
                <c:pt idx="50">
                  <c:v>2.37325119972229</c:v>
                </c:pt>
                <c:pt idx="51">
                  <c:v>2.3748495578765869</c:v>
                </c:pt>
                <c:pt idx="52">
                  <c:v>2.3770723342895508</c:v>
                </c:pt>
                <c:pt idx="53">
                  <c:v>2.3781545162200928</c:v>
                </c:pt>
                <c:pt idx="54">
                  <c:v>2.3899705410003662</c:v>
                </c:pt>
                <c:pt idx="55">
                  <c:v>2.3993330001831055</c:v>
                </c:pt>
                <c:pt idx="56">
                  <c:v>2.3990473747253418</c:v>
                </c:pt>
                <c:pt idx="57">
                  <c:v>2.3892924785614014</c:v>
                </c:pt>
                <c:pt idx="58">
                  <c:v>2.4017295837402344</c:v>
                </c:pt>
                <c:pt idx="59">
                  <c:v>2.4147295951843262</c:v>
                </c:pt>
                <c:pt idx="60">
                  <c:v>2.4233505725860596</c:v>
                </c:pt>
                <c:pt idx="61">
                  <c:v>2.4336533546447754</c:v>
                </c:pt>
                <c:pt idx="62">
                  <c:v>2.429511547088623</c:v>
                </c:pt>
                <c:pt idx="63">
                  <c:v>2.4293210506439209</c:v>
                </c:pt>
                <c:pt idx="64">
                  <c:v>2.4238364696502686</c:v>
                </c:pt>
                <c:pt idx="65">
                  <c:v>2.4224836826324463</c:v>
                </c:pt>
                <c:pt idx="66">
                  <c:v>2.4319181442260742</c:v>
                </c:pt>
                <c:pt idx="67">
                  <c:v>2.433030366897583</c:v>
                </c:pt>
                <c:pt idx="68">
                  <c:v>2.4453589916229248</c:v>
                </c:pt>
                <c:pt idx="69">
                  <c:v>2.4485487937927246</c:v>
                </c:pt>
                <c:pt idx="70">
                  <c:v>2.4357209205627441</c:v>
                </c:pt>
                <c:pt idx="71">
                  <c:v>2.433250904083252</c:v>
                </c:pt>
                <c:pt idx="72">
                  <c:v>2.4322822093963623</c:v>
                </c:pt>
                <c:pt idx="73">
                  <c:v>2.43121337890625</c:v>
                </c:pt>
                <c:pt idx="74">
                  <c:v>2.4419403076171875</c:v>
                </c:pt>
                <c:pt idx="75">
                  <c:v>2.4424612522125244</c:v>
                </c:pt>
                <c:pt idx="76">
                  <c:v>2.4289169311523438</c:v>
                </c:pt>
                <c:pt idx="77">
                  <c:v>2.4208521842956543</c:v>
                </c:pt>
                <c:pt idx="78">
                  <c:v>2.4378936290740967</c:v>
                </c:pt>
                <c:pt idx="79">
                  <c:v>2.4431159496307373</c:v>
                </c:pt>
                <c:pt idx="80">
                  <c:v>2.4471759796142578</c:v>
                </c:pt>
                <c:pt idx="81">
                  <c:v>2.4548935890197754</c:v>
                </c:pt>
                <c:pt idx="82">
                  <c:v>2.44400954246521</c:v>
                </c:pt>
                <c:pt idx="83">
                  <c:v>2.4264235496520996</c:v>
                </c:pt>
                <c:pt idx="84">
                  <c:v>2.4261112213134766</c:v>
                </c:pt>
                <c:pt idx="85">
                  <c:v>2.4349894523620605</c:v>
                </c:pt>
                <c:pt idx="86">
                  <c:v>2.4304299354553223</c:v>
                </c:pt>
                <c:pt idx="87">
                  <c:v>2.4283709526062012</c:v>
                </c:pt>
                <c:pt idx="88">
                  <c:v>2.4336349964141846</c:v>
                </c:pt>
                <c:pt idx="89">
                  <c:v>2.4296116828918457</c:v>
                </c:pt>
                <c:pt idx="90">
                  <c:v>2.4171679019927979</c:v>
                </c:pt>
                <c:pt idx="91">
                  <c:v>2.4243125915527344</c:v>
                </c:pt>
                <c:pt idx="92">
                  <c:v>2.4324924945831299</c:v>
                </c:pt>
                <c:pt idx="93">
                  <c:v>2.4253981113433838</c:v>
                </c:pt>
                <c:pt idx="94">
                  <c:v>2.4128272533416748</c:v>
                </c:pt>
                <c:pt idx="95">
                  <c:v>2.415471076965332</c:v>
                </c:pt>
                <c:pt idx="96">
                  <c:v>2.4300944805145264</c:v>
                </c:pt>
                <c:pt idx="97">
                  <c:v>2.4343781471252441</c:v>
                </c:pt>
                <c:pt idx="98">
                  <c:v>2.4252426624298096</c:v>
                </c:pt>
                <c:pt idx="99">
                  <c:v>2.4153542518615723</c:v>
                </c:pt>
                <c:pt idx="100">
                  <c:v>2.4275774955749512</c:v>
                </c:pt>
                <c:pt idx="101">
                  <c:v>2.4279882907867432</c:v>
                </c:pt>
                <c:pt idx="102">
                  <c:v>2.4203276634216309</c:v>
                </c:pt>
                <c:pt idx="103">
                  <c:v>2.4184138774871826</c:v>
                </c:pt>
                <c:pt idx="104">
                  <c:v>2.4051582813262939</c:v>
                </c:pt>
                <c:pt idx="105">
                  <c:v>2.4051632881164551</c:v>
                </c:pt>
                <c:pt idx="106">
                  <c:v>2.4157333374023438</c:v>
                </c:pt>
                <c:pt idx="107">
                  <c:v>2.4230749607086182</c:v>
                </c:pt>
                <c:pt idx="108">
                  <c:v>2.4203910827636719</c:v>
                </c:pt>
                <c:pt idx="109">
                  <c:v>2.4316592216491699</c:v>
                </c:pt>
                <c:pt idx="110">
                  <c:v>2.4462826251983643</c:v>
                </c:pt>
                <c:pt idx="111">
                  <c:v>2.4234240055084229</c:v>
                </c:pt>
                <c:pt idx="112">
                  <c:v>2.4043083190917969</c:v>
                </c:pt>
                <c:pt idx="113">
                  <c:v>2.4163880348205566</c:v>
                </c:pt>
                <c:pt idx="114">
                  <c:v>2.4322521686553955</c:v>
                </c:pt>
                <c:pt idx="115">
                  <c:v>2.4345366954803467</c:v>
                </c:pt>
                <c:pt idx="116">
                  <c:v>2.4323639869689941</c:v>
                </c:pt>
                <c:pt idx="117">
                  <c:v>2.436537504196167</c:v>
                </c:pt>
                <c:pt idx="118">
                  <c:v>2.4510154724121094</c:v>
                </c:pt>
                <c:pt idx="119">
                  <c:v>2.44199538230896</c:v>
                </c:pt>
                <c:pt idx="120">
                  <c:v>2.4264652729034424</c:v>
                </c:pt>
                <c:pt idx="121">
                  <c:v>2.4241554737091064</c:v>
                </c:pt>
                <c:pt idx="122">
                  <c:v>2.4213931560516357</c:v>
                </c:pt>
                <c:pt idx="123">
                  <c:v>2.4425816535949707</c:v>
                </c:pt>
                <c:pt idx="124">
                  <c:v>2.4382743835449219</c:v>
                </c:pt>
                <c:pt idx="125">
                  <c:v>2.4188013076782227</c:v>
                </c:pt>
                <c:pt idx="126">
                  <c:v>2.4176003932952881</c:v>
                </c:pt>
                <c:pt idx="127">
                  <c:v>2.4076683521270752</c:v>
                </c:pt>
                <c:pt idx="128">
                  <c:v>2.4126503467559814</c:v>
                </c:pt>
                <c:pt idx="129">
                  <c:v>2.4376766681671143</c:v>
                </c:pt>
                <c:pt idx="130">
                  <c:v>2.4318163394927979</c:v>
                </c:pt>
                <c:pt idx="131">
                  <c:v>2.4158685207366943</c:v>
                </c:pt>
                <c:pt idx="132">
                  <c:v>2.4026381969451904</c:v>
                </c:pt>
                <c:pt idx="133">
                  <c:v>2.3984427452087402</c:v>
                </c:pt>
                <c:pt idx="134">
                  <c:v>2.4323923587799072</c:v>
                </c:pt>
                <c:pt idx="135">
                  <c:v>2.4676430225372314</c:v>
                </c:pt>
                <c:pt idx="136">
                  <c:v>2.650576114654541</c:v>
                </c:pt>
                <c:pt idx="137">
                  <c:v>2.7315452098846436</c:v>
                </c:pt>
                <c:pt idx="138">
                  <c:v>2.5527389049530029</c:v>
                </c:pt>
                <c:pt idx="139">
                  <c:v>2.4262146949768066</c:v>
                </c:pt>
                <c:pt idx="140">
                  <c:v>2.3950526714324951</c:v>
                </c:pt>
                <c:pt idx="141">
                  <c:v>2.4343264102935791</c:v>
                </c:pt>
                <c:pt idx="142">
                  <c:v>2.4634208679199219</c:v>
                </c:pt>
                <c:pt idx="143">
                  <c:v>2.4092667102813721</c:v>
                </c:pt>
                <c:pt idx="144">
                  <c:v>2.4083731174468994</c:v>
                </c:pt>
                <c:pt idx="145">
                  <c:v>2.432579517364502</c:v>
                </c:pt>
                <c:pt idx="146">
                  <c:v>2.4193873405456543</c:v>
                </c:pt>
                <c:pt idx="147">
                  <c:v>2.4620983600616455</c:v>
                </c:pt>
                <c:pt idx="148">
                  <c:v>2.5336499214172363</c:v>
                </c:pt>
                <c:pt idx="149">
                  <c:v>2.5115928649902344</c:v>
                </c:pt>
                <c:pt idx="150">
                  <c:v>2.3948822021484375</c:v>
                </c:pt>
                <c:pt idx="151">
                  <c:v>2.4073176383972168</c:v>
                </c:pt>
                <c:pt idx="152">
                  <c:v>2.4254615306854248</c:v>
                </c:pt>
                <c:pt idx="153">
                  <c:v>2.4175353050231934</c:v>
                </c:pt>
                <c:pt idx="154">
                  <c:v>2.4447660446166992</c:v>
                </c:pt>
                <c:pt idx="155">
                  <c:v>2.4458332061767578</c:v>
                </c:pt>
                <c:pt idx="156">
                  <c:v>2.4157249927520752</c:v>
                </c:pt>
                <c:pt idx="157">
                  <c:v>2.4382393360137939</c:v>
                </c:pt>
                <c:pt idx="158">
                  <c:v>2.4334244728088379</c:v>
                </c:pt>
                <c:pt idx="159">
                  <c:v>2.4030356407165527</c:v>
                </c:pt>
                <c:pt idx="160">
                  <c:v>2.4328901767730713</c:v>
                </c:pt>
                <c:pt idx="161">
                  <c:v>2.4457981586456299</c:v>
                </c:pt>
                <c:pt idx="162">
                  <c:v>2.4470374584197998</c:v>
                </c:pt>
                <c:pt idx="163">
                  <c:v>2.4581301212310791</c:v>
                </c:pt>
                <c:pt idx="164">
                  <c:v>2.4270849227905273</c:v>
                </c:pt>
                <c:pt idx="165">
                  <c:v>2.4112374782562256</c:v>
                </c:pt>
                <c:pt idx="166">
                  <c:v>2.4410717487335205</c:v>
                </c:pt>
                <c:pt idx="167">
                  <c:v>2.4506497383117676</c:v>
                </c:pt>
                <c:pt idx="168">
                  <c:v>2.4515132904052734</c:v>
                </c:pt>
                <c:pt idx="169">
                  <c:v>2.4188847541809082</c:v>
                </c:pt>
                <c:pt idx="170">
                  <c:v>2.4179344177246094</c:v>
                </c:pt>
                <c:pt idx="171">
                  <c:v>2.438488245010376</c:v>
                </c:pt>
                <c:pt idx="172">
                  <c:v>2.4103271961212158</c:v>
                </c:pt>
                <c:pt idx="173">
                  <c:v>2.4286279678344727</c:v>
                </c:pt>
                <c:pt idx="174">
                  <c:v>2.4503607749938965</c:v>
                </c:pt>
                <c:pt idx="175">
                  <c:v>2.4322171211242676</c:v>
                </c:pt>
                <c:pt idx="176">
                  <c:v>2.4350595474243164</c:v>
                </c:pt>
                <c:pt idx="177">
                  <c:v>2.4306821823120117</c:v>
                </c:pt>
                <c:pt idx="178">
                  <c:v>2.4268960952758789</c:v>
                </c:pt>
                <c:pt idx="179">
                  <c:v>2.4071323871612549</c:v>
                </c:pt>
                <c:pt idx="180">
                  <c:v>2.3905951976776123</c:v>
                </c:pt>
                <c:pt idx="181">
                  <c:v>2.3906903266906738</c:v>
                </c:pt>
                <c:pt idx="182">
                  <c:v>2.3978333473205566</c:v>
                </c:pt>
                <c:pt idx="183">
                  <c:v>2.3985097408294678</c:v>
                </c:pt>
                <c:pt idx="184">
                  <c:v>2.4165065288543701</c:v>
                </c:pt>
                <c:pt idx="185">
                  <c:v>2.3913934230804443</c:v>
                </c:pt>
                <c:pt idx="186">
                  <c:v>2.3894877433776855</c:v>
                </c:pt>
                <c:pt idx="187">
                  <c:v>2.3942909240722656</c:v>
                </c:pt>
                <c:pt idx="188">
                  <c:v>2.3773062229156494</c:v>
                </c:pt>
                <c:pt idx="189">
                  <c:v>2.4416496753692627</c:v>
                </c:pt>
                <c:pt idx="190">
                  <c:v>2.4438090324401855</c:v>
                </c:pt>
                <c:pt idx="191">
                  <c:v>2.3977580070495605</c:v>
                </c:pt>
                <c:pt idx="192">
                  <c:v>2.4033846855163574</c:v>
                </c:pt>
                <c:pt idx="193">
                  <c:v>2.3983476161956787</c:v>
                </c:pt>
                <c:pt idx="194">
                  <c:v>2.4358594417572021</c:v>
                </c:pt>
                <c:pt idx="195">
                  <c:v>2.4462056159973145</c:v>
                </c:pt>
                <c:pt idx="196">
                  <c:v>2.4676814079284668</c:v>
                </c:pt>
                <c:pt idx="197">
                  <c:v>2.4445958137512207</c:v>
                </c:pt>
                <c:pt idx="198">
                  <c:v>2.4331488609313965</c:v>
                </c:pt>
                <c:pt idx="199">
                  <c:v>2.4480228424072266</c:v>
                </c:pt>
                <c:pt idx="200">
                  <c:v>2.4610042572021484</c:v>
                </c:pt>
                <c:pt idx="201">
                  <c:v>2.4440979957580566</c:v>
                </c:pt>
                <c:pt idx="202">
                  <c:v>2.3918359279632568</c:v>
                </c:pt>
                <c:pt idx="203">
                  <c:v>2.4584991931915283</c:v>
                </c:pt>
                <c:pt idx="204">
                  <c:v>2.4474315643310547</c:v>
                </c:pt>
                <c:pt idx="205">
                  <c:v>2.4643127918243408</c:v>
                </c:pt>
                <c:pt idx="206">
                  <c:v>2.42746901512146</c:v>
                </c:pt>
                <c:pt idx="207">
                  <c:v>2.4295032024383545</c:v>
                </c:pt>
                <c:pt idx="208">
                  <c:v>2.4071540832519531</c:v>
                </c:pt>
                <c:pt idx="209">
                  <c:v>2.3899405002593994</c:v>
                </c:pt>
                <c:pt idx="210">
                  <c:v>2.394017219543457</c:v>
                </c:pt>
                <c:pt idx="211">
                  <c:v>2.3860139846801758</c:v>
                </c:pt>
                <c:pt idx="212">
                  <c:v>2.4439177513122559</c:v>
                </c:pt>
                <c:pt idx="213">
                  <c:v>2.4029855728149414</c:v>
                </c:pt>
                <c:pt idx="214">
                  <c:v>2.4786205291748047</c:v>
                </c:pt>
                <c:pt idx="215">
                  <c:v>2.4372789859771729</c:v>
                </c:pt>
                <c:pt idx="216">
                  <c:v>2.3995952606201172</c:v>
                </c:pt>
                <c:pt idx="217">
                  <c:v>2.4199469089508057</c:v>
                </c:pt>
                <c:pt idx="218">
                  <c:v>2.3726885318756104</c:v>
                </c:pt>
                <c:pt idx="219">
                  <c:v>2.4018697738647461</c:v>
                </c:pt>
                <c:pt idx="220">
                  <c:v>2.382685661315918</c:v>
                </c:pt>
                <c:pt idx="221">
                  <c:v>2.4550004005432129</c:v>
                </c:pt>
                <c:pt idx="222">
                  <c:v>2.5456912517547607</c:v>
                </c:pt>
                <c:pt idx="223">
                  <c:v>2.4148964881896973</c:v>
                </c:pt>
                <c:pt idx="224">
                  <c:v>2.4798495769500732</c:v>
                </c:pt>
                <c:pt idx="225">
                  <c:v>2.3701748847961426</c:v>
                </c:pt>
              </c:numCache>
            </c:numRef>
          </c:yVal>
          <c:smooth val="1"/>
          <c:extLst>
            <c:ext xmlns:c16="http://schemas.microsoft.com/office/drawing/2014/chart" uri="{C3380CC4-5D6E-409C-BE32-E72D297353CC}">
              <c16:uniqueId val="{00000006-C55B-4A1A-87F7-276FE06EA34B}"/>
            </c:ext>
          </c:extLst>
        </c:ser>
        <c:dLbls>
          <c:showLegendKey val="0"/>
          <c:showVal val="0"/>
          <c:showCatName val="0"/>
          <c:showSerName val="0"/>
          <c:showPercent val="0"/>
          <c:showBubbleSize val="0"/>
        </c:dLbls>
        <c:axId val="1816209824"/>
        <c:axId val="1816210368"/>
      </c:scatterChart>
      <c:valAx>
        <c:axId val="1816209824"/>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0368"/>
        <c:crosses val="autoZero"/>
        <c:crossBetween val="midCat"/>
        <c:majorUnit val="50"/>
      </c:valAx>
      <c:valAx>
        <c:axId val="181621036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9824"/>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5"/>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6"/>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75.732201890212437</c:v>
                </c:pt>
                <c:pt idx="1">
                  <c:v>75.867918337711885</c:v>
                </c:pt>
                <c:pt idx="2">
                  <c:v>72.661617265537146</c:v>
                </c:pt>
                <c:pt idx="3">
                  <c:v>69.30687632890988</c:v>
                </c:pt>
                <c:pt idx="4">
                  <c:v>66.766434077279371</c:v>
                </c:pt>
                <c:pt idx="5">
                  <c:v>64.497424720647757</c:v>
                </c:pt>
                <c:pt idx="6">
                  <c:v>62.22417422503181</c:v>
                </c:pt>
                <c:pt idx="7">
                  <c:v>60.531959770272913</c:v>
                </c:pt>
                <c:pt idx="8">
                  <c:v>59.810966142932038</c:v>
                </c:pt>
                <c:pt idx="9">
                  <c:v>59.441987051292877</c:v>
                </c:pt>
                <c:pt idx="10">
                  <c:v>58.945773790122978</c:v>
                </c:pt>
                <c:pt idx="11">
                  <c:v>58.258709274656965</c:v>
                </c:pt>
                <c:pt idx="12">
                  <c:v>57.813389681299356</c:v>
                </c:pt>
                <c:pt idx="13">
                  <c:v>57.571644759190939</c:v>
                </c:pt>
                <c:pt idx="14">
                  <c:v>57.86004221012729</c:v>
                </c:pt>
                <c:pt idx="15">
                  <c:v>59.128142766450374</c:v>
                </c:pt>
                <c:pt idx="16">
                  <c:v>61.333535038316604</c:v>
                </c:pt>
                <c:pt idx="17">
                  <c:v>63.386246306745932</c:v>
                </c:pt>
                <c:pt idx="18">
                  <c:v>64.81126900549026</c:v>
                </c:pt>
                <c:pt idx="19">
                  <c:v>65.706149331189835</c:v>
                </c:pt>
                <c:pt idx="20">
                  <c:v>66.104816395719496</c:v>
                </c:pt>
                <c:pt idx="21">
                  <c:v>65.604361995565228</c:v>
                </c:pt>
                <c:pt idx="22">
                  <c:v>63.823083622134824</c:v>
                </c:pt>
                <c:pt idx="23">
                  <c:v>60.930626834802574</c:v>
                </c:pt>
                <c:pt idx="24">
                  <c:v>57.469857423566353</c:v>
                </c:pt>
                <c:pt idx="25">
                  <c:v>54.365343687016207</c:v>
                </c:pt>
                <c:pt idx="26">
                  <c:v>52.363526086399169</c:v>
                </c:pt>
                <c:pt idx="27">
                  <c:v>51.400787536949871</c:v>
                </c:pt>
                <c:pt idx="28">
                  <c:v>51.023326167341999</c:v>
                </c:pt>
                <c:pt idx="29">
                  <c:v>50.768857828280517</c:v>
                </c:pt>
                <c:pt idx="30">
                  <c:v>50.488942655312883</c:v>
                </c:pt>
                <c:pt idx="31">
                  <c:v>50.204786343360887</c:v>
                </c:pt>
                <c:pt idx="32">
                  <c:v>49.924871170393253</c:v>
                </c:pt>
                <c:pt idx="33">
                  <c:v>49.70009080422227</c:v>
                </c:pt>
                <c:pt idx="34">
                  <c:v>49.538927522816657</c:v>
                </c:pt>
                <c:pt idx="35">
                  <c:v>49.365040824457971</c:v>
                </c:pt>
                <c:pt idx="36">
                  <c:v>49.182671848130575</c:v>
                </c:pt>
                <c:pt idx="37">
                  <c:v>49.034231983678048</c:v>
                </c:pt>
                <c:pt idx="38">
                  <c:v>48.919721231100375</c:v>
                </c:pt>
                <c:pt idx="39">
                  <c:v>48.826416173444493</c:v>
                </c:pt>
                <c:pt idx="40">
                  <c:v>48.805210478522703</c:v>
                </c:pt>
                <c:pt idx="41">
                  <c:v>48.877309841256789</c:v>
                </c:pt>
                <c:pt idx="42">
                  <c:v>49.025749705709323</c:v>
                </c:pt>
                <c:pt idx="43">
                  <c:v>49.203877543052364</c:v>
                </c:pt>
                <c:pt idx="44">
                  <c:v>49.428657909223347</c:v>
                </c:pt>
                <c:pt idx="45">
                  <c:v>49.674643970316119</c:v>
                </c:pt>
                <c:pt idx="46">
                  <c:v>49.912147753440181</c:v>
                </c:pt>
                <c:pt idx="47">
                  <c:v>50.141169258595511</c:v>
                </c:pt>
                <c:pt idx="48">
                  <c:v>50.395637597657</c:v>
                </c:pt>
                <c:pt idx="49">
                  <c:v>50.684035048593351</c:v>
                </c:pt>
                <c:pt idx="50">
                  <c:v>51.040290723279433</c:v>
                </c:pt>
                <c:pt idx="51">
                  <c:v>51.52378056749626</c:v>
                </c:pt>
                <c:pt idx="52">
                  <c:v>52.058164079525383</c:v>
                </c:pt>
                <c:pt idx="53">
                  <c:v>52.639200120382448</c:v>
                </c:pt>
                <c:pt idx="54">
                  <c:v>53.317782357879743</c:v>
                </c:pt>
                <c:pt idx="55">
                  <c:v>54.038775985220632</c:v>
                </c:pt>
                <c:pt idx="56">
                  <c:v>54.730081639670999</c:v>
                </c:pt>
                <c:pt idx="57">
                  <c:v>55.374734765293439</c:v>
                </c:pt>
                <c:pt idx="58">
                  <c:v>56.040593585837662</c:v>
                </c:pt>
                <c:pt idx="59">
                  <c:v>56.736140379272392</c:v>
                </c:pt>
                <c:pt idx="60">
                  <c:v>57.406240338800984</c:v>
                </c:pt>
                <c:pt idx="61">
                  <c:v>57.999999796611114</c:v>
                </c:pt>
                <c:pt idx="62">
                  <c:v>58.572553559499461</c:v>
                </c:pt>
                <c:pt idx="63">
                  <c:v>59.009390874888354</c:v>
                </c:pt>
                <c:pt idx="64">
                  <c:v>59.552256664886187</c:v>
                </c:pt>
                <c:pt idx="65">
                  <c:v>60.184186373555548</c:v>
                </c:pt>
                <c:pt idx="66">
                  <c:v>60.837321777146698</c:v>
                </c:pt>
                <c:pt idx="67">
                  <c:v>61.405634401050683</c:v>
                </c:pt>
                <c:pt idx="68">
                  <c:v>61.978188163939031</c:v>
                </c:pt>
                <c:pt idx="69">
                  <c:v>62.826415960810657</c:v>
                </c:pt>
                <c:pt idx="70">
                  <c:v>63.814601344166107</c:v>
                </c:pt>
                <c:pt idx="71">
                  <c:v>64.739169642756167</c:v>
                </c:pt>
                <c:pt idx="72">
                  <c:v>65.523780354862424</c:v>
                </c:pt>
                <c:pt idx="73">
                  <c:v>66.11329867368822</c:v>
                </c:pt>
                <c:pt idx="74">
                  <c:v>66.690093575560908</c:v>
                </c:pt>
                <c:pt idx="75">
                  <c:v>67.495909982588955</c:v>
                </c:pt>
                <c:pt idx="76">
                  <c:v>68.289002972663909</c:v>
                </c:pt>
                <c:pt idx="77">
                  <c:v>68.662223203287439</c:v>
                </c:pt>
                <c:pt idx="78">
                  <c:v>68.62829409141257</c:v>
                </c:pt>
                <c:pt idx="79">
                  <c:v>68.976067488129942</c:v>
                </c:pt>
                <c:pt idx="80">
                  <c:v>69.400181386565748</c:v>
                </c:pt>
                <c:pt idx="81">
                  <c:v>69.400181386565748</c:v>
                </c:pt>
                <c:pt idx="82">
                  <c:v>68.696152315162294</c:v>
                </c:pt>
                <c:pt idx="83">
                  <c:v>67.970917548837065</c:v>
                </c:pt>
                <c:pt idx="84">
                  <c:v>67.839442240321958</c:v>
                </c:pt>
                <c:pt idx="85">
                  <c:v>67.958194131883985</c:v>
                </c:pt>
                <c:pt idx="86">
                  <c:v>68.339896640476212</c:v>
                </c:pt>
                <c:pt idx="87">
                  <c:v>68.653740925318729</c:v>
                </c:pt>
                <c:pt idx="88">
                  <c:v>68.874280152505349</c:v>
                </c:pt>
                <c:pt idx="89">
                  <c:v>68.755528260943322</c:v>
                </c:pt>
                <c:pt idx="90">
                  <c:v>68.492577643913108</c:v>
                </c:pt>
                <c:pt idx="91">
                  <c:v>68.055740328524223</c:v>
                </c:pt>
                <c:pt idx="92">
                  <c:v>67.750378321650444</c:v>
                </c:pt>
                <c:pt idx="93">
                  <c:v>67.542562511416889</c:v>
                </c:pt>
                <c:pt idx="94">
                  <c:v>67.355952396105138</c:v>
                </c:pt>
                <c:pt idx="95">
                  <c:v>67.093001779074925</c:v>
                </c:pt>
                <c:pt idx="96">
                  <c:v>66.842774578997805</c:v>
                </c:pt>
                <c:pt idx="97">
                  <c:v>66.84701571798216</c:v>
                </c:pt>
                <c:pt idx="98">
                  <c:v>67.207512531652597</c:v>
                </c:pt>
                <c:pt idx="99">
                  <c:v>67.7546194606348</c:v>
                </c:pt>
                <c:pt idx="100">
                  <c:v>68.229627026882909</c:v>
                </c:pt>
                <c:pt idx="101">
                  <c:v>68.65798206430307</c:v>
                </c:pt>
                <c:pt idx="102">
                  <c:v>69.065131406801456</c:v>
                </c:pt>
                <c:pt idx="103">
                  <c:v>69.226294688207062</c:v>
                </c:pt>
                <c:pt idx="104">
                  <c:v>69.116025074613759</c:v>
                </c:pt>
                <c:pt idx="105">
                  <c:v>68.819145345708691</c:v>
                </c:pt>
                <c:pt idx="106">
                  <c:v>69.620720613752368</c:v>
                </c:pt>
                <c:pt idx="107">
                  <c:v>70.820962946325722</c:v>
                </c:pt>
                <c:pt idx="108">
                  <c:v>71.54195657366661</c:v>
                </c:pt>
                <c:pt idx="109">
                  <c:v>71.35110531937049</c:v>
                </c:pt>
                <c:pt idx="110">
                  <c:v>70.986367366715697</c:v>
                </c:pt>
                <c:pt idx="111">
                  <c:v>71.117842675230804</c:v>
                </c:pt>
                <c:pt idx="112">
                  <c:v>71.287488234605107</c:v>
                </c:pt>
                <c:pt idx="113">
                  <c:v>71.079672424371566</c:v>
                </c:pt>
                <c:pt idx="114">
                  <c:v>70.350196519061967</c:v>
                </c:pt>
                <c:pt idx="115">
                  <c:v>69.574068084924434</c:v>
                </c:pt>
                <c:pt idx="116">
                  <c:v>69.230535827191432</c:v>
                </c:pt>
                <c:pt idx="117">
                  <c:v>69.162677603441693</c:v>
                </c:pt>
                <c:pt idx="118">
                  <c:v>69.022720016957891</c:v>
                </c:pt>
                <c:pt idx="119">
                  <c:v>68.959102932192508</c:v>
                </c:pt>
                <c:pt idx="120">
                  <c:v>69.145713047504259</c:v>
                </c:pt>
                <c:pt idx="121">
                  <c:v>71.754013522884506</c:v>
                </c:pt>
                <c:pt idx="122">
                  <c:v>73.972129211703802</c:v>
                </c:pt>
                <c:pt idx="123">
                  <c:v>74.604058920373163</c:v>
                </c:pt>
                <c:pt idx="124">
                  <c:v>72.971220411395294</c:v>
                </c:pt>
                <c:pt idx="125">
                  <c:v>71.172977482027449</c:v>
                </c:pt>
                <c:pt idx="126">
                  <c:v>70.638593969998325</c:v>
                </c:pt>
                <c:pt idx="127">
                  <c:v>70.104210457969202</c:v>
                </c:pt>
                <c:pt idx="128">
                  <c:v>69.463798471331117</c:v>
                </c:pt>
                <c:pt idx="129">
                  <c:v>69.090578240707615</c:v>
                </c:pt>
                <c:pt idx="130">
                  <c:v>69.544380112033934</c:v>
                </c:pt>
                <c:pt idx="131">
                  <c:v>71.643743909291203</c:v>
                </c:pt>
                <c:pt idx="132">
                  <c:v>72.839745102880187</c:v>
                </c:pt>
                <c:pt idx="133">
                  <c:v>72.937291299520425</c:v>
                </c:pt>
                <c:pt idx="134">
                  <c:v>71.181459759996173</c:v>
                </c:pt>
                <c:pt idx="135">
                  <c:v>69.069372545785825</c:v>
                </c:pt>
                <c:pt idx="136">
                  <c:v>68.19569791500804</c:v>
                </c:pt>
                <c:pt idx="137">
                  <c:v>68.16600994211754</c:v>
                </c:pt>
                <c:pt idx="138">
                  <c:v>68.272038416726488</c:v>
                </c:pt>
                <c:pt idx="139">
                  <c:v>68.395031447272885</c:v>
                </c:pt>
                <c:pt idx="140">
                  <c:v>68.40775486422595</c:v>
                </c:pt>
                <c:pt idx="141">
                  <c:v>68.390790308288516</c:v>
                </c:pt>
                <c:pt idx="142">
                  <c:v>68.352620057429291</c:v>
                </c:pt>
                <c:pt idx="143">
                  <c:v>68.611329535475136</c:v>
                </c:pt>
                <c:pt idx="144">
                  <c:v>70.67676422085755</c:v>
                </c:pt>
                <c:pt idx="145">
                  <c:v>78.55255931481058</c:v>
                </c:pt>
                <c:pt idx="146">
                  <c:v>89.431080809689163</c:v>
                </c:pt>
                <c:pt idx="147">
                  <c:v>88.854285907816461</c:v>
                </c:pt>
                <c:pt idx="148">
                  <c:v>79.298999776057613</c:v>
                </c:pt>
                <c:pt idx="149">
                  <c:v>72.148439448429812</c:v>
                </c:pt>
                <c:pt idx="150">
                  <c:v>70.545288912342443</c:v>
                </c:pt>
                <c:pt idx="151">
                  <c:v>70.655558525935746</c:v>
                </c:pt>
                <c:pt idx="152">
                  <c:v>70.443501576717864</c:v>
                </c:pt>
                <c:pt idx="153">
                  <c:v>69.934564898594871</c:v>
                </c:pt>
                <c:pt idx="154">
                  <c:v>69.926082620626161</c:v>
                </c:pt>
                <c:pt idx="155">
                  <c:v>70.010905400313305</c:v>
                </c:pt>
                <c:pt idx="156">
                  <c:v>70.435019298749125</c:v>
                </c:pt>
                <c:pt idx="157">
                  <c:v>70.566494607264218</c:v>
                </c:pt>
                <c:pt idx="158">
                  <c:v>70.210238932578164</c:v>
                </c:pt>
                <c:pt idx="159">
                  <c:v>69.438351637424972</c:v>
                </c:pt>
                <c:pt idx="160">
                  <c:v>68.751287121958967</c:v>
                </c:pt>
                <c:pt idx="161">
                  <c:v>68.467130810006964</c:v>
                </c:pt>
                <c:pt idx="162">
                  <c:v>68.518024477819267</c:v>
                </c:pt>
                <c:pt idx="163">
                  <c:v>69.001514322036087</c:v>
                </c:pt>
                <c:pt idx="164">
                  <c:v>69.870947813829503</c:v>
                </c:pt>
                <c:pt idx="165">
                  <c:v>70.613147136092181</c:v>
                </c:pt>
                <c:pt idx="166">
                  <c:v>70.664040803904484</c:v>
                </c:pt>
                <c:pt idx="167">
                  <c:v>70.142380708828426</c:v>
                </c:pt>
                <c:pt idx="168">
                  <c:v>69.620720613752368</c:v>
                </c:pt>
                <c:pt idx="169">
                  <c:v>69.815813007032858</c:v>
                </c:pt>
                <c:pt idx="170">
                  <c:v>70.197515515625085</c:v>
                </c:pt>
                <c:pt idx="171">
                  <c:v>70.541047773358088</c:v>
                </c:pt>
                <c:pt idx="172">
                  <c:v>71.363828736323569</c:v>
                </c:pt>
                <c:pt idx="173">
                  <c:v>72.496212845147184</c:v>
                </c:pt>
                <c:pt idx="174">
                  <c:v>72.504695123115894</c:v>
                </c:pt>
                <c:pt idx="175">
                  <c:v>72.322326146788498</c:v>
                </c:pt>
                <c:pt idx="176">
                  <c:v>72.008481861945995</c:v>
                </c:pt>
                <c:pt idx="177">
                  <c:v>71.36806987530791</c:v>
                </c:pt>
                <c:pt idx="178">
                  <c:v>70.90578572601288</c:v>
                </c:pt>
                <c:pt idx="179">
                  <c:v>70.799757251403918</c:v>
                </c:pt>
                <c:pt idx="180">
                  <c:v>70.62587055304526</c:v>
                </c:pt>
                <c:pt idx="181">
                  <c:v>70.375643352968126</c:v>
                </c:pt>
                <c:pt idx="182">
                  <c:v>70.630111692029601</c:v>
                </c:pt>
                <c:pt idx="183">
                  <c:v>71.283247095620766</c:v>
                </c:pt>
                <c:pt idx="184">
                  <c:v>80.418660467928149</c:v>
                </c:pt>
                <c:pt idx="185">
                  <c:v>97.001513896768429</c:v>
                </c:pt>
                <c:pt idx="186">
                  <c:v>99.999999158709613</c:v>
                </c:pt>
                <c:pt idx="187">
                  <c:v>89.982428877655735</c:v>
                </c:pt>
                <c:pt idx="188">
                  <c:v>77.598303043329992</c:v>
                </c:pt>
                <c:pt idx="189">
                  <c:v>72.394425509522577</c:v>
                </c:pt>
                <c:pt idx="190">
                  <c:v>70.990608505700052</c:v>
                </c:pt>
                <c:pt idx="191">
                  <c:v>70.910026864997249</c:v>
                </c:pt>
                <c:pt idx="192">
                  <c:v>70.939714837887749</c:v>
                </c:pt>
                <c:pt idx="193">
                  <c:v>71.206906593902318</c:v>
                </c:pt>
                <c:pt idx="194">
                  <c:v>71.444410377026358</c:v>
                </c:pt>
                <c:pt idx="195">
                  <c:v>71.435928099057648</c:v>
                </c:pt>
                <c:pt idx="196">
                  <c:v>71.257800261714621</c:v>
                </c:pt>
                <c:pt idx="197">
                  <c:v>71.168736343043093</c:v>
                </c:pt>
                <c:pt idx="198">
                  <c:v>71.185700898980514</c:v>
                </c:pt>
                <c:pt idx="199">
                  <c:v>71.270523678667701</c:v>
                </c:pt>
                <c:pt idx="200">
                  <c:v>71.266282539683331</c:v>
                </c:pt>
                <c:pt idx="201">
                  <c:v>71.270523678667701</c:v>
                </c:pt>
                <c:pt idx="202">
                  <c:v>71.274764817652041</c:v>
                </c:pt>
                <c:pt idx="203">
                  <c:v>71.270523678667701</c:v>
                </c:pt>
                <c:pt idx="204">
                  <c:v>71.393516709214069</c:v>
                </c:pt>
                <c:pt idx="205">
                  <c:v>71.57164454655711</c:v>
                </c:pt>
                <c:pt idx="206">
                  <c:v>71.694637577103492</c:v>
                </c:pt>
                <c:pt idx="207">
                  <c:v>71.79218377374373</c:v>
                </c:pt>
                <c:pt idx="208">
                  <c:v>71.987276167024191</c:v>
                </c:pt>
                <c:pt idx="209">
                  <c:v>72.195091977257746</c:v>
                </c:pt>
                <c:pt idx="210">
                  <c:v>72.279914756944919</c:v>
                </c:pt>
                <c:pt idx="211">
                  <c:v>72.343531841710302</c:v>
                </c:pt>
                <c:pt idx="212">
                  <c:v>72.373219814600802</c:v>
                </c:pt>
                <c:pt idx="213">
                  <c:v>72.43683689936617</c:v>
                </c:pt>
                <c:pt idx="214">
                  <c:v>72.585276763818712</c:v>
                </c:pt>
                <c:pt idx="215">
                  <c:v>72.67009954350587</c:v>
                </c:pt>
                <c:pt idx="216">
                  <c:v>72.742198906239949</c:v>
                </c:pt>
                <c:pt idx="217">
                  <c:v>73.022114079207583</c:v>
                </c:pt>
                <c:pt idx="218">
                  <c:v>73.458951394596482</c:v>
                </c:pt>
                <c:pt idx="219">
                  <c:v>73.55649759123672</c:v>
                </c:pt>
                <c:pt idx="220">
                  <c:v>73.564979869205416</c:v>
                </c:pt>
                <c:pt idx="221">
                  <c:v>73.734625428579747</c:v>
                </c:pt>
                <c:pt idx="222">
                  <c:v>73.827930486235644</c:v>
                </c:pt>
                <c:pt idx="223">
                  <c:v>73.654043787876944</c:v>
                </c:pt>
                <c:pt idx="224">
                  <c:v>73.242653306394203</c:v>
                </c:pt>
                <c:pt idx="225">
                  <c:v>73.000908384285793</c:v>
                </c:pt>
                <c:pt idx="226">
                  <c:v>72.945773577489135</c:v>
                </c:pt>
                <c:pt idx="227">
                  <c:v>73.013631801238873</c:v>
                </c:pt>
                <c:pt idx="228">
                  <c:v>73.136624831785255</c:v>
                </c:pt>
                <c:pt idx="229">
                  <c:v>73.179036221628834</c:v>
                </c:pt>
                <c:pt idx="230">
                  <c:v>73.196000777566269</c:v>
                </c:pt>
                <c:pt idx="231">
                  <c:v>73.259617862331652</c:v>
                </c:pt>
                <c:pt idx="232">
                  <c:v>73.361405197956245</c:v>
                </c:pt>
                <c:pt idx="233">
                  <c:v>73.463192533580823</c:v>
                </c:pt>
                <c:pt idx="234">
                  <c:v>73.560738730221075</c:v>
                </c:pt>
                <c:pt idx="235">
                  <c:v>73.641320370923879</c:v>
                </c:pt>
                <c:pt idx="236">
                  <c:v>73.696455177720537</c:v>
                </c:pt>
                <c:pt idx="237">
                  <c:v>73.730384289595392</c:v>
                </c:pt>
                <c:pt idx="238">
                  <c:v>73.730384289595392</c:v>
                </c:pt>
                <c:pt idx="239">
                  <c:v>73.755831123501551</c:v>
                </c:pt>
                <c:pt idx="240">
                  <c:v>73.80672479131384</c:v>
                </c:pt>
                <c:pt idx="241">
                  <c:v>73.976370350688171</c:v>
                </c:pt>
                <c:pt idx="242">
                  <c:v>74.162980465999937</c:v>
                </c:pt>
                <c:pt idx="243">
                  <c:v>74.468342472873701</c:v>
                </c:pt>
                <c:pt idx="244">
                  <c:v>75.38018735451071</c:v>
                </c:pt>
                <c:pt idx="245">
                  <c:v>75.761889863102937</c:v>
                </c:pt>
                <c:pt idx="246">
                  <c:v>75.931535422477253</c:v>
                </c:pt>
                <c:pt idx="247">
                  <c:v>75.40987532740121</c:v>
                </c:pt>
                <c:pt idx="248">
                  <c:v>74.939108900137455</c:v>
                </c:pt>
                <c:pt idx="249">
                  <c:v>74.811874730606718</c:v>
                </c:pt>
                <c:pt idx="250">
                  <c:v>74.994243706934128</c:v>
                </c:pt>
                <c:pt idx="251">
                  <c:v>75.163889266308445</c:v>
                </c:pt>
                <c:pt idx="252">
                  <c:v>75.261435462948683</c:v>
                </c:pt>
                <c:pt idx="253">
                  <c:v>75.117236737480496</c:v>
                </c:pt>
                <c:pt idx="254">
                  <c:v>74.892456371309521</c:v>
                </c:pt>
                <c:pt idx="255">
                  <c:v>74.69736397802906</c:v>
                </c:pt>
                <c:pt idx="256">
                  <c:v>74.667676005138532</c:v>
                </c:pt>
                <c:pt idx="257">
                  <c:v>74.799151313653638</c:v>
                </c:pt>
                <c:pt idx="258">
                  <c:v>74.977279150996694</c:v>
                </c:pt>
                <c:pt idx="259">
                  <c:v>75.096031042558707</c:v>
                </c:pt>
                <c:pt idx="260">
                  <c:v>75.172371544277155</c:v>
                </c:pt>
                <c:pt idx="261">
                  <c:v>75.163889266308445</c:v>
                </c:pt>
                <c:pt idx="262">
                  <c:v>75.138442432402286</c:v>
                </c:pt>
                <c:pt idx="263">
                  <c:v>75.117236737480496</c:v>
                </c:pt>
                <c:pt idx="264">
                  <c:v>75.083307625605642</c:v>
                </c:pt>
                <c:pt idx="265">
                  <c:v>75.062101930683852</c:v>
                </c:pt>
                <c:pt idx="266">
                  <c:v>75.002725984902838</c:v>
                </c:pt>
                <c:pt idx="267">
                  <c:v>74.9051797882626</c:v>
                </c:pt>
                <c:pt idx="268">
                  <c:v>74.786427896700559</c:v>
                </c:pt>
                <c:pt idx="269">
                  <c:v>74.629505754279322</c:v>
                </c:pt>
                <c:pt idx="270">
                  <c:v>74.48954816779549</c:v>
                </c:pt>
                <c:pt idx="271">
                  <c:v>74.332626025374239</c:v>
                </c:pt>
                <c:pt idx="272">
                  <c:v>74.205391855843502</c:v>
                </c:pt>
                <c:pt idx="273">
                  <c:v>74.107845659203264</c:v>
                </c:pt>
                <c:pt idx="274">
                  <c:v>73.938200099828947</c:v>
                </c:pt>
                <c:pt idx="275">
                  <c:v>73.721902011626668</c:v>
                </c:pt>
                <c:pt idx="276">
                  <c:v>73.450469116627758</c:v>
                </c:pt>
                <c:pt idx="277">
                  <c:v>73.1620716656914</c:v>
                </c:pt>
                <c:pt idx="278">
                  <c:v>72.966979272410939</c:v>
                </c:pt>
                <c:pt idx="279">
                  <c:v>72.843986241864542</c:v>
                </c:pt>
                <c:pt idx="280">
                  <c:v>72.860950797801991</c:v>
                </c:pt>
                <c:pt idx="281">
                  <c:v>72.90336218764557</c:v>
                </c:pt>
                <c:pt idx="282">
                  <c:v>73.026355218191938</c:v>
                </c:pt>
                <c:pt idx="283">
                  <c:v>73.276582418269086</c:v>
                </c:pt>
                <c:pt idx="284">
                  <c:v>73.212965333503703</c:v>
                </c:pt>
                <c:pt idx="285">
                  <c:v>73.077248886004242</c:v>
                </c:pt>
                <c:pt idx="286">
                  <c:v>72.665858404521501</c:v>
                </c:pt>
                <c:pt idx="287">
                  <c:v>72.267191339991854</c:v>
                </c:pt>
                <c:pt idx="288">
                  <c:v>71.944864777180626</c:v>
                </c:pt>
                <c:pt idx="289">
                  <c:v>71.656467326244268</c:v>
                </c:pt>
                <c:pt idx="290">
                  <c:v>71.3595875973392</c:v>
                </c:pt>
                <c:pt idx="291">
                  <c:v>71.062707868434131</c:v>
                </c:pt>
                <c:pt idx="292">
                  <c:v>70.748863583591643</c:v>
                </c:pt>
                <c:pt idx="293">
                  <c:v>70.456224993670929</c:v>
                </c:pt>
                <c:pt idx="294">
                  <c:v>70.142380708828426</c:v>
                </c:pt>
                <c:pt idx="295">
                  <c:v>69.781883895157975</c:v>
                </c:pt>
                <c:pt idx="296">
                  <c:v>69.408663664534473</c:v>
                </c:pt>
                <c:pt idx="297">
                  <c:v>68.967585210161218</c:v>
                </c:pt>
                <c:pt idx="298">
                  <c:v>68.445925115085174</c:v>
                </c:pt>
                <c:pt idx="299">
                  <c:v>69.425628220471907</c:v>
                </c:pt>
                <c:pt idx="300">
                  <c:v>78.166615667233984</c:v>
                </c:pt>
                <c:pt idx="301">
                  <c:v>81.466221797064605</c:v>
                </c:pt>
                <c:pt idx="302">
                  <c:v>83.68009634689956</c:v>
                </c:pt>
                <c:pt idx="303">
                  <c:v>79.159042189573796</c:v>
                </c:pt>
                <c:pt idx="304">
                  <c:v>70.744622444607273</c:v>
                </c:pt>
                <c:pt idx="305">
                  <c:v>66.830051162044725</c:v>
                </c:pt>
                <c:pt idx="306">
                  <c:v>65.163283541191987</c:v>
                </c:pt>
                <c:pt idx="307">
                  <c:v>64.289608910414216</c:v>
                </c:pt>
                <c:pt idx="308">
                  <c:v>63.449863391511315</c:v>
                </c:pt>
                <c:pt idx="309">
                  <c:v>62.673734957373775</c:v>
                </c:pt>
                <c:pt idx="310">
                  <c:v>61.973947024954676</c:v>
                </c:pt>
                <c:pt idx="311">
                  <c:v>61.31657048237917</c:v>
                </c:pt>
                <c:pt idx="312">
                  <c:v>60.731293302537743</c:v>
                </c:pt>
                <c:pt idx="313">
                  <c:v>60.129051566758889</c:v>
                </c:pt>
                <c:pt idx="314">
                  <c:v>59.539533247933115</c:v>
                </c:pt>
                <c:pt idx="315">
                  <c:v>58.920326956216826</c:v>
                </c:pt>
                <c:pt idx="316">
                  <c:v>58.18236877293851</c:v>
                </c:pt>
                <c:pt idx="317">
                  <c:v>57.35958780997305</c:v>
                </c:pt>
                <c:pt idx="318">
                  <c:v>56.418054955445541</c:v>
                </c:pt>
                <c:pt idx="319">
                  <c:v>55.544380324667763</c:v>
                </c:pt>
                <c:pt idx="320">
                  <c:v>54.721599361702275</c:v>
                </c:pt>
                <c:pt idx="321">
                  <c:v>53.54680386303508</c:v>
                </c:pt>
                <c:pt idx="322">
                  <c:v>52.308391279602517</c:v>
                </c:pt>
                <c:pt idx="323">
                  <c:v>50.785822384217944</c:v>
                </c:pt>
                <c:pt idx="324">
                  <c:v>49.466828160082571</c:v>
                </c:pt>
                <c:pt idx="325">
                  <c:v>48.283550383446652</c:v>
                </c:pt>
                <c:pt idx="326">
                  <c:v>47.172371969544827</c:v>
                </c:pt>
                <c:pt idx="327">
                  <c:v>45.840654328456374</c:v>
                </c:pt>
                <c:pt idx="328">
                  <c:v>44.237503792369004</c:v>
                </c:pt>
                <c:pt idx="329">
                  <c:v>42.345955805345284</c:v>
                </c:pt>
                <c:pt idx="330">
                  <c:v>40.301726814884667</c:v>
                </c:pt>
                <c:pt idx="331">
                  <c:v>38.28718579731455</c:v>
                </c:pt>
                <c:pt idx="332">
                  <c:v>36.357467559431605</c:v>
                </c:pt>
                <c:pt idx="333">
                  <c:v>34.516813240220188</c:v>
                </c:pt>
                <c:pt idx="334">
                  <c:v>32.735534866789777</c:v>
                </c:pt>
                <c:pt idx="335">
                  <c:v>30.950015354375005</c:v>
                </c:pt>
                <c:pt idx="336">
                  <c:v>29.177219258913308</c:v>
                </c:pt>
                <c:pt idx="337">
                  <c:v>27.417146580404687</c:v>
                </c:pt>
                <c:pt idx="338">
                  <c:v>25.631627067989918</c:v>
                </c:pt>
                <c:pt idx="339">
                  <c:v>23.892760084403086</c:v>
                </c:pt>
                <c:pt idx="340">
                  <c:v>23.379582267295749</c:v>
                </c:pt>
                <c:pt idx="341">
                  <c:v>23.010603175656595</c:v>
                </c:pt>
                <c:pt idx="342">
                  <c:v>21.687367812536859</c:v>
                </c:pt>
                <c:pt idx="343">
                  <c:v>18.760981913329758</c:v>
                </c:pt>
                <c:pt idx="344">
                  <c:v>15.3638295868589</c:v>
                </c:pt>
                <c:pt idx="345">
                  <c:v>13.446834765929028</c:v>
                </c:pt>
                <c:pt idx="346">
                  <c:v>12.115117124840575</c:v>
                </c:pt>
                <c:pt idx="347">
                  <c:v>10.774917205783407</c:v>
                </c:pt>
                <c:pt idx="348">
                  <c:v>9.2438660324301285</c:v>
                </c:pt>
                <c:pt idx="349">
                  <c:v>7.8146021947014415</c:v>
                </c:pt>
                <c:pt idx="350">
                  <c:v>6.6228421400968065</c:v>
                </c:pt>
                <c:pt idx="351">
                  <c:v>5.5583162550229197</c:v>
                </c:pt>
                <c:pt idx="352">
                  <c:v>4.582854288620549</c:v>
                </c:pt>
                <c:pt idx="353">
                  <c:v>3.7261442137802083</c:v>
                </c:pt>
                <c:pt idx="354">
                  <c:v>3.0136328644080392</c:v>
                </c:pt>
                <c:pt idx="355">
                  <c:v>2.4622847964414873</c:v>
                </c:pt>
                <c:pt idx="356">
                  <c:v>2.000000647146452</c:v>
                </c:pt>
              </c:numCache>
            </c:numRef>
          </c:yVal>
          <c:smooth val="1"/>
          <c:extLst>
            <c:ext xmlns:c16="http://schemas.microsoft.com/office/drawing/2014/chart" uri="{C3380CC4-5D6E-409C-BE32-E72D297353CC}">
              <c16:uniqueId val="{00000000-0B7A-4B2F-BFF6-096568D6F33F}"/>
            </c:ext>
          </c:extLst>
        </c:ser>
        <c:dLbls>
          <c:showLegendKey val="0"/>
          <c:showVal val="0"/>
          <c:showCatName val="0"/>
          <c:showSerName val="0"/>
          <c:showPercent val="0"/>
          <c:showBubbleSize val="0"/>
        </c:dLbls>
        <c:axId val="1816210912"/>
        <c:axId val="1816211456"/>
      </c:scatterChart>
      <c:scatterChart>
        <c:scatterStyle val="smoothMarker"/>
        <c:varyColors val="0"/>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14.095728358110209</c:v>
                </c:pt>
                <c:pt idx="1">
                  <c:v>10.821569062185739</c:v>
                </c:pt>
                <c:pt idx="2">
                  <c:v>8.3277793393831612</c:v>
                </c:pt>
                <c:pt idx="3">
                  <c:v>7.8018781053227553</c:v>
                </c:pt>
                <c:pt idx="4">
                  <c:v>7.9630413867283636</c:v>
                </c:pt>
                <c:pt idx="5">
                  <c:v>8.2387154207116424</c:v>
                </c:pt>
                <c:pt idx="6">
                  <c:v>8.0648287223529582</c:v>
                </c:pt>
                <c:pt idx="7">
                  <c:v>7.6619205188389374</c:v>
                </c:pt>
                <c:pt idx="8">
                  <c:v>7.5134806543864023</c:v>
                </c:pt>
                <c:pt idx="9">
                  <c:v>7.2929414271997794</c:v>
                </c:pt>
                <c:pt idx="10">
                  <c:v>6.5125718540778852</c:v>
                </c:pt>
                <c:pt idx="11">
                  <c:v>5.4056345791604148</c:v>
                </c:pt>
                <c:pt idx="12">
                  <c:v>4.7312934806474729</c:v>
                </c:pt>
                <c:pt idx="13">
                  <c:v>4.9348681518966631</c:v>
                </c:pt>
                <c:pt idx="14">
                  <c:v>6.2453800980633236</c:v>
                </c:pt>
                <c:pt idx="15">
                  <c:v>8.8494394344592102</c:v>
                </c:pt>
                <c:pt idx="16">
                  <c:v>12.208421510070846</c:v>
                </c:pt>
                <c:pt idx="17">
                  <c:v>15.139048548262309</c:v>
                </c:pt>
                <c:pt idx="18">
                  <c:v>17.123901592941912</c:v>
                </c:pt>
                <c:pt idx="19">
                  <c:v>18.408966705202424</c:v>
                </c:pt>
                <c:pt idx="20">
                  <c:v>19.142683749496378</c:v>
                </c:pt>
                <c:pt idx="21">
                  <c:v>18.930626800278471</c:v>
                </c:pt>
                <c:pt idx="22">
                  <c:v>17.217206650597788</c:v>
                </c:pt>
                <c:pt idx="23">
                  <c:v>14.184792276781732</c:v>
                </c:pt>
                <c:pt idx="24">
                  <c:v>10.427143136640433</c:v>
                </c:pt>
                <c:pt idx="25">
                  <c:v>6.9027566406388328</c:v>
                </c:pt>
                <c:pt idx="26">
                  <c:v>4.5998181721323714</c:v>
                </c:pt>
                <c:pt idx="27">
                  <c:v>3.5522568429959147</c:v>
                </c:pt>
                <c:pt idx="28">
                  <c:v>3.1366252225288189</c:v>
                </c:pt>
                <c:pt idx="29">
                  <c:v>2.971220802138852</c:v>
                </c:pt>
                <c:pt idx="30">
                  <c:v>2.8482277715924664</c:v>
                </c:pt>
                <c:pt idx="31">
                  <c:v>2.7125113240930068</c:v>
                </c:pt>
                <c:pt idx="32">
                  <c:v>2.5895182935466208</c:v>
                </c:pt>
                <c:pt idx="33">
                  <c:v>2.4792486799533098</c:v>
                </c:pt>
                <c:pt idx="34">
                  <c:v>2.3986670392505052</c:v>
                </c:pt>
                <c:pt idx="35">
                  <c:v>2.3138442595633428</c:v>
                </c:pt>
                <c:pt idx="36">
                  <c:v>2.2332626188605387</c:v>
                </c:pt>
                <c:pt idx="37">
                  <c:v>2.1569221171420923</c:v>
                </c:pt>
                <c:pt idx="38">
                  <c:v>2.084822754408004</c:v>
                </c:pt>
                <c:pt idx="39">
                  <c:v>2.0381702255800649</c:v>
                </c:pt>
                <c:pt idx="40">
                  <c:v>2.0127233916739162</c:v>
                </c:pt>
                <c:pt idx="41">
                  <c:v>1.9999999747208419</c:v>
                </c:pt>
                <c:pt idx="42">
                  <c:v>1.9999999747208419</c:v>
                </c:pt>
                <c:pt idx="43">
                  <c:v>2.0127233916739162</c:v>
                </c:pt>
                <c:pt idx="44">
                  <c:v>2.0424113645644231</c:v>
                </c:pt>
                <c:pt idx="45">
                  <c:v>2.084822754408004</c:v>
                </c:pt>
                <c:pt idx="46">
                  <c:v>2.13995756120466</c:v>
                </c:pt>
                <c:pt idx="47">
                  <c:v>2.1993335069856736</c:v>
                </c:pt>
                <c:pt idx="48">
                  <c:v>2.2671917307354037</c:v>
                </c:pt>
                <c:pt idx="49">
                  <c:v>2.3392910934694915</c:v>
                </c:pt>
                <c:pt idx="50">
                  <c:v>2.4453195680784447</c:v>
                </c:pt>
                <c:pt idx="51">
                  <c:v>2.5555891816717562</c:v>
                </c:pt>
                <c:pt idx="52">
                  <c:v>2.6828233512024995</c:v>
                </c:pt>
                <c:pt idx="53">
                  <c:v>2.8567100495611824</c:v>
                </c:pt>
                <c:pt idx="54">
                  <c:v>3.0136321919824334</c:v>
                </c:pt>
                <c:pt idx="55">
                  <c:v>3.1960011683098326</c:v>
                </c:pt>
                <c:pt idx="56">
                  <c:v>3.3910935615903064</c:v>
                </c:pt>
                <c:pt idx="57">
                  <c:v>3.5989093718238543</c:v>
                </c:pt>
                <c:pt idx="58">
                  <c:v>3.8448954329166254</c:v>
                </c:pt>
                <c:pt idx="59">
                  <c:v>4.0908814940093965</c:v>
                </c:pt>
                <c:pt idx="60">
                  <c:v>4.2774916093211548</c:v>
                </c:pt>
                <c:pt idx="61">
                  <c:v>4.4301726127580467</c:v>
                </c:pt>
                <c:pt idx="62">
                  <c:v>4.565889060257506</c:v>
                </c:pt>
                <c:pt idx="63">
                  <c:v>4.6252650060385205</c:v>
                </c:pt>
                <c:pt idx="64">
                  <c:v>4.6931232297882506</c:v>
                </c:pt>
                <c:pt idx="65">
                  <c:v>4.8076339823659193</c:v>
                </c:pt>
                <c:pt idx="66">
                  <c:v>4.9433504298653794</c:v>
                </c:pt>
                <c:pt idx="67">
                  <c:v>5.0833080163491982</c:v>
                </c:pt>
                <c:pt idx="68">
                  <c:v>5.2402301587704478</c:v>
                </c:pt>
                <c:pt idx="69">
                  <c:v>5.4480459690039966</c:v>
                </c:pt>
                <c:pt idx="70">
                  <c:v>5.6940320300967668</c:v>
                </c:pt>
                <c:pt idx="71">
                  <c:v>5.910330118299032</c:v>
                </c:pt>
                <c:pt idx="72">
                  <c:v>6.1393516234543695</c:v>
                </c:pt>
                <c:pt idx="73">
                  <c:v>6.2920326268912632</c:v>
                </c:pt>
                <c:pt idx="74">
                  <c:v>6.4277490743907224</c:v>
                </c:pt>
                <c:pt idx="75">
                  <c:v>6.5804300778276152</c:v>
                </c:pt>
                <c:pt idx="76">
                  <c:v>6.7288699422801495</c:v>
                </c:pt>
                <c:pt idx="77">
                  <c:v>6.7543167761862977</c:v>
                </c:pt>
                <c:pt idx="78">
                  <c:v>6.7034231083740003</c:v>
                </c:pt>
                <c:pt idx="79">
                  <c:v>6.7924870270455209</c:v>
                </c:pt>
                <c:pt idx="80">
                  <c:v>6.8688275287639673</c:v>
                </c:pt>
                <c:pt idx="81">
                  <c:v>6.8942743626701164</c:v>
                </c:pt>
                <c:pt idx="82">
                  <c:v>6.8561041118108923</c:v>
                </c:pt>
                <c:pt idx="83">
                  <c:v>6.9154800575919069</c:v>
                </c:pt>
                <c:pt idx="84">
                  <c:v>7.119054728841097</c:v>
                </c:pt>
                <c:pt idx="85">
                  <c:v>7.2844591492310631</c:v>
                </c:pt>
                <c:pt idx="86">
                  <c:v>7.4456224306366723</c:v>
                </c:pt>
                <c:pt idx="87">
                  <c:v>7.4880338204802532</c:v>
                </c:pt>
                <c:pt idx="88">
                  <c:v>7.4668281255584636</c:v>
                </c:pt>
                <c:pt idx="89">
                  <c:v>7.3353528170433604</c:v>
                </c:pt>
                <c:pt idx="90">
                  <c:v>7.2250832034500494</c:v>
                </c:pt>
                <c:pt idx="91">
                  <c:v>7.1911540915751848</c:v>
                </c:pt>
                <c:pt idx="92">
                  <c:v>7.216600925481333</c:v>
                </c:pt>
                <c:pt idx="93">
                  <c:v>7.1275370068098134</c:v>
                </c:pt>
                <c:pt idx="94">
                  <c:v>6.9663737254042042</c:v>
                </c:pt>
                <c:pt idx="95">
                  <c:v>6.8476218338421768</c:v>
                </c:pt>
                <c:pt idx="96">
                  <c:v>6.8645863897796087</c:v>
                </c:pt>
                <c:pt idx="97">
                  <c:v>7.008785115247786</c:v>
                </c:pt>
                <c:pt idx="98">
                  <c:v>7.271735732277989</c:v>
                </c:pt>
                <c:pt idx="99">
                  <c:v>7.5558920442299842</c:v>
                </c:pt>
                <c:pt idx="100">
                  <c:v>7.861254051103769</c:v>
                </c:pt>
                <c:pt idx="101">
                  <c:v>8.0605875833685996</c:v>
                </c:pt>
                <c:pt idx="102">
                  <c:v>8.1750983359462701</c:v>
                </c:pt>
                <c:pt idx="103">
                  <c:v>8.1750983359462701</c:v>
                </c:pt>
                <c:pt idx="104">
                  <c:v>8.1496515020401219</c:v>
                </c:pt>
                <c:pt idx="105">
                  <c:v>7.9757648036814377</c:v>
                </c:pt>
                <c:pt idx="106">
                  <c:v>7.8103603832914708</c:v>
                </c:pt>
                <c:pt idx="107">
                  <c:v>7.9121477189160663</c:v>
                </c:pt>
                <c:pt idx="108">
                  <c:v>8.3574673122736698</c:v>
                </c:pt>
                <c:pt idx="109">
                  <c:v>8.5949710953977245</c:v>
                </c:pt>
                <c:pt idx="110">
                  <c:v>8.5695242614915745</c:v>
                </c:pt>
                <c:pt idx="111">
                  <c:v>8.6204179293038727</c:v>
                </c:pt>
                <c:pt idx="112">
                  <c:v>8.7985457666469138</c:v>
                </c:pt>
                <c:pt idx="113">
                  <c:v>8.8494394344592102</c:v>
                </c:pt>
                <c:pt idx="114">
                  <c:v>8.6119356513351573</c:v>
                </c:pt>
                <c:pt idx="115">
                  <c:v>8.2175097257898511</c:v>
                </c:pt>
                <c:pt idx="116">
                  <c:v>7.8782186070412017</c:v>
                </c:pt>
                <c:pt idx="117">
                  <c:v>7.6746439357920107</c:v>
                </c:pt>
                <c:pt idx="118">
                  <c:v>7.6619205188389374</c:v>
                </c:pt>
                <c:pt idx="119">
                  <c:v>7.7976369663383958</c:v>
                </c:pt>
                <c:pt idx="120">
                  <c:v>7.9842470816501541</c:v>
                </c:pt>
                <c:pt idx="121">
                  <c:v>9.2311419430514441</c:v>
                </c:pt>
                <c:pt idx="122">
                  <c:v>10.210845048438168</c:v>
                </c:pt>
                <c:pt idx="123">
                  <c:v>10.427143136640433</c:v>
                </c:pt>
                <c:pt idx="124">
                  <c:v>9.6552558414872554</c:v>
                </c:pt>
                <c:pt idx="125">
                  <c:v>8.8918508243027929</c:v>
                </c:pt>
                <c:pt idx="126">
                  <c:v>8.7391698208659001</c:v>
                </c:pt>
                <c:pt idx="127">
                  <c:v>8.5737654004759314</c:v>
                </c:pt>
                <c:pt idx="128">
                  <c:v>8.3574673122736698</c:v>
                </c:pt>
                <c:pt idx="129">
                  <c:v>8.1920628918837028</c:v>
                </c:pt>
                <c:pt idx="130">
                  <c:v>8.302332505477013</c:v>
                </c:pt>
                <c:pt idx="131">
                  <c:v>8.8621628514122861</c:v>
                </c:pt>
                <c:pt idx="132">
                  <c:v>9.3498938346134697</c:v>
                </c:pt>
                <c:pt idx="133">
                  <c:v>9.6086033126593158</c:v>
                </c:pt>
                <c:pt idx="134">
                  <c:v>9.1675248582860718</c:v>
                </c:pt>
                <c:pt idx="135">
                  <c:v>8.3574673122736698</c:v>
                </c:pt>
                <c:pt idx="136">
                  <c:v>7.8230838002445449</c:v>
                </c:pt>
                <c:pt idx="137">
                  <c:v>7.6704027968076529</c:v>
                </c:pt>
                <c:pt idx="138">
                  <c:v>7.7128141866512347</c:v>
                </c:pt>
                <c:pt idx="139">
                  <c:v>7.8103603832914708</c:v>
                </c:pt>
                <c:pt idx="140">
                  <c:v>7.8358072171976199</c:v>
                </c:pt>
                <c:pt idx="141">
                  <c:v>7.9842470816501541</c:v>
                </c:pt>
                <c:pt idx="142">
                  <c:v>8.2217508647742079</c:v>
                </c:pt>
                <c:pt idx="143">
                  <c:v>8.3532261732893112</c:v>
                </c:pt>
                <c:pt idx="144">
                  <c:v>9.3329292786760369</c:v>
                </c:pt>
                <c:pt idx="145">
                  <c:v>20.771281119489895</c:v>
                </c:pt>
                <c:pt idx="146">
                  <c:v>39.907300216913747</c:v>
                </c:pt>
                <c:pt idx="147">
                  <c:v>40.166009694959591</c:v>
                </c:pt>
                <c:pt idx="148">
                  <c:v>24.673128985099371</c:v>
                </c:pt>
                <c:pt idx="149">
                  <c:v>12.802180967880982</c:v>
                </c:pt>
                <c:pt idx="150">
                  <c:v>9.1717659972704304</c:v>
                </c:pt>
                <c:pt idx="151">
                  <c:v>8.9088153802402239</c:v>
                </c:pt>
                <c:pt idx="152">
                  <c:v>8.8451982954748534</c:v>
                </c:pt>
                <c:pt idx="153">
                  <c:v>8.6204179293038727</c:v>
                </c:pt>
                <c:pt idx="154">
                  <c:v>8.5440774275854263</c:v>
                </c:pt>
                <c:pt idx="155">
                  <c:v>8.4168432580546835</c:v>
                </c:pt>
                <c:pt idx="156">
                  <c:v>8.7603755157876897</c:v>
                </c:pt>
                <c:pt idx="157">
                  <c:v>9.0318084107866117</c:v>
                </c:pt>
                <c:pt idx="158">
                  <c:v>8.9300210751620153</c:v>
                </c:pt>
                <c:pt idx="159">
                  <c:v>8.382914146179818</c:v>
                </c:pt>
                <c:pt idx="160">
                  <c:v>7.7933958273540389</c:v>
                </c:pt>
                <c:pt idx="161">
                  <c:v>7.5262040713394773</c:v>
                </c:pt>
                <c:pt idx="162">
                  <c:v>7.5770977391517746</c:v>
                </c:pt>
                <c:pt idx="163">
                  <c:v>8.302332505477013</c:v>
                </c:pt>
                <c:pt idx="164">
                  <c:v>9.0106027158648203</c:v>
                </c:pt>
                <c:pt idx="165">
                  <c:v>9.0148438548491789</c:v>
                </c:pt>
                <c:pt idx="166">
                  <c:v>8.505907176726204</c:v>
                </c:pt>
                <c:pt idx="167">
                  <c:v>8.0733110003216737</c:v>
                </c:pt>
                <c:pt idx="168">
                  <c:v>7.8824597460255585</c:v>
                </c:pt>
                <c:pt idx="169">
                  <c:v>7.958800247744005</c:v>
                </c:pt>
                <c:pt idx="170">
                  <c:v>8.0860344172747496</c:v>
                </c:pt>
                <c:pt idx="171">
                  <c:v>8.2387154207116424</c:v>
                </c:pt>
                <c:pt idx="172">
                  <c:v>9.0614963836771167</c:v>
                </c:pt>
                <c:pt idx="173">
                  <c:v>10.325355801015839</c:v>
                </c:pt>
                <c:pt idx="174">
                  <c:v>10.448348831562223</c:v>
                </c:pt>
                <c:pt idx="175">
                  <c:v>10.910632980857258</c:v>
                </c:pt>
                <c:pt idx="176">
                  <c:v>11.080278540231584</c:v>
                </c:pt>
                <c:pt idx="177">
                  <c:v>10.244774160313034</c:v>
                </c:pt>
                <c:pt idx="178">
                  <c:v>9.5195393939877953</c:v>
                </c:pt>
                <c:pt idx="179">
                  <c:v>9.4219931973475575</c:v>
                </c:pt>
                <c:pt idx="180">
                  <c:v>9.1208723294581304</c:v>
                </c:pt>
                <c:pt idx="181">
                  <c:v>8.5313540106323522</c:v>
                </c:pt>
                <c:pt idx="182">
                  <c:v>8.2175097257898511</c:v>
                </c:pt>
                <c:pt idx="183">
                  <c:v>8.4168432580546835</c:v>
                </c:pt>
                <c:pt idx="184">
                  <c:v>26.204180158452655</c:v>
                </c:pt>
                <c:pt idx="185">
                  <c:v>59.539532575507501</c:v>
                </c:pt>
                <c:pt idx="186">
                  <c:v>65.930929024935196</c:v>
                </c:pt>
                <c:pt idx="187">
                  <c:v>45.518327093219547</c:v>
                </c:pt>
                <c:pt idx="188">
                  <c:v>20.487124807537903</c:v>
                </c:pt>
                <c:pt idx="189">
                  <c:v>10.244774160313034</c:v>
                </c:pt>
                <c:pt idx="190">
                  <c:v>7.8994243019629913</c:v>
                </c:pt>
                <c:pt idx="191">
                  <c:v>7.8782186070412017</c:v>
                </c:pt>
                <c:pt idx="192">
                  <c:v>7.916388857900424</c:v>
                </c:pt>
                <c:pt idx="193">
                  <c:v>7.8824597460255585</c:v>
                </c:pt>
                <c:pt idx="194">
                  <c:v>7.8146015222758285</c:v>
                </c:pt>
                <c:pt idx="195">
                  <c:v>7.7637078544635312</c:v>
                </c:pt>
                <c:pt idx="196">
                  <c:v>7.7891546883696803</c:v>
                </c:pt>
                <c:pt idx="197">
                  <c:v>7.9630413867283636</c:v>
                </c:pt>
                <c:pt idx="198">
                  <c:v>8.0224173325093773</c:v>
                </c:pt>
                <c:pt idx="199">
                  <c:v>7.9630413867283636</c:v>
                </c:pt>
                <c:pt idx="200">
                  <c:v>7.8146015222758285</c:v>
                </c:pt>
                <c:pt idx="201">
                  <c:v>7.7509844375104571</c:v>
                </c:pt>
                <c:pt idx="202">
                  <c:v>7.7425021595417407</c:v>
                </c:pt>
                <c:pt idx="203">
                  <c:v>7.7425021595417407</c:v>
                </c:pt>
                <c:pt idx="204">
                  <c:v>7.8273249392289035</c:v>
                </c:pt>
                <c:pt idx="205">
                  <c:v>8.0351407494624514</c:v>
                </c:pt>
                <c:pt idx="206">
                  <c:v>8.0902755562591082</c:v>
                </c:pt>
                <c:pt idx="207">
                  <c:v>7.9333534138378567</c:v>
                </c:pt>
                <c:pt idx="208">
                  <c:v>7.8146015222758285</c:v>
                </c:pt>
                <c:pt idx="209">
                  <c:v>7.7933958273540389</c:v>
                </c:pt>
                <c:pt idx="210">
                  <c:v>7.8061192443071121</c:v>
                </c:pt>
                <c:pt idx="211">
                  <c:v>7.8273249392289035</c:v>
                </c:pt>
                <c:pt idx="212">
                  <c:v>7.8358072171976199</c:v>
                </c:pt>
                <c:pt idx="213">
                  <c:v>7.8273249392289035</c:v>
                </c:pt>
                <c:pt idx="214">
                  <c:v>7.8527717731350526</c:v>
                </c:pt>
                <c:pt idx="215">
                  <c:v>7.8994243019629913</c:v>
                </c:pt>
                <c:pt idx="216">
                  <c:v>7.9630413867283636</c:v>
                </c:pt>
                <c:pt idx="217">
                  <c:v>8.01393505454066</c:v>
                </c:pt>
                <c:pt idx="218">
                  <c:v>8.0181761935250186</c:v>
                </c:pt>
                <c:pt idx="219">
                  <c:v>7.9927293596188704</c:v>
                </c:pt>
                <c:pt idx="220">
                  <c:v>7.9884882206345127</c:v>
                </c:pt>
                <c:pt idx="221">
                  <c:v>8.0181761935250186</c:v>
                </c:pt>
                <c:pt idx="222">
                  <c:v>8.0181761935250186</c:v>
                </c:pt>
                <c:pt idx="223">
                  <c:v>8.0054527765719445</c:v>
                </c:pt>
                <c:pt idx="224">
                  <c:v>7.9672825257127213</c:v>
                </c:pt>
                <c:pt idx="225">
                  <c:v>7.9884882206345127</c:v>
                </c:pt>
                <c:pt idx="226">
                  <c:v>8.0860344172747496</c:v>
                </c:pt>
                <c:pt idx="227">
                  <c:v>8.1878217528993424</c:v>
                </c:pt>
                <c:pt idx="228">
                  <c:v>8.2302331427429252</c:v>
                </c:pt>
                <c:pt idx="229">
                  <c:v>8.1538926410244805</c:v>
                </c:pt>
                <c:pt idx="230">
                  <c:v>8.0605875833685996</c:v>
                </c:pt>
                <c:pt idx="231">
                  <c:v>8.01393505454066</c:v>
                </c:pt>
                <c:pt idx="232">
                  <c:v>8.0012116375875877</c:v>
                </c:pt>
                <c:pt idx="233">
                  <c:v>8.0181761935250186</c:v>
                </c:pt>
                <c:pt idx="234">
                  <c:v>8.03938188844681</c:v>
                </c:pt>
                <c:pt idx="235">
                  <c:v>8.0563464443842427</c:v>
                </c:pt>
                <c:pt idx="236">
                  <c:v>8.0733110003216737</c:v>
                </c:pt>
                <c:pt idx="237">
                  <c:v>8.0945166952434651</c:v>
                </c:pt>
                <c:pt idx="238">
                  <c:v>8.1326869461026892</c:v>
                </c:pt>
                <c:pt idx="239">
                  <c:v>8.1793394749306287</c:v>
                </c:pt>
                <c:pt idx="240">
                  <c:v>8.1920628918837028</c:v>
                </c:pt>
                <c:pt idx="241">
                  <c:v>8.2302331427429252</c:v>
                </c:pt>
                <c:pt idx="242">
                  <c:v>8.2641622546177906</c:v>
                </c:pt>
                <c:pt idx="243">
                  <c:v>8.3277793393831612</c:v>
                </c:pt>
                <c:pt idx="244">
                  <c:v>8.5398362886010695</c:v>
                </c:pt>
                <c:pt idx="245">
                  <c:v>8.6119356513351573</c:v>
                </c:pt>
                <c:pt idx="246">
                  <c:v>8.645864763210021</c:v>
                </c:pt>
                <c:pt idx="247">
                  <c:v>8.4847014818044126</c:v>
                </c:pt>
                <c:pt idx="248">
                  <c:v>8.3320204783675216</c:v>
                </c:pt>
                <c:pt idx="249">
                  <c:v>8.2726445325865079</c:v>
                </c:pt>
                <c:pt idx="250">
                  <c:v>8.2768856715708647</c:v>
                </c:pt>
                <c:pt idx="251">
                  <c:v>8.2980913664926561</c:v>
                </c:pt>
                <c:pt idx="252">
                  <c:v>8.3405027563362353</c:v>
                </c:pt>
                <c:pt idx="253">
                  <c:v>8.3532261732893112</c:v>
                </c:pt>
                <c:pt idx="254">
                  <c:v>8.3617084512580266</c:v>
                </c:pt>
                <c:pt idx="255">
                  <c:v>8.3701907292267439</c:v>
                </c:pt>
                <c:pt idx="256">
                  <c:v>8.4083609800859662</c:v>
                </c:pt>
                <c:pt idx="257">
                  <c:v>8.4422900919608317</c:v>
                </c:pt>
                <c:pt idx="258">
                  <c:v>8.4550135089139058</c:v>
                </c:pt>
                <c:pt idx="259">
                  <c:v>8.4634957868826213</c:v>
                </c:pt>
                <c:pt idx="260">
                  <c:v>8.4889426207887695</c:v>
                </c:pt>
                <c:pt idx="261">
                  <c:v>8.505907176726204</c:v>
                </c:pt>
                <c:pt idx="262">
                  <c:v>8.5780065394602918</c:v>
                </c:pt>
                <c:pt idx="263">
                  <c:v>8.6501059021943796</c:v>
                </c:pt>
                <c:pt idx="264">
                  <c:v>8.6713115971161709</c:v>
                </c:pt>
                <c:pt idx="265">
                  <c:v>8.7264464039128242</c:v>
                </c:pt>
                <c:pt idx="266">
                  <c:v>8.6840350140692451</c:v>
                </c:pt>
                <c:pt idx="267">
                  <c:v>8.645864763210021</c:v>
                </c:pt>
                <c:pt idx="268">
                  <c:v>8.62890020727259</c:v>
                </c:pt>
                <c:pt idx="269">
                  <c:v>8.6076945123507969</c:v>
                </c:pt>
                <c:pt idx="270">
                  <c:v>8.6119356513351573</c:v>
                </c:pt>
                <c:pt idx="271">
                  <c:v>8.60345337336644</c:v>
                </c:pt>
                <c:pt idx="272">
                  <c:v>8.5992122343820832</c:v>
                </c:pt>
                <c:pt idx="273">
                  <c:v>8.6373824852413055</c:v>
                </c:pt>
                <c:pt idx="274">
                  <c:v>8.6713115971161709</c:v>
                </c:pt>
                <c:pt idx="275">
                  <c:v>8.6882761530536037</c:v>
                </c:pt>
                <c:pt idx="276">
                  <c:v>8.6797938750848864</c:v>
                </c:pt>
                <c:pt idx="277">
                  <c:v>8.6840350140692451</c:v>
                </c:pt>
                <c:pt idx="278">
                  <c:v>8.6882761530536037</c:v>
                </c:pt>
                <c:pt idx="279">
                  <c:v>8.7264464039128242</c:v>
                </c:pt>
                <c:pt idx="280">
                  <c:v>8.8197514615687034</c:v>
                </c:pt>
                <c:pt idx="281">
                  <c:v>8.8876096853184343</c:v>
                </c:pt>
                <c:pt idx="282">
                  <c:v>8.9342622141463721</c:v>
                </c:pt>
                <c:pt idx="283">
                  <c:v>8.9172976582089412</c:v>
                </c:pt>
                <c:pt idx="284">
                  <c:v>8.9088153802402239</c:v>
                </c:pt>
                <c:pt idx="285">
                  <c:v>8.9130565192245825</c:v>
                </c:pt>
                <c:pt idx="286">
                  <c:v>8.9215387971932998</c:v>
                </c:pt>
                <c:pt idx="287">
                  <c:v>8.946985631099448</c:v>
                </c:pt>
                <c:pt idx="288">
                  <c:v>8.9681913260212376</c:v>
                </c:pt>
                <c:pt idx="289">
                  <c:v>8.9893970209430289</c:v>
                </c:pt>
                <c:pt idx="290">
                  <c:v>9.0021204378961031</c:v>
                </c:pt>
                <c:pt idx="291">
                  <c:v>9.0275672718022513</c:v>
                </c:pt>
                <c:pt idx="292">
                  <c:v>9.0572552446927599</c:v>
                </c:pt>
                <c:pt idx="293">
                  <c:v>9.1039077735206995</c:v>
                </c:pt>
                <c:pt idx="294">
                  <c:v>9.1760071362547873</c:v>
                </c:pt>
                <c:pt idx="295">
                  <c:v>9.1887305532078614</c:v>
                </c:pt>
                <c:pt idx="296">
                  <c:v>9.2438653600045164</c:v>
                </c:pt>
                <c:pt idx="297">
                  <c:v>9.2608299159419509</c:v>
                </c:pt>
                <c:pt idx="298">
                  <c:v>9.2141773871140096</c:v>
                </c:pt>
                <c:pt idx="299">
                  <c:v>9.1887305532078614</c:v>
                </c:pt>
                <c:pt idx="300">
                  <c:v>9.2141773871140096</c:v>
                </c:pt>
                <c:pt idx="301">
                  <c:v>9.2735533328950233</c:v>
                </c:pt>
                <c:pt idx="302">
                  <c:v>9.3202058617229628</c:v>
                </c:pt>
                <c:pt idx="303">
                  <c:v>9.371099529535261</c:v>
                </c:pt>
                <c:pt idx="304">
                  <c:v>9.3965463634414093</c:v>
                </c:pt>
                <c:pt idx="305">
                  <c:v>9.4304754753162747</c:v>
                </c:pt>
                <c:pt idx="306">
                  <c:v>9.4389577532849884</c:v>
                </c:pt>
                <c:pt idx="307">
                  <c:v>9.4601634482067798</c:v>
                </c:pt>
                <c:pt idx="308">
                  <c:v>9.4813691431285712</c:v>
                </c:pt>
                <c:pt idx="309">
                  <c:v>9.511057116019078</c:v>
                </c:pt>
                <c:pt idx="310">
                  <c:v>9.5449862278939435</c:v>
                </c:pt>
                <c:pt idx="311">
                  <c:v>9.6086033126593158</c:v>
                </c:pt>
                <c:pt idx="312">
                  <c:v>9.6807026753934036</c:v>
                </c:pt>
                <c:pt idx="313">
                  <c:v>9.7358374821900604</c:v>
                </c:pt>
                <c:pt idx="314">
                  <c:v>9.7909722889867155</c:v>
                </c:pt>
                <c:pt idx="315">
                  <c:v>9.8503482347677291</c:v>
                </c:pt>
                <c:pt idx="316">
                  <c:v>9.8842773466425928</c:v>
                </c:pt>
                <c:pt idx="317">
                  <c:v>9.880036207658236</c:v>
                </c:pt>
                <c:pt idx="318">
                  <c:v>9.9139653195330997</c:v>
                </c:pt>
                <c:pt idx="319">
                  <c:v>9.9436532924236083</c:v>
                </c:pt>
                <c:pt idx="320">
                  <c:v>9.9860646822671875</c:v>
                </c:pt>
                <c:pt idx="321">
                  <c:v>10.019993794142053</c:v>
                </c:pt>
                <c:pt idx="322">
                  <c:v>10.066646322969993</c:v>
                </c:pt>
                <c:pt idx="323">
                  <c:v>10.100575434844858</c:v>
                </c:pt>
                <c:pt idx="324">
                  <c:v>10.172674797578946</c:v>
                </c:pt>
                <c:pt idx="325">
                  <c:v>10.261738716250466</c:v>
                </c:pt>
                <c:pt idx="326">
                  <c:v>10.333838078984556</c:v>
                </c:pt>
                <c:pt idx="327">
                  <c:v>10.397455163749926</c:v>
                </c:pt>
                <c:pt idx="328">
                  <c:v>10.439866553593507</c:v>
                </c:pt>
                <c:pt idx="329">
                  <c:v>10.478036804452731</c:v>
                </c:pt>
                <c:pt idx="330">
                  <c:v>10.495001360390164</c:v>
                </c:pt>
                <c:pt idx="331">
                  <c:v>10.533171611249385</c:v>
                </c:pt>
                <c:pt idx="332">
                  <c:v>10.601029834999116</c:v>
                </c:pt>
                <c:pt idx="333">
                  <c:v>10.70281717062371</c:v>
                </c:pt>
                <c:pt idx="334">
                  <c:v>10.813086784217024</c:v>
                </c:pt>
                <c:pt idx="335">
                  <c:v>10.910632980857258</c:v>
                </c:pt>
                <c:pt idx="336">
                  <c:v>11.037867150388003</c:v>
                </c:pt>
                <c:pt idx="337">
                  <c:v>11.152377902965672</c:v>
                </c:pt>
                <c:pt idx="338">
                  <c:v>11.245682960621551</c:v>
                </c:pt>
                <c:pt idx="339">
                  <c:v>11.360193713199221</c:v>
                </c:pt>
                <c:pt idx="340">
                  <c:v>11.432293075933309</c:v>
                </c:pt>
                <c:pt idx="341">
                  <c:v>11.534080411557904</c:v>
                </c:pt>
                <c:pt idx="342">
                  <c:v>11.601938635307635</c:v>
                </c:pt>
                <c:pt idx="343">
                  <c:v>11.648591164135572</c:v>
                </c:pt>
                <c:pt idx="344">
                  <c:v>11.741896221791452</c:v>
                </c:pt>
                <c:pt idx="345">
                  <c:v>11.864889252337838</c:v>
                </c:pt>
                <c:pt idx="346">
                  <c:v>12.004846838821654</c:v>
                </c:pt>
                <c:pt idx="347">
                  <c:v>12.12783986936804</c:v>
                </c:pt>
                <c:pt idx="348">
                  <c:v>12.19993923210213</c:v>
                </c:pt>
                <c:pt idx="349">
                  <c:v>12.267797455851861</c:v>
                </c:pt>
                <c:pt idx="350">
                  <c:v>12.433201876241824</c:v>
                </c:pt>
                <c:pt idx="351">
                  <c:v>12.594365157647434</c:v>
                </c:pt>
                <c:pt idx="352">
                  <c:v>12.69191135428767</c:v>
                </c:pt>
                <c:pt idx="353">
                  <c:v>12.725840466162534</c:v>
                </c:pt>
                <c:pt idx="354">
                  <c:v>12.725840466162534</c:v>
                </c:pt>
                <c:pt idx="355">
                  <c:v>12.789457550927908</c:v>
                </c:pt>
                <c:pt idx="356">
                  <c:v>12.882762608583787</c:v>
                </c:pt>
              </c:numCache>
            </c:numRef>
          </c:yVal>
          <c:smooth val="1"/>
          <c:extLst>
            <c:ext xmlns:c16="http://schemas.microsoft.com/office/drawing/2014/chart" uri="{C3380CC4-5D6E-409C-BE32-E72D297353CC}">
              <c16:uniqueId val="{00000001-0B7A-4B2F-BFF6-096568D6F33F}"/>
            </c:ext>
          </c:extLst>
        </c:ser>
        <c:dLbls>
          <c:showLegendKey val="0"/>
          <c:showVal val="0"/>
          <c:showCatName val="0"/>
          <c:showSerName val="0"/>
          <c:showPercent val="0"/>
          <c:showBubbleSize val="0"/>
        </c:dLbls>
        <c:axId val="1816227776"/>
        <c:axId val="1816225056"/>
      </c:scatterChart>
      <c:valAx>
        <c:axId val="1816210912"/>
        <c:scaling>
          <c:orientation val="minMax"/>
          <c:max val="10"/>
          <c:min val="0.5"/>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1456"/>
        <c:crosses val="autoZero"/>
        <c:crossBetween val="midCat"/>
        <c:majorUnit val="0.5"/>
      </c:valAx>
      <c:valAx>
        <c:axId val="181621145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0912"/>
        <c:crosses val="autoZero"/>
        <c:crossBetween val="midCat"/>
        <c:majorUnit val="50"/>
        <c:minorUnit val="5"/>
      </c:valAx>
      <c:valAx>
        <c:axId val="1816225056"/>
        <c:scaling>
          <c:orientation val="minMax"/>
          <c:max val="100"/>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27776"/>
        <c:crosses val="max"/>
        <c:crossBetween val="midCat"/>
        <c:majorUnit val="50"/>
      </c:valAx>
      <c:valAx>
        <c:axId val="1816227776"/>
        <c:scaling>
          <c:orientation val="minMax"/>
        </c:scaling>
        <c:delete val="1"/>
        <c:axPos val="b"/>
        <c:numFmt formatCode="General" sourceLinked="1"/>
        <c:majorTickMark val="out"/>
        <c:minorTickMark val="none"/>
        <c:tickLblPos val="nextTo"/>
        <c:crossAx val="1816225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75.732201890212437</c:v>
                </c:pt>
                <c:pt idx="1">
                  <c:v>75.867918337711885</c:v>
                </c:pt>
                <c:pt idx="2">
                  <c:v>72.661617265537146</c:v>
                </c:pt>
                <c:pt idx="3">
                  <c:v>69.30687632890988</c:v>
                </c:pt>
                <c:pt idx="4">
                  <c:v>66.766434077279371</c:v>
                </c:pt>
                <c:pt idx="5">
                  <c:v>64.497424720647757</c:v>
                </c:pt>
                <c:pt idx="6">
                  <c:v>62.22417422503181</c:v>
                </c:pt>
                <c:pt idx="7">
                  <c:v>60.531959770272913</c:v>
                </c:pt>
                <c:pt idx="8">
                  <c:v>59.810966142932038</c:v>
                </c:pt>
                <c:pt idx="9">
                  <c:v>59.441987051292877</c:v>
                </c:pt>
                <c:pt idx="10">
                  <c:v>58.945773790122978</c:v>
                </c:pt>
                <c:pt idx="11">
                  <c:v>58.258709274656965</c:v>
                </c:pt>
                <c:pt idx="12">
                  <c:v>57.813389681299356</c:v>
                </c:pt>
                <c:pt idx="13">
                  <c:v>57.571644759190939</c:v>
                </c:pt>
                <c:pt idx="14">
                  <c:v>57.86004221012729</c:v>
                </c:pt>
                <c:pt idx="15">
                  <c:v>59.128142766450374</c:v>
                </c:pt>
                <c:pt idx="16">
                  <c:v>61.333535038316604</c:v>
                </c:pt>
                <c:pt idx="17">
                  <c:v>63.386246306745932</c:v>
                </c:pt>
                <c:pt idx="18">
                  <c:v>64.81126900549026</c:v>
                </c:pt>
                <c:pt idx="19">
                  <c:v>65.706149331189835</c:v>
                </c:pt>
                <c:pt idx="20">
                  <c:v>66.104816395719496</c:v>
                </c:pt>
                <c:pt idx="21">
                  <c:v>65.604361995565228</c:v>
                </c:pt>
                <c:pt idx="22">
                  <c:v>63.823083622134824</c:v>
                </c:pt>
                <c:pt idx="23">
                  <c:v>60.930626834802574</c:v>
                </c:pt>
                <c:pt idx="24">
                  <c:v>57.469857423566353</c:v>
                </c:pt>
                <c:pt idx="25">
                  <c:v>54.365343687016207</c:v>
                </c:pt>
                <c:pt idx="26">
                  <c:v>52.363526086399169</c:v>
                </c:pt>
                <c:pt idx="27">
                  <c:v>51.400787536949871</c:v>
                </c:pt>
                <c:pt idx="28">
                  <c:v>51.023326167341999</c:v>
                </c:pt>
                <c:pt idx="29">
                  <c:v>50.768857828280517</c:v>
                </c:pt>
                <c:pt idx="30">
                  <c:v>50.488942655312883</c:v>
                </c:pt>
                <c:pt idx="31">
                  <c:v>50.204786343360887</c:v>
                </c:pt>
                <c:pt idx="32">
                  <c:v>49.924871170393253</c:v>
                </c:pt>
                <c:pt idx="33">
                  <c:v>49.70009080422227</c:v>
                </c:pt>
                <c:pt idx="34">
                  <c:v>49.538927522816657</c:v>
                </c:pt>
                <c:pt idx="35">
                  <c:v>49.365040824457971</c:v>
                </c:pt>
                <c:pt idx="36">
                  <c:v>49.182671848130575</c:v>
                </c:pt>
                <c:pt idx="37">
                  <c:v>49.034231983678048</c:v>
                </c:pt>
                <c:pt idx="38">
                  <c:v>48.919721231100375</c:v>
                </c:pt>
                <c:pt idx="39">
                  <c:v>48.826416173444493</c:v>
                </c:pt>
                <c:pt idx="40">
                  <c:v>48.805210478522703</c:v>
                </c:pt>
                <c:pt idx="41">
                  <c:v>48.877309841256789</c:v>
                </c:pt>
                <c:pt idx="42">
                  <c:v>49.025749705709323</c:v>
                </c:pt>
                <c:pt idx="43">
                  <c:v>49.203877543052364</c:v>
                </c:pt>
                <c:pt idx="44">
                  <c:v>49.428657909223347</c:v>
                </c:pt>
                <c:pt idx="45">
                  <c:v>49.674643970316119</c:v>
                </c:pt>
                <c:pt idx="46">
                  <c:v>49.912147753440181</c:v>
                </c:pt>
                <c:pt idx="47">
                  <c:v>50.141169258595511</c:v>
                </c:pt>
                <c:pt idx="48">
                  <c:v>50.395637597657</c:v>
                </c:pt>
                <c:pt idx="49">
                  <c:v>50.684035048593351</c:v>
                </c:pt>
                <c:pt idx="50">
                  <c:v>51.040290723279433</c:v>
                </c:pt>
                <c:pt idx="51">
                  <c:v>51.52378056749626</c:v>
                </c:pt>
                <c:pt idx="52">
                  <c:v>52.058164079525383</c:v>
                </c:pt>
                <c:pt idx="53">
                  <c:v>52.639200120382448</c:v>
                </c:pt>
                <c:pt idx="54">
                  <c:v>53.317782357879743</c:v>
                </c:pt>
                <c:pt idx="55">
                  <c:v>54.038775985220632</c:v>
                </c:pt>
                <c:pt idx="56">
                  <c:v>54.730081639670999</c:v>
                </c:pt>
                <c:pt idx="57">
                  <c:v>55.374734765293439</c:v>
                </c:pt>
                <c:pt idx="58">
                  <c:v>56.040593585837662</c:v>
                </c:pt>
                <c:pt idx="59">
                  <c:v>56.736140379272392</c:v>
                </c:pt>
                <c:pt idx="60">
                  <c:v>57.406240338800984</c:v>
                </c:pt>
                <c:pt idx="61">
                  <c:v>57.999999796611114</c:v>
                </c:pt>
                <c:pt idx="62">
                  <c:v>58.572553559499461</c:v>
                </c:pt>
                <c:pt idx="63">
                  <c:v>59.009390874888354</c:v>
                </c:pt>
                <c:pt idx="64">
                  <c:v>59.552256664886187</c:v>
                </c:pt>
                <c:pt idx="65">
                  <c:v>60.184186373555548</c:v>
                </c:pt>
                <c:pt idx="66">
                  <c:v>60.837321777146698</c:v>
                </c:pt>
                <c:pt idx="67">
                  <c:v>61.405634401050683</c:v>
                </c:pt>
                <c:pt idx="68">
                  <c:v>61.978188163939031</c:v>
                </c:pt>
                <c:pt idx="69">
                  <c:v>62.826415960810657</c:v>
                </c:pt>
                <c:pt idx="70">
                  <c:v>63.814601344166107</c:v>
                </c:pt>
                <c:pt idx="71">
                  <c:v>64.739169642756167</c:v>
                </c:pt>
                <c:pt idx="72">
                  <c:v>65.523780354862424</c:v>
                </c:pt>
                <c:pt idx="73">
                  <c:v>66.11329867368822</c:v>
                </c:pt>
                <c:pt idx="74">
                  <c:v>66.690093575560908</c:v>
                </c:pt>
                <c:pt idx="75">
                  <c:v>67.495909982588955</c:v>
                </c:pt>
                <c:pt idx="76">
                  <c:v>68.289002972663909</c:v>
                </c:pt>
                <c:pt idx="77">
                  <c:v>68.662223203287439</c:v>
                </c:pt>
                <c:pt idx="78">
                  <c:v>68.62829409141257</c:v>
                </c:pt>
                <c:pt idx="79">
                  <c:v>68.976067488129942</c:v>
                </c:pt>
                <c:pt idx="80">
                  <c:v>69.400181386565748</c:v>
                </c:pt>
                <c:pt idx="81">
                  <c:v>69.400181386565748</c:v>
                </c:pt>
                <c:pt idx="82">
                  <c:v>68.696152315162294</c:v>
                </c:pt>
                <c:pt idx="83">
                  <c:v>67.970917548837065</c:v>
                </c:pt>
                <c:pt idx="84">
                  <c:v>67.839442240321958</c:v>
                </c:pt>
                <c:pt idx="85">
                  <c:v>67.958194131883985</c:v>
                </c:pt>
                <c:pt idx="86">
                  <c:v>68.339896640476212</c:v>
                </c:pt>
                <c:pt idx="87">
                  <c:v>68.653740925318729</c:v>
                </c:pt>
                <c:pt idx="88">
                  <c:v>68.874280152505349</c:v>
                </c:pt>
                <c:pt idx="89">
                  <c:v>68.755528260943322</c:v>
                </c:pt>
                <c:pt idx="90">
                  <c:v>68.492577643913108</c:v>
                </c:pt>
                <c:pt idx="91">
                  <c:v>68.055740328524223</c:v>
                </c:pt>
                <c:pt idx="92">
                  <c:v>67.750378321650444</c:v>
                </c:pt>
                <c:pt idx="93">
                  <c:v>67.542562511416889</c:v>
                </c:pt>
                <c:pt idx="94">
                  <c:v>67.355952396105138</c:v>
                </c:pt>
                <c:pt idx="95">
                  <c:v>67.093001779074925</c:v>
                </c:pt>
                <c:pt idx="96">
                  <c:v>66.842774578997805</c:v>
                </c:pt>
                <c:pt idx="97">
                  <c:v>66.84701571798216</c:v>
                </c:pt>
                <c:pt idx="98">
                  <c:v>67.207512531652597</c:v>
                </c:pt>
                <c:pt idx="99">
                  <c:v>67.7546194606348</c:v>
                </c:pt>
                <c:pt idx="100">
                  <c:v>68.229627026882909</c:v>
                </c:pt>
                <c:pt idx="101">
                  <c:v>68.65798206430307</c:v>
                </c:pt>
                <c:pt idx="102">
                  <c:v>69.065131406801456</c:v>
                </c:pt>
                <c:pt idx="103">
                  <c:v>69.226294688207062</c:v>
                </c:pt>
                <c:pt idx="104">
                  <c:v>69.116025074613759</c:v>
                </c:pt>
                <c:pt idx="105">
                  <c:v>68.819145345708691</c:v>
                </c:pt>
                <c:pt idx="106">
                  <c:v>69.620720613752368</c:v>
                </c:pt>
                <c:pt idx="107">
                  <c:v>70.820962946325722</c:v>
                </c:pt>
                <c:pt idx="108">
                  <c:v>71.54195657366661</c:v>
                </c:pt>
                <c:pt idx="109">
                  <c:v>71.35110531937049</c:v>
                </c:pt>
                <c:pt idx="110">
                  <c:v>70.986367366715697</c:v>
                </c:pt>
                <c:pt idx="111">
                  <c:v>71.117842675230804</c:v>
                </c:pt>
                <c:pt idx="112">
                  <c:v>71.287488234605107</c:v>
                </c:pt>
                <c:pt idx="113">
                  <c:v>71.079672424371566</c:v>
                </c:pt>
                <c:pt idx="114">
                  <c:v>70.350196519061967</c:v>
                </c:pt>
                <c:pt idx="115">
                  <c:v>69.574068084924434</c:v>
                </c:pt>
                <c:pt idx="116">
                  <c:v>69.230535827191432</c:v>
                </c:pt>
                <c:pt idx="117">
                  <c:v>69.162677603441693</c:v>
                </c:pt>
                <c:pt idx="118">
                  <c:v>69.022720016957891</c:v>
                </c:pt>
                <c:pt idx="119">
                  <c:v>68.959102932192508</c:v>
                </c:pt>
                <c:pt idx="120">
                  <c:v>69.145713047504259</c:v>
                </c:pt>
                <c:pt idx="121">
                  <c:v>71.754013522884506</c:v>
                </c:pt>
                <c:pt idx="122">
                  <c:v>73.972129211703802</c:v>
                </c:pt>
                <c:pt idx="123">
                  <c:v>74.604058920373163</c:v>
                </c:pt>
                <c:pt idx="124">
                  <c:v>72.971220411395294</c:v>
                </c:pt>
                <c:pt idx="125">
                  <c:v>71.172977482027449</c:v>
                </c:pt>
                <c:pt idx="126">
                  <c:v>70.638593969998325</c:v>
                </c:pt>
                <c:pt idx="127">
                  <c:v>70.104210457969202</c:v>
                </c:pt>
                <c:pt idx="128">
                  <c:v>69.463798471331117</c:v>
                </c:pt>
                <c:pt idx="129">
                  <c:v>69.090578240707615</c:v>
                </c:pt>
                <c:pt idx="130">
                  <c:v>69.544380112033934</c:v>
                </c:pt>
                <c:pt idx="131">
                  <c:v>71.643743909291203</c:v>
                </c:pt>
                <c:pt idx="132">
                  <c:v>72.839745102880187</c:v>
                </c:pt>
                <c:pt idx="133">
                  <c:v>72.937291299520425</c:v>
                </c:pt>
                <c:pt idx="134">
                  <c:v>71.181459759996173</c:v>
                </c:pt>
                <c:pt idx="135">
                  <c:v>69.069372545785825</c:v>
                </c:pt>
                <c:pt idx="136">
                  <c:v>68.19569791500804</c:v>
                </c:pt>
                <c:pt idx="137">
                  <c:v>68.16600994211754</c:v>
                </c:pt>
                <c:pt idx="138">
                  <c:v>68.272038416726488</c:v>
                </c:pt>
                <c:pt idx="139">
                  <c:v>68.395031447272885</c:v>
                </c:pt>
                <c:pt idx="140">
                  <c:v>68.40775486422595</c:v>
                </c:pt>
                <c:pt idx="141">
                  <c:v>68.390790308288516</c:v>
                </c:pt>
                <c:pt idx="142">
                  <c:v>68.352620057429291</c:v>
                </c:pt>
                <c:pt idx="143">
                  <c:v>68.611329535475136</c:v>
                </c:pt>
                <c:pt idx="144">
                  <c:v>70.67676422085755</c:v>
                </c:pt>
                <c:pt idx="145">
                  <c:v>78.55255931481058</c:v>
                </c:pt>
                <c:pt idx="146">
                  <c:v>89.431080809689163</c:v>
                </c:pt>
                <c:pt idx="147">
                  <c:v>88.854285907816461</c:v>
                </c:pt>
                <c:pt idx="148">
                  <c:v>79.298999776057613</c:v>
                </c:pt>
                <c:pt idx="149">
                  <c:v>72.148439448429812</c:v>
                </c:pt>
                <c:pt idx="150">
                  <c:v>70.545288912342443</c:v>
                </c:pt>
                <c:pt idx="151">
                  <c:v>70.655558525935746</c:v>
                </c:pt>
                <c:pt idx="152">
                  <c:v>70.443501576717864</c:v>
                </c:pt>
                <c:pt idx="153">
                  <c:v>69.934564898594871</c:v>
                </c:pt>
                <c:pt idx="154">
                  <c:v>69.926082620626161</c:v>
                </c:pt>
                <c:pt idx="155">
                  <c:v>70.010905400313305</c:v>
                </c:pt>
                <c:pt idx="156">
                  <c:v>70.435019298749125</c:v>
                </c:pt>
                <c:pt idx="157">
                  <c:v>70.566494607264218</c:v>
                </c:pt>
                <c:pt idx="158">
                  <c:v>70.210238932578164</c:v>
                </c:pt>
                <c:pt idx="159">
                  <c:v>69.438351637424972</c:v>
                </c:pt>
                <c:pt idx="160">
                  <c:v>68.751287121958967</c:v>
                </c:pt>
                <c:pt idx="161">
                  <c:v>68.467130810006964</c:v>
                </c:pt>
                <c:pt idx="162">
                  <c:v>68.518024477819267</c:v>
                </c:pt>
                <c:pt idx="163">
                  <c:v>69.001514322036087</c:v>
                </c:pt>
                <c:pt idx="164">
                  <c:v>69.870947813829503</c:v>
                </c:pt>
                <c:pt idx="165">
                  <c:v>70.613147136092181</c:v>
                </c:pt>
                <c:pt idx="166">
                  <c:v>70.664040803904484</c:v>
                </c:pt>
                <c:pt idx="167">
                  <c:v>70.142380708828426</c:v>
                </c:pt>
                <c:pt idx="168">
                  <c:v>69.620720613752368</c:v>
                </c:pt>
                <c:pt idx="169">
                  <c:v>69.815813007032858</c:v>
                </c:pt>
                <c:pt idx="170">
                  <c:v>70.197515515625085</c:v>
                </c:pt>
                <c:pt idx="171">
                  <c:v>70.541047773358088</c:v>
                </c:pt>
                <c:pt idx="172">
                  <c:v>71.363828736323569</c:v>
                </c:pt>
                <c:pt idx="173">
                  <c:v>72.496212845147184</c:v>
                </c:pt>
                <c:pt idx="174">
                  <c:v>72.504695123115894</c:v>
                </c:pt>
                <c:pt idx="175">
                  <c:v>72.322326146788498</c:v>
                </c:pt>
                <c:pt idx="176">
                  <c:v>72.008481861945995</c:v>
                </c:pt>
                <c:pt idx="177">
                  <c:v>71.36806987530791</c:v>
                </c:pt>
                <c:pt idx="178">
                  <c:v>70.90578572601288</c:v>
                </c:pt>
                <c:pt idx="179">
                  <c:v>70.799757251403918</c:v>
                </c:pt>
                <c:pt idx="180">
                  <c:v>70.62587055304526</c:v>
                </c:pt>
                <c:pt idx="181">
                  <c:v>70.375643352968126</c:v>
                </c:pt>
                <c:pt idx="182">
                  <c:v>70.630111692029601</c:v>
                </c:pt>
                <c:pt idx="183">
                  <c:v>71.283247095620766</c:v>
                </c:pt>
                <c:pt idx="184">
                  <c:v>80.418660467928149</c:v>
                </c:pt>
                <c:pt idx="185">
                  <c:v>97.001513896768429</c:v>
                </c:pt>
                <c:pt idx="186">
                  <c:v>99.999999158709613</c:v>
                </c:pt>
                <c:pt idx="187">
                  <c:v>89.982428877655735</c:v>
                </c:pt>
                <c:pt idx="188">
                  <c:v>77.598303043329992</c:v>
                </c:pt>
                <c:pt idx="189">
                  <c:v>72.394425509522577</c:v>
                </c:pt>
                <c:pt idx="190">
                  <c:v>70.990608505700052</c:v>
                </c:pt>
                <c:pt idx="191">
                  <c:v>70.910026864997249</c:v>
                </c:pt>
                <c:pt idx="192">
                  <c:v>70.939714837887749</c:v>
                </c:pt>
                <c:pt idx="193">
                  <c:v>71.206906593902318</c:v>
                </c:pt>
                <c:pt idx="194">
                  <c:v>71.444410377026358</c:v>
                </c:pt>
                <c:pt idx="195">
                  <c:v>71.435928099057648</c:v>
                </c:pt>
                <c:pt idx="196">
                  <c:v>71.257800261714621</c:v>
                </c:pt>
                <c:pt idx="197">
                  <c:v>71.168736343043093</c:v>
                </c:pt>
                <c:pt idx="198">
                  <c:v>71.185700898980514</c:v>
                </c:pt>
                <c:pt idx="199">
                  <c:v>71.270523678667701</c:v>
                </c:pt>
                <c:pt idx="200">
                  <c:v>71.266282539683331</c:v>
                </c:pt>
                <c:pt idx="201">
                  <c:v>71.270523678667701</c:v>
                </c:pt>
                <c:pt idx="202">
                  <c:v>71.274764817652041</c:v>
                </c:pt>
                <c:pt idx="203">
                  <c:v>71.270523678667701</c:v>
                </c:pt>
                <c:pt idx="204">
                  <c:v>71.393516709214069</c:v>
                </c:pt>
                <c:pt idx="205">
                  <c:v>71.57164454655711</c:v>
                </c:pt>
                <c:pt idx="206">
                  <c:v>71.694637577103492</c:v>
                </c:pt>
                <c:pt idx="207">
                  <c:v>71.79218377374373</c:v>
                </c:pt>
                <c:pt idx="208">
                  <c:v>71.987276167024191</c:v>
                </c:pt>
                <c:pt idx="209">
                  <c:v>72.195091977257746</c:v>
                </c:pt>
                <c:pt idx="210">
                  <c:v>72.279914756944919</c:v>
                </c:pt>
                <c:pt idx="211">
                  <c:v>72.343531841710302</c:v>
                </c:pt>
                <c:pt idx="212">
                  <c:v>72.373219814600802</c:v>
                </c:pt>
                <c:pt idx="213">
                  <c:v>72.43683689936617</c:v>
                </c:pt>
                <c:pt idx="214">
                  <c:v>72.585276763818712</c:v>
                </c:pt>
                <c:pt idx="215">
                  <c:v>72.67009954350587</c:v>
                </c:pt>
                <c:pt idx="216">
                  <c:v>72.742198906239949</c:v>
                </c:pt>
                <c:pt idx="217">
                  <c:v>73.022114079207583</c:v>
                </c:pt>
                <c:pt idx="218">
                  <c:v>73.458951394596482</c:v>
                </c:pt>
                <c:pt idx="219">
                  <c:v>73.55649759123672</c:v>
                </c:pt>
                <c:pt idx="220">
                  <c:v>73.564979869205416</c:v>
                </c:pt>
                <c:pt idx="221">
                  <c:v>73.734625428579747</c:v>
                </c:pt>
                <c:pt idx="222">
                  <c:v>73.827930486235644</c:v>
                </c:pt>
                <c:pt idx="223">
                  <c:v>73.654043787876944</c:v>
                </c:pt>
                <c:pt idx="224">
                  <c:v>73.242653306394203</c:v>
                </c:pt>
                <c:pt idx="225">
                  <c:v>73.000908384285793</c:v>
                </c:pt>
                <c:pt idx="226">
                  <c:v>72.945773577489135</c:v>
                </c:pt>
                <c:pt idx="227">
                  <c:v>73.013631801238873</c:v>
                </c:pt>
                <c:pt idx="228">
                  <c:v>73.136624831785255</c:v>
                </c:pt>
                <c:pt idx="229">
                  <c:v>73.179036221628834</c:v>
                </c:pt>
                <c:pt idx="230">
                  <c:v>73.196000777566269</c:v>
                </c:pt>
                <c:pt idx="231">
                  <c:v>73.259617862331652</c:v>
                </c:pt>
                <c:pt idx="232">
                  <c:v>73.361405197956245</c:v>
                </c:pt>
                <c:pt idx="233">
                  <c:v>73.463192533580823</c:v>
                </c:pt>
                <c:pt idx="234">
                  <c:v>73.560738730221075</c:v>
                </c:pt>
                <c:pt idx="235">
                  <c:v>73.641320370923879</c:v>
                </c:pt>
                <c:pt idx="236">
                  <c:v>73.696455177720537</c:v>
                </c:pt>
                <c:pt idx="237">
                  <c:v>73.730384289595392</c:v>
                </c:pt>
                <c:pt idx="238">
                  <c:v>73.730384289595392</c:v>
                </c:pt>
                <c:pt idx="239">
                  <c:v>73.755831123501551</c:v>
                </c:pt>
                <c:pt idx="240">
                  <c:v>73.80672479131384</c:v>
                </c:pt>
                <c:pt idx="241">
                  <c:v>73.976370350688171</c:v>
                </c:pt>
                <c:pt idx="242">
                  <c:v>74.162980465999937</c:v>
                </c:pt>
                <c:pt idx="243">
                  <c:v>74.468342472873701</c:v>
                </c:pt>
                <c:pt idx="244">
                  <c:v>75.38018735451071</c:v>
                </c:pt>
                <c:pt idx="245">
                  <c:v>75.761889863102937</c:v>
                </c:pt>
                <c:pt idx="246">
                  <c:v>75.931535422477253</c:v>
                </c:pt>
                <c:pt idx="247">
                  <c:v>75.40987532740121</c:v>
                </c:pt>
                <c:pt idx="248">
                  <c:v>74.939108900137455</c:v>
                </c:pt>
                <c:pt idx="249">
                  <c:v>74.811874730606718</c:v>
                </c:pt>
                <c:pt idx="250">
                  <c:v>74.994243706934128</c:v>
                </c:pt>
                <c:pt idx="251">
                  <c:v>75.163889266308445</c:v>
                </c:pt>
                <c:pt idx="252">
                  <c:v>75.261435462948683</c:v>
                </c:pt>
                <c:pt idx="253">
                  <c:v>75.117236737480496</c:v>
                </c:pt>
                <c:pt idx="254">
                  <c:v>74.892456371309521</c:v>
                </c:pt>
                <c:pt idx="255">
                  <c:v>74.69736397802906</c:v>
                </c:pt>
                <c:pt idx="256">
                  <c:v>74.667676005138532</c:v>
                </c:pt>
                <c:pt idx="257">
                  <c:v>74.799151313653638</c:v>
                </c:pt>
                <c:pt idx="258">
                  <c:v>74.977279150996694</c:v>
                </c:pt>
                <c:pt idx="259">
                  <c:v>75.096031042558707</c:v>
                </c:pt>
                <c:pt idx="260">
                  <c:v>75.172371544277155</c:v>
                </c:pt>
                <c:pt idx="261">
                  <c:v>75.163889266308445</c:v>
                </c:pt>
                <c:pt idx="262">
                  <c:v>75.138442432402286</c:v>
                </c:pt>
                <c:pt idx="263">
                  <c:v>75.117236737480496</c:v>
                </c:pt>
                <c:pt idx="264">
                  <c:v>75.083307625605642</c:v>
                </c:pt>
                <c:pt idx="265">
                  <c:v>75.062101930683852</c:v>
                </c:pt>
                <c:pt idx="266">
                  <c:v>75.002725984902838</c:v>
                </c:pt>
                <c:pt idx="267">
                  <c:v>74.9051797882626</c:v>
                </c:pt>
                <c:pt idx="268">
                  <c:v>74.786427896700559</c:v>
                </c:pt>
                <c:pt idx="269">
                  <c:v>74.629505754279322</c:v>
                </c:pt>
                <c:pt idx="270">
                  <c:v>74.48954816779549</c:v>
                </c:pt>
                <c:pt idx="271">
                  <c:v>74.332626025374239</c:v>
                </c:pt>
                <c:pt idx="272">
                  <c:v>74.205391855843502</c:v>
                </c:pt>
                <c:pt idx="273">
                  <c:v>74.107845659203264</c:v>
                </c:pt>
                <c:pt idx="274">
                  <c:v>73.938200099828947</c:v>
                </c:pt>
                <c:pt idx="275">
                  <c:v>73.721902011626668</c:v>
                </c:pt>
                <c:pt idx="276">
                  <c:v>73.450469116627758</c:v>
                </c:pt>
                <c:pt idx="277">
                  <c:v>73.1620716656914</c:v>
                </c:pt>
                <c:pt idx="278">
                  <c:v>72.966979272410939</c:v>
                </c:pt>
                <c:pt idx="279">
                  <c:v>72.843986241864542</c:v>
                </c:pt>
                <c:pt idx="280">
                  <c:v>72.860950797801991</c:v>
                </c:pt>
                <c:pt idx="281">
                  <c:v>72.90336218764557</c:v>
                </c:pt>
                <c:pt idx="282">
                  <c:v>73.026355218191938</c:v>
                </c:pt>
                <c:pt idx="283">
                  <c:v>73.276582418269086</c:v>
                </c:pt>
                <c:pt idx="284">
                  <c:v>73.212965333503703</c:v>
                </c:pt>
                <c:pt idx="285">
                  <c:v>73.077248886004242</c:v>
                </c:pt>
                <c:pt idx="286">
                  <c:v>72.665858404521501</c:v>
                </c:pt>
                <c:pt idx="287">
                  <c:v>72.267191339991854</c:v>
                </c:pt>
                <c:pt idx="288">
                  <c:v>71.944864777180626</c:v>
                </c:pt>
                <c:pt idx="289">
                  <c:v>71.656467326244268</c:v>
                </c:pt>
                <c:pt idx="290">
                  <c:v>71.3595875973392</c:v>
                </c:pt>
                <c:pt idx="291">
                  <c:v>71.062707868434131</c:v>
                </c:pt>
                <c:pt idx="292">
                  <c:v>70.748863583591643</c:v>
                </c:pt>
                <c:pt idx="293">
                  <c:v>70.456224993670929</c:v>
                </c:pt>
                <c:pt idx="294">
                  <c:v>70.142380708828426</c:v>
                </c:pt>
                <c:pt idx="295">
                  <c:v>69.781883895157975</c:v>
                </c:pt>
                <c:pt idx="296">
                  <c:v>69.408663664534473</c:v>
                </c:pt>
                <c:pt idx="297">
                  <c:v>68.967585210161218</c:v>
                </c:pt>
                <c:pt idx="298">
                  <c:v>68.445925115085174</c:v>
                </c:pt>
                <c:pt idx="299">
                  <c:v>69.425628220471907</c:v>
                </c:pt>
                <c:pt idx="300">
                  <c:v>78.166615667233984</c:v>
                </c:pt>
                <c:pt idx="301">
                  <c:v>81.466221797064605</c:v>
                </c:pt>
                <c:pt idx="302">
                  <c:v>83.68009634689956</c:v>
                </c:pt>
                <c:pt idx="303">
                  <c:v>79.159042189573796</c:v>
                </c:pt>
                <c:pt idx="304">
                  <c:v>70.744622444607273</c:v>
                </c:pt>
                <c:pt idx="305">
                  <c:v>66.830051162044725</c:v>
                </c:pt>
                <c:pt idx="306">
                  <c:v>65.163283541191987</c:v>
                </c:pt>
                <c:pt idx="307">
                  <c:v>64.289608910414216</c:v>
                </c:pt>
                <c:pt idx="308">
                  <c:v>63.449863391511315</c:v>
                </c:pt>
                <c:pt idx="309">
                  <c:v>62.673734957373775</c:v>
                </c:pt>
                <c:pt idx="310">
                  <c:v>61.973947024954676</c:v>
                </c:pt>
                <c:pt idx="311">
                  <c:v>61.31657048237917</c:v>
                </c:pt>
                <c:pt idx="312">
                  <c:v>60.731293302537743</c:v>
                </c:pt>
                <c:pt idx="313">
                  <c:v>60.129051566758889</c:v>
                </c:pt>
                <c:pt idx="314">
                  <c:v>59.539533247933115</c:v>
                </c:pt>
                <c:pt idx="315">
                  <c:v>58.920326956216826</c:v>
                </c:pt>
                <c:pt idx="316">
                  <c:v>58.18236877293851</c:v>
                </c:pt>
                <c:pt idx="317">
                  <c:v>57.35958780997305</c:v>
                </c:pt>
                <c:pt idx="318">
                  <c:v>56.418054955445541</c:v>
                </c:pt>
                <c:pt idx="319">
                  <c:v>55.544380324667763</c:v>
                </c:pt>
                <c:pt idx="320">
                  <c:v>54.721599361702275</c:v>
                </c:pt>
                <c:pt idx="321">
                  <c:v>53.54680386303508</c:v>
                </c:pt>
                <c:pt idx="322">
                  <c:v>52.308391279602517</c:v>
                </c:pt>
                <c:pt idx="323">
                  <c:v>50.785822384217944</c:v>
                </c:pt>
                <c:pt idx="324">
                  <c:v>49.466828160082571</c:v>
                </c:pt>
                <c:pt idx="325">
                  <c:v>48.283550383446652</c:v>
                </c:pt>
                <c:pt idx="326">
                  <c:v>47.172371969544827</c:v>
                </c:pt>
                <c:pt idx="327">
                  <c:v>45.840654328456374</c:v>
                </c:pt>
                <c:pt idx="328">
                  <c:v>44.237503792369004</c:v>
                </c:pt>
                <c:pt idx="329">
                  <c:v>42.345955805345284</c:v>
                </c:pt>
                <c:pt idx="330">
                  <c:v>40.301726814884667</c:v>
                </c:pt>
                <c:pt idx="331">
                  <c:v>38.28718579731455</c:v>
                </c:pt>
                <c:pt idx="332">
                  <c:v>36.357467559431605</c:v>
                </c:pt>
                <c:pt idx="333">
                  <c:v>34.516813240220188</c:v>
                </c:pt>
                <c:pt idx="334">
                  <c:v>32.735534866789777</c:v>
                </c:pt>
                <c:pt idx="335">
                  <c:v>30.950015354375005</c:v>
                </c:pt>
                <c:pt idx="336">
                  <c:v>29.177219258913308</c:v>
                </c:pt>
                <c:pt idx="337">
                  <c:v>27.417146580404687</c:v>
                </c:pt>
                <c:pt idx="338">
                  <c:v>25.631627067989918</c:v>
                </c:pt>
                <c:pt idx="339">
                  <c:v>23.892760084403086</c:v>
                </c:pt>
                <c:pt idx="340">
                  <c:v>23.379582267295749</c:v>
                </c:pt>
                <c:pt idx="341">
                  <c:v>23.010603175656595</c:v>
                </c:pt>
                <c:pt idx="342">
                  <c:v>21.687367812536859</c:v>
                </c:pt>
                <c:pt idx="343">
                  <c:v>18.760981913329758</c:v>
                </c:pt>
                <c:pt idx="344">
                  <c:v>15.3638295868589</c:v>
                </c:pt>
                <c:pt idx="345">
                  <c:v>13.446834765929028</c:v>
                </c:pt>
                <c:pt idx="346">
                  <c:v>12.115117124840575</c:v>
                </c:pt>
                <c:pt idx="347">
                  <c:v>10.774917205783407</c:v>
                </c:pt>
                <c:pt idx="348">
                  <c:v>9.2438660324301285</c:v>
                </c:pt>
                <c:pt idx="349">
                  <c:v>7.8146021947014415</c:v>
                </c:pt>
                <c:pt idx="350">
                  <c:v>6.6228421400968065</c:v>
                </c:pt>
                <c:pt idx="351">
                  <c:v>5.5583162550229197</c:v>
                </c:pt>
                <c:pt idx="352">
                  <c:v>4.582854288620549</c:v>
                </c:pt>
                <c:pt idx="353">
                  <c:v>3.7261442137802083</c:v>
                </c:pt>
                <c:pt idx="354">
                  <c:v>3.0136328644080392</c:v>
                </c:pt>
                <c:pt idx="355">
                  <c:v>2.4622847964414873</c:v>
                </c:pt>
                <c:pt idx="356">
                  <c:v>2.000000647146452</c:v>
                </c:pt>
              </c:numCache>
            </c:numRef>
          </c:yVal>
          <c:smooth val="1"/>
          <c:extLst>
            <c:ext xmlns:c16="http://schemas.microsoft.com/office/drawing/2014/chart" uri="{C3380CC4-5D6E-409C-BE32-E72D297353CC}">
              <c16:uniqueId val="{00000000-6C55-4540-A99B-AF279F0EE33F}"/>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14.095728358110209</c:v>
                </c:pt>
                <c:pt idx="1">
                  <c:v>10.821569062185739</c:v>
                </c:pt>
                <c:pt idx="2">
                  <c:v>8.3277793393831612</c:v>
                </c:pt>
                <c:pt idx="3">
                  <c:v>7.8018781053227553</c:v>
                </c:pt>
                <c:pt idx="4">
                  <c:v>7.9630413867283636</c:v>
                </c:pt>
                <c:pt idx="5">
                  <c:v>8.2387154207116424</c:v>
                </c:pt>
                <c:pt idx="6">
                  <c:v>8.0648287223529582</c:v>
                </c:pt>
                <c:pt idx="7">
                  <c:v>7.6619205188389374</c:v>
                </c:pt>
                <c:pt idx="8">
                  <c:v>7.5134806543864023</c:v>
                </c:pt>
                <c:pt idx="9">
                  <c:v>7.2929414271997794</c:v>
                </c:pt>
                <c:pt idx="10">
                  <c:v>6.5125718540778852</c:v>
                </c:pt>
                <c:pt idx="11">
                  <c:v>5.4056345791604148</c:v>
                </c:pt>
                <c:pt idx="12">
                  <c:v>4.7312934806474729</c:v>
                </c:pt>
                <c:pt idx="13">
                  <c:v>4.9348681518966631</c:v>
                </c:pt>
                <c:pt idx="14">
                  <c:v>6.2453800980633236</c:v>
                </c:pt>
                <c:pt idx="15">
                  <c:v>8.8494394344592102</c:v>
                </c:pt>
                <c:pt idx="16">
                  <c:v>12.208421510070846</c:v>
                </c:pt>
                <c:pt idx="17">
                  <c:v>15.139048548262309</c:v>
                </c:pt>
                <c:pt idx="18">
                  <c:v>17.123901592941912</c:v>
                </c:pt>
                <c:pt idx="19">
                  <c:v>18.408966705202424</c:v>
                </c:pt>
                <c:pt idx="20">
                  <c:v>19.142683749496378</c:v>
                </c:pt>
                <c:pt idx="21">
                  <c:v>18.930626800278471</c:v>
                </c:pt>
                <c:pt idx="22">
                  <c:v>17.217206650597788</c:v>
                </c:pt>
                <c:pt idx="23">
                  <c:v>14.184792276781732</c:v>
                </c:pt>
                <c:pt idx="24">
                  <c:v>10.427143136640433</c:v>
                </c:pt>
                <c:pt idx="25">
                  <c:v>6.9027566406388328</c:v>
                </c:pt>
                <c:pt idx="26">
                  <c:v>4.5998181721323714</c:v>
                </c:pt>
                <c:pt idx="27">
                  <c:v>3.5522568429959147</c:v>
                </c:pt>
                <c:pt idx="28">
                  <c:v>3.1366252225288189</c:v>
                </c:pt>
                <c:pt idx="29">
                  <c:v>2.971220802138852</c:v>
                </c:pt>
                <c:pt idx="30">
                  <c:v>2.8482277715924664</c:v>
                </c:pt>
                <c:pt idx="31">
                  <c:v>2.7125113240930068</c:v>
                </c:pt>
                <c:pt idx="32">
                  <c:v>2.5895182935466208</c:v>
                </c:pt>
                <c:pt idx="33">
                  <c:v>2.4792486799533098</c:v>
                </c:pt>
                <c:pt idx="34">
                  <c:v>2.3986670392505052</c:v>
                </c:pt>
                <c:pt idx="35">
                  <c:v>2.3138442595633428</c:v>
                </c:pt>
                <c:pt idx="36">
                  <c:v>2.2332626188605387</c:v>
                </c:pt>
                <c:pt idx="37">
                  <c:v>2.1569221171420923</c:v>
                </c:pt>
                <c:pt idx="38">
                  <c:v>2.084822754408004</c:v>
                </c:pt>
                <c:pt idx="39">
                  <c:v>2.0381702255800649</c:v>
                </c:pt>
                <c:pt idx="40">
                  <c:v>2.0127233916739162</c:v>
                </c:pt>
                <c:pt idx="41">
                  <c:v>1.9999999747208419</c:v>
                </c:pt>
                <c:pt idx="42">
                  <c:v>1.9999999747208419</c:v>
                </c:pt>
                <c:pt idx="43">
                  <c:v>2.0127233916739162</c:v>
                </c:pt>
                <c:pt idx="44">
                  <c:v>2.0424113645644231</c:v>
                </c:pt>
                <c:pt idx="45">
                  <c:v>2.084822754408004</c:v>
                </c:pt>
                <c:pt idx="46">
                  <c:v>2.13995756120466</c:v>
                </c:pt>
                <c:pt idx="47">
                  <c:v>2.1993335069856736</c:v>
                </c:pt>
                <c:pt idx="48">
                  <c:v>2.2671917307354037</c:v>
                </c:pt>
                <c:pt idx="49">
                  <c:v>2.3392910934694915</c:v>
                </c:pt>
                <c:pt idx="50">
                  <c:v>2.4453195680784447</c:v>
                </c:pt>
                <c:pt idx="51">
                  <c:v>2.5555891816717562</c:v>
                </c:pt>
                <c:pt idx="52">
                  <c:v>2.6828233512024995</c:v>
                </c:pt>
                <c:pt idx="53">
                  <c:v>2.8567100495611824</c:v>
                </c:pt>
                <c:pt idx="54">
                  <c:v>3.0136321919824334</c:v>
                </c:pt>
                <c:pt idx="55">
                  <c:v>3.1960011683098326</c:v>
                </c:pt>
                <c:pt idx="56">
                  <c:v>3.3910935615903064</c:v>
                </c:pt>
                <c:pt idx="57">
                  <c:v>3.5989093718238543</c:v>
                </c:pt>
                <c:pt idx="58">
                  <c:v>3.8448954329166254</c:v>
                </c:pt>
                <c:pt idx="59">
                  <c:v>4.0908814940093965</c:v>
                </c:pt>
                <c:pt idx="60">
                  <c:v>4.2774916093211548</c:v>
                </c:pt>
                <c:pt idx="61">
                  <c:v>4.4301726127580467</c:v>
                </c:pt>
                <c:pt idx="62">
                  <c:v>4.565889060257506</c:v>
                </c:pt>
                <c:pt idx="63">
                  <c:v>4.6252650060385205</c:v>
                </c:pt>
                <c:pt idx="64">
                  <c:v>4.6931232297882506</c:v>
                </c:pt>
                <c:pt idx="65">
                  <c:v>4.8076339823659193</c:v>
                </c:pt>
                <c:pt idx="66">
                  <c:v>4.9433504298653794</c:v>
                </c:pt>
                <c:pt idx="67">
                  <c:v>5.0833080163491982</c:v>
                </c:pt>
                <c:pt idx="68">
                  <c:v>5.2402301587704478</c:v>
                </c:pt>
                <c:pt idx="69">
                  <c:v>5.4480459690039966</c:v>
                </c:pt>
                <c:pt idx="70">
                  <c:v>5.6940320300967668</c:v>
                </c:pt>
                <c:pt idx="71">
                  <c:v>5.910330118299032</c:v>
                </c:pt>
                <c:pt idx="72">
                  <c:v>6.1393516234543695</c:v>
                </c:pt>
                <c:pt idx="73">
                  <c:v>6.2920326268912632</c:v>
                </c:pt>
                <c:pt idx="74">
                  <c:v>6.4277490743907224</c:v>
                </c:pt>
                <c:pt idx="75">
                  <c:v>6.5804300778276152</c:v>
                </c:pt>
                <c:pt idx="76">
                  <c:v>6.7288699422801495</c:v>
                </c:pt>
                <c:pt idx="77">
                  <c:v>6.7543167761862977</c:v>
                </c:pt>
                <c:pt idx="78">
                  <c:v>6.7034231083740003</c:v>
                </c:pt>
                <c:pt idx="79">
                  <c:v>6.7924870270455209</c:v>
                </c:pt>
                <c:pt idx="80">
                  <c:v>6.8688275287639673</c:v>
                </c:pt>
                <c:pt idx="81">
                  <c:v>6.8942743626701164</c:v>
                </c:pt>
                <c:pt idx="82">
                  <c:v>6.8561041118108923</c:v>
                </c:pt>
                <c:pt idx="83">
                  <c:v>6.9154800575919069</c:v>
                </c:pt>
                <c:pt idx="84">
                  <c:v>7.119054728841097</c:v>
                </c:pt>
                <c:pt idx="85">
                  <c:v>7.2844591492310631</c:v>
                </c:pt>
                <c:pt idx="86">
                  <c:v>7.4456224306366723</c:v>
                </c:pt>
                <c:pt idx="87">
                  <c:v>7.4880338204802532</c:v>
                </c:pt>
                <c:pt idx="88">
                  <c:v>7.4668281255584636</c:v>
                </c:pt>
                <c:pt idx="89">
                  <c:v>7.3353528170433604</c:v>
                </c:pt>
                <c:pt idx="90">
                  <c:v>7.2250832034500494</c:v>
                </c:pt>
                <c:pt idx="91">
                  <c:v>7.1911540915751848</c:v>
                </c:pt>
                <c:pt idx="92">
                  <c:v>7.216600925481333</c:v>
                </c:pt>
                <c:pt idx="93">
                  <c:v>7.1275370068098134</c:v>
                </c:pt>
                <c:pt idx="94">
                  <c:v>6.9663737254042042</c:v>
                </c:pt>
                <c:pt idx="95">
                  <c:v>6.8476218338421768</c:v>
                </c:pt>
                <c:pt idx="96">
                  <c:v>6.8645863897796087</c:v>
                </c:pt>
                <c:pt idx="97">
                  <c:v>7.008785115247786</c:v>
                </c:pt>
                <c:pt idx="98">
                  <c:v>7.271735732277989</c:v>
                </c:pt>
                <c:pt idx="99">
                  <c:v>7.5558920442299842</c:v>
                </c:pt>
                <c:pt idx="100">
                  <c:v>7.861254051103769</c:v>
                </c:pt>
                <c:pt idx="101">
                  <c:v>8.0605875833685996</c:v>
                </c:pt>
                <c:pt idx="102">
                  <c:v>8.1750983359462701</c:v>
                </c:pt>
                <c:pt idx="103">
                  <c:v>8.1750983359462701</c:v>
                </c:pt>
                <c:pt idx="104">
                  <c:v>8.1496515020401219</c:v>
                </c:pt>
                <c:pt idx="105">
                  <c:v>7.9757648036814377</c:v>
                </c:pt>
                <c:pt idx="106">
                  <c:v>7.8103603832914708</c:v>
                </c:pt>
                <c:pt idx="107">
                  <c:v>7.9121477189160663</c:v>
                </c:pt>
                <c:pt idx="108">
                  <c:v>8.3574673122736698</c:v>
                </c:pt>
                <c:pt idx="109">
                  <c:v>8.5949710953977245</c:v>
                </c:pt>
                <c:pt idx="110">
                  <c:v>8.5695242614915745</c:v>
                </c:pt>
                <c:pt idx="111">
                  <c:v>8.6204179293038727</c:v>
                </c:pt>
                <c:pt idx="112">
                  <c:v>8.7985457666469138</c:v>
                </c:pt>
                <c:pt idx="113">
                  <c:v>8.8494394344592102</c:v>
                </c:pt>
                <c:pt idx="114">
                  <c:v>8.6119356513351573</c:v>
                </c:pt>
                <c:pt idx="115">
                  <c:v>8.2175097257898511</c:v>
                </c:pt>
                <c:pt idx="116">
                  <c:v>7.8782186070412017</c:v>
                </c:pt>
                <c:pt idx="117">
                  <c:v>7.6746439357920107</c:v>
                </c:pt>
                <c:pt idx="118">
                  <c:v>7.6619205188389374</c:v>
                </c:pt>
                <c:pt idx="119">
                  <c:v>7.7976369663383958</c:v>
                </c:pt>
                <c:pt idx="120">
                  <c:v>7.9842470816501541</c:v>
                </c:pt>
                <c:pt idx="121">
                  <c:v>9.2311419430514441</c:v>
                </c:pt>
                <c:pt idx="122">
                  <c:v>10.210845048438168</c:v>
                </c:pt>
                <c:pt idx="123">
                  <c:v>10.427143136640433</c:v>
                </c:pt>
                <c:pt idx="124">
                  <c:v>9.6552558414872554</c:v>
                </c:pt>
                <c:pt idx="125">
                  <c:v>8.8918508243027929</c:v>
                </c:pt>
                <c:pt idx="126">
                  <c:v>8.7391698208659001</c:v>
                </c:pt>
                <c:pt idx="127">
                  <c:v>8.5737654004759314</c:v>
                </c:pt>
                <c:pt idx="128">
                  <c:v>8.3574673122736698</c:v>
                </c:pt>
                <c:pt idx="129">
                  <c:v>8.1920628918837028</c:v>
                </c:pt>
                <c:pt idx="130">
                  <c:v>8.302332505477013</c:v>
                </c:pt>
                <c:pt idx="131">
                  <c:v>8.8621628514122861</c:v>
                </c:pt>
                <c:pt idx="132">
                  <c:v>9.3498938346134697</c:v>
                </c:pt>
                <c:pt idx="133">
                  <c:v>9.6086033126593158</c:v>
                </c:pt>
                <c:pt idx="134">
                  <c:v>9.1675248582860718</c:v>
                </c:pt>
                <c:pt idx="135">
                  <c:v>8.3574673122736698</c:v>
                </c:pt>
                <c:pt idx="136">
                  <c:v>7.8230838002445449</c:v>
                </c:pt>
                <c:pt idx="137">
                  <c:v>7.6704027968076529</c:v>
                </c:pt>
                <c:pt idx="138">
                  <c:v>7.7128141866512347</c:v>
                </c:pt>
                <c:pt idx="139">
                  <c:v>7.8103603832914708</c:v>
                </c:pt>
                <c:pt idx="140">
                  <c:v>7.8358072171976199</c:v>
                </c:pt>
                <c:pt idx="141">
                  <c:v>7.9842470816501541</c:v>
                </c:pt>
                <c:pt idx="142">
                  <c:v>8.2217508647742079</c:v>
                </c:pt>
                <c:pt idx="143">
                  <c:v>8.3532261732893112</c:v>
                </c:pt>
                <c:pt idx="144">
                  <c:v>9.3329292786760369</c:v>
                </c:pt>
                <c:pt idx="145">
                  <c:v>20.771281119489895</c:v>
                </c:pt>
                <c:pt idx="146">
                  <c:v>39.907300216913747</c:v>
                </c:pt>
                <c:pt idx="147">
                  <c:v>40.166009694959591</c:v>
                </c:pt>
                <c:pt idx="148">
                  <c:v>24.673128985099371</c:v>
                </c:pt>
                <c:pt idx="149">
                  <c:v>12.802180967880982</c:v>
                </c:pt>
                <c:pt idx="150">
                  <c:v>9.1717659972704304</c:v>
                </c:pt>
                <c:pt idx="151">
                  <c:v>8.9088153802402239</c:v>
                </c:pt>
                <c:pt idx="152">
                  <c:v>8.8451982954748534</c:v>
                </c:pt>
                <c:pt idx="153">
                  <c:v>8.6204179293038727</c:v>
                </c:pt>
                <c:pt idx="154">
                  <c:v>8.5440774275854263</c:v>
                </c:pt>
                <c:pt idx="155">
                  <c:v>8.4168432580546835</c:v>
                </c:pt>
                <c:pt idx="156">
                  <c:v>8.7603755157876897</c:v>
                </c:pt>
                <c:pt idx="157">
                  <c:v>9.0318084107866117</c:v>
                </c:pt>
                <c:pt idx="158">
                  <c:v>8.9300210751620153</c:v>
                </c:pt>
                <c:pt idx="159">
                  <c:v>8.382914146179818</c:v>
                </c:pt>
                <c:pt idx="160">
                  <c:v>7.7933958273540389</c:v>
                </c:pt>
                <c:pt idx="161">
                  <c:v>7.5262040713394773</c:v>
                </c:pt>
                <c:pt idx="162">
                  <c:v>7.5770977391517746</c:v>
                </c:pt>
                <c:pt idx="163">
                  <c:v>8.302332505477013</c:v>
                </c:pt>
                <c:pt idx="164">
                  <c:v>9.0106027158648203</c:v>
                </c:pt>
                <c:pt idx="165">
                  <c:v>9.0148438548491789</c:v>
                </c:pt>
                <c:pt idx="166">
                  <c:v>8.505907176726204</c:v>
                </c:pt>
                <c:pt idx="167">
                  <c:v>8.0733110003216737</c:v>
                </c:pt>
                <c:pt idx="168">
                  <c:v>7.8824597460255585</c:v>
                </c:pt>
                <c:pt idx="169">
                  <c:v>7.958800247744005</c:v>
                </c:pt>
                <c:pt idx="170">
                  <c:v>8.0860344172747496</c:v>
                </c:pt>
                <c:pt idx="171">
                  <c:v>8.2387154207116424</c:v>
                </c:pt>
                <c:pt idx="172">
                  <c:v>9.0614963836771167</c:v>
                </c:pt>
                <c:pt idx="173">
                  <c:v>10.325355801015839</c:v>
                </c:pt>
                <c:pt idx="174">
                  <c:v>10.448348831562223</c:v>
                </c:pt>
                <c:pt idx="175">
                  <c:v>10.910632980857258</c:v>
                </c:pt>
                <c:pt idx="176">
                  <c:v>11.080278540231584</c:v>
                </c:pt>
                <c:pt idx="177">
                  <c:v>10.244774160313034</c:v>
                </c:pt>
                <c:pt idx="178">
                  <c:v>9.5195393939877953</c:v>
                </c:pt>
                <c:pt idx="179">
                  <c:v>9.4219931973475575</c:v>
                </c:pt>
                <c:pt idx="180">
                  <c:v>9.1208723294581304</c:v>
                </c:pt>
                <c:pt idx="181">
                  <c:v>8.5313540106323522</c:v>
                </c:pt>
                <c:pt idx="182">
                  <c:v>8.2175097257898511</c:v>
                </c:pt>
                <c:pt idx="183">
                  <c:v>8.4168432580546835</c:v>
                </c:pt>
                <c:pt idx="184">
                  <c:v>26.204180158452655</c:v>
                </c:pt>
                <c:pt idx="185">
                  <c:v>59.539532575507501</c:v>
                </c:pt>
                <c:pt idx="186">
                  <c:v>65.930929024935196</c:v>
                </c:pt>
                <c:pt idx="187">
                  <c:v>45.518327093219547</c:v>
                </c:pt>
                <c:pt idx="188">
                  <c:v>20.487124807537903</c:v>
                </c:pt>
                <c:pt idx="189">
                  <c:v>10.244774160313034</c:v>
                </c:pt>
                <c:pt idx="190">
                  <c:v>7.8994243019629913</c:v>
                </c:pt>
                <c:pt idx="191">
                  <c:v>7.8782186070412017</c:v>
                </c:pt>
                <c:pt idx="192">
                  <c:v>7.916388857900424</c:v>
                </c:pt>
                <c:pt idx="193">
                  <c:v>7.8824597460255585</c:v>
                </c:pt>
                <c:pt idx="194">
                  <c:v>7.8146015222758285</c:v>
                </c:pt>
                <c:pt idx="195">
                  <c:v>7.7637078544635312</c:v>
                </c:pt>
                <c:pt idx="196">
                  <c:v>7.7891546883696803</c:v>
                </c:pt>
                <c:pt idx="197">
                  <c:v>7.9630413867283636</c:v>
                </c:pt>
                <c:pt idx="198">
                  <c:v>8.0224173325093773</c:v>
                </c:pt>
                <c:pt idx="199">
                  <c:v>7.9630413867283636</c:v>
                </c:pt>
                <c:pt idx="200">
                  <c:v>7.8146015222758285</c:v>
                </c:pt>
                <c:pt idx="201">
                  <c:v>7.7509844375104571</c:v>
                </c:pt>
                <c:pt idx="202">
                  <c:v>7.7425021595417407</c:v>
                </c:pt>
                <c:pt idx="203">
                  <c:v>7.7425021595417407</c:v>
                </c:pt>
                <c:pt idx="204">
                  <c:v>7.8273249392289035</c:v>
                </c:pt>
                <c:pt idx="205">
                  <c:v>8.0351407494624514</c:v>
                </c:pt>
                <c:pt idx="206">
                  <c:v>8.0902755562591082</c:v>
                </c:pt>
                <c:pt idx="207">
                  <c:v>7.9333534138378567</c:v>
                </c:pt>
                <c:pt idx="208">
                  <c:v>7.8146015222758285</c:v>
                </c:pt>
                <c:pt idx="209">
                  <c:v>7.7933958273540389</c:v>
                </c:pt>
                <c:pt idx="210">
                  <c:v>7.8061192443071121</c:v>
                </c:pt>
                <c:pt idx="211">
                  <c:v>7.8273249392289035</c:v>
                </c:pt>
                <c:pt idx="212">
                  <c:v>7.8358072171976199</c:v>
                </c:pt>
                <c:pt idx="213">
                  <c:v>7.8273249392289035</c:v>
                </c:pt>
                <c:pt idx="214">
                  <c:v>7.8527717731350526</c:v>
                </c:pt>
                <c:pt idx="215">
                  <c:v>7.8994243019629913</c:v>
                </c:pt>
                <c:pt idx="216">
                  <c:v>7.9630413867283636</c:v>
                </c:pt>
                <c:pt idx="217">
                  <c:v>8.01393505454066</c:v>
                </c:pt>
                <c:pt idx="218">
                  <c:v>8.0181761935250186</c:v>
                </c:pt>
                <c:pt idx="219">
                  <c:v>7.9927293596188704</c:v>
                </c:pt>
                <c:pt idx="220">
                  <c:v>7.9884882206345127</c:v>
                </c:pt>
                <c:pt idx="221">
                  <c:v>8.0181761935250186</c:v>
                </c:pt>
                <c:pt idx="222">
                  <c:v>8.0181761935250186</c:v>
                </c:pt>
                <c:pt idx="223">
                  <c:v>8.0054527765719445</c:v>
                </c:pt>
                <c:pt idx="224">
                  <c:v>7.9672825257127213</c:v>
                </c:pt>
                <c:pt idx="225">
                  <c:v>7.9884882206345127</c:v>
                </c:pt>
                <c:pt idx="226">
                  <c:v>8.0860344172747496</c:v>
                </c:pt>
                <c:pt idx="227">
                  <c:v>8.1878217528993424</c:v>
                </c:pt>
                <c:pt idx="228">
                  <c:v>8.2302331427429252</c:v>
                </c:pt>
                <c:pt idx="229">
                  <c:v>8.1538926410244805</c:v>
                </c:pt>
                <c:pt idx="230">
                  <c:v>8.0605875833685996</c:v>
                </c:pt>
                <c:pt idx="231">
                  <c:v>8.01393505454066</c:v>
                </c:pt>
                <c:pt idx="232">
                  <c:v>8.0012116375875877</c:v>
                </c:pt>
                <c:pt idx="233">
                  <c:v>8.0181761935250186</c:v>
                </c:pt>
                <c:pt idx="234">
                  <c:v>8.03938188844681</c:v>
                </c:pt>
                <c:pt idx="235">
                  <c:v>8.0563464443842427</c:v>
                </c:pt>
                <c:pt idx="236">
                  <c:v>8.0733110003216737</c:v>
                </c:pt>
                <c:pt idx="237">
                  <c:v>8.0945166952434651</c:v>
                </c:pt>
                <c:pt idx="238">
                  <c:v>8.1326869461026892</c:v>
                </c:pt>
                <c:pt idx="239">
                  <c:v>8.1793394749306287</c:v>
                </c:pt>
                <c:pt idx="240">
                  <c:v>8.1920628918837028</c:v>
                </c:pt>
                <c:pt idx="241">
                  <c:v>8.2302331427429252</c:v>
                </c:pt>
                <c:pt idx="242">
                  <c:v>8.2641622546177906</c:v>
                </c:pt>
                <c:pt idx="243">
                  <c:v>8.3277793393831612</c:v>
                </c:pt>
                <c:pt idx="244">
                  <c:v>8.5398362886010695</c:v>
                </c:pt>
                <c:pt idx="245">
                  <c:v>8.6119356513351573</c:v>
                </c:pt>
                <c:pt idx="246">
                  <c:v>8.645864763210021</c:v>
                </c:pt>
                <c:pt idx="247">
                  <c:v>8.4847014818044126</c:v>
                </c:pt>
                <c:pt idx="248">
                  <c:v>8.3320204783675216</c:v>
                </c:pt>
                <c:pt idx="249">
                  <c:v>8.2726445325865079</c:v>
                </c:pt>
                <c:pt idx="250">
                  <c:v>8.2768856715708647</c:v>
                </c:pt>
                <c:pt idx="251">
                  <c:v>8.2980913664926561</c:v>
                </c:pt>
                <c:pt idx="252">
                  <c:v>8.3405027563362353</c:v>
                </c:pt>
                <c:pt idx="253">
                  <c:v>8.3532261732893112</c:v>
                </c:pt>
                <c:pt idx="254">
                  <c:v>8.3617084512580266</c:v>
                </c:pt>
                <c:pt idx="255">
                  <c:v>8.3701907292267439</c:v>
                </c:pt>
                <c:pt idx="256">
                  <c:v>8.4083609800859662</c:v>
                </c:pt>
                <c:pt idx="257">
                  <c:v>8.4422900919608317</c:v>
                </c:pt>
                <c:pt idx="258">
                  <c:v>8.4550135089139058</c:v>
                </c:pt>
                <c:pt idx="259">
                  <c:v>8.4634957868826213</c:v>
                </c:pt>
                <c:pt idx="260">
                  <c:v>8.4889426207887695</c:v>
                </c:pt>
                <c:pt idx="261">
                  <c:v>8.505907176726204</c:v>
                </c:pt>
                <c:pt idx="262">
                  <c:v>8.5780065394602918</c:v>
                </c:pt>
                <c:pt idx="263">
                  <c:v>8.6501059021943796</c:v>
                </c:pt>
                <c:pt idx="264">
                  <c:v>8.6713115971161709</c:v>
                </c:pt>
                <c:pt idx="265">
                  <c:v>8.7264464039128242</c:v>
                </c:pt>
                <c:pt idx="266">
                  <c:v>8.6840350140692451</c:v>
                </c:pt>
                <c:pt idx="267">
                  <c:v>8.645864763210021</c:v>
                </c:pt>
                <c:pt idx="268">
                  <c:v>8.62890020727259</c:v>
                </c:pt>
                <c:pt idx="269">
                  <c:v>8.6076945123507969</c:v>
                </c:pt>
                <c:pt idx="270">
                  <c:v>8.6119356513351573</c:v>
                </c:pt>
                <c:pt idx="271">
                  <c:v>8.60345337336644</c:v>
                </c:pt>
                <c:pt idx="272">
                  <c:v>8.5992122343820832</c:v>
                </c:pt>
                <c:pt idx="273">
                  <c:v>8.6373824852413055</c:v>
                </c:pt>
                <c:pt idx="274">
                  <c:v>8.6713115971161709</c:v>
                </c:pt>
                <c:pt idx="275">
                  <c:v>8.6882761530536037</c:v>
                </c:pt>
                <c:pt idx="276">
                  <c:v>8.6797938750848864</c:v>
                </c:pt>
                <c:pt idx="277">
                  <c:v>8.6840350140692451</c:v>
                </c:pt>
                <c:pt idx="278">
                  <c:v>8.6882761530536037</c:v>
                </c:pt>
                <c:pt idx="279">
                  <c:v>8.7264464039128242</c:v>
                </c:pt>
                <c:pt idx="280">
                  <c:v>8.8197514615687034</c:v>
                </c:pt>
                <c:pt idx="281">
                  <c:v>8.8876096853184343</c:v>
                </c:pt>
                <c:pt idx="282">
                  <c:v>8.9342622141463721</c:v>
                </c:pt>
                <c:pt idx="283">
                  <c:v>8.9172976582089412</c:v>
                </c:pt>
                <c:pt idx="284">
                  <c:v>8.9088153802402239</c:v>
                </c:pt>
                <c:pt idx="285">
                  <c:v>8.9130565192245825</c:v>
                </c:pt>
                <c:pt idx="286">
                  <c:v>8.9215387971932998</c:v>
                </c:pt>
                <c:pt idx="287">
                  <c:v>8.946985631099448</c:v>
                </c:pt>
                <c:pt idx="288">
                  <c:v>8.9681913260212376</c:v>
                </c:pt>
                <c:pt idx="289">
                  <c:v>8.9893970209430289</c:v>
                </c:pt>
                <c:pt idx="290">
                  <c:v>9.0021204378961031</c:v>
                </c:pt>
                <c:pt idx="291">
                  <c:v>9.0275672718022513</c:v>
                </c:pt>
                <c:pt idx="292">
                  <c:v>9.0572552446927599</c:v>
                </c:pt>
                <c:pt idx="293">
                  <c:v>9.1039077735206995</c:v>
                </c:pt>
                <c:pt idx="294">
                  <c:v>9.1760071362547873</c:v>
                </c:pt>
                <c:pt idx="295">
                  <c:v>9.1887305532078614</c:v>
                </c:pt>
                <c:pt idx="296">
                  <c:v>9.2438653600045164</c:v>
                </c:pt>
                <c:pt idx="297">
                  <c:v>9.2608299159419509</c:v>
                </c:pt>
                <c:pt idx="298">
                  <c:v>9.2141773871140096</c:v>
                </c:pt>
                <c:pt idx="299">
                  <c:v>9.1887305532078614</c:v>
                </c:pt>
                <c:pt idx="300">
                  <c:v>9.2141773871140096</c:v>
                </c:pt>
                <c:pt idx="301">
                  <c:v>9.2735533328950233</c:v>
                </c:pt>
                <c:pt idx="302">
                  <c:v>9.3202058617229628</c:v>
                </c:pt>
                <c:pt idx="303">
                  <c:v>9.371099529535261</c:v>
                </c:pt>
                <c:pt idx="304">
                  <c:v>9.3965463634414093</c:v>
                </c:pt>
                <c:pt idx="305">
                  <c:v>9.4304754753162747</c:v>
                </c:pt>
                <c:pt idx="306">
                  <c:v>9.4389577532849884</c:v>
                </c:pt>
                <c:pt idx="307">
                  <c:v>9.4601634482067798</c:v>
                </c:pt>
                <c:pt idx="308">
                  <c:v>9.4813691431285712</c:v>
                </c:pt>
                <c:pt idx="309">
                  <c:v>9.511057116019078</c:v>
                </c:pt>
                <c:pt idx="310">
                  <c:v>9.5449862278939435</c:v>
                </c:pt>
                <c:pt idx="311">
                  <c:v>9.6086033126593158</c:v>
                </c:pt>
                <c:pt idx="312">
                  <c:v>9.6807026753934036</c:v>
                </c:pt>
                <c:pt idx="313">
                  <c:v>9.7358374821900604</c:v>
                </c:pt>
                <c:pt idx="314">
                  <c:v>9.7909722889867155</c:v>
                </c:pt>
                <c:pt idx="315">
                  <c:v>9.8503482347677291</c:v>
                </c:pt>
                <c:pt idx="316">
                  <c:v>9.8842773466425928</c:v>
                </c:pt>
                <c:pt idx="317">
                  <c:v>9.880036207658236</c:v>
                </c:pt>
                <c:pt idx="318">
                  <c:v>9.9139653195330997</c:v>
                </c:pt>
                <c:pt idx="319">
                  <c:v>9.9436532924236083</c:v>
                </c:pt>
                <c:pt idx="320">
                  <c:v>9.9860646822671875</c:v>
                </c:pt>
                <c:pt idx="321">
                  <c:v>10.019993794142053</c:v>
                </c:pt>
                <c:pt idx="322">
                  <c:v>10.066646322969993</c:v>
                </c:pt>
                <c:pt idx="323">
                  <c:v>10.100575434844858</c:v>
                </c:pt>
                <c:pt idx="324">
                  <c:v>10.172674797578946</c:v>
                </c:pt>
                <c:pt idx="325">
                  <c:v>10.261738716250466</c:v>
                </c:pt>
                <c:pt idx="326">
                  <c:v>10.333838078984556</c:v>
                </c:pt>
                <c:pt idx="327">
                  <c:v>10.397455163749926</c:v>
                </c:pt>
                <c:pt idx="328">
                  <c:v>10.439866553593507</c:v>
                </c:pt>
                <c:pt idx="329">
                  <c:v>10.478036804452731</c:v>
                </c:pt>
                <c:pt idx="330">
                  <c:v>10.495001360390164</c:v>
                </c:pt>
                <c:pt idx="331">
                  <c:v>10.533171611249385</c:v>
                </c:pt>
                <c:pt idx="332">
                  <c:v>10.601029834999116</c:v>
                </c:pt>
                <c:pt idx="333">
                  <c:v>10.70281717062371</c:v>
                </c:pt>
                <c:pt idx="334">
                  <c:v>10.813086784217024</c:v>
                </c:pt>
                <c:pt idx="335">
                  <c:v>10.910632980857258</c:v>
                </c:pt>
                <c:pt idx="336">
                  <c:v>11.037867150388003</c:v>
                </c:pt>
                <c:pt idx="337">
                  <c:v>11.152377902965672</c:v>
                </c:pt>
                <c:pt idx="338">
                  <c:v>11.245682960621551</c:v>
                </c:pt>
                <c:pt idx="339">
                  <c:v>11.360193713199221</c:v>
                </c:pt>
                <c:pt idx="340">
                  <c:v>11.432293075933309</c:v>
                </c:pt>
                <c:pt idx="341">
                  <c:v>11.534080411557904</c:v>
                </c:pt>
                <c:pt idx="342">
                  <c:v>11.601938635307635</c:v>
                </c:pt>
                <c:pt idx="343">
                  <c:v>11.648591164135572</c:v>
                </c:pt>
                <c:pt idx="344">
                  <c:v>11.741896221791452</c:v>
                </c:pt>
                <c:pt idx="345">
                  <c:v>11.864889252337838</c:v>
                </c:pt>
                <c:pt idx="346">
                  <c:v>12.004846838821654</c:v>
                </c:pt>
                <c:pt idx="347">
                  <c:v>12.12783986936804</c:v>
                </c:pt>
                <c:pt idx="348">
                  <c:v>12.19993923210213</c:v>
                </c:pt>
                <c:pt idx="349">
                  <c:v>12.267797455851861</c:v>
                </c:pt>
                <c:pt idx="350">
                  <c:v>12.433201876241824</c:v>
                </c:pt>
                <c:pt idx="351">
                  <c:v>12.594365157647434</c:v>
                </c:pt>
                <c:pt idx="352">
                  <c:v>12.69191135428767</c:v>
                </c:pt>
                <c:pt idx="353">
                  <c:v>12.725840466162534</c:v>
                </c:pt>
                <c:pt idx="354">
                  <c:v>12.725840466162534</c:v>
                </c:pt>
                <c:pt idx="355">
                  <c:v>12.789457550927908</c:v>
                </c:pt>
                <c:pt idx="356">
                  <c:v>12.882762608583787</c:v>
                </c:pt>
              </c:numCache>
            </c:numRef>
          </c:yVal>
          <c:smooth val="1"/>
          <c:extLst>
            <c:ext xmlns:c16="http://schemas.microsoft.com/office/drawing/2014/chart" uri="{C3380CC4-5D6E-409C-BE32-E72D297353CC}">
              <c16:uniqueId val="{00000001-6C55-4540-A99B-AF279F0EE33F}"/>
            </c:ext>
          </c:extLst>
        </c:ser>
        <c:ser>
          <c:idx val="4"/>
          <c:order val="4"/>
          <c:tx>
            <c:v>Labels</c:v>
          </c:tx>
          <c:spPr>
            <a:ln w="19050" cap="rnd">
              <a:noFill/>
              <a:round/>
            </a:ln>
            <a:effectLst/>
          </c:spPr>
          <c:marker>
            <c:symbol val="none"/>
          </c:marker>
          <c:dLbls>
            <c:dLbl>
              <c:idx val="0"/>
              <c:tx>
                <c:rich>
                  <a:bodyPr/>
                  <a:lstStyle/>
                  <a:p>
                    <a:fld id="{71952B2B-4A09-424C-BA51-9206C65AC0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371-4009-AD69-35F7110378A6}"/>
                </c:ext>
              </c:extLst>
            </c:dLbl>
            <c:dLbl>
              <c:idx val="1"/>
              <c:tx>
                <c:rich>
                  <a:bodyPr/>
                  <a:lstStyle/>
                  <a:p>
                    <a:fld id="{52239932-949C-41D6-8820-D92EE61F58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371-4009-AD69-35F7110378A6}"/>
                </c:ext>
              </c:extLst>
            </c:dLbl>
            <c:dLbl>
              <c:idx val="2"/>
              <c:tx>
                <c:rich>
                  <a:bodyPr/>
                  <a:lstStyle/>
                  <a:p>
                    <a:fld id="{914C76D0-25D8-43BF-B291-D9E00CB8B3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371-4009-AD69-35F7110378A6}"/>
                </c:ext>
              </c:extLst>
            </c:dLbl>
            <c:dLbl>
              <c:idx val="3"/>
              <c:tx>
                <c:rich>
                  <a:bodyPr/>
                  <a:lstStyle/>
                  <a:p>
                    <a:fld id="{F8401E7D-881A-4F81-A075-868F934237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371-4009-AD69-35F7110378A6}"/>
                </c:ext>
              </c:extLst>
            </c:dLbl>
            <c:dLbl>
              <c:idx val="4"/>
              <c:tx>
                <c:rich>
                  <a:bodyPr/>
                  <a:lstStyle/>
                  <a:p>
                    <a:fld id="{06864918-0D43-4015-AD21-08019B42DC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371-4009-AD69-35F7110378A6}"/>
                </c:ext>
              </c:extLst>
            </c:dLbl>
            <c:dLbl>
              <c:idx val="5"/>
              <c:tx>
                <c:rich>
                  <a:bodyPr/>
                  <a:lstStyle/>
                  <a:p>
                    <a:fld id="{63A6238E-4F8F-491B-A10D-DB6D591148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371-4009-AD69-35F7110378A6}"/>
                </c:ext>
              </c:extLst>
            </c:dLbl>
            <c:dLbl>
              <c:idx val="6"/>
              <c:tx>
                <c:rich>
                  <a:bodyPr/>
                  <a:lstStyle/>
                  <a:p>
                    <a:fld id="{E9641555-6A0D-430E-AEAD-E7DBA15DCE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371-4009-AD69-35F7110378A6}"/>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2371-4009-AD69-35F7110378A6}"/>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2371-4009-AD69-35F7110378A6}"/>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2371-4009-AD69-35F7110378A6}"/>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2371-4009-AD69-35F7110378A6}"/>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2371-4009-AD69-35F7110378A6}"/>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2371-4009-AD69-35F7110378A6}"/>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2371-4009-AD69-35F7110378A6}"/>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2371-4009-AD69-35F7110378A6}"/>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2371-4009-AD69-35F7110378A6}"/>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2371-4009-AD69-35F7110378A6}"/>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2371-4009-AD69-35F7110378A6}"/>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2371-4009-AD69-35F7110378A6}"/>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2371-4009-AD69-35F7110378A6}"/>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2371-4009-AD69-35F7110378A6}"/>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2371-4009-AD69-35F7110378A6}"/>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2371-4009-AD69-35F7110378A6}"/>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371-4009-AD69-35F7110378A6}"/>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2371-4009-AD69-35F7110378A6}"/>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2371-4009-AD69-35F7110378A6}"/>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2371-4009-AD69-35F7110378A6}"/>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2371-4009-AD69-35F7110378A6}"/>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2371-4009-AD69-35F7110378A6}"/>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2371-4009-AD69-35F7110378A6}"/>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2371-4009-AD69-35F7110378A6}"/>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2371-4009-AD69-35F7110378A6}"/>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2371-4009-AD69-35F7110378A6}"/>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2371-4009-AD69-35F7110378A6}"/>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2371-4009-AD69-35F7110378A6}"/>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2371-4009-AD69-35F7110378A6}"/>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2371-4009-AD69-35F7110378A6}"/>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2371-4009-AD69-35F7110378A6}"/>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2371-4009-AD69-35F7110378A6}"/>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2371-4009-AD69-35F7110378A6}"/>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2371-4009-AD69-35F7110378A6}"/>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2371-4009-AD69-35F7110378A6}"/>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2371-4009-AD69-35F7110378A6}"/>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2371-4009-AD69-35F7110378A6}"/>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2371-4009-AD69-35F7110378A6}"/>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2371-4009-AD69-35F7110378A6}"/>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2371-4009-AD69-35F7110378A6}"/>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2371-4009-AD69-35F7110378A6}"/>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2371-4009-AD69-35F7110378A6}"/>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2371-4009-AD69-35F7110378A6}"/>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2371-4009-AD69-35F7110378A6}"/>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2371-4009-AD69-35F7110378A6}"/>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2371-4009-AD69-35F7110378A6}"/>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2371-4009-AD69-35F7110378A6}"/>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2371-4009-AD69-35F7110378A6}"/>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2371-4009-AD69-35F7110378A6}"/>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2371-4009-AD69-35F7110378A6}"/>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2371-4009-AD69-35F7110378A6}"/>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2371-4009-AD69-35F7110378A6}"/>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2371-4009-AD69-35F7110378A6}"/>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2371-4009-AD69-35F7110378A6}"/>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2371-4009-AD69-35F7110378A6}"/>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2371-4009-AD69-35F7110378A6}"/>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2371-4009-AD69-35F7110378A6}"/>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2371-4009-AD69-35F7110378A6}"/>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2371-4009-AD69-35F7110378A6}"/>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2371-4009-AD69-35F7110378A6}"/>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2371-4009-AD69-35F7110378A6}"/>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2371-4009-AD69-35F7110378A6}"/>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2371-4009-AD69-35F7110378A6}"/>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2371-4009-AD69-35F7110378A6}"/>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2371-4009-AD69-35F7110378A6}"/>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2371-4009-AD69-35F7110378A6}"/>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2371-4009-AD69-35F7110378A6}"/>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2371-4009-AD69-35F7110378A6}"/>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2371-4009-AD69-35F7110378A6}"/>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2371-4009-AD69-35F7110378A6}"/>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2371-4009-AD69-35F7110378A6}"/>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2371-4009-AD69-35F7110378A6}"/>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2371-4009-AD69-35F7110378A6}"/>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2371-4009-AD69-35F7110378A6}"/>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2371-4009-AD69-35F7110378A6}"/>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2371-4009-AD69-35F7110378A6}"/>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2371-4009-AD69-35F7110378A6}"/>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2371-4009-AD69-35F7110378A6}"/>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2371-4009-AD69-35F7110378A6}"/>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2371-4009-AD69-35F7110378A6}"/>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2371-4009-AD69-35F7110378A6}"/>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2371-4009-AD69-35F7110378A6}"/>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2371-4009-AD69-35F7110378A6}"/>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2371-4009-AD69-35F7110378A6}"/>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2371-4009-AD69-35F7110378A6}"/>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2371-4009-AD69-35F7110378A6}"/>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2371-4009-AD69-35F7110378A6}"/>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2371-4009-AD69-35F7110378A6}"/>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2371-4009-AD69-35F7110378A6}"/>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2371-4009-AD69-35F7110378A6}"/>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2371-4009-AD69-35F7110378A6}"/>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2371-4009-AD69-35F7110378A6}"/>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2371-4009-AD69-35F7110378A6}"/>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1.0442830000000001</c:v>
                </c:pt>
                <c:pt idx="1">
                  <c:v>2.6570019999999999</c:v>
                </c:pt>
                <c:pt idx="2">
                  <c:v>3.7890090000000001</c:v>
                </c:pt>
                <c:pt idx="3">
                  <c:v>4.047237</c:v>
                </c:pt>
                <c:pt idx="4">
                  <c:v>4.4155439999999997</c:v>
                </c:pt>
                <c:pt idx="5">
                  <c:v>5.4613060000000004</c:v>
                </c:pt>
                <c:pt idx="6">
                  <c:v>8.5674030000000005</c:v>
                </c:pt>
              </c:numCache>
            </c:numRef>
          </c:xVal>
          <c:yVal>
            <c:numRef>
              <c:f>Peaks!$R$5:$R$104</c:f>
              <c:numCache>
                <c:formatCode>0.0</c:formatCode>
                <c:ptCount val="100"/>
                <c:pt idx="0">
                  <c:v>40.200904080153293</c:v>
                </c:pt>
                <c:pt idx="1">
                  <c:v>28.608402807831535</c:v>
                </c:pt>
                <c:pt idx="2">
                  <c:v>20.395929195543136</c:v>
                </c:pt>
                <c:pt idx="3">
                  <c:v>16.457682905309426</c:v>
                </c:pt>
                <c:pt idx="4">
                  <c:v>74.176871051788837</c:v>
                </c:pt>
                <c:pt idx="5">
                  <c:v>100</c:v>
                </c:pt>
                <c:pt idx="6">
                  <c:v>68.315735558260116</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15:dlblRangeCache>
              </c15:datalabelsRange>
            </c:ext>
            <c:ext xmlns:c16="http://schemas.microsoft.com/office/drawing/2014/chart" uri="{C3380CC4-5D6E-409C-BE32-E72D297353CC}">
              <c16:uniqueId val="{00000002-6C55-4540-A99B-AF279F0EE33F}"/>
            </c:ext>
          </c:extLst>
        </c:ser>
        <c:dLbls>
          <c:showLegendKey val="0"/>
          <c:showVal val="0"/>
          <c:showCatName val="0"/>
          <c:showSerName val="0"/>
          <c:showPercent val="0"/>
          <c:showBubbleSize val="0"/>
        </c:dLbls>
        <c:axId val="1816217984"/>
        <c:axId val="1816223424"/>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6C55-4540-A99B-AF279F0EE33F}"/>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6C55-4540-A99B-AF279F0EE33F}"/>
            </c:ext>
          </c:extLst>
        </c:ser>
        <c:dLbls>
          <c:showLegendKey val="0"/>
          <c:showVal val="0"/>
          <c:showCatName val="0"/>
          <c:showSerName val="0"/>
          <c:showPercent val="0"/>
          <c:showBubbleSize val="0"/>
        </c:dLbls>
        <c:axId val="1816214176"/>
        <c:axId val="1816223968"/>
      </c:scatterChart>
      <c:valAx>
        <c:axId val="1816217984"/>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3424"/>
        <c:crosses val="autoZero"/>
        <c:crossBetween val="midCat"/>
        <c:majorUnit val="0.5"/>
      </c:valAx>
      <c:valAx>
        <c:axId val="1816223424"/>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7984"/>
        <c:crosses val="autoZero"/>
        <c:crossBetween val="midCat"/>
        <c:majorUnit val="20"/>
        <c:minorUnit val="5"/>
      </c:valAx>
      <c:valAx>
        <c:axId val="1816223968"/>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14176"/>
        <c:crosses val="max"/>
        <c:crossBetween val="midCat"/>
        <c:minorUnit val="5"/>
      </c:valAx>
      <c:valAx>
        <c:axId val="1816214176"/>
        <c:scaling>
          <c:orientation val="minMax"/>
        </c:scaling>
        <c:delete val="1"/>
        <c:axPos val="b"/>
        <c:numFmt formatCode="General" sourceLinked="1"/>
        <c:majorTickMark val="out"/>
        <c:minorTickMark val="none"/>
        <c:tickLblPos val="nextTo"/>
        <c:crossAx val="1816223968"/>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75.732201890212437</c:v>
                </c:pt>
                <c:pt idx="1">
                  <c:v>75.867918337711885</c:v>
                </c:pt>
                <c:pt idx="2">
                  <c:v>72.661617265537146</c:v>
                </c:pt>
                <c:pt idx="3">
                  <c:v>69.30687632890988</c:v>
                </c:pt>
                <c:pt idx="4">
                  <c:v>66.766434077279371</c:v>
                </c:pt>
                <c:pt idx="5">
                  <c:v>64.497424720647757</c:v>
                </c:pt>
                <c:pt idx="6">
                  <c:v>62.22417422503181</c:v>
                </c:pt>
                <c:pt idx="7">
                  <c:v>60.531959770272913</c:v>
                </c:pt>
                <c:pt idx="8">
                  <c:v>59.810966142932038</c:v>
                </c:pt>
                <c:pt idx="9">
                  <c:v>59.441987051292877</c:v>
                </c:pt>
                <c:pt idx="10">
                  <c:v>58.945773790122978</c:v>
                </c:pt>
                <c:pt idx="11">
                  <c:v>58.258709274656965</c:v>
                </c:pt>
                <c:pt idx="12">
                  <c:v>57.813389681299356</c:v>
                </c:pt>
                <c:pt idx="13">
                  <c:v>57.571644759190939</c:v>
                </c:pt>
                <c:pt idx="14">
                  <c:v>57.86004221012729</c:v>
                </c:pt>
                <c:pt idx="15">
                  <c:v>59.128142766450374</c:v>
                </c:pt>
                <c:pt idx="16">
                  <c:v>61.333535038316604</c:v>
                </c:pt>
                <c:pt idx="17">
                  <c:v>63.386246306745932</c:v>
                </c:pt>
                <c:pt idx="18">
                  <c:v>64.81126900549026</c:v>
                </c:pt>
                <c:pt idx="19">
                  <c:v>65.706149331189835</c:v>
                </c:pt>
                <c:pt idx="20">
                  <c:v>66.104816395719496</c:v>
                </c:pt>
                <c:pt idx="21">
                  <c:v>65.604361995565228</c:v>
                </c:pt>
                <c:pt idx="22">
                  <c:v>63.823083622134824</c:v>
                </c:pt>
                <c:pt idx="23">
                  <c:v>60.930626834802574</c:v>
                </c:pt>
                <c:pt idx="24">
                  <c:v>57.469857423566353</c:v>
                </c:pt>
                <c:pt idx="25">
                  <c:v>54.365343687016207</c:v>
                </c:pt>
                <c:pt idx="26">
                  <c:v>52.363526086399169</c:v>
                </c:pt>
                <c:pt idx="27">
                  <c:v>51.400787536949871</c:v>
                </c:pt>
                <c:pt idx="28">
                  <c:v>51.023326167341999</c:v>
                </c:pt>
                <c:pt idx="29">
                  <c:v>50.768857828280517</c:v>
                </c:pt>
                <c:pt idx="30">
                  <c:v>50.488942655312883</c:v>
                </c:pt>
                <c:pt idx="31">
                  <c:v>50.204786343360887</c:v>
                </c:pt>
                <c:pt idx="32">
                  <c:v>49.924871170393253</c:v>
                </c:pt>
                <c:pt idx="33">
                  <c:v>49.70009080422227</c:v>
                </c:pt>
                <c:pt idx="34">
                  <c:v>49.538927522816657</c:v>
                </c:pt>
                <c:pt idx="35">
                  <c:v>49.365040824457971</c:v>
                </c:pt>
                <c:pt idx="36">
                  <c:v>49.182671848130575</c:v>
                </c:pt>
                <c:pt idx="37">
                  <c:v>49.034231983678048</c:v>
                </c:pt>
                <c:pt idx="38">
                  <c:v>48.919721231100375</c:v>
                </c:pt>
                <c:pt idx="39">
                  <c:v>48.826416173444493</c:v>
                </c:pt>
                <c:pt idx="40">
                  <c:v>48.805210478522703</c:v>
                </c:pt>
                <c:pt idx="41">
                  <c:v>48.877309841256789</c:v>
                </c:pt>
                <c:pt idx="42">
                  <c:v>49.025749705709323</c:v>
                </c:pt>
                <c:pt idx="43">
                  <c:v>49.203877543052364</c:v>
                </c:pt>
                <c:pt idx="44">
                  <c:v>49.428657909223347</c:v>
                </c:pt>
                <c:pt idx="45">
                  <c:v>49.674643970316119</c:v>
                </c:pt>
                <c:pt idx="46">
                  <c:v>49.912147753440181</c:v>
                </c:pt>
                <c:pt idx="47">
                  <c:v>50.141169258595511</c:v>
                </c:pt>
                <c:pt idx="48">
                  <c:v>50.395637597657</c:v>
                </c:pt>
                <c:pt idx="49">
                  <c:v>50.684035048593351</c:v>
                </c:pt>
                <c:pt idx="50">
                  <c:v>51.040290723279433</c:v>
                </c:pt>
                <c:pt idx="51">
                  <c:v>51.52378056749626</c:v>
                </c:pt>
                <c:pt idx="52">
                  <c:v>52.058164079525383</c:v>
                </c:pt>
                <c:pt idx="53">
                  <c:v>52.639200120382448</c:v>
                </c:pt>
                <c:pt idx="54">
                  <c:v>53.317782357879743</c:v>
                </c:pt>
                <c:pt idx="55">
                  <c:v>54.038775985220632</c:v>
                </c:pt>
                <c:pt idx="56">
                  <c:v>54.730081639670999</c:v>
                </c:pt>
                <c:pt idx="57">
                  <c:v>55.374734765293439</c:v>
                </c:pt>
                <c:pt idx="58">
                  <c:v>56.040593585837662</c:v>
                </c:pt>
                <c:pt idx="59">
                  <c:v>56.736140379272392</c:v>
                </c:pt>
                <c:pt idx="60">
                  <c:v>57.406240338800984</c:v>
                </c:pt>
                <c:pt idx="61">
                  <c:v>57.999999796611114</c:v>
                </c:pt>
                <c:pt idx="62">
                  <c:v>58.572553559499461</c:v>
                </c:pt>
                <c:pt idx="63">
                  <c:v>59.009390874888354</c:v>
                </c:pt>
                <c:pt idx="64">
                  <c:v>59.552256664886187</c:v>
                </c:pt>
                <c:pt idx="65">
                  <c:v>60.184186373555548</c:v>
                </c:pt>
                <c:pt idx="66">
                  <c:v>60.837321777146698</c:v>
                </c:pt>
                <c:pt idx="67">
                  <c:v>61.405634401050683</c:v>
                </c:pt>
                <c:pt idx="68">
                  <c:v>61.978188163939031</c:v>
                </c:pt>
                <c:pt idx="69">
                  <c:v>62.826415960810657</c:v>
                </c:pt>
                <c:pt idx="70">
                  <c:v>63.814601344166107</c:v>
                </c:pt>
                <c:pt idx="71">
                  <c:v>64.739169642756167</c:v>
                </c:pt>
                <c:pt idx="72">
                  <c:v>65.523780354862424</c:v>
                </c:pt>
                <c:pt idx="73">
                  <c:v>66.11329867368822</c:v>
                </c:pt>
                <c:pt idx="74">
                  <c:v>66.690093575560908</c:v>
                </c:pt>
                <c:pt idx="75">
                  <c:v>67.495909982588955</c:v>
                </c:pt>
                <c:pt idx="76">
                  <c:v>68.289002972663909</c:v>
                </c:pt>
                <c:pt idx="77">
                  <c:v>68.662223203287439</c:v>
                </c:pt>
                <c:pt idx="78">
                  <c:v>68.62829409141257</c:v>
                </c:pt>
                <c:pt idx="79">
                  <c:v>68.976067488129942</c:v>
                </c:pt>
                <c:pt idx="80">
                  <c:v>69.400181386565748</c:v>
                </c:pt>
                <c:pt idx="81">
                  <c:v>69.400181386565748</c:v>
                </c:pt>
                <c:pt idx="82">
                  <c:v>68.696152315162294</c:v>
                </c:pt>
                <c:pt idx="83">
                  <c:v>67.970917548837065</c:v>
                </c:pt>
                <c:pt idx="84">
                  <c:v>67.839442240321958</c:v>
                </c:pt>
                <c:pt idx="85">
                  <c:v>67.958194131883985</c:v>
                </c:pt>
                <c:pt idx="86">
                  <c:v>68.339896640476212</c:v>
                </c:pt>
                <c:pt idx="87">
                  <c:v>68.653740925318729</c:v>
                </c:pt>
                <c:pt idx="88">
                  <c:v>68.874280152505349</c:v>
                </c:pt>
                <c:pt idx="89">
                  <c:v>68.755528260943322</c:v>
                </c:pt>
                <c:pt idx="90">
                  <c:v>68.492577643913108</c:v>
                </c:pt>
                <c:pt idx="91">
                  <c:v>68.055740328524223</c:v>
                </c:pt>
                <c:pt idx="92">
                  <c:v>67.750378321650444</c:v>
                </c:pt>
                <c:pt idx="93">
                  <c:v>67.542562511416889</c:v>
                </c:pt>
                <c:pt idx="94">
                  <c:v>67.355952396105138</c:v>
                </c:pt>
                <c:pt idx="95">
                  <c:v>67.093001779074925</c:v>
                </c:pt>
                <c:pt idx="96">
                  <c:v>66.842774578997805</c:v>
                </c:pt>
                <c:pt idx="97">
                  <c:v>66.84701571798216</c:v>
                </c:pt>
                <c:pt idx="98">
                  <c:v>67.207512531652597</c:v>
                </c:pt>
                <c:pt idx="99">
                  <c:v>67.7546194606348</c:v>
                </c:pt>
                <c:pt idx="100">
                  <c:v>68.229627026882909</c:v>
                </c:pt>
                <c:pt idx="101">
                  <c:v>68.65798206430307</c:v>
                </c:pt>
                <c:pt idx="102">
                  <c:v>69.065131406801456</c:v>
                </c:pt>
                <c:pt idx="103">
                  <c:v>69.226294688207062</c:v>
                </c:pt>
                <c:pt idx="104">
                  <c:v>69.116025074613759</c:v>
                </c:pt>
                <c:pt idx="105">
                  <c:v>68.819145345708691</c:v>
                </c:pt>
                <c:pt idx="106">
                  <c:v>69.620720613752368</c:v>
                </c:pt>
                <c:pt idx="107">
                  <c:v>70.820962946325722</c:v>
                </c:pt>
                <c:pt idx="108">
                  <c:v>71.54195657366661</c:v>
                </c:pt>
                <c:pt idx="109">
                  <c:v>71.35110531937049</c:v>
                </c:pt>
                <c:pt idx="110">
                  <c:v>70.986367366715697</c:v>
                </c:pt>
                <c:pt idx="111">
                  <c:v>71.117842675230804</c:v>
                </c:pt>
                <c:pt idx="112">
                  <c:v>71.287488234605107</c:v>
                </c:pt>
                <c:pt idx="113">
                  <c:v>71.079672424371566</c:v>
                </c:pt>
                <c:pt idx="114">
                  <c:v>70.350196519061967</c:v>
                </c:pt>
                <c:pt idx="115">
                  <c:v>69.574068084924434</c:v>
                </c:pt>
                <c:pt idx="116">
                  <c:v>69.230535827191432</c:v>
                </c:pt>
                <c:pt idx="117">
                  <c:v>69.162677603441693</c:v>
                </c:pt>
                <c:pt idx="118">
                  <c:v>69.022720016957891</c:v>
                </c:pt>
                <c:pt idx="119">
                  <c:v>68.959102932192508</c:v>
                </c:pt>
                <c:pt idx="120">
                  <c:v>69.145713047504259</c:v>
                </c:pt>
                <c:pt idx="121">
                  <c:v>71.754013522884506</c:v>
                </c:pt>
                <c:pt idx="122">
                  <c:v>73.972129211703802</c:v>
                </c:pt>
                <c:pt idx="123">
                  <c:v>74.604058920373163</c:v>
                </c:pt>
                <c:pt idx="124">
                  <c:v>72.971220411395294</c:v>
                </c:pt>
                <c:pt idx="125">
                  <c:v>71.172977482027449</c:v>
                </c:pt>
                <c:pt idx="126">
                  <c:v>70.638593969998325</c:v>
                </c:pt>
                <c:pt idx="127">
                  <c:v>70.104210457969202</c:v>
                </c:pt>
                <c:pt idx="128">
                  <c:v>69.463798471331117</c:v>
                </c:pt>
                <c:pt idx="129">
                  <c:v>69.090578240707615</c:v>
                </c:pt>
                <c:pt idx="130">
                  <c:v>69.544380112033934</c:v>
                </c:pt>
                <c:pt idx="131">
                  <c:v>71.643743909291203</c:v>
                </c:pt>
                <c:pt idx="132">
                  <c:v>72.839745102880187</c:v>
                </c:pt>
                <c:pt idx="133">
                  <c:v>72.937291299520425</c:v>
                </c:pt>
                <c:pt idx="134">
                  <c:v>71.181459759996173</c:v>
                </c:pt>
                <c:pt idx="135">
                  <c:v>69.069372545785825</c:v>
                </c:pt>
                <c:pt idx="136">
                  <c:v>68.19569791500804</c:v>
                </c:pt>
                <c:pt idx="137">
                  <c:v>68.16600994211754</c:v>
                </c:pt>
                <c:pt idx="138">
                  <c:v>68.272038416726488</c:v>
                </c:pt>
                <c:pt idx="139">
                  <c:v>68.395031447272885</c:v>
                </c:pt>
                <c:pt idx="140">
                  <c:v>68.40775486422595</c:v>
                </c:pt>
                <c:pt idx="141">
                  <c:v>68.390790308288516</c:v>
                </c:pt>
                <c:pt idx="142">
                  <c:v>68.352620057429291</c:v>
                </c:pt>
                <c:pt idx="143">
                  <c:v>68.611329535475136</c:v>
                </c:pt>
                <c:pt idx="144">
                  <c:v>70.67676422085755</c:v>
                </c:pt>
                <c:pt idx="145">
                  <c:v>78.55255931481058</c:v>
                </c:pt>
                <c:pt idx="146">
                  <c:v>89.431080809689163</c:v>
                </c:pt>
                <c:pt idx="147">
                  <c:v>88.854285907816461</c:v>
                </c:pt>
                <c:pt idx="148">
                  <c:v>79.298999776057613</c:v>
                </c:pt>
                <c:pt idx="149">
                  <c:v>72.148439448429812</c:v>
                </c:pt>
                <c:pt idx="150">
                  <c:v>70.545288912342443</c:v>
                </c:pt>
                <c:pt idx="151">
                  <c:v>70.655558525935746</c:v>
                </c:pt>
                <c:pt idx="152">
                  <c:v>70.443501576717864</c:v>
                </c:pt>
                <c:pt idx="153">
                  <c:v>69.934564898594871</c:v>
                </c:pt>
                <c:pt idx="154">
                  <c:v>69.926082620626161</c:v>
                </c:pt>
                <c:pt idx="155">
                  <c:v>70.010905400313305</c:v>
                </c:pt>
                <c:pt idx="156">
                  <c:v>70.435019298749125</c:v>
                </c:pt>
                <c:pt idx="157">
                  <c:v>70.566494607264218</c:v>
                </c:pt>
                <c:pt idx="158">
                  <c:v>70.210238932578164</c:v>
                </c:pt>
                <c:pt idx="159">
                  <c:v>69.438351637424972</c:v>
                </c:pt>
                <c:pt idx="160">
                  <c:v>68.751287121958967</c:v>
                </c:pt>
                <c:pt idx="161">
                  <c:v>68.467130810006964</c:v>
                </c:pt>
                <c:pt idx="162">
                  <c:v>68.518024477819267</c:v>
                </c:pt>
                <c:pt idx="163">
                  <c:v>69.001514322036087</c:v>
                </c:pt>
                <c:pt idx="164">
                  <c:v>69.870947813829503</c:v>
                </c:pt>
                <c:pt idx="165">
                  <c:v>70.613147136092181</c:v>
                </c:pt>
                <c:pt idx="166">
                  <c:v>70.664040803904484</c:v>
                </c:pt>
                <c:pt idx="167">
                  <c:v>70.142380708828426</c:v>
                </c:pt>
                <c:pt idx="168">
                  <c:v>69.620720613752368</c:v>
                </c:pt>
                <c:pt idx="169">
                  <c:v>69.815813007032858</c:v>
                </c:pt>
                <c:pt idx="170">
                  <c:v>70.197515515625085</c:v>
                </c:pt>
                <c:pt idx="171">
                  <c:v>70.541047773358088</c:v>
                </c:pt>
                <c:pt idx="172">
                  <c:v>71.363828736323569</c:v>
                </c:pt>
                <c:pt idx="173">
                  <c:v>72.496212845147184</c:v>
                </c:pt>
                <c:pt idx="174">
                  <c:v>72.504695123115894</c:v>
                </c:pt>
                <c:pt idx="175">
                  <c:v>72.322326146788498</c:v>
                </c:pt>
                <c:pt idx="176">
                  <c:v>72.008481861945995</c:v>
                </c:pt>
                <c:pt idx="177">
                  <c:v>71.36806987530791</c:v>
                </c:pt>
                <c:pt idx="178">
                  <c:v>70.90578572601288</c:v>
                </c:pt>
                <c:pt idx="179">
                  <c:v>70.799757251403918</c:v>
                </c:pt>
                <c:pt idx="180">
                  <c:v>70.62587055304526</c:v>
                </c:pt>
                <c:pt idx="181">
                  <c:v>70.375643352968126</c:v>
                </c:pt>
                <c:pt idx="182">
                  <c:v>70.630111692029601</c:v>
                </c:pt>
                <c:pt idx="183">
                  <c:v>71.283247095620766</c:v>
                </c:pt>
                <c:pt idx="184">
                  <c:v>80.418660467928149</c:v>
                </c:pt>
                <c:pt idx="185">
                  <c:v>97.001513896768429</c:v>
                </c:pt>
                <c:pt idx="186">
                  <c:v>99.999999158709613</c:v>
                </c:pt>
                <c:pt idx="187">
                  <c:v>89.982428877655735</c:v>
                </c:pt>
                <c:pt idx="188">
                  <c:v>77.598303043329992</c:v>
                </c:pt>
                <c:pt idx="189">
                  <c:v>72.394425509522577</c:v>
                </c:pt>
                <c:pt idx="190">
                  <c:v>70.990608505700052</c:v>
                </c:pt>
                <c:pt idx="191">
                  <c:v>70.910026864997249</c:v>
                </c:pt>
                <c:pt idx="192">
                  <c:v>70.939714837887749</c:v>
                </c:pt>
                <c:pt idx="193">
                  <c:v>71.206906593902318</c:v>
                </c:pt>
                <c:pt idx="194">
                  <c:v>71.444410377026358</c:v>
                </c:pt>
                <c:pt idx="195">
                  <c:v>71.435928099057648</c:v>
                </c:pt>
                <c:pt idx="196">
                  <c:v>71.257800261714621</c:v>
                </c:pt>
                <c:pt idx="197">
                  <c:v>71.168736343043093</c:v>
                </c:pt>
                <c:pt idx="198">
                  <c:v>71.185700898980514</c:v>
                </c:pt>
                <c:pt idx="199">
                  <c:v>71.270523678667701</c:v>
                </c:pt>
                <c:pt idx="200">
                  <c:v>71.266282539683331</c:v>
                </c:pt>
                <c:pt idx="201">
                  <c:v>71.270523678667701</c:v>
                </c:pt>
                <c:pt idx="202">
                  <c:v>71.274764817652041</c:v>
                </c:pt>
                <c:pt idx="203">
                  <c:v>71.270523678667701</c:v>
                </c:pt>
                <c:pt idx="204">
                  <c:v>71.393516709214069</c:v>
                </c:pt>
                <c:pt idx="205">
                  <c:v>71.57164454655711</c:v>
                </c:pt>
                <c:pt idx="206">
                  <c:v>71.694637577103492</c:v>
                </c:pt>
                <c:pt idx="207">
                  <c:v>71.79218377374373</c:v>
                </c:pt>
                <c:pt idx="208">
                  <c:v>71.987276167024191</c:v>
                </c:pt>
                <c:pt idx="209">
                  <c:v>72.195091977257746</c:v>
                </c:pt>
                <c:pt idx="210">
                  <c:v>72.279914756944919</c:v>
                </c:pt>
                <c:pt idx="211">
                  <c:v>72.343531841710302</c:v>
                </c:pt>
                <c:pt idx="212">
                  <c:v>72.373219814600802</c:v>
                </c:pt>
                <c:pt idx="213">
                  <c:v>72.43683689936617</c:v>
                </c:pt>
                <c:pt idx="214">
                  <c:v>72.585276763818712</c:v>
                </c:pt>
                <c:pt idx="215">
                  <c:v>72.67009954350587</c:v>
                </c:pt>
                <c:pt idx="216">
                  <c:v>72.742198906239949</c:v>
                </c:pt>
                <c:pt idx="217">
                  <c:v>73.022114079207583</c:v>
                </c:pt>
                <c:pt idx="218">
                  <c:v>73.458951394596482</c:v>
                </c:pt>
                <c:pt idx="219">
                  <c:v>73.55649759123672</c:v>
                </c:pt>
                <c:pt idx="220">
                  <c:v>73.564979869205416</c:v>
                </c:pt>
                <c:pt idx="221">
                  <c:v>73.734625428579747</c:v>
                </c:pt>
                <c:pt idx="222">
                  <c:v>73.827930486235644</c:v>
                </c:pt>
                <c:pt idx="223">
                  <c:v>73.654043787876944</c:v>
                </c:pt>
                <c:pt idx="224">
                  <c:v>73.242653306394203</c:v>
                </c:pt>
                <c:pt idx="225">
                  <c:v>73.000908384285793</c:v>
                </c:pt>
                <c:pt idx="226">
                  <c:v>72.945773577489135</c:v>
                </c:pt>
                <c:pt idx="227">
                  <c:v>73.013631801238873</c:v>
                </c:pt>
                <c:pt idx="228">
                  <c:v>73.136624831785255</c:v>
                </c:pt>
                <c:pt idx="229">
                  <c:v>73.179036221628834</c:v>
                </c:pt>
                <c:pt idx="230">
                  <c:v>73.196000777566269</c:v>
                </c:pt>
                <c:pt idx="231">
                  <c:v>73.259617862331652</c:v>
                </c:pt>
                <c:pt idx="232">
                  <c:v>73.361405197956245</c:v>
                </c:pt>
                <c:pt idx="233">
                  <c:v>73.463192533580823</c:v>
                </c:pt>
                <c:pt idx="234">
                  <c:v>73.560738730221075</c:v>
                </c:pt>
                <c:pt idx="235">
                  <c:v>73.641320370923879</c:v>
                </c:pt>
                <c:pt idx="236">
                  <c:v>73.696455177720537</c:v>
                </c:pt>
                <c:pt idx="237">
                  <c:v>73.730384289595392</c:v>
                </c:pt>
                <c:pt idx="238">
                  <c:v>73.730384289595392</c:v>
                </c:pt>
                <c:pt idx="239">
                  <c:v>73.755831123501551</c:v>
                </c:pt>
                <c:pt idx="240">
                  <c:v>73.80672479131384</c:v>
                </c:pt>
                <c:pt idx="241">
                  <c:v>73.976370350688171</c:v>
                </c:pt>
                <c:pt idx="242">
                  <c:v>74.162980465999937</c:v>
                </c:pt>
                <c:pt idx="243">
                  <c:v>74.468342472873701</c:v>
                </c:pt>
                <c:pt idx="244">
                  <c:v>75.38018735451071</c:v>
                </c:pt>
                <c:pt idx="245">
                  <c:v>75.761889863102937</c:v>
                </c:pt>
                <c:pt idx="246">
                  <c:v>75.931535422477253</c:v>
                </c:pt>
                <c:pt idx="247">
                  <c:v>75.40987532740121</c:v>
                </c:pt>
                <c:pt idx="248">
                  <c:v>74.939108900137455</c:v>
                </c:pt>
                <c:pt idx="249">
                  <c:v>74.811874730606718</c:v>
                </c:pt>
                <c:pt idx="250">
                  <c:v>74.994243706934128</c:v>
                </c:pt>
                <c:pt idx="251">
                  <c:v>75.163889266308445</c:v>
                </c:pt>
                <c:pt idx="252">
                  <c:v>75.261435462948683</c:v>
                </c:pt>
                <c:pt idx="253">
                  <c:v>75.117236737480496</c:v>
                </c:pt>
                <c:pt idx="254">
                  <c:v>74.892456371309521</c:v>
                </c:pt>
                <c:pt idx="255">
                  <c:v>74.69736397802906</c:v>
                </c:pt>
                <c:pt idx="256">
                  <c:v>74.667676005138532</c:v>
                </c:pt>
                <c:pt idx="257">
                  <c:v>74.799151313653638</c:v>
                </c:pt>
                <c:pt idx="258">
                  <c:v>74.977279150996694</c:v>
                </c:pt>
                <c:pt idx="259">
                  <c:v>75.096031042558707</c:v>
                </c:pt>
                <c:pt idx="260">
                  <c:v>75.172371544277155</c:v>
                </c:pt>
                <c:pt idx="261">
                  <c:v>75.163889266308445</c:v>
                </c:pt>
                <c:pt idx="262">
                  <c:v>75.138442432402286</c:v>
                </c:pt>
                <c:pt idx="263">
                  <c:v>75.117236737480496</c:v>
                </c:pt>
                <c:pt idx="264">
                  <c:v>75.083307625605642</c:v>
                </c:pt>
                <c:pt idx="265">
                  <c:v>75.062101930683852</c:v>
                </c:pt>
                <c:pt idx="266">
                  <c:v>75.002725984902838</c:v>
                </c:pt>
                <c:pt idx="267">
                  <c:v>74.9051797882626</c:v>
                </c:pt>
                <c:pt idx="268">
                  <c:v>74.786427896700559</c:v>
                </c:pt>
                <c:pt idx="269">
                  <c:v>74.629505754279322</c:v>
                </c:pt>
                <c:pt idx="270">
                  <c:v>74.48954816779549</c:v>
                </c:pt>
                <c:pt idx="271">
                  <c:v>74.332626025374239</c:v>
                </c:pt>
                <c:pt idx="272">
                  <c:v>74.205391855843502</c:v>
                </c:pt>
                <c:pt idx="273">
                  <c:v>74.107845659203264</c:v>
                </c:pt>
                <c:pt idx="274">
                  <c:v>73.938200099828947</c:v>
                </c:pt>
                <c:pt idx="275">
                  <c:v>73.721902011626668</c:v>
                </c:pt>
                <c:pt idx="276">
                  <c:v>73.450469116627758</c:v>
                </c:pt>
                <c:pt idx="277">
                  <c:v>73.1620716656914</c:v>
                </c:pt>
                <c:pt idx="278">
                  <c:v>72.966979272410939</c:v>
                </c:pt>
                <c:pt idx="279">
                  <c:v>72.843986241864542</c:v>
                </c:pt>
                <c:pt idx="280">
                  <c:v>72.860950797801991</c:v>
                </c:pt>
                <c:pt idx="281">
                  <c:v>72.90336218764557</c:v>
                </c:pt>
                <c:pt idx="282">
                  <c:v>73.026355218191938</c:v>
                </c:pt>
                <c:pt idx="283">
                  <c:v>73.276582418269086</c:v>
                </c:pt>
                <c:pt idx="284">
                  <c:v>73.212965333503703</c:v>
                </c:pt>
                <c:pt idx="285">
                  <c:v>73.077248886004242</c:v>
                </c:pt>
                <c:pt idx="286">
                  <c:v>72.665858404521501</c:v>
                </c:pt>
                <c:pt idx="287">
                  <c:v>72.267191339991854</c:v>
                </c:pt>
                <c:pt idx="288">
                  <c:v>71.944864777180626</c:v>
                </c:pt>
                <c:pt idx="289">
                  <c:v>71.656467326244268</c:v>
                </c:pt>
                <c:pt idx="290">
                  <c:v>71.3595875973392</c:v>
                </c:pt>
                <c:pt idx="291">
                  <c:v>71.062707868434131</c:v>
                </c:pt>
                <c:pt idx="292">
                  <c:v>70.748863583591643</c:v>
                </c:pt>
                <c:pt idx="293">
                  <c:v>70.456224993670929</c:v>
                </c:pt>
                <c:pt idx="294">
                  <c:v>70.142380708828426</c:v>
                </c:pt>
                <c:pt idx="295">
                  <c:v>69.781883895157975</c:v>
                </c:pt>
                <c:pt idx="296">
                  <c:v>69.408663664534473</c:v>
                </c:pt>
                <c:pt idx="297">
                  <c:v>68.967585210161218</c:v>
                </c:pt>
                <c:pt idx="298">
                  <c:v>68.445925115085174</c:v>
                </c:pt>
                <c:pt idx="299">
                  <c:v>69.425628220471907</c:v>
                </c:pt>
                <c:pt idx="300">
                  <c:v>78.166615667233984</c:v>
                </c:pt>
                <c:pt idx="301">
                  <c:v>81.466221797064605</c:v>
                </c:pt>
                <c:pt idx="302">
                  <c:v>83.68009634689956</c:v>
                </c:pt>
                <c:pt idx="303">
                  <c:v>79.159042189573796</c:v>
                </c:pt>
                <c:pt idx="304">
                  <c:v>70.744622444607273</c:v>
                </c:pt>
                <c:pt idx="305">
                  <c:v>66.830051162044725</c:v>
                </c:pt>
                <c:pt idx="306">
                  <c:v>65.163283541191987</c:v>
                </c:pt>
                <c:pt idx="307">
                  <c:v>64.289608910414216</c:v>
                </c:pt>
                <c:pt idx="308">
                  <c:v>63.449863391511315</c:v>
                </c:pt>
                <c:pt idx="309">
                  <c:v>62.673734957373775</c:v>
                </c:pt>
                <c:pt idx="310">
                  <c:v>61.973947024954676</c:v>
                </c:pt>
                <c:pt idx="311">
                  <c:v>61.31657048237917</c:v>
                </c:pt>
                <c:pt idx="312">
                  <c:v>60.731293302537743</c:v>
                </c:pt>
                <c:pt idx="313">
                  <c:v>60.129051566758889</c:v>
                </c:pt>
                <c:pt idx="314">
                  <c:v>59.539533247933115</c:v>
                </c:pt>
                <c:pt idx="315">
                  <c:v>58.920326956216826</c:v>
                </c:pt>
                <c:pt idx="316">
                  <c:v>58.18236877293851</c:v>
                </c:pt>
                <c:pt idx="317">
                  <c:v>57.35958780997305</c:v>
                </c:pt>
                <c:pt idx="318">
                  <c:v>56.418054955445541</c:v>
                </c:pt>
                <c:pt idx="319">
                  <c:v>55.544380324667763</c:v>
                </c:pt>
                <c:pt idx="320">
                  <c:v>54.721599361702275</c:v>
                </c:pt>
                <c:pt idx="321">
                  <c:v>53.54680386303508</c:v>
                </c:pt>
                <c:pt idx="322">
                  <c:v>52.308391279602517</c:v>
                </c:pt>
                <c:pt idx="323">
                  <c:v>50.785822384217944</c:v>
                </c:pt>
                <c:pt idx="324">
                  <c:v>49.466828160082571</c:v>
                </c:pt>
                <c:pt idx="325">
                  <c:v>48.283550383446652</c:v>
                </c:pt>
                <c:pt idx="326">
                  <c:v>47.172371969544827</c:v>
                </c:pt>
                <c:pt idx="327">
                  <c:v>45.840654328456374</c:v>
                </c:pt>
                <c:pt idx="328">
                  <c:v>44.237503792369004</c:v>
                </c:pt>
                <c:pt idx="329">
                  <c:v>42.345955805345284</c:v>
                </c:pt>
                <c:pt idx="330">
                  <c:v>40.301726814884667</c:v>
                </c:pt>
                <c:pt idx="331">
                  <c:v>38.28718579731455</c:v>
                </c:pt>
                <c:pt idx="332">
                  <c:v>36.357467559431605</c:v>
                </c:pt>
                <c:pt idx="333">
                  <c:v>34.516813240220188</c:v>
                </c:pt>
                <c:pt idx="334">
                  <c:v>32.735534866789777</c:v>
                </c:pt>
                <c:pt idx="335">
                  <c:v>30.950015354375005</c:v>
                </c:pt>
                <c:pt idx="336">
                  <c:v>29.177219258913308</c:v>
                </c:pt>
                <c:pt idx="337">
                  <c:v>27.417146580404687</c:v>
                </c:pt>
                <c:pt idx="338">
                  <c:v>25.631627067989918</c:v>
                </c:pt>
                <c:pt idx="339">
                  <c:v>23.892760084403086</c:v>
                </c:pt>
                <c:pt idx="340">
                  <c:v>23.379582267295749</c:v>
                </c:pt>
                <c:pt idx="341">
                  <c:v>23.010603175656595</c:v>
                </c:pt>
                <c:pt idx="342">
                  <c:v>21.687367812536859</c:v>
                </c:pt>
                <c:pt idx="343">
                  <c:v>18.760981913329758</c:v>
                </c:pt>
                <c:pt idx="344">
                  <c:v>15.3638295868589</c:v>
                </c:pt>
                <c:pt idx="345">
                  <c:v>13.446834765929028</c:v>
                </c:pt>
                <c:pt idx="346">
                  <c:v>12.115117124840575</c:v>
                </c:pt>
                <c:pt idx="347">
                  <c:v>10.774917205783407</c:v>
                </c:pt>
                <c:pt idx="348">
                  <c:v>9.2438660324301285</c:v>
                </c:pt>
                <c:pt idx="349">
                  <c:v>7.8146021947014415</c:v>
                </c:pt>
                <c:pt idx="350">
                  <c:v>6.6228421400968065</c:v>
                </c:pt>
                <c:pt idx="351">
                  <c:v>5.5583162550229197</c:v>
                </c:pt>
                <c:pt idx="352">
                  <c:v>4.582854288620549</c:v>
                </c:pt>
                <c:pt idx="353">
                  <c:v>3.7261442137802083</c:v>
                </c:pt>
                <c:pt idx="354">
                  <c:v>3.0136328644080392</c:v>
                </c:pt>
                <c:pt idx="355">
                  <c:v>2.4622847964414873</c:v>
                </c:pt>
                <c:pt idx="356">
                  <c:v>2.000000647146452</c:v>
                </c:pt>
              </c:numCache>
            </c:numRef>
          </c:yVal>
          <c:smooth val="1"/>
          <c:extLst>
            <c:ext xmlns:c16="http://schemas.microsoft.com/office/drawing/2014/chart" uri="{C3380CC4-5D6E-409C-BE32-E72D297353CC}">
              <c16:uniqueId val="{00000000-E192-4130-B7D2-7905CBA103B5}"/>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14.095728358110209</c:v>
                </c:pt>
                <c:pt idx="1">
                  <c:v>10.821569062185739</c:v>
                </c:pt>
                <c:pt idx="2">
                  <c:v>8.3277793393831612</c:v>
                </c:pt>
                <c:pt idx="3">
                  <c:v>7.8018781053227553</c:v>
                </c:pt>
                <c:pt idx="4">
                  <c:v>7.9630413867283636</c:v>
                </c:pt>
                <c:pt idx="5">
                  <c:v>8.2387154207116424</c:v>
                </c:pt>
                <c:pt idx="6">
                  <c:v>8.0648287223529582</c:v>
                </c:pt>
                <c:pt idx="7">
                  <c:v>7.6619205188389374</c:v>
                </c:pt>
                <c:pt idx="8">
                  <c:v>7.5134806543864023</c:v>
                </c:pt>
                <c:pt idx="9">
                  <c:v>7.2929414271997794</c:v>
                </c:pt>
                <c:pt idx="10">
                  <c:v>6.5125718540778852</c:v>
                </c:pt>
                <c:pt idx="11">
                  <c:v>5.4056345791604148</c:v>
                </c:pt>
                <c:pt idx="12">
                  <c:v>4.7312934806474729</c:v>
                </c:pt>
                <c:pt idx="13">
                  <c:v>4.9348681518966631</c:v>
                </c:pt>
                <c:pt idx="14">
                  <c:v>6.2453800980633236</c:v>
                </c:pt>
                <c:pt idx="15">
                  <c:v>8.8494394344592102</c:v>
                </c:pt>
                <c:pt idx="16">
                  <c:v>12.208421510070846</c:v>
                </c:pt>
                <c:pt idx="17">
                  <c:v>15.139048548262309</c:v>
                </c:pt>
                <c:pt idx="18">
                  <c:v>17.123901592941912</c:v>
                </c:pt>
                <c:pt idx="19">
                  <c:v>18.408966705202424</c:v>
                </c:pt>
                <c:pt idx="20">
                  <c:v>19.142683749496378</c:v>
                </c:pt>
                <c:pt idx="21">
                  <c:v>18.930626800278471</c:v>
                </c:pt>
                <c:pt idx="22">
                  <c:v>17.217206650597788</c:v>
                </c:pt>
                <c:pt idx="23">
                  <c:v>14.184792276781732</c:v>
                </c:pt>
                <c:pt idx="24">
                  <c:v>10.427143136640433</c:v>
                </c:pt>
                <c:pt idx="25">
                  <c:v>6.9027566406388328</c:v>
                </c:pt>
                <c:pt idx="26">
                  <c:v>4.5998181721323714</c:v>
                </c:pt>
                <c:pt idx="27">
                  <c:v>3.5522568429959147</c:v>
                </c:pt>
                <c:pt idx="28">
                  <c:v>3.1366252225288189</c:v>
                </c:pt>
                <c:pt idx="29">
                  <c:v>2.971220802138852</c:v>
                </c:pt>
                <c:pt idx="30">
                  <c:v>2.8482277715924664</c:v>
                </c:pt>
                <c:pt idx="31">
                  <c:v>2.7125113240930068</c:v>
                </c:pt>
                <c:pt idx="32">
                  <c:v>2.5895182935466208</c:v>
                </c:pt>
                <c:pt idx="33">
                  <c:v>2.4792486799533098</c:v>
                </c:pt>
                <c:pt idx="34">
                  <c:v>2.3986670392505052</c:v>
                </c:pt>
                <c:pt idx="35">
                  <c:v>2.3138442595633428</c:v>
                </c:pt>
                <c:pt idx="36">
                  <c:v>2.2332626188605387</c:v>
                </c:pt>
                <c:pt idx="37">
                  <c:v>2.1569221171420923</c:v>
                </c:pt>
                <c:pt idx="38">
                  <c:v>2.084822754408004</c:v>
                </c:pt>
                <c:pt idx="39">
                  <c:v>2.0381702255800649</c:v>
                </c:pt>
                <c:pt idx="40">
                  <c:v>2.0127233916739162</c:v>
                </c:pt>
                <c:pt idx="41">
                  <c:v>1.9999999747208419</c:v>
                </c:pt>
                <c:pt idx="42">
                  <c:v>1.9999999747208419</c:v>
                </c:pt>
                <c:pt idx="43">
                  <c:v>2.0127233916739162</c:v>
                </c:pt>
                <c:pt idx="44">
                  <c:v>2.0424113645644231</c:v>
                </c:pt>
                <c:pt idx="45">
                  <c:v>2.084822754408004</c:v>
                </c:pt>
                <c:pt idx="46">
                  <c:v>2.13995756120466</c:v>
                </c:pt>
                <c:pt idx="47">
                  <c:v>2.1993335069856736</c:v>
                </c:pt>
                <c:pt idx="48">
                  <c:v>2.2671917307354037</c:v>
                </c:pt>
                <c:pt idx="49">
                  <c:v>2.3392910934694915</c:v>
                </c:pt>
                <c:pt idx="50">
                  <c:v>2.4453195680784447</c:v>
                </c:pt>
                <c:pt idx="51">
                  <c:v>2.5555891816717562</c:v>
                </c:pt>
                <c:pt idx="52">
                  <c:v>2.6828233512024995</c:v>
                </c:pt>
                <c:pt idx="53">
                  <c:v>2.8567100495611824</c:v>
                </c:pt>
                <c:pt idx="54">
                  <c:v>3.0136321919824334</c:v>
                </c:pt>
                <c:pt idx="55">
                  <c:v>3.1960011683098326</c:v>
                </c:pt>
                <c:pt idx="56">
                  <c:v>3.3910935615903064</c:v>
                </c:pt>
                <c:pt idx="57">
                  <c:v>3.5989093718238543</c:v>
                </c:pt>
                <c:pt idx="58">
                  <c:v>3.8448954329166254</c:v>
                </c:pt>
                <c:pt idx="59">
                  <c:v>4.0908814940093965</c:v>
                </c:pt>
                <c:pt idx="60">
                  <c:v>4.2774916093211548</c:v>
                </c:pt>
                <c:pt idx="61">
                  <c:v>4.4301726127580467</c:v>
                </c:pt>
                <c:pt idx="62">
                  <c:v>4.565889060257506</c:v>
                </c:pt>
                <c:pt idx="63">
                  <c:v>4.6252650060385205</c:v>
                </c:pt>
                <c:pt idx="64">
                  <c:v>4.6931232297882506</c:v>
                </c:pt>
                <c:pt idx="65">
                  <c:v>4.8076339823659193</c:v>
                </c:pt>
                <c:pt idx="66">
                  <c:v>4.9433504298653794</c:v>
                </c:pt>
                <c:pt idx="67">
                  <c:v>5.0833080163491982</c:v>
                </c:pt>
                <c:pt idx="68">
                  <c:v>5.2402301587704478</c:v>
                </c:pt>
                <c:pt idx="69">
                  <c:v>5.4480459690039966</c:v>
                </c:pt>
                <c:pt idx="70">
                  <c:v>5.6940320300967668</c:v>
                </c:pt>
                <c:pt idx="71">
                  <c:v>5.910330118299032</c:v>
                </c:pt>
                <c:pt idx="72">
                  <c:v>6.1393516234543695</c:v>
                </c:pt>
                <c:pt idx="73">
                  <c:v>6.2920326268912632</c:v>
                </c:pt>
                <c:pt idx="74">
                  <c:v>6.4277490743907224</c:v>
                </c:pt>
                <c:pt idx="75">
                  <c:v>6.5804300778276152</c:v>
                </c:pt>
                <c:pt idx="76">
                  <c:v>6.7288699422801495</c:v>
                </c:pt>
                <c:pt idx="77">
                  <c:v>6.7543167761862977</c:v>
                </c:pt>
                <c:pt idx="78">
                  <c:v>6.7034231083740003</c:v>
                </c:pt>
                <c:pt idx="79">
                  <c:v>6.7924870270455209</c:v>
                </c:pt>
                <c:pt idx="80">
                  <c:v>6.8688275287639673</c:v>
                </c:pt>
                <c:pt idx="81">
                  <c:v>6.8942743626701164</c:v>
                </c:pt>
                <c:pt idx="82">
                  <c:v>6.8561041118108923</c:v>
                </c:pt>
                <c:pt idx="83">
                  <c:v>6.9154800575919069</c:v>
                </c:pt>
                <c:pt idx="84">
                  <c:v>7.119054728841097</c:v>
                </c:pt>
                <c:pt idx="85">
                  <c:v>7.2844591492310631</c:v>
                </c:pt>
                <c:pt idx="86">
                  <c:v>7.4456224306366723</c:v>
                </c:pt>
                <c:pt idx="87">
                  <c:v>7.4880338204802532</c:v>
                </c:pt>
                <c:pt idx="88">
                  <c:v>7.4668281255584636</c:v>
                </c:pt>
                <c:pt idx="89">
                  <c:v>7.3353528170433604</c:v>
                </c:pt>
                <c:pt idx="90">
                  <c:v>7.2250832034500494</c:v>
                </c:pt>
                <c:pt idx="91">
                  <c:v>7.1911540915751848</c:v>
                </c:pt>
                <c:pt idx="92">
                  <c:v>7.216600925481333</c:v>
                </c:pt>
                <c:pt idx="93">
                  <c:v>7.1275370068098134</c:v>
                </c:pt>
                <c:pt idx="94">
                  <c:v>6.9663737254042042</c:v>
                </c:pt>
                <c:pt idx="95">
                  <c:v>6.8476218338421768</c:v>
                </c:pt>
                <c:pt idx="96">
                  <c:v>6.8645863897796087</c:v>
                </c:pt>
                <c:pt idx="97">
                  <c:v>7.008785115247786</c:v>
                </c:pt>
                <c:pt idx="98">
                  <c:v>7.271735732277989</c:v>
                </c:pt>
                <c:pt idx="99">
                  <c:v>7.5558920442299842</c:v>
                </c:pt>
                <c:pt idx="100">
                  <c:v>7.861254051103769</c:v>
                </c:pt>
                <c:pt idx="101">
                  <c:v>8.0605875833685996</c:v>
                </c:pt>
                <c:pt idx="102">
                  <c:v>8.1750983359462701</c:v>
                </c:pt>
                <c:pt idx="103">
                  <c:v>8.1750983359462701</c:v>
                </c:pt>
                <c:pt idx="104">
                  <c:v>8.1496515020401219</c:v>
                </c:pt>
                <c:pt idx="105">
                  <c:v>7.9757648036814377</c:v>
                </c:pt>
                <c:pt idx="106">
                  <c:v>7.8103603832914708</c:v>
                </c:pt>
                <c:pt idx="107">
                  <c:v>7.9121477189160663</c:v>
                </c:pt>
                <c:pt idx="108">
                  <c:v>8.3574673122736698</c:v>
                </c:pt>
                <c:pt idx="109">
                  <c:v>8.5949710953977245</c:v>
                </c:pt>
                <c:pt idx="110">
                  <c:v>8.5695242614915745</c:v>
                </c:pt>
                <c:pt idx="111">
                  <c:v>8.6204179293038727</c:v>
                </c:pt>
                <c:pt idx="112">
                  <c:v>8.7985457666469138</c:v>
                </c:pt>
                <c:pt idx="113">
                  <c:v>8.8494394344592102</c:v>
                </c:pt>
                <c:pt idx="114">
                  <c:v>8.6119356513351573</c:v>
                </c:pt>
                <c:pt idx="115">
                  <c:v>8.2175097257898511</c:v>
                </c:pt>
                <c:pt idx="116">
                  <c:v>7.8782186070412017</c:v>
                </c:pt>
                <c:pt idx="117">
                  <c:v>7.6746439357920107</c:v>
                </c:pt>
                <c:pt idx="118">
                  <c:v>7.6619205188389374</c:v>
                </c:pt>
                <c:pt idx="119">
                  <c:v>7.7976369663383958</c:v>
                </c:pt>
                <c:pt idx="120">
                  <c:v>7.9842470816501541</c:v>
                </c:pt>
                <c:pt idx="121">
                  <c:v>9.2311419430514441</c:v>
                </c:pt>
                <c:pt idx="122">
                  <c:v>10.210845048438168</c:v>
                </c:pt>
                <c:pt idx="123">
                  <c:v>10.427143136640433</c:v>
                </c:pt>
                <c:pt idx="124">
                  <c:v>9.6552558414872554</c:v>
                </c:pt>
                <c:pt idx="125">
                  <c:v>8.8918508243027929</c:v>
                </c:pt>
                <c:pt idx="126">
                  <c:v>8.7391698208659001</c:v>
                </c:pt>
                <c:pt idx="127">
                  <c:v>8.5737654004759314</c:v>
                </c:pt>
                <c:pt idx="128">
                  <c:v>8.3574673122736698</c:v>
                </c:pt>
                <c:pt idx="129">
                  <c:v>8.1920628918837028</c:v>
                </c:pt>
                <c:pt idx="130">
                  <c:v>8.302332505477013</c:v>
                </c:pt>
                <c:pt idx="131">
                  <c:v>8.8621628514122861</c:v>
                </c:pt>
                <c:pt idx="132">
                  <c:v>9.3498938346134697</c:v>
                </c:pt>
                <c:pt idx="133">
                  <c:v>9.6086033126593158</c:v>
                </c:pt>
                <c:pt idx="134">
                  <c:v>9.1675248582860718</c:v>
                </c:pt>
                <c:pt idx="135">
                  <c:v>8.3574673122736698</c:v>
                </c:pt>
                <c:pt idx="136">
                  <c:v>7.8230838002445449</c:v>
                </c:pt>
                <c:pt idx="137">
                  <c:v>7.6704027968076529</c:v>
                </c:pt>
                <c:pt idx="138">
                  <c:v>7.7128141866512347</c:v>
                </c:pt>
                <c:pt idx="139">
                  <c:v>7.8103603832914708</c:v>
                </c:pt>
                <c:pt idx="140">
                  <c:v>7.8358072171976199</c:v>
                </c:pt>
                <c:pt idx="141">
                  <c:v>7.9842470816501541</c:v>
                </c:pt>
                <c:pt idx="142">
                  <c:v>8.2217508647742079</c:v>
                </c:pt>
                <c:pt idx="143">
                  <c:v>8.3532261732893112</c:v>
                </c:pt>
                <c:pt idx="144">
                  <c:v>9.3329292786760369</c:v>
                </c:pt>
                <c:pt idx="145">
                  <c:v>20.771281119489895</c:v>
                </c:pt>
                <c:pt idx="146">
                  <c:v>39.907300216913747</c:v>
                </c:pt>
                <c:pt idx="147">
                  <c:v>40.166009694959591</c:v>
                </c:pt>
                <c:pt idx="148">
                  <c:v>24.673128985099371</c:v>
                </c:pt>
                <c:pt idx="149">
                  <c:v>12.802180967880982</c:v>
                </c:pt>
                <c:pt idx="150">
                  <c:v>9.1717659972704304</c:v>
                </c:pt>
                <c:pt idx="151">
                  <c:v>8.9088153802402239</c:v>
                </c:pt>
                <c:pt idx="152">
                  <c:v>8.8451982954748534</c:v>
                </c:pt>
                <c:pt idx="153">
                  <c:v>8.6204179293038727</c:v>
                </c:pt>
                <c:pt idx="154">
                  <c:v>8.5440774275854263</c:v>
                </c:pt>
                <c:pt idx="155">
                  <c:v>8.4168432580546835</c:v>
                </c:pt>
                <c:pt idx="156">
                  <c:v>8.7603755157876897</c:v>
                </c:pt>
                <c:pt idx="157">
                  <c:v>9.0318084107866117</c:v>
                </c:pt>
                <c:pt idx="158">
                  <c:v>8.9300210751620153</c:v>
                </c:pt>
                <c:pt idx="159">
                  <c:v>8.382914146179818</c:v>
                </c:pt>
                <c:pt idx="160">
                  <c:v>7.7933958273540389</c:v>
                </c:pt>
                <c:pt idx="161">
                  <c:v>7.5262040713394773</c:v>
                </c:pt>
                <c:pt idx="162">
                  <c:v>7.5770977391517746</c:v>
                </c:pt>
                <c:pt idx="163">
                  <c:v>8.302332505477013</c:v>
                </c:pt>
                <c:pt idx="164">
                  <c:v>9.0106027158648203</c:v>
                </c:pt>
                <c:pt idx="165">
                  <c:v>9.0148438548491789</c:v>
                </c:pt>
                <c:pt idx="166">
                  <c:v>8.505907176726204</c:v>
                </c:pt>
                <c:pt idx="167">
                  <c:v>8.0733110003216737</c:v>
                </c:pt>
                <c:pt idx="168">
                  <c:v>7.8824597460255585</c:v>
                </c:pt>
                <c:pt idx="169">
                  <c:v>7.958800247744005</c:v>
                </c:pt>
                <c:pt idx="170">
                  <c:v>8.0860344172747496</c:v>
                </c:pt>
                <c:pt idx="171">
                  <c:v>8.2387154207116424</c:v>
                </c:pt>
                <c:pt idx="172">
                  <c:v>9.0614963836771167</c:v>
                </c:pt>
                <c:pt idx="173">
                  <c:v>10.325355801015839</c:v>
                </c:pt>
                <c:pt idx="174">
                  <c:v>10.448348831562223</c:v>
                </c:pt>
                <c:pt idx="175">
                  <c:v>10.910632980857258</c:v>
                </c:pt>
                <c:pt idx="176">
                  <c:v>11.080278540231584</c:v>
                </c:pt>
                <c:pt idx="177">
                  <c:v>10.244774160313034</c:v>
                </c:pt>
                <c:pt idx="178">
                  <c:v>9.5195393939877953</c:v>
                </c:pt>
                <c:pt idx="179">
                  <c:v>9.4219931973475575</c:v>
                </c:pt>
                <c:pt idx="180">
                  <c:v>9.1208723294581304</c:v>
                </c:pt>
                <c:pt idx="181">
                  <c:v>8.5313540106323522</c:v>
                </c:pt>
                <c:pt idx="182">
                  <c:v>8.2175097257898511</c:v>
                </c:pt>
                <c:pt idx="183">
                  <c:v>8.4168432580546835</c:v>
                </c:pt>
                <c:pt idx="184">
                  <c:v>26.204180158452655</c:v>
                </c:pt>
                <c:pt idx="185">
                  <c:v>59.539532575507501</c:v>
                </c:pt>
                <c:pt idx="186">
                  <c:v>65.930929024935196</c:v>
                </c:pt>
                <c:pt idx="187">
                  <c:v>45.518327093219547</c:v>
                </c:pt>
                <c:pt idx="188">
                  <c:v>20.487124807537903</c:v>
                </c:pt>
                <c:pt idx="189">
                  <c:v>10.244774160313034</c:v>
                </c:pt>
                <c:pt idx="190">
                  <c:v>7.8994243019629913</c:v>
                </c:pt>
                <c:pt idx="191">
                  <c:v>7.8782186070412017</c:v>
                </c:pt>
                <c:pt idx="192">
                  <c:v>7.916388857900424</c:v>
                </c:pt>
                <c:pt idx="193">
                  <c:v>7.8824597460255585</c:v>
                </c:pt>
                <c:pt idx="194">
                  <c:v>7.8146015222758285</c:v>
                </c:pt>
                <c:pt idx="195">
                  <c:v>7.7637078544635312</c:v>
                </c:pt>
                <c:pt idx="196">
                  <c:v>7.7891546883696803</c:v>
                </c:pt>
                <c:pt idx="197">
                  <c:v>7.9630413867283636</c:v>
                </c:pt>
                <c:pt idx="198">
                  <c:v>8.0224173325093773</c:v>
                </c:pt>
                <c:pt idx="199">
                  <c:v>7.9630413867283636</c:v>
                </c:pt>
                <c:pt idx="200">
                  <c:v>7.8146015222758285</c:v>
                </c:pt>
                <c:pt idx="201">
                  <c:v>7.7509844375104571</c:v>
                </c:pt>
                <c:pt idx="202">
                  <c:v>7.7425021595417407</c:v>
                </c:pt>
                <c:pt idx="203">
                  <c:v>7.7425021595417407</c:v>
                </c:pt>
                <c:pt idx="204">
                  <c:v>7.8273249392289035</c:v>
                </c:pt>
                <c:pt idx="205">
                  <c:v>8.0351407494624514</c:v>
                </c:pt>
                <c:pt idx="206">
                  <c:v>8.0902755562591082</c:v>
                </c:pt>
                <c:pt idx="207">
                  <c:v>7.9333534138378567</c:v>
                </c:pt>
                <c:pt idx="208">
                  <c:v>7.8146015222758285</c:v>
                </c:pt>
                <c:pt idx="209">
                  <c:v>7.7933958273540389</c:v>
                </c:pt>
                <c:pt idx="210">
                  <c:v>7.8061192443071121</c:v>
                </c:pt>
                <c:pt idx="211">
                  <c:v>7.8273249392289035</c:v>
                </c:pt>
                <c:pt idx="212">
                  <c:v>7.8358072171976199</c:v>
                </c:pt>
                <c:pt idx="213">
                  <c:v>7.8273249392289035</c:v>
                </c:pt>
                <c:pt idx="214">
                  <c:v>7.8527717731350526</c:v>
                </c:pt>
                <c:pt idx="215">
                  <c:v>7.8994243019629913</c:v>
                </c:pt>
                <c:pt idx="216">
                  <c:v>7.9630413867283636</c:v>
                </c:pt>
                <c:pt idx="217">
                  <c:v>8.01393505454066</c:v>
                </c:pt>
                <c:pt idx="218">
                  <c:v>8.0181761935250186</c:v>
                </c:pt>
                <c:pt idx="219">
                  <c:v>7.9927293596188704</c:v>
                </c:pt>
                <c:pt idx="220">
                  <c:v>7.9884882206345127</c:v>
                </c:pt>
                <c:pt idx="221">
                  <c:v>8.0181761935250186</c:v>
                </c:pt>
                <c:pt idx="222">
                  <c:v>8.0181761935250186</c:v>
                </c:pt>
                <c:pt idx="223">
                  <c:v>8.0054527765719445</c:v>
                </c:pt>
                <c:pt idx="224">
                  <c:v>7.9672825257127213</c:v>
                </c:pt>
                <c:pt idx="225">
                  <c:v>7.9884882206345127</c:v>
                </c:pt>
                <c:pt idx="226">
                  <c:v>8.0860344172747496</c:v>
                </c:pt>
                <c:pt idx="227">
                  <c:v>8.1878217528993424</c:v>
                </c:pt>
                <c:pt idx="228">
                  <c:v>8.2302331427429252</c:v>
                </c:pt>
                <c:pt idx="229">
                  <c:v>8.1538926410244805</c:v>
                </c:pt>
                <c:pt idx="230">
                  <c:v>8.0605875833685996</c:v>
                </c:pt>
                <c:pt idx="231">
                  <c:v>8.01393505454066</c:v>
                </c:pt>
                <c:pt idx="232">
                  <c:v>8.0012116375875877</c:v>
                </c:pt>
                <c:pt idx="233">
                  <c:v>8.0181761935250186</c:v>
                </c:pt>
                <c:pt idx="234">
                  <c:v>8.03938188844681</c:v>
                </c:pt>
                <c:pt idx="235">
                  <c:v>8.0563464443842427</c:v>
                </c:pt>
                <c:pt idx="236">
                  <c:v>8.0733110003216737</c:v>
                </c:pt>
                <c:pt idx="237">
                  <c:v>8.0945166952434651</c:v>
                </c:pt>
                <c:pt idx="238">
                  <c:v>8.1326869461026892</c:v>
                </c:pt>
                <c:pt idx="239">
                  <c:v>8.1793394749306287</c:v>
                </c:pt>
                <c:pt idx="240">
                  <c:v>8.1920628918837028</c:v>
                </c:pt>
                <c:pt idx="241">
                  <c:v>8.2302331427429252</c:v>
                </c:pt>
                <c:pt idx="242">
                  <c:v>8.2641622546177906</c:v>
                </c:pt>
                <c:pt idx="243">
                  <c:v>8.3277793393831612</c:v>
                </c:pt>
                <c:pt idx="244">
                  <c:v>8.5398362886010695</c:v>
                </c:pt>
                <c:pt idx="245">
                  <c:v>8.6119356513351573</c:v>
                </c:pt>
                <c:pt idx="246">
                  <c:v>8.645864763210021</c:v>
                </c:pt>
                <c:pt idx="247">
                  <c:v>8.4847014818044126</c:v>
                </c:pt>
                <c:pt idx="248">
                  <c:v>8.3320204783675216</c:v>
                </c:pt>
                <c:pt idx="249">
                  <c:v>8.2726445325865079</c:v>
                </c:pt>
                <c:pt idx="250">
                  <c:v>8.2768856715708647</c:v>
                </c:pt>
                <c:pt idx="251">
                  <c:v>8.2980913664926561</c:v>
                </c:pt>
                <c:pt idx="252">
                  <c:v>8.3405027563362353</c:v>
                </c:pt>
                <c:pt idx="253">
                  <c:v>8.3532261732893112</c:v>
                </c:pt>
                <c:pt idx="254">
                  <c:v>8.3617084512580266</c:v>
                </c:pt>
                <c:pt idx="255">
                  <c:v>8.3701907292267439</c:v>
                </c:pt>
                <c:pt idx="256">
                  <c:v>8.4083609800859662</c:v>
                </c:pt>
                <c:pt idx="257">
                  <c:v>8.4422900919608317</c:v>
                </c:pt>
                <c:pt idx="258">
                  <c:v>8.4550135089139058</c:v>
                </c:pt>
                <c:pt idx="259">
                  <c:v>8.4634957868826213</c:v>
                </c:pt>
                <c:pt idx="260">
                  <c:v>8.4889426207887695</c:v>
                </c:pt>
                <c:pt idx="261">
                  <c:v>8.505907176726204</c:v>
                </c:pt>
                <c:pt idx="262">
                  <c:v>8.5780065394602918</c:v>
                </c:pt>
                <c:pt idx="263">
                  <c:v>8.6501059021943796</c:v>
                </c:pt>
                <c:pt idx="264">
                  <c:v>8.6713115971161709</c:v>
                </c:pt>
                <c:pt idx="265">
                  <c:v>8.7264464039128242</c:v>
                </c:pt>
                <c:pt idx="266">
                  <c:v>8.6840350140692451</c:v>
                </c:pt>
                <c:pt idx="267">
                  <c:v>8.645864763210021</c:v>
                </c:pt>
                <c:pt idx="268">
                  <c:v>8.62890020727259</c:v>
                </c:pt>
                <c:pt idx="269">
                  <c:v>8.6076945123507969</c:v>
                </c:pt>
                <c:pt idx="270">
                  <c:v>8.6119356513351573</c:v>
                </c:pt>
                <c:pt idx="271">
                  <c:v>8.60345337336644</c:v>
                </c:pt>
                <c:pt idx="272">
                  <c:v>8.5992122343820832</c:v>
                </c:pt>
                <c:pt idx="273">
                  <c:v>8.6373824852413055</c:v>
                </c:pt>
                <c:pt idx="274">
                  <c:v>8.6713115971161709</c:v>
                </c:pt>
                <c:pt idx="275">
                  <c:v>8.6882761530536037</c:v>
                </c:pt>
                <c:pt idx="276">
                  <c:v>8.6797938750848864</c:v>
                </c:pt>
                <c:pt idx="277">
                  <c:v>8.6840350140692451</c:v>
                </c:pt>
                <c:pt idx="278">
                  <c:v>8.6882761530536037</c:v>
                </c:pt>
                <c:pt idx="279">
                  <c:v>8.7264464039128242</c:v>
                </c:pt>
                <c:pt idx="280">
                  <c:v>8.8197514615687034</c:v>
                </c:pt>
                <c:pt idx="281">
                  <c:v>8.8876096853184343</c:v>
                </c:pt>
                <c:pt idx="282">
                  <c:v>8.9342622141463721</c:v>
                </c:pt>
                <c:pt idx="283">
                  <c:v>8.9172976582089412</c:v>
                </c:pt>
                <c:pt idx="284">
                  <c:v>8.9088153802402239</c:v>
                </c:pt>
                <c:pt idx="285">
                  <c:v>8.9130565192245825</c:v>
                </c:pt>
                <c:pt idx="286">
                  <c:v>8.9215387971932998</c:v>
                </c:pt>
                <c:pt idx="287">
                  <c:v>8.946985631099448</c:v>
                </c:pt>
                <c:pt idx="288">
                  <c:v>8.9681913260212376</c:v>
                </c:pt>
                <c:pt idx="289">
                  <c:v>8.9893970209430289</c:v>
                </c:pt>
                <c:pt idx="290">
                  <c:v>9.0021204378961031</c:v>
                </c:pt>
                <c:pt idx="291">
                  <c:v>9.0275672718022513</c:v>
                </c:pt>
                <c:pt idx="292">
                  <c:v>9.0572552446927599</c:v>
                </c:pt>
                <c:pt idx="293">
                  <c:v>9.1039077735206995</c:v>
                </c:pt>
                <c:pt idx="294">
                  <c:v>9.1760071362547873</c:v>
                </c:pt>
                <c:pt idx="295">
                  <c:v>9.1887305532078614</c:v>
                </c:pt>
                <c:pt idx="296">
                  <c:v>9.2438653600045164</c:v>
                </c:pt>
                <c:pt idx="297">
                  <c:v>9.2608299159419509</c:v>
                </c:pt>
                <c:pt idx="298">
                  <c:v>9.2141773871140096</c:v>
                </c:pt>
                <c:pt idx="299">
                  <c:v>9.1887305532078614</c:v>
                </c:pt>
                <c:pt idx="300">
                  <c:v>9.2141773871140096</c:v>
                </c:pt>
                <c:pt idx="301">
                  <c:v>9.2735533328950233</c:v>
                </c:pt>
                <c:pt idx="302">
                  <c:v>9.3202058617229628</c:v>
                </c:pt>
                <c:pt idx="303">
                  <c:v>9.371099529535261</c:v>
                </c:pt>
                <c:pt idx="304">
                  <c:v>9.3965463634414093</c:v>
                </c:pt>
                <c:pt idx="305">
                  <c:v>9.4304754753162747</c:v>
                </c:pt>
                <c:pt idx="306">
                  <c:v>9.4389577532849884</c:v>
                </c:pt>
                <c:pt idx="307">
                  <c:v>9.4601634482067798</c:v>
                </c:pt>
                <c:pt idx="308">
                  <c:v>9.4813691431285712</c:v>
                </c:pt>
                <c:pt idx="309">
                  <c:v>9.511057116019078</c:v>
                </c:pt>
                <c:pt idx="310">
                  <c:v>9.5449862278939435</c:v>
                </c:pt>
                <c:pt idx="311">
                  <c:v>9.6086033126593158</c:v>
                </c:pt>
                <c:pt idx="312">
                  <c:v>9.6807026753934036</c:v>
                </c:pt>
                <c:pt idx="313">
                  <c:v>9.7358374821900604</c:v>
                </c:pt>
                <c:pt idx="314">
                  <c:v>9.7909722889867155</c:v>
                </c:pt>
                <c:pt idx="315">
                  <c:v>9.8503482347677291</c:v>
                </c:pt>
                <c:pt idx="316">
                  <c:v>9.8842773466425928</c:v>
                </c:pt>
                <c:pt idx="317">
                  <c:v>9.880036207658236</c:v>
                </c:pt>
                <c:pt idx="318">
                  <c:v>9.9139653195330997</c:v>
                </c:pt>
                <c:pt idx="319">
                  <c:v>9.9436532924236083</c:v>
                </c:pt>
                <c:pt idx="320">
                  <c:v>9.9860646822671875</c:v>
                </c:pt>
                <c:pt idx="321">
                  <c:v>10.019993794142053</c:v>
                </c:pt>
                <c:pt idx="322">
                  <c:v>10.066646322969993</c:v>
                </c:pt>
                <c:pt idx="323">
                  <c:v>10.100575434844858</c:v>
                </c:pt>
                <c:pt idx="324">
                  <c:v>10.172674797578946</c:v>
                </c:pt>
                <c:pt idx="325">
                  <c:v>10.261738716250466</c:v>
                </c:pt>
                <c:pt idx="326">
                  <c:v>10.333838078984556</c:v>
                </c:pt>
                <c:pt idx="327">
                  <c:v>10.397455163749926</c:v>
                </c:pt>
                <c:pt idx="328">
                  <c:v>10.439866553593507</c:v>
                </c:pt>
                <c:pt idx="329">
                  <c:v>10.478036804452731</c:v>
                </c:pt>
                <c:pt idx="330">
                  <c:v>10.495001360390164</c:v>
                </c:pt>
                <c:pt idx="331">
                  <c:v>10.533171611249385</c:v>
                </c:pt>
                <c:pt idx="332">
                  <c:v>10.601029834999116</c:v>
                </c:pt>
                <c:pt idx="333">
                  <c:v>10.70281717062371</c:v>
                </c:pt>
                <c:pt idx="334">
                  <c:v>10.813086784217024</c:v>
                </c:pt>
                <c:pt idx="335">
                  <c:v>10.910632980857258</c:v>
                </c:pt>
                <c:pt idx="336">
                  <c:v>11.037867150388003</c:v>
                </c:pt>
                <c:pt idx="337">
                  <c:v>11.152377902965672</c:v>
                </c:pt>
                <c:pt idx="338">
                  <c:v>11.245682960621551</c:v>
                </c:pt>
                <c:pt idx="339">
                  <c:v>11.360193713199221</c:v>
                </c:pt>
                <c:pt idx="340">
                  <c:v>11.432293075933309</c:v>
                </c:pt>
                <c:pt idx="341">
                  <c:v>11.534080411557904</c:v>
                </c:pt>
                <c:pt idx="342">
                  <c:v>11.601938635307635</c:v>
                </c:pt>
                <c:pt idx="343">
                  <c:v>11.648591164135572</c:v>
                </c:pt>
                <c:pt idx="344">
                  <c:v>11.741896221791452</c:v>
                </c:pt>
                <c:pt idx="345">
                  <c:v>11.864889252337838</c:v>
                </c:pt>
                <c:pt idx="346">
                  <c:v>12.004846838821654</c:v>
                </c:pt>
                <c:pt idx="347">
                  <c:v>12.12783986936804</c:v>
                </c:pt>
                <c:pt idx="348">
                  <c:v>12.19993923210213</c:v>
                </c:pt>
                <c:pt idx="349">
                  <c:v>12.267797455851861</c:v>
                </c:pt>
                <c:pt idx="350">
                  <c:v>12.433201876241824</c:v>
                </c:pt>
                <c:pt idx="351">
                  <c:v>12.594365157647434</c:v>
                </c:pt>
                <c:pt idx="352">
                  <c:v>12.69191135428767</c:v>
                </c:pt>
                <c:pt idx="353">
                  <c:v>12.725840466162534</c:v>
                </c:pt>
                <c:pt idx="354">
                  <c:v>12.725840466162534</c:v>
                </c:pt>
                <c:pt idx="355">
                  <c:v>12.789457550927908</c:v>
                </c:pt>
                <c:pt idx="356">
                  <c:v>12.882762608583787</c:v>
                </c:pt>
              </c:numCache>
            </c:numRef>
          </c:yVal>
          <c:smooth val="1"/>
          <c:extLst>
            <c:ext xmlns:c16="http://schemas.microsoft.com/office/drawing/2014/chart" uri="{C3380CC4-5D6E-409C-BE32-E72D297353CC}">
              <c16:uniqueId val="{00000001-E192-4130-B7D2-7905CBA103B5}"/>
            </c:ext>
          </c:extLst>
        </c:ser>
        <c:ser>
          <c:idx val="4"/>
          <c:order val="4"/>
          <c:tx>
            <c:v>Labels</c:v>
          </c:tx>
          <c:spPr>
            <a:ln w="19050" cap="rnd">
              <a:noFill/>
              <a:round/>
            </a:ln>
            <a:effectLst/>
          </c:spPr>
          <c:marker>
            <c:symbol val="none"/>
          </c:marker>
          <c:dLbls>
            <c:dLbl>
              <c:idx val="0"/>
              <c:tx>
                <c:rich>
                  <a:bodyPr/>
                  <a:lstStyle/>
                  <a:p>
                    <a:fld id="{1B7B5FFF-8C5A-4B42-8326-2BA5ABBB6C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9349-4C1C-8E1E-DE85383175A9}"/>
                </c:ext>
              </c:extLst>
            </c:dLbl>
            <c:dLbl>
              <c:idx val="1"/>
              <c:tx>
                <c:rich>
                  <a:bodyPr/>
                  <a:lstStyle/>
                  <a:p>
                    <a:fld id="{AE113BB7-8B9B-4340-8AF8-32B6C76375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349-4C1C-8E1E-DE85383175A9}"/>
                </c:ext>
              </c:extLst>
            </c:dLbl>
            <c:dLbl>
              <c:idx val="2"/>
              <c:tx>
                <c:rich>
                  <a:bodyPr/>
                  <a:lstStyle/>
                  <a:p>
                    <a:fld id="{E140574D-A7D2-4055-90DB-4E5AEF5F4D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349-4C1C-8E1E-DE85383175A9}"/>
                </c:ext>
              </c:extLst>
            </c:dLbl>
            <c:dLbl>
              <c:idx val="3"/>
              <c:tx>
                <c:rich>
                  <a:bodyPr/>
                  <a:lstStyle/>
                  <a:p>
                    <a:fld id="{20ED5971-D275-46ED-8D5F-F8ACBCFAF0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349-4C1C-8E1E-DE85383175A9}"/>
                </c:ext>
              </c:extLst>
            </c:dLbl>
            <c:dLbl>
              <c:idx val="4"/>
              <c:tx>
                <c:rich>
                  <a:bodyPr/>
                  <a:lstStyle/>
                  <a:p>
                    <a:fld id="{5BCC8E99-BBB7-469D-A2D0-239CA2B10F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349-4C1C-8E1E-DE85383175A9}"/>
                </c:ext>
              </c:extLst>
            </c:dLbl>
            <c:dLbl>
              <c:idx val="5"/>
              <c:tx>
                <c:rich>
                  <a:bodyPr/>
                  <a:lstStyle/>
                  <a:p>
                    <a:fld id="{53222468-8D30-4A6F-B775-75664566B3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349-4C1C-8E1E-DE85383175A9}"/>
                </c:ext>
              </c:extLst>
            </c:dLbl>
            <c:dLbl>
              <c:idx val="6"/>
              <c:tx>
                <c:rich>
                  <a:bodyPr/>
                  <a:lstStyle/>
                  <a:p>
                    <a:fld id="{6F3B15E5-120B-4AA1-8920-83CCEFF5F1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349-4C1C-8E1E-DE85383175A9}"/>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9349-4C1C-8E1E-DE85383175A9}"/>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9349-4C1C-8E1E-DE85383175A9}"/>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9349-4C1C-8E1E-DE85383175A9}"/>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9349-4C1C-8E1E-DE85383175A9}"/>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9349-4C1C-8E1E-DE85383175A9}"/>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9349-4C1C-8E1E-DE85383175A9}"/>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9349-4C1C-8E1E-DE85383175A9}"/>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9349-4C1C-8E1E-DE85383175A9}"/>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9349-4C1C-8E1E-DE85383175A9}"/>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9349-4C1C-8E1E-DE85383175A9}"/>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9349-4C1C-8E1E-DE85383175A9}"/>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9349-4C1C-8E1E-DE85383175A9}"/>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9349-4C1C-8E1E-DE85383175A9}"/>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9349-4C1C-8E1E-DE85383175A9}"/>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9349-4C1C-8E1E-DE85383175A9}"/>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9349-4C1C-8E1E-DE85383175A9}"/>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9349-4C1C-8E1E-DE85383175A9}"/>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9349-4C1C-8E1E-DE85383175A9}"/>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9349-4C1C-8E1E-DE85383175A9}"/>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9349-4C1C-8E1E-DE85383175A9}"/>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9349-4C1C-8E1E-DE85383175A9}"/>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9349-4C1C-8E1E-DE85383175A9}"/>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9349-4C1C-8E1E-DE85383175A9}"/>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9349-4C1C-8E1E-DE85383175A9}"/>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9349-4C1C-8E1E-DE85383175A9}"/>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9349-4C1C-8E1E-DE85383175A9}"/>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9349-4C1C-8E1E-DE85383175A9}"/>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9349-4C1C-8E1E-DE85383175A9}"/>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9349-4C1C-8E1E-DE85383175A9}"/>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9349-4C1C-8E1E-DE85383175A9}"/>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9349-4C1C-8E1E-DE85383175A9}"/>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9349-4C1C-8E1E-DE85383175A9}"/>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9349-4C1C-8E1E-DE85383175A9}"/>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9349-4C1C-8E1E-DE85383175A9}"/>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9349-4C1C-8E1E-DE85383175A9}"/>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9349-4C1C-8E1E-DE85383175A9}"/>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9349-4C1C-8E1E-DE85383175A9}"/>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9349-4C1C-8E1E-DE85383175A9}"/>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9349-4C1C-8E1E-DE85383175A9}"/>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9349-4C1C-8E1E-DE85383175A9}"/>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9349-4C1C-8E1E-DE85383175A9}"/>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9349-4C1C-8E1E-DE85383175A9}"/>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9349-4C1C-8E1E-DE85383175A9}"/>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9349-4C1C-8E1E-DE85383175A9}"/>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9349-4C1C-8E1E-DE85383175A9}"/>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9349-4C1C-8E1E-DE85383175A9}"/>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9349-4C1C-8E1E-DE85383175A9}"/>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9349-4C1C-8E1E-DE85383175A9}"/>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9349-4C1C-8E1E-DE85383175A9}"/>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9349-4C1C-8E1E-DE85383175A9}"/>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9349-4C1C-8E1E-DE85383175A9}"/>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9349-4C1C-8E1E-DE85383175A9}"/>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9349-4C1C-8E1E-DE85383175A9}"/>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9349-4C1C-8E1E-DE85383175A9}"/>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9349-4C1C-8E1E-DE85383175A9}"/>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9349-4C1C-8E1E-DE85383175A9}"/>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9349-4C1C-8E1E-DE85383175A9}"/>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9349-4C1C-8E1E-DE85383175A9}"/>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9349-4C1C-8E1E-DE85383175A9}"/>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9349-4C1C-8E1E-DE85383175A9}"/>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9349-4C1C-8E1E-DE85383175A9}"/>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9349-4C1C-8E1E-DE85383175A9}"/>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9349-4C1C-8E1E-DE85383175A9}"/>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9349-4C1C-8E1E-DE85383175A9}"/>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9349-4C1C-8E1E-DE85383175A9}"/>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9349-4C1C-8E1E-DE85383175A9}"/>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9349-4C1C-8E1E-DE85383175A9}"/>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9349-4C1C-8E1E-DE85383175A9}"/>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9349-4C1C-8E1E-DE85383175A9}"/>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9349-4C1C-8E1E-DE85383175A9}"/>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9349-4C1C-8E1E-DE85383175A9}"/>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9349-4C1C-8E1E-DE85383175A9}"/>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9349-4C1C-8E1E-DE85383175A9}"/>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9349-4C1C-8E1E-DE85383175A9}"/>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9349-4C1C-8E1E-DE85383175A9}"/>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9349-4C1C-8E1E-DE85383175A9}"/>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9349-4C1C-8E1E-DE85383175A9}"/>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9349-4C1C-8E1E-DE85383175A9}"/>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9349-4C1C-8E1E-DE85383175A9}"/>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9349-4C1C-8E1E-DE85383175A9}"/>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9349-4C1C-8E1E-DE85383175A9}"/>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9349-4C1C-8E1E-DE85383175A9}"/>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9349-4C1C-8E1E-DE85383175A9}"/>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9349-4C1C-8E1E-DE85383175A9}"/>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9349-4C1C-8E1E-DE85383175A9}"/>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9349-4C1C-8E1E-DE85383175A9}"/>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9349-4C1C-8E1E-DE85383175A9}"/>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9349-4C1C-8E1E-DE85383175A9}"/>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9349-4C1C-8E1E-DE85383175A9}"/>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9349-4C1C-8E1E-DE85383175A9}"/>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9349-4C1C-8E1E-DE85383175A9}"/>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9349-4C1C-8E1E-DE85383175A9}"/>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9349-4C1C-8E1E-DE85383175A9}"/>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1.0442830000000001</c:v>
                </c:pt>
                <c:pt idx="1">
                  <c:v>2.6570019999999999</c:v>
                </c:pt>
                <c:pt idx="2">
                  <c:v>3.7890090000000001</c:v>
                </c:pt>
                <c:pt idx="3">
                  <c:v>4.047237</c:v>
                </c:pt>
                <c:pt idx="4">
                  <c:v>4.4155439999999997</c:v>
                </c:pt>
                <c:pt idx="5">
                  <c:v>5.4613060000000004</c:v>
                </c:pt>
                <c:pt idx="6">
                  <c:v>8.5674030000000005</c:v>
                </c:pt>
              </c:numCache>
            </c:numRef>
          </c:xVal>
          <c:yVal>
            <c:numRef>
              <c:f>Peaks!$R$5:$R$104</c:f>
              <c:numCache>
                <c:formatCode>0.0</c:formatCode>
                <c:ptCount val="100"/>
                <c:pt idx="0">
                  <c:v>40.200904080153293</c:v>
                </c:pt>
                <c:pt idx="1">
                  <c:v>28.608402807831535</c:v>
                </c:pt>
                <c:pt idx="2">
                  <c:v>20.395929195543136</c:v>
                </c:pt>
                <c:pt idx="3">
                  <c:v>16.457682905309426</c:v>
                </c:pt>
                <c:pt idx="4">
                  <c:v>74.176871051788837</c:v>
                </c:pt>
                <c:pt idx="5">
                  <c:v>100</c:v>
                </c:pt>
                <c:pt idx="6">
                  <c:v>68.315735558260116</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15:dlblRangeCache>
              </c15:datalabelsRange>
            </c:ext>
            <c:ext xmlns:c16="http://schemas.microsoft.com/office/drawing/2014/chart" uri="{C3380CC4-5D6E-409C-BE32-E72D297353CC}">
              <c16:uniqueId val="{00000002-E192-4130-B7D2-7905CBA103B5}"/>
            </c:ext>
          </c:extLst>
        </c:ser>
        <c:dLbls>
          <c:showLegendKey val="0"/>
          <c:showVal val="0"/>
          <c:showCatName val="0"/>
          <c:showSerName val="0"/>
          <c:showPercent val="0"/>
          <c:showBubbleSize val="0"/>
        </c:dLbls>
        <c:axId val="1816219616"/>
        <c:axId val="1816224512"/>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E192-4130-B7D2-7905CBA103B5}"/>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E192-4130-B7D2-7905CBA103B5}"/>
            </c:ext>
          </c:extLst>
        </c:ser>
        <c:dLbls>
          <c:showLegendKey val="0"/>
          <c:showVal val="0"/>
          <c:showCatName val="0"/>
          <c:showSerName val="0"/>
          <c:showPercent val="0"/>
          <c:showBubbleSize val="0"/>
        </c:dLbls>
        <c:axId val="1816225600"/>
        <c:axId val="1816217440"/>
      </c:scatterChart>
      <c:valAx>
        <c:axId val="18162196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4512"/>
        <c:crosses val="autoZero"/>
        <c:crossBetween val="midCat"/>
        <c:majorUnit val="0.5"/>
      </c:valAx>
      <c:valAx>
        <c:axId val="1816224512"/>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9616"/>
        <c:crosses val="autoZero"/>
        <c:crossBetween val="midCat"/>
        <c:majorUnit val="20"/>
        <c:minorUnit val="5"/>
      </c:valAx>
      <c:valAx>
        <c:axId val="1816217440"/>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25600"/>
        <c:crosses val="max"/>
        <c:crossBetween val="midCat"/>
        <c:minorUnit val="5"/>
      </c:valAx>
      <c:valAx>
        <c:axId val="1816225600"/>
        <c:scaling>
          <c:orientation val="minMax"/>
        </c:scaling>
        <c:delete val="1"/>
        <c:axPos val="b"/>
        <c:numFmt formatCode="General" sourceLinked="1"/>
        <c:majorTickMark val="out"/>
        <c:minorTickMark val="none"/>
        <c:tickLblPos val="nextTo"/>
        <c:crossAx val="1816217440"/>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38.431667327880859</c:v>
                </c:pt>
                <c:pt idx="1">
                  <c:v>40.675846099853516</c:v>
                </c:pt>
                <c:pt idx="2">
                  <c:v>43.58526611328125</c:v>
                </c:pt>
                <c:pt idx="3">
                  <c:v>46.7218017578125</c:v>
                </c:pt>
                <c:pt idx="4">
                  <c:v>49.593414306640625</c:v>
                </c:pt>
                <c:pt idx="5">
                  <c:v>52.281455993652344</c:v>
                </c:pt>
                <c:pt idx="6">
                  <c:v>54.91229248046875</c:v>
                </c:pt>
                <c:pt idx="7">
                  <c:v>56.863868713378906</c:v>
                </c:pt>
                <c:pt idx="8">
                  <c:v>57.893363952636719</c:v>
                </c:pt>
                <c:pt idx="9">
                  <c:v>57.694194793701172</c:v>
                </c:pt>
                <c:pt idx="10">
                  <c:v>56.039260864257813</c:v>
                </c:pt>
                <c:pt idx="11">
                  <c:v>53.282806396484375</c:v>
                </c:pt>
                <c:pt idx="12">
                  <c:v>49.646408081054688</c:v>
                </c:pt>
                <c:pt idx="13">
                  <c:v>45.307060241699219</c:v>
                </c:pt>
                <c:pt idx="14">
                  <c:v>41.034206390380859</c:v>
                </c:pt>
                <c:pt idx="15">
                  <c:v>37.828556060791016</c:v>
                </c:pt>
                <c:pt idx="16">
                  <c:v>36.573879241943359</c:v>
                </c:pt>
                <c:pt idx="17">
                  <c:v>37.75164794921875</c:v>
                </c:pt>
                <c:pt idx="18">
                  <c:v>41.453994750976563</c:v>
                </c:pt>
                <c:pt idx="19">
                  <c:v>47.408882141113281</c:v>
                </c:pt>
                <c:pt idx="20">
                  <c:v>54.874118804931641</c:v>
                </c:pt>
                <c:pt idx="21">
                  <c:v>63.523292541503906</c:v>
                </c:pt>
                <c:pt idx="22">
                  <c:v>72.964385986328125</c:v>
                </c:pt>
                <c:pt idx="23">
                  <c:v>82.05975341796875</c:v>
                </c:pt>
                <c:pt idx="24">
                  <c:v>90.422309875488281</c:v>
                </c:pt>
                <c:pt idx="25">
                  <c:v>96.662528991699219</c:v>
                </c:pt>
                <c:pt idx="26">
                  <c:v>100</c:v>
                </c:pt>
                <c:pt idx="27">
                  <c:v>99.145965576171875</c:v>
                </c:pt>
                <c:pt idx="28">
                  <c:v>94.218177795410156</c:v>
                </c:pt>
                <c:pt idx="29">
                  <c:v>87.161537170410156</c:v>
                </c:pt>
                <c:pt idx="30">
                  <c:v>79.878746032714844</c:v>
                </c:pt>
                <c:pt idx="31">
                  <c:v>74.322120666503906</c:v>
                </c:pt>
                <c:pt idx="32">
                  <c:v>70.574050903320313</c:v>
                </c:pt>
                <c:pt idx="33">
                  <c:v>68.240531921386719</c:v>
                </c:pt>
                <c:pt idx="34">
                  <c:v>66.390655517578125</c:v>
                </c:pt>
                <c:pt idx="35">
                  <c:v>64.109428405761719</c:v>
                </c:pt>
                <c:pt idx="36">
                  <c:v>61.059345245361328</c:v>
                </c:pt>
                <c:pt idx="37">
                  <c:v>56.862045288085938</c:v>
                </c:pt>
                <c:pt idx="38">
                  <c:v>51.700069427490234</c:v>
                </c:pt>
                <c:pt idx="39">
                  <c:v>45.960895538330078</c:v>
                </c:pt>
                <c:pt idx="40">
                  <c:v>40.500846862792969</c:v>
                </c:pt>
                <c:pt idx="41">
                  <c:v>35.871627807617188</c:v>
                </c:pt>
                <c:pt idx="42">
                  <c:v>32.515693664550781</c:v>
                </c:pt>
                <c:pt idx="43">
                  <c:v>30.335350036621094</c:v>
                </c:pt>
                <c:pt idx="44">
                  <c:v>29.171567916870117</c:v>
                </c:pt>
                <c:pt idx="45">
                  <c:v>28.750514984130859</c:v>
                </c:pt>
                <c:pt idx="46">
                  <c:v>28.585330963134766</c:v>
                </c:pt>
                <c:pt idx="47">
                  <c:v>28.606842041015625</c:v>
                </c:pt>
                <c:pt idx="48">
                  <c:v>28.567039489746094</c:v>
                </c:pt>
                <c:pt idx="49">
                  <c:v>28.229511260986328</c:v>
                </c:pt>
                <c:pt idx="50">
                  <c:v>27.516651153564453</c:v>
                </c:pt>
                <c:pt idx="51">
                  <c:v>26.453151702880859</c:v>
                </c:pt>
                <c:pt idx="52">
                  <c:v>25.102827072143555</c:v>
                </c:pt>
                <c:pt idx="53">
                  <c:v>23.429309844970703</c:v>
                </c:pt>
                <c:pt idx="54">
                  <c:v>21.415374755859375</c:v>
                </c:pt>
                <c:pt idx="55">
                  <c:v>19.279315948486328</c:v>
                </c:pt>
                <c:pt idx="56">
                  <c:v>17.175960540771484</c:v>
                </c:pt>
                <c:pt idx="57">
                  <c:v>15.233911514282227</c:v>
                </c:pt>
                <c:pt idx="58">
                  <c:v>13.55583667755127</c:v>
                </c:pt>
                <c:pt idx="59">
                  <c:v>12.414612770080566</c:v>
                </c:pt>
                <c:pt idx="60">
                  <c:v>11.614193916320801</c:v>
                </c:pt>
                <c:pt idx="61">
                  <c:v>11.175665855407715</c:v>
                </c:pt>
                <c:pt idx="62">
                  <c:v>11.290555000305176</c:v>
                </c:pt>
                <c:pt idx="63">
                  <c:v>11.778487205505371</c:v>
                </c:pt>
                <c:pt idx="64">
                  <c:v>12.295844078063965</c:v>
                </c:pt>
                <c:pt idx="65">
                  <c:v>13.040942192077637</c:v>
                </c:pt>
                <c:pt idx="66">
                  <c:v>14.086267471313477</c:v>
                </c:pt>
                <c:pt idx="67">
                  <c:v>15.190249443054199</c:v>
                </c:pt>
                <c:pt idx="68">
                  <c:v>16.567127227783203</c:v>
                </c:pt>
                <c:pt idx="69">
                  <c:v>18.077127456665039</c:v>
                </c:pt>
                <c:pt idx="70">
                  <c:v>19.470046997070313</c:v>
                </c:pt>
                <c:pt idx="71">
                  <c:v>20.803224563598633</c:v>
                </c:pt>
                <c:pt idx="72">
                  <c:v>22.267332077026367</c:v>
                </c:pt>
                <c:pt idx="73">
                  <c:v>23.877479553222656</c:v>
                </c:pt>
                <c:pt idx="74">
                  <c:v>25.350683212280273</c:v>
                </c:pt>
                <c:pt idx="75">
                  <c:v>26.631351470947266</c:v>
                </c:pt>
                <c:pt idx="76">
                  <c:v>27.937934875488281</c:v>
                </c:pt>
                <c:pt idx="77">
                  <c:v>29.107149124145508</c:v>
                </c:pt>
                <c:pt idx="78">
                  <c:v>29.946128845214844</c:v>
                </c:pt>
                <c:pt idx="79">
                  <c:v>30.671501159667969</c:v>
                </c:pt>
                <c:pt idx="80">
                  <c:v>31.493934631347656</c:v>
                </c:pt>
                <c:pt idx="81">
                  <c:v>32.179832458496094</c:v>
                </c:pt>
                <c:pt idx="82">
                  <c:v>32.550491333007813</c:v>
                </c:pt>
                <c:pt idx="83">
                  <c:v>32.521957397460938</c:v>
                </c:pt>
                <c:pt idx="84">
                  <c:v>32.284149169921875</c:v>
                </c:pt>
                <c:pt idx="85">
                  <c:v>31.924005508422852</c:v>
                </c:pt>
                <c:pt idx="86">
                  <c:v>31.362382888793945</c:v>
                </c:pt>
                <c:pt idx="87">
                  <c:v>30.576648712158203</c:v>
                </c:pt>
                <c:pt idx="88">
                  <c:v>29.488824844360352</c:v>
                </c:pt>
                <c:pt idx="89">
                  <c:v>28.509681701660156</c:v>
                </c:pt>
                <c:pt idx="90">
                  <c:v>27.246820449829102</c:v>
                </c:pt>
                <c:pt idx="91">
                  <c:v>25.768379211425781</c:v>
                </c:pt>
                <c:pt idx="92">
                  <c:v>24.416269302368164</c:v>
                </c:pt>
                <c:pt idx="93">
                  <c:v>22.627708435058594</c:v>
                </c:pt>
                <c:pt idx="94">
                  <c:v>20.931497573852539</c:v>
                </c:pt>
                <c:pt idx="95">
                  <c:v>19.507076263427734</c:v>
                </c:pt>
                <c:pt idx="96">
                  <c:v>17.827119827270508</c:v>
                </c:pt>
                <c:pt idx="97">
                  <c:v>16.044378280639648</c:v>
                </c:pt>
                <c:pt idx="98">
                  <c:v>14.340329170227051</c:v>
                </c:pt>
                <c:pt idx="99">
                  <c:v>12.925801277160645</c:v>
                </c:pt>
                <c:pt idx="100">
                  <c:v>11.506793022155762</c:v>
                </c:pt>
                <c:pt idx="101">
                  <c:v>10.252347946166992</c:v>
                </c:pt>
                <c:pt idx="102">
                  <c:v>9.1054019927978516</c:v>
                </c:pt>
                <c:pt idx="103">
                  <c:v>7.9691047668457031</c:v>
                </c:pt>
                <c:pt idx="104">
                  <c:v>7.0922622680664063</c:v>
                </c:pt>
                <c:pt idx="105">
                  <c:v>6.3158769607543945</c:v>
                </c:pt>
                <c:pt idx="106">
                  <c:v>5.5174565315246582</c:v>
                </c:pt>
                <c:pt idx="107">
                  <c:v>4.8549900054931641</c:v>
                </c:pt>
                <c:pt idx="108">
                  <c:v>4.411651611328125</c:v>
                </c:pt>
                <c:pt idx="109">
                  <c:v>3.9312841892242432</c:v>
                </c:pt>
                <c:pt idx="110">
                  <c:v>3.5566694736480713</c:v>
                </c:pt>
                <c:pt idx="111">
                  <c:v>3.4629042148590088</c:v>
                </c:pt>
                <c:pt idx="112">
                  <c:v>3.2101805210113525</c:v>
                </c:pt>
                <c:pt idx="113">
                  <c:v>2.923123836517334</c:v>
                </c:pt>
                <c:pt idx="114">
                  <c:v>2.8022027015686035</c:v>
                </c:pt>
                <c:pt idx="115">
                  <c:v>2.6235949993133545</c:v>
                </c:pt>
                <c:pt idx="116">
                  <c:v>2.4718520641326904</c:v>
                </c:pt>
                <c:pt idx="117">
                  <c:v>2.4767594337463379</c:v>
                </c:pt>
                <c:pt idx="118">
                  <c:v>2.5129930973052979</c:v>
                </c:pt>
                <c:pt idx="119">
                  <c:v>2.4454915523529053</c:v>
                </c:pt>
                <c:pt idx="120">
                  <c:v>2.2175376415252686</c:v>
                </c:pt>
                <c:pt idx="121">
                  <c:v>2.1843104362487793</c:v>
                </c:pt>
                <c:pt idx="122">
                  <c:v>2.3471097946166992</c:v>
                </c:pt>
                <c:pt idx="123">
                  <c:v>2.4235146045684814</c:v>
                </c:pt>
                <c:pt idx="124">
                  <c:v>2.378164529800415</c:v>
                </c:pt>
                <c:pt idx="125">
                  <c:v>2.2332491874694824</c:v>
                </c:pt>
                <c:pt idx="126">
                  <c:v>2.337721586227417</c:v>
                </c:pt>
                <c:pt idx="127">
                  <c:v>2.6073596477508545</c:v>
                </c:pt>
                <c:pt idx="128">
                  <c:v>2.6661908626556396</c:v>
                </c:pt>
                <c:pt idx="129">
                  <c:v>2.4931888580322266</c:v>
                </c:pt>
                <c:pt idx="130">
                  <c:v>2.4133119583129883</c:v>
                </c:pt>
                <c:pt idx="131">
                  <c:v>2.4391486644744873</c:v>
                </c:pt>
                <c:pt idx="132">
                  <c:v>2.486283540725708</c:v>
                </c:pt>
                <c:pt idx="133">
                  <c:v>2.6051290035247803</c:v>
                </c:pt>
                <c:pt idx="134">
                  <c:v>2.5865077972412109</c:v>
                </c:pt>
                <c:pt idx="135">
                  <c:v>2.5023055076599121</c:v>
                </c:pt>
                <c:pt idx="136">
                  <c:v>3.7227468490600586</c:v>
                </c:pt>
                <c:pt idx="137">
                  <c:v>4.3872499465942383</c:v>
                </c:pt>
                <c:pt idx="138">
                  <c:v>3.1413404941558838</c:v>
                </c:pt>
                <c:pt idx="139">
                  <c:v>2.3660025596618652</c:v>
                </c:pt>
                <c:pt idx="140">
                  <c:v>2.4272778034210205</c:v>
                </c:pt>
                <c:pt idx="141">
                  <c:v>2.3124666213989258</c:v>
                </c:pt>
                <c:pt idx="142">
                  <c:v>2.4577116966247559</c:v>
                </c:pt>
                <c:pt idx="143">
                  <c:v>2.6955192089080811</c:v>
                </c:pt>
                <c:pt idx="144">
                  <c:v>2.3710458278656006</c:v>
                </c:pt>
                <c:pt idx="145">
                  <c:v>2.2090611457824707</c:v>
                </c:pt>
                <c:pt idx="146">
                  <c:v>2.5360949039459229</c:v>
                </c:pt>
                <c:pt idx="147">
                  <c:v>2.6912713050842285</c:v>
                </c:pt>
                <c:pt idx="148">
                  <c:v>2.4710955619812012</c:v>
                </c:pt>
                <c:pt idx="149">
                  <c:v>2.3749251365661621</c:v>
                </c:pt>
                <c:pt idx="150">
                  <c:v>2.5242047309875488</c:v>
                </c:pt>
                <c:pt idx="151">
                  <c:v>2.3024771213531494</c:v>
                </c:pt>
                <c:pt idx="152">
                  <c:v>2.2615690231323242</c:v>
                </c:pt>
                <c:pt idx="153">
                  <c:v>2.2361781597137451</c:v>
                </c:pt>
                <c:pt idx="154">
                  <c:v>2.4763326644897461</c:v>
                </c:pt>
                <c:pt idx="155">
                  <c:v>2.8369817733764648</c:v>
                </c:pt>
                <c:pt idx="156">
                  <c:v>2.5877106189727783</c:v>
                </c:pt>
                <c:pt idx="157">
                  <c:v>2.4610090255737305</c:v>
                </c:pt>
                <c:pt idx="158">
                  <c:v>2.4593603610992432</c:v>
                </c:pt>
                <c:pt idx="159">
                  <c:v>2.2204084396362305</c:v>
                </c:pt>
                <c:pt idx="160">
                  <c:v>2.3760502338409424</c:v>
                </c:pt>
                <c:pt idx="161">
                  <c:v>2.4353275299072266</c:v>
                </c:pt>
                <c:pt idx="162">
                  <c:v>2.1839807033538818</c:v>
                </c:pt>
                <c:pt idx="163">
                  <c:v>2.2217469215393066</c:v>
                </c:pt>
                <c:pt idx="164">
                  <c:v>2.3214669227600098</c:v>
                </c:pt>
                <c:pt idx="165">
                  <c:v>2.1554090976715088</c:v>
                </c:pt>
                <c:pt idx="166">
                  <c:v>2.1886553764343262</c:v>
                </c:pt>
                <c:pt idx="167">
                  <c:v>2.325986385345459</c:v>
                </c:pt>
                <c:pt idx="168">
                  <c:v>2.3806860446929932</c:v>
                </c:pt>
                <c:pt idx="169">
                  <c:v>2.7003684043884277</c:v>
                </c:pt>
                <c:pt idx="170">
                  <c:v>2.786588191986084</c:v>
                </c:pt>
                <c:pt idx="171">
                  <c:v>2.6226058006286621</c:v>
                </c:pt>
                <c:pt idx="172">
                  <c:v>2.5088422298431396</c:v>
                </c:pt>
                <c:pt idx="173">
                  <c:v>2.524146556854248</c:v>
                </c:pt>
                <c:pt idx="174">
                  <c:v>2.2706661224365234</c:v>
                </c:pt>
                <c:pt idx="175">
                  <c:v>2.0817584991455078</c:v>
                </c:pt>
                <c:pt idx="176">
                  <c:v>2</c:v>
                </c:pt>
                <c:pt idx="177">
                  <c:v>2.3111865520477295</c:v>
                </c:pt>
                <c:pt idx="178">
                  <c:v>2.6303839683532715</c:v>
                </c:pt>
                <c:pt idx="179">
                  <c:v>2.491675853729248</c:v>
                </c:pt>
                <c:pt idx="180">
                  <c:v>2.5590806007385254</c:v>
                </c:pt>
                <c:pt idx="181">
                  <c:v>2.5878655910491943</c:v>
                </c:pt>
                <c:pt idx="182">
                  <c:v>2.404951810836792</c:v>
                </c:pt>
                <c:pt idx="183">
                  <c:v>2.5531449317932129</c:v>
                </c:pt>
                <c:pt idx="184">
                  <c:v>2.820979118347168</c:v>
                </c:pt>
                <c:pt idx="185">
                  <c:v>2.6605851650238037</c:v>
                </c:pt>
                <c:pt idx="186">
                  <c:v>2.7006399631500244</c:v>
                </c:pt>
                <c:pt idx="187">
                  <c:v>2.4763522148132324</c:v>
                </c:pt>
                <c:pt idx="188">
                  <c:v>2.5381510257720947</c:v>
                </c:pt>
                <c:pt idx="189">
                  <c:v>2.8113000392913818</c:v>
                </c:pt>
                <c:pt idx="190">
                  <c:v>2.7071962356567383</c:v>
                </c:pt>
                <c:pt idx="191">
                  <c:v>2.6050515174865723</c:v>
                </c:pt>
                <c:pt idx="192">
                  <c:v>2.6688482761383057</c:v>
                </c:pt>
                <c:pt idx="193">
                  <c:v>2.5456576347351074</c:v>
                </c:pt>
                <c:pt idx="194">
                  <c:v>2.4977858066558838</c:v>
                </c:pt>
                <c:pt idx="195">
                  <c:v>2.3996951580047607</c:v>
                </c:pt>
                <c:pt idx="196">
                  <c:v>2.3194303512573242</c:v>
                </c:pt>
                <c:pt idx="197">
                  <c:v>2.3958544731140137</c:v>
                </c:pt>
                <c:pt idx="198">
                  <c:v>2.5189869403839111</c:v>
                </c:pt>
                <c:pt idx="199">
                  <c:v>2.5391016006469727</c:v>
                </c:pt>
                <c:pt idx="200">
                  <c:v>2.3738195896148682</c:v>
                </c:pt>
                <c:pt idx="201">
                  <c:v>2.4255514144897461</c:v>
                </c:pt>
                <c:pt idx="202">
                  <c:v>2.1743016242980957</c:v>
                </c:pt>
                <c:pt idx="203">
                  <c:v>2.4336400032043457</c:v>
                </c:pt>
                <c:pt idx="204">
                  <c:v>2.4266376495361328</c:v>
                </c:pt>
                <c:pt idx="205">
                  <c:v>2.3682913780212402</c:v>
                </c:pt>
                <c:pt idx="206">
                  <c:v>2.3783195018768311</c:v>
                </c:pt>
                <c:pt idx="207">
                  <c:v>2.3665649890899658</c:v>
                </c:pt>
                <c:pt idx="208">
                  <c:v>2.201185941696167</c:v>
                </c:pt>
                <c:pt idx="209">
                  <c:v>2.1788406372070313</c:v>
                </c:pt>
                <c:pt idx="210">
                  <c:v>2.432185173034668</c:v>
                </c:pt>
                <c:pt idx="211">
                  <c:v>2.33469557762146</c:v>
                </c:pt>
                <c:pt idx="212">
                  <c:v>2.2607543468475342</c:v>
                </c:pt>
                <c:pt idx="213">
                  <c:v>2.1154704093933105</c:v>
                </c:pt>
                <c:pt idx="214">
                  <c:v>2.3357818126678467</c:v>
                </c:pt>
                <c:pt idx="215">
                  <c:v>2.3782031536102295</c:v>
                </c:pt>
                <c:pt idx="216">
                  <c:v>2.2131733894348145</c:v>
                </c:pt>
                <c:pt idx="217">
                  <c:v>2.1765711307525635</c:v>
                </c:pt>
                <c:pt idx="218">
                  <c:v>2.2045028209686279</c:v>
                </c:pt>
                <c:pt idx="219">
                  <c:v>2.3326783180236816</c:v>
                </c:pt>
                <c:pt idx="220">
                  <c:v>2.4402542114257813</c:v>
                </c:pt>
                <c:pt idx="221">
                  <c:v>2.8598313331604004</c:v>
                </c:pt>
                <c:pt idx="222">
                  <c:v>3.0430557727813721</c:v>
                </c:pt>
                <c:pt idx="223">
                  <c:v>3.015667200088501</c:v>
                </c:pt>
                <c:pt idx="224">
                  <c:v>2.6952476501464844</c:v>
                </c:pt>
                <c:pt idx="225">
                  <c:v>2.0402488708496094</c:v>
                </c:pt>
              </c:numCache>
            </c:numRef>
          </c:yVal>
          <c:smooth val="1"/>
          <c:extLst>
            <c:ext xmlns:c16="http://schemas.microsoft.com/office/drawing/2014/chart" uri="{C3380CC4-5D6E-409C-BE32-E72D297353CC}">
              <c16:uniqueId val="{00000000-69D2-4E8F-89E0-EC448D877EBD}"/>
            </c:ext>
          </c:extLst>
        </c:ser>
        <c:dLbls>
          <c:showLegendKey val="0"/>
          <c:showVal val="0"/>
          <c:showCatName val="0"/>
          <c:showSerName val="0"/>
          <c:showPercent val="0"/>
          <c:showBubbleSize val="0"/>
        </c:dLbls>
        <c:axId val="1816227232"/>
        <c:axId val="1816218528"/>
      </c:scatterChart>
      <c:valAx>
        <c:axId val="1816227232"/>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8528"/>
        <c:crosses val="autoZero"/>
        <c:crossBetween val="midCat"/>
        <c:majorUnit val="50"/>
      </c:valAx>
      <c:valAx>
        <c:axId val="181621852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7232"/>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checked="Checked"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CheckBox" checked="Checked" lockText="1" noThreeD="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CheckBox" checked="Checked"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Radio" checked="Checked" firstButton="1"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checked="Checked"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CheckBox" checked="Checked" lockText="1" noThreeD="1"/>
</file>

<file path=xl/ctrlProps/ctrlProp170.xml><?xml version="1.0" encoding="utf-8"?>
<formControlPr xmlns="http://schemas.microsoft.com/office/spreadsheetml/2009/9/main" objectType="CheckBox" checked="Checked"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checked="Checked"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checked="Checked"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checked="Checked" lockText="1" noThreeD="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checked="Checked" lockText="1" noThreeD="1"/>
</file>

<file path=xl/ctrlProps/ctrlProp219.xml><?xml version="1.0" encoding="utf-8"?>
<formControlPr xmlns="http://schemas.microsoft.com/office/spreadsheetml/2009/9/main" objectType="Radio" checked="Checked" firstButton="1"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Radio" checked="Checked" firstButton="1"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CheckBox" checked="Checked"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13</xdr:col>
      <xdr:colOff>0</xdr:colOff>
      <xdr:row>4</xdr:row>
      <xdr:rowOff>0</xdr:rowOff>
    </xdr:from>
    <xdr:to>
      <xdr:col>14</xdr:col>
      <xdr:colOff>0</xdr:colOff>
      <xdr:row>4</xdr:row>
      <xdr:rowOff>1543050</xdr:rowOff>
    </xdr:to>
    <xdr:graphicFrame macro="">
      <xdr:nvGraphicFramePr>
        <xdr:cNvPr id="1726" name="Chart 1">
          <a:extLst>
            <a:ext uri="{FF2B5EF4-FFF2-40B4-BE49-F238E27FC236}">
              <a16:creationId xmlns:a16="http://schemas.microsoft.com/office/drawing/2014/main" id="{00000000-0008-0000-0000-0000B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14</xdr:col>
      <xdr:colOff>0</xdr:colOff>
      <xdr:row>5</xdr:row>
      <xdr:rowOff>1543050</xdr:rowOff>
    </xdr:to>
    <xdr:graphicFrame macro="">
      <xdr:nvGraphicFramePr>
        <xdr:cNvPr id="1727" name="Chart 2">
          <a:extLst>
            <a:ext uri="{FF2B5EF4-FFF2-40B4-BE49-F238E27FC236}">
              <a16:creationId xmlns:a16="http://schemas.microsoft.com/office/drawing/2014/main" id="{00000000-0008-0000-0000-0000B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6</xdr:row>
      <xdr:rowOff>0</xdr:rowOff>
    </xdr:from>
    <xdr:to>
      <xdr:col>14</xdr:col>
      <xdr:colOff>0</xdr:colOff>
      <xdr:row>6</xdr:row>
      <xdr:rowOff>1543050</xdr:rowOff>
    </xdr:to>
    <xdr:graphicFrame macro="">
      <xdr:nvGraphicFramePr>
        <xdr:cNvPr id="1728" name="Chart 3">
          <a:extLst>
            <a:ext uri="{FF2B5EF4-FFF2-40B4-BE49-F238E27FC236}">
              <a16:creationId xmlns:a16="http://schemas.microsoft.com/office/drawing/2014/main" id="{00000000-0008-0000-0000-0000C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xdr:row>
      <xdr:rowOff>0</xdr:rowOff>
    </xdr:from>
    <xdr:to>
      <xdr:col>14</xdr:col>
      <xdr:colOff>0</xdr:colOff>
      <xdr:row>7</xdr:row>
      <xdr:rowOff>1543050</xdr:rowOff>
    </xdr:to>
    <xdr:graphicFrame macro="">
      <xdr:nvGraphicFramePr>
        <xdr:cNvPr id="1729" name="Chart 4">
          <a:extLst>
            <a:ext uri="{FF2B5EF4-FFF2-40B4-BE49-F238E27FC236}">
              <a16:creationId xmlns:a16="http://schemas.microsoft.com/office/drawing/2014/main" id="{00000000-0008-0000-0000-0000C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8</xdr:row>
      <xdr:rowOff>0</xdr:rowOff>
    </xdr:from>
    <xdr:to>
      <xdr:col>14</xdr:col>
      <xdr:colOff>0</xdr:colOff>
      <xdr:row>8</xdr:row>
      <xdr:rowOff>1543050</xdr:rowOff>
    </xdr:to>
    <xdr:graphicFrame macro="">
      <xdr:nvGraphicFramePr>
        <xdr:cNvPr id="1730" name="Chart 5">
          <a:extLst>
            <a:ext uri="{FF2B5EF4-FFF2-40B4-BE49-F238E27FC236}">
              <a16:creationId xmlns:a16="http://schemas.microsoft.com/office/drawing/2014/main" id="{00000000-0008-0000-0000-0000C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9</xdr:row>
      <xdr:rowOff>0</xdr:rowOff>
    </xdr:from>
    <xdr:to>
      <xdr:col>14</xdr:col>
      <xdr:colOff>0</xdr:colOff>
      <xdr:row>9</xdr:row>
      <xdr:rowOff>1543050</xdr:rowOff>
    </xdr:to>
    <xdr:graphicFrame macro="">
      <xdr:nvGraphicFramePr>
        <xdr:cNvPr id="1731" name="Chart 6">
          <a:extLst>
            <a:ext uri="{FF2B5EF4-FFF2-40B4-BE49-F238E27FC236}">
              <a16:creationId xmlns:a16="http://schemas.microsoft.com/office/drawing/2014/main" id="{00000000-0008-0000-0000-0000C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0</xdr:rowOff>
    </xdr:from>
    <xdr:to>
      <xdr:col>14</xdr:col>
      <xdr:colOff>0</xdr:colOff>
      <xdr:row>10</xdr:row>
      <xdr:rowOff>1543050</xdr:rowOff>
    </xdr:to>
    <xdr:graphicFrame macro="">
      <xdr:nvGraphicFramePr>
        <xdr:cNvPr id="1732" name="Chart 7">
          <a:extLst>
            <a:ext uri="{FF2B5EF4-FFF2-40B4-BE49-F238E27FC236}">
              <a16:creationId xmlns:a16="http://schemas.microsoft.com/office/drawing/2014/main" id="{00000000-0008-0000-0000-0000C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9</xdr:col>
          <xdr:colOff>9525</xdr:colOff>
          <xdr:row>1</xdr:row>
          <xdr:rowOff>0</xdr:rowOff>
        </xdr:from>
        <xdr:to>
          <xdr:col>10</xdr:col>
          <xdr:colOff>0</xdr:colOff>
          <xdr:row>2</xdr:row>
          <xdr:rowOff>9525</xdr:rowOff>
        </xdr:to>
        <xdr:sp macro="" textlink="">
          <xdr:nvSpPr>
            <xdr:cNvPr id="1026" name="Button 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Load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666750</xdr:rowOff>
        </xdr:from>
        <xdr:to>
          <xdr:col>12</xdr:col>
          <xdr:colOff>247650</xdr:colOff>
          <xdr:row>4</xdr:row>
          <xdr:rowOff>885825</xdr:rowOff>
        </xdr:to>
        <xdr:sp macro="" textlink="">
          <xdr:nvSpPr>
            <xdr:cNvPr id="1033" name="CheckBox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5</xdr:row>
          <xdr:rowOff>666750</xdr:rowOff>
        </xdr:from>
        <xdr:to>
          <xdr:col>12</xdr:col>
          <xdr:colOff>247650</xdr:colOff>
          <xdr:row>5</xdr:row>
          <xdr:rowOff>885825</xdr:rowOff>
        </xdr:to>
        <xdr:sp macro="" textlink="">
          <xdr:nvSpPr>
            <xdr:cNvPr id="1034" name="CheckBox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xdr:row>
          <xdr:rowOff>666750</xdr:rowOff>
        </xdr:from>
        <xdr:to>
          <xdr:col>12</xdr:col>
          <xdr:colOff>247650</xdr:colOff>
          <xdr:row>6</xdr:row>
          <xdr:rowOff>885825</xdr:rowOff>
        </xdr:to>
        <xdr:sp macro="" textlink="">
          <xdr:nvSpPr>
            <xdr:cNvPr id="1035" name="CheckBox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7</xdr:row>
          <xdr:rowOff>666750</xdr:rowOff>
        </xdr:from>
        <xdr:to>
          <xdr:col>12</xdr:col>
          <xdr:colOff>247650</xdr:colOff>
          <xdr:row>7</xdr:row>
          <xdr:rowOff>885825</xdr:rowOff>
        </xdr:to>
        <xdr:sp macro="" textlink="">
          <xdr:nvSpPr>
            <xdr:cNvPr id="1036" name="CheckBox4"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8</xdr:row>
          <xdr:rowOff>666750</xdr:rowOff>
        </xdr:from>
        <xdr:to>
          <xdr:col>12</xdr:col>
          <xdr:colOff>247650</xdr:colOff>
          <xdr:row>8</xdr:row>
          <xdr:rowOff>885825</xdr:rowOff>
        </xdr:to>
        <xdr:sp macro="" textlink="">
          <xdr:nvSpPr>
            <xdr:cNvPr id="1037" name="CheckBox5"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666750</xdr:rowOff>
        </xdr:from>
        <xdr:to>
          <xdr:col>12</xdr:col>
          <xdr:colOff>247650</xdr:colOff>
          <xdr:row>9</xdr:row>
          <xdr:rowOff>885825</xdr:rowOff>
        </xdr:to>
        <xdr:sp macro="" textlink="">
          <xdr:nvSpPr>
            <xdr:cNvPr id="1038" name="CheckBox6"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666750</xdr:rowOff>
        </xdr:from>
        <xdr:to>
          <xdr:col>12</xdr:col>
          <xdr:colOff>247650</xdr:colOff>
          <xdr:row>10</xdr:row>
          <xdr:rowOff>885825</xdr:rowOff>
        </xdr:to>
        <xdr:sp macro="" textlink="">
          <xdr:nvSpPr>
            <xdr:cNvPr id="1039" name="CheckBox7"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xdr:row>
          <xdr:rowOff>9525</xdr:rowOff>
        </xdr:from>
        <xdr:to>
          <xdr:col>13</xdr:col>
          <xdr:colOff>647700</xdr:colOff>
          <xdr:row>3</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Deselect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1</xdr:row>
          <xdr:rowOff>9525</xdr:rowOff>
        </xdr:from>
        <xdr:to>
          <xdr:col>13</xdr:col>
          <xdr:colOff>647700</xdr:colOff>
          <xdr:row>2</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666750</xdr:colOff>
          <xdr:row>1</xdr:row>
          <xdr:rowOff>0</xdr:rowOff>
        </xdr:from>
        <xdr:to>
          <xdr:col>13</xdr:col>
          <xdr:colOff>1714500</xdr:colOff>
          <xdr:row>2</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1724025</xdr:colOff>
          <xdr:row>1</xdr:row>
          <xdr:rowOff>9525</xdr:rowOff>
        </xdr:from>
        <xdr:to>
          <xdr:col>14</xdr:col>
          <xdr:colOff>57150</xdr:colOff>
          <xdr:row>3</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0</xdr:rowOff>
        </xdr:from>
        <xdr:to>
          <xdr:col>5</xdr:col>
          <xdr:colOff>952500</xdr:colOff>
          <xdr:row>2</xdr:row>
          <xdr:rowOff>219075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Recalc. Cutoffs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942975</xdr:colOff>
          <xdr:row>2</xdr:row>
          <xdr:rowOff>219075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Calc. CumArea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xdr:row>
          <xdr:rowOff>9525</xdr:rowOff>
        </xdr:from>
        <xdr:to>
          <xdr:col>14</xdr:col>
          <xdr:colOff>962025</xdr:colOff>
          <xdr:row>2</xdr:row>
          <xdr:rowOff>9525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2</xdr:row>
          <xdr:rowOff>9525</xdr:rowOff>
        </xdr:from>
        <xdr:to>
          <xdr:col>14</xdr:col>
          <xdr:colOff>962025</xdr:colOff>
          <xdr:row>3</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xdr:row>
          <xdr:rowOff>0</xdr:rowOff>
        </xdr:from>
        <xdr:to>
          <xdr:col>9</xdr:col>
          <xdr:colOff>1114425</xdr:colOff>
          <xdr:row>2</xdr:row>
          <xdr:rowOff>9525</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Lock NovaC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2</xdr:row>
          <xdr:rowOff>9525</xdr:rowOff>
        </xdr:from>
        <xdr:to>
          <xdr:col>12</xdr:col>
          <xdr:colOff>0</xdr:colOff>
          <xdr:row>3</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UV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9525</xdr:rowOff>
        </xdr:from>
        <xdr:to>
          <xdr:col>8</xdr:col>
          <xdr:colOff>533400</xdr:colOff>
          <xdr:row>2</xdr:row>
          <xdr:rowOff>0</xdr:rowOff>
        </xdr:to>
        <xdr:sp macro="" textlink="">
          <xdr:nvSpPr>
            <xdr:cNvPr id="1149" name="Option 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619125</xdr:colOff>
          <xdr:row>1</xdr:row>
          <xdr:rowOff>9525</xdr:rowOff>
        </xdr:from>
        <xdr:to>
          <xdr:col>8</xdr:col>
          <xdr:colOff>1057275</xdr:colOff>
          <xdr:row>2</xdr:row>
          <xdr:rowOff>0</xdr:rowOff>
        </xdr:to>
        <xdr:sp macro="" textlink="">
          <xdr:nvSpPr>
            <xdr:cNvPr id="1150" name="Option 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Top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657225</xdr:colOff>
          <xdr:row>2</xdr:row>
          <xdr:rowOff>9525</xdr:rowOff>
        </xdr:from>
        <xdr:to>
          <xdr:col>13</xdr:col>
          <xdr:colOff>1714500</xdr:colOff>
          <xdr:row>3</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1</xdr:row>
          <xdr:rowOff>9525</xdr:rowOff>
        </xdr:from>
        <xdr:to>
          <xdr:col>12</xdr:col>
          <xdr:colOff>0</xdr:colOff>
          <xdr:row>2</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Mass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xdr:row>
          <xdr:rowOff>0</xdr:rowOff>
        </xdr:from>
        <xdr:to>
          <xdr:col>10</xdr:col>
          <xdr:colOff>1114425</xdr:colOff>
          <xdr:row>2</xdr:row>
          <xdr:rowOff>9525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Copy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2</xdr:row>
          <xdr:rowOff>9525</xdr:rowOff>
        </xdr:from>
        <xdr:to>
          <xdr:col>11</xdr:col>
          <xdr:colOff>971550</xdr:colOff>
          <xdr:row>3</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11</xdr:col>
          <xdr:colOff>971550</xdr:colOff>
          <xdr:row>2</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Auto UV Class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32</xdr:row>
          <xdr:rowOff>9525</xdr:rowOff>
        </xdr:from>
        <xdr:to>
          <xdr:col>2</xdr:col>
          <xdr:colOff>2133600</xdr:colOff>
          <xdr:row>34</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29</xdr:row>
          <xdr:rowOff>76200</xdr:rowOff>
        </xdr:from>
        <xdr:to>
          <xdr:col>8</xdr:col>
          <xdr:colOff>266700</xdr:colOff>
          <xdr:row>30</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31</xdr:row>
          <xdr:rowOff>28575</xdr:rowOff>
        </xdr:from>
        <xdr:to>
          <xdr:col>8</xdr:col>
          <xdr:colOff>266700</xdr:colOff>
          <xdr:row>32</xdr:row>
          <xdr:rowOff>76200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36</xdr:row>
          <xdr:rowOff>76200</xdr:rowOff>
        </xdr:from>
        <xdr:to>
          <xdr:col>8</xdr:col>
          <xdr:colOff>266700</xdr:colOff>
          <xdr:row>37</xdr:row>
          <xdr:rowOff>123825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190500</xdr:rowOff>
        </xdr:from>
        <xdr:to>
          <xdr:col>2</xdr:col>
          <xdr:colOff>2181225</xdr:colOff>
          <xdr:row>36</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Exclude Hidden Peaks from 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32</xdr:row>
          <xdr:rowOff>171450</xdr:rowOff>
        </xdr:from>
        <xdr:to>
          <xdr:col>8</xdr:col>
          <xdr:colOff>266700</xdr:colOff>
          <xdr:row>34</xdr:row>
          <xdr:rowOff>9525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0</xdr:row>
          <xdr:rowOff>19050</xdr:rowOff>
        </xdr:from>
        <xdr:to>
          <xdr:col>1</xdr:col>
          <xdr:colOff>504825</xdr:colOff>
          <xdr:row>2</xdr:row>
          <xdr:rowOff>85725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a:t>
              </a:r>
            </a:p>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161925</xdr:rowOff>
        </xdr:from>
        <xdr:to>
          <xdr:col>7</xdr:col>
          <xdr:colOff>0</xdr:colOff>
          <xdr:row>34</xdr:row>
          <xdr:rowOff>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0" i="0" u="none" strike="noStrike" baseline="0">
                  <a:solidFill>
                    <a:srgbClr val="000000"/>
                  </a:solidFill>
                  <a:latin typeface="Calibri"/>
                  <a:cs typeface="Calibri"/>
                </a:rPr>
                <a:t>&lt;- Show only top 'n' peaks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34</xdr:row>
          <xdr:rowOff>123825</xdr:rowOff>
        </xdr:from>
        <xdr:to>
          <xdr:col>8</xdr:col>
          <xdr:colOff>266700</xdr:colOff>
          <xdr:row>35</xdr:row>
          <xdr:rowOff>171450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Unlabelled</a:t>
              </a:r>
            </a:p>
          </xdr:txBody>
        </xdr:sp>
        <xdr:clientData fPrintsWithSheet="0"/>
      </xdr:twoCellAnchor>
    </mc:Choice>
    <mc:Fallback/>
  </mc:AlternateContent>
  <xdr:twoCellAnchor>
    <xdr:from>
      <xdr:col>1</xdr:col>
      <xdr:colOff>295275</xdr:colOff>
      <xdr:row>2</xdr:row>
      <xdr:rowOff>114300</xdr:rowOff>
    </xdr:from>
    <xdr:to>
      <xdr:col>1</xdr:col>
      <xdr:colOff>295275</xdr:colOff>
      <xdr:row>7</xdr:row>
      <xdr:rowOff>104775</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904875" y="504825"/>
          <a:ext cx="0" cy="9429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7</xdr:row>
      <xdr:rowOff>104775</xdr:rowOff>
    </xdr:from>
    <xdr:to>
      <xdr:col>1</xdr:col>
      <xdr:colOff>295275</xdr:colOff>
      <xdr:row>7</xdr:row>
      <xdr:rowOff>104775</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flipH="1">
          <a:off x="676275" y="1447800"/>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5</xdr:row>
      <xdr:rowOff>95250</xdr:rowOff>
    </xdr:from>
    <xdr:to>
      <xdr:col>1</xdr:col>
      <xdr:colOff>285750</xdr:colOff>
      <xdr:row>5</xdr:row>
      <xdr:rowOff>95250</xdr:rowOff>
    </xdr:to>
    <xdr:cxnSp macro="">
      <xdr:nvCxnSpPr>
        <xdr:cNvPr id="16" name="Straight Arrow Connector 15">
          <a:extLst>
            <a:ext uri="{FF2B5EF4-FFF2-40B4-BE49-F238E27FC236}">
              <a16:creationId xmlns:a16="http://schemas.microsoft.com/office/drawing/2014/main" id="{00000000-0008-0000-0100-000010000000}"/>
            </a:ext>
          </a:extLst>
        </xdr:cNvPr>
        <xdr:cNvCxnSpPr/>
      </xdr:nvCxnSpPr>
      <xdr:spPr>
        <a:xfrm flipH="1">
          <a:off x="666750" y="1057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3</xdr:row>
      <xdr:rowOff>95250</xdr:rowOff>
    </xdr:from>
    <xdr:to>
      <xdr:col>1</xdr:col>
      <xdr:colOff>285750</xdr:colOff>
      <xdr:row>3</xdr:row>
      <xdr:rowOff>95250</xdr:rowOff>
    </xdr:to>
    <xdr:cxnSp macro="">
      <xdr:nvCxnSpPr>
        <xdr:cNvPr id="17" name="Straight Arrow Connector 16">
          <a:extLst>
            <a:ext uri="{FF2B5EF4-FFF2-40B4-BE49-F238E27FC236}">
              <a16:creationId xmlns:a16="http://schemas.microsoft.com/office/drawing/2014/main" id="{00000000-0008-0000-0100-000011000000}"/>
            </a:ext>
          </a:extLst>
        </xdr:cNvPr>
        <xdr:cNvCxnSpPr/>
      </xdr:nvCxnSpPr>
      <xdr:spPr>
        <a:xfrm flipH="1">
          <a:off x="666750" y="676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4761</xdr:rowOff>
    </xdr:from>
    <xdr:to>
      <xdr:col>23</xdr:col>
      <xdr:colOff>590550</xdr:colOff>
      <xdr:row>35</xdr:row>
      <xdr:rowOff>180974</xdr:rowOff>
    </xdr:to>
    <xdr:graphicFrame macro="">
      <xdr:nvGraphicFramePr>
        <xdr:cNvPr id="2" name="Chart Chromatogram">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47625</xdr:rowOff>
        </xdr:from>
        <xdr:to>
          <xdr:col>27</xdr:col>
          <xdr:colOff>0</xdr:colOff>
          <xdr:row>16</xdr:row>
          <xdr:rowOff>104775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2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2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xdr:twoCellAnchor>
    <xdr:from>
      <xdr:col>25</xdr:col>
      <xdr:colOff>1</xdr:colOff>
      <xdr:row>23</xdr:row>
      <xdr:rowOff>9525</xdr:rowOff>
    </xdr:from>
    <xdr:to>
      <xdr:col>29</xdr:col>
      <xdr:colOff>1</xdr:colOff>
      <xdr:row>36</xdr:row>
      <xdr:rowOff>0</xdr:rowOff>
    </xdr:to>
    <xdr:graphicFrame macro="">
      <xdr:nvGraphicFramePr>
        <xdr:cNvPr id="27" name="Chart 26">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27</xdr:col>
          <xdr:colOff>19050</xdr:colOff>
          <xdr:row>19</xdr:row>
          <xdr:rowOff>104775</xdr:rowOff>
        </xdr:from>
        <xdr:to>
          <xdr:col>27</xdr:col>
          <xdr:colOff>381000</xdr:colOff>
          <xdr:row>21</xdr:row>
          <xdr:rowOff>95250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104775</xdr:rowOff>
        </xdr:from>
        <xdr:to>
          <xdr:col>25</xdr:col>
          <xdr:colOff>600075</xdr:colOff>
          <xdr:row>21</xdr:row>
          <xdr:rowOff>85725</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200-00001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13</xdr:row>
          <xdr:rowOff>142875</xdr:rowOff>
        </xdr:from>
        <xdr:to>
          <xdr:col>29</xdr:col>
          <xdr:colOff>9525</xdr:colOff>
          <xdr:row>15</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2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0</xdr:row>
          <xdr:rowOff>57150</xdr:rowOff>
        </xdr:from>
        <xdr:to>
          <xdr:col>28</xdr:col>
          <xdr:colOff>457200</xdr:colOff>
          <xdr:row>2</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2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3</xdr:row>
          <xdr:rowOff>0</xdr:rowOff>
        </xdr:from>
        <xdr:to>
          <xdr:col>28</xdr:col>
          <xdr:colOff>457200</xdr:colOff>
          <xdr:row>4</xdr:row>
          <xdr:rowOff>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2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5</xdr:row>
          <xdr:rowOff>0</xdr:rowOff>
        </xdr:from>
        <xdr:to>
          <xdr:col>28</xdr:col>
          <xdr:colOff>457200</xdr:colOff>
          <xdr:row>6</xdr:row>
          <xdr:rowOff>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2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11</xdr:row>
          <xdr:rowOff>0</xdr:rowOff>
        </xdr:from>
        <xdr:to>
          <xdr:col>28</xdr:col>
          <xdr:colOff>457200</xdr:colOff>
          <xdr:row>12</xdr:row>
          <xdr:rowOff>0</xdr:rowOff>
        </xdr:to>
        <xdr:sp macro="" textlink="">
          <xdr:nvSpPr>
            <xdr:cNvPr id="9249" name="Button 33"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114300</xdr:rowOff>
        </xdr:from>
        <xdr:to>
          <xdr:col>25</xdr:col>
          <xdr:colOff>600075</xdr:colOff>
          <xdr:row>22</xdr:row>
          <xdr:rowOff>114300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28</xdr:col>
          <xdr:colOff>600075</xdr:colOff>
          <xdr:row>22</xdr:row>
          <xdr:rowOff>114300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142875</xdr:rowOff>
        </xdr:from>
        <xdr:to>
          <xdr:col>28</xdr:col>
          <xdr:colOff>0</xdr:colOff>
          <xdr:row>15</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2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0</xdr:colOff>
          <xdr:row>22</xdr:row>
          <xdr:rowOff>114300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2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314325</xdr:colOff>
          <xdr:row>17</xdr:row>
          <xdr:rowOff>0</xdr:rowOff>
        </xdr:from>
        <xdr:to>
          <xdr:col>28</xdr:col>
          <xdr:colOff>609600</xdr:colOff>
          <xdr:row>17</xdr:row>
          <xdr:rowOff>200025</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2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57150</xdr:rowOff>
        </xdr:from>
        <xdr:to>
          <xdr:col>29</xdr:col>
          <xdr:colOff>0</xdr:colOff>
          <xdr:row>16</xdr:row>
          <xdr:rowOff>104775</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2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12</xdr:row>
          <xdr:rowOff>76200</xdr:rowOff>
        </xdr:from>
        <xdr:to>
          <xdr:col>29</xdr:col>
          <xdr:colOff>9525</xdr:colOff>
          <xdr:row>13</xdr:row>
          <xdr:rowOff>95250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2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0</xdr:row>
          <xdr:rowOff>57150</xdr:rowOff>
        </xdr:from>
        <xdr:to>
          <xdr:col>29</xdr:col>
          <xdr:colOff>295275</xdr:colOff>
          <xdr:row>2</xdr:row>
          <xdr:rowOff>66675</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2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3</xdr:row>
          <xdr:rowOff>0</xdr:rowOff>
        </xdr:from>
        <xdr:to>
          <xdr:col>29</xdr:col>
          <xdr:colOff>285750</xdr:colOff>
          <xdr:row>4</xdr:row>
          <xdr:rowOff>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2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5</xdr:row>
          <xdr:rowOff>0</xdr:rowOff>
        </xdr:from>
        <xdr:to>
          <xdr:col>29</xdr:col>
          <xdr:colOff>285750</xdr:colOff>
          <xdr:row>6</xdr:row>
          <xdr:rowOff>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11</xdr:row>
          <xdr:rowOff>0</xdr:rowOff>
        </xdr:from>
        <xdr:to>
          <xdr:col>29</xdr:col>
          <xdr:colOff>285750</xdr:colOff>
          <xdr:row>12</xdr:row>
          <xdr:rowOff>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2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104775</xdr:rowOff>
        </xdr:from>
        <xdr:to>
          <xdr:col>25</xdr:col>
          <xdr:colOff>228600</xdr:colOff>
          <xdr:row>21</xdr:row>
          <xdr:rowOff>85725</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200-00003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104775</xdr:rowOff>
        </xdr:from>
        <xdr:to>
          <xdr:col>28</xdr:col>
          <xdr:colOff>0</xdr:colOff>
          <xdr:row>21</xdr:row>
          <xdr:rowOff>95250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4A8914BD-7B63-480D-9B73-FCAEA74DEAD6}"/>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0.12559</cdr:y>
    </cdr:to>
    <cdr:sp macro="" textlink="">
      <cdr:nvSpPr>
        <cdr:cNvPr id="2" name="TextBox 1"/>
        <cdr:cNvSpPr txBox="1"/>
      </cdr:nvSpPr>
      <cdr:spPr>
        <a:xfrm xmlns:a="http://schemas.openxmlformats.org/drawingml/2006/main">
          <a:off x="13363575" y="147639"/>
          <a:ext cx="1152525" cy="733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13
254: 15</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0.71318</cdr:x>
      <cdr:y>0.33591</cdr:y>
    </cdr:from>
    <cdr:to>
      <cdr:x>0.90458</cdr:x>
      <cdr:y>0.81853</cdr:y>
    </cdr:to>
    <cdr:sp macro="" textlink="">
      <cdr:nvSpPr>
        <cdr:cNvPr id="2" name="TextBox 1"/>
        <cdr:cNvSpPr txBox="1"/>
      </cdr:nvSpPr>
      <cdr:spPr>
        <a:xfrm xmlns:a="http://schemas.openxmlformats.org/drawingml/2006/main">
          <a:off x="1744733" y="828675"/>
          <a:ext cx="468245" cy="1190618"/>
        </a:xfrm>
        <a:prstGeom xmlns:a="http://schemas.openxmlformats.org/drawingml/2006/main" prst="rect">
          <a:avLst/>
        </a:prstGeom>
      </cdr:spPr>
      <cdr:txBody>
        <a:bodyPr xmlns:a="http://schemas.openxmlformats.org/drawingml/2006/main" vertOverflow="clip" wrap="square" lIns="46800" rIns="46800" rtlCol="0"/>
        <a:lstStyle xmlns:a="http://schemas.openxmlformats.org/drawingml/2006/main"/>
        <a:p xmlns:a="http://schemas.openxmlformats.org/drawingml/2006/main">
          <a:pPr algn="r"/>
          <a:r>
            <a:rPr lang="en-AU" sz="1100">
              <a:latin typeface="Arial" panose="020B0604020202020204" pitchFamily="34" charset="0"/>
              <a:cs typeface="Arial" panose="020B0604020202020204" pitchFamily="34" charset="0"/>
            </a:rPr>
            <a:t>MW</a:t>
          </a:r>
        </a:p>
      </cdr:txBody>
    </cdr:sp>
  </cdr:relSizeAnchor>
  <cdr:relSizeAnchor xmlns:cdr="http://schemas.openxmlformats.org/drawingml/2006/chartDrawing">
    <cdr:from>
      <cdr:x>0.69141</cdr:x>
      <cdr:y>0.01544</cdr:y>
    </cdr:from>
    <cdr:to>
      <cdr:x>0.89844</cdr:x>
      <cdr:y>0.07336</cdr:y>
    </cdr:to>
    <cdr:sp macro="" textlink="">
      <cdr:nvSpPr>
        <cdr:cNvPr id="3" name="TextBox 2"/>
        <cdr:cNvSpPr txBox="1"/>
      </cdr:nvSpPr>
      <cdr:spPr>
        <a:xfrm xmlns:a="http://schemas.openxmlformats.org/drawingml/2006/main">
          <a:off x="1685924" y="38100"/>
          <a:ext cx="504825" cy="142875"/>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Max</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9525</xdr:colOff>
      <xdr:row>6</xdr:row>
      <xdr:rowOff>104775</xdr:rowOff>
    </xdr:from>
    <xdr:to>
      <xdr:col>22</xdr:col>
      <xdr:colOff>600075</xdr:colOff>
      <xdr:row>36</xdr:row>
      <xdr:rowOff>152399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457200</xdr:colOff>
          <xdr:row>0</xdr:row>
          <xdr:rowOff>38100</xdr:rowOff>
        </xdr:from>
        <xdr:to>
          <xdr:col>26</xdr:col>
          <xdr:colOff>161925</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Checked Peaks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30</xdr:row>
          <xdr:rowOff>171450</xdr:rowOff>
        </xdr:from>
        <xdr:to>
          <xdr:col>26</xdr:col>
          <xdr:colOff>171450</xdr:colOff>
          <xdr:row>32</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34</xdr:row>
          <xdr:rowOff>0</xdr:rowOff>
        </xdr:from>
        <xdr:to>
          <xdr:col>26</xdr:col>
          <xdr:colOff>171450</xdr:colOff>
          <xdr:row>35</xdr:row>
          <xdr:rowOff>180975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28</xdr:row>
          <xdr:rowOff>104775</xdr:rowOff>
        </xdr:from>
        <xdr:to>
          <xdr:col>26</xdr:col>
          <xdr:colOff>171450</xdr:colOff>
          <xdr:row>29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26</xdr:row>
          <xdr:rowOff>114300</xdr:rowOff>
        </xdr:from>
        <xdr:to>
          <xdr:col>26</xdr:col>
          <xdr:colOff>171450</xdr:colOff>
          <xdr:row>28</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12</xdr:row>
          <xdr:rowOff>152400</xdr:rowOff>
        </xdr:from>
        <xdr:to>
          <xdr:col>28</xdr:col>
          <xdr:colOff>600075</xdr:colOff>
          <xdr:row>14</xdr:row>
          <xdr:rowOff>19050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14</xdr:row>
          <xdr:rowOff>180975</xdr:rowOff>
        </xdr:from>
        <xdr:to>
          <xdr:col>28</xdr:col>
          <xdr:colOff>600075</xdr:colOff>
          <xdr:row>17</xdr:row>
          <xdr:rowOff>9525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18</xdr:row>
          <xdr:rowOff>152400</xdr:rowOff>
        </xdr:from>
        <xdr:to>
          <xdr:col>28</xdr:col>
          <xdr:colOff>600075</xdr:colOff>
          <xdr:row>20</xdr:row>
          <xdr:rowOff>28575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20</xdr:row>
          <xdr:rowOff>180975</xdr:rowOff>
        </xdr:from>
        <xdr:to>
          <xdr:col>28</xdr:col>
          <xdr:colOff>600075</xdr:colOff>
          <xdr:row>23</xdr:row>
          <xdr:rowOff>9525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161925</xdr:rowOff>
        </xdr:from>
        <xdr:to>
          <xdr:col>28</xdr:col>
          <xdr:colOff>600075</xdr:colOff>
          <xdr:row>2</xdr:row>
          <xdr:rowOff>28575</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xdr:row>
          <xdr:rowOff>0</xdr:rowOff>
        </xdr:from>
        <xdr:to>
          <xdr:col>28</xdr:col>
          <xdr:colOff>600075</xdr:colOff>
          <xdr:row>5</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6</xdr:row>
          <xdr:rowOff>152400</xdr:rowOff>
        </xdr:from>
        <xdr:to>
          <xdr:col>28</xdr:col>
          <xdr:colOff>600075</xdr:colOff>
          <xdr:row>8</xdr:row>
          <xdr:rowOff>28575</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8</xdr:row>
          <xdr:rowOff>180975</xdr:rowOff>
        </xdr:from>
        <xdr:to>
          <xdr:col>28</xdr:col>
          <xdr:colOff>600075</xdr:colOff>
          <xdr:row>11</xdr:row>
          <xdr:rowOff>9525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24</xdr:row>
          <xdr:rowOff>114300</xdr:rowOff>
        </xdr:from>
        <xdr:to>
          <xdr:col>26</xdr:col>
          <xdr:colOff>171450</xdr:colOff>
          <xdr:row>26</xdr:row>
          <xdr:rowOff>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25</xdr:row>
          <xdr:rowOff>0</xdr:rowOff>
        </xdr:from>
        <xdr:to>
          <xdr:col>28</xdr:col>
          <xdr:colOff>600075</xdr:colOff>
          <xdr:row>26</xdr:row>
          <xdr:rowOff>9525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28</xdr:row>
          <xdr:rowOff>0</xdr:rowOff>
        </xdr:from>
        <xdr:to>
          <xdr:col>29</xdr:col>
          <xdr:colOff>0</xdr:colOff>
          <xdr:row>29</xdr:row>
          <xdr:rowOff>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NonPol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26</xdr:row>
          <xdr:rowOff>95250</xdr:rowOff>
        </xdr:from>
        <xdr:to>
          <xdr:col>28</xdr:col>
          <xdr:colOff>600075</xdr:colOff>
          <xdr:row>27</xdr:row>
          <xdr:rowOff>95250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Intermed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30</xdr:row>
          <xdr:rowOff>180975</xdr:rowOff>
        </xdr:from>
        <xdr:to>
          <xdr:col>28</xdr:col>
          <xdr:colOff>600075</xdr:colOff>
          <xdr:row>32</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Acidic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34</xdr:row>
          <xdr:rowOff>0</xdr:rowOff>
        </xdr:from>
        <xdr:to>
          <xdr:col>28</xdr:col>
          <xdr:colOff>600075</xdr:colOff>
          <xdr:row>35</xdr:row>
          <xdr:rowOff>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32</xdr:row>
          <xdr:rowOff>85725</xdr:rowOff>
        </xdr:from>
        <xdr:to>
          <xdr:col>28</xdr:col>
          <xdr:colOff>600075</xdr:colOff>
          <xdr:row>33</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Neutral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9525</xdr:rowOff>
        </xdr:from>
        <xdr:to>
          <xdr:col>26</xdr:col>
          <xdr:colOff>9525</xdr:colOff>
          <xdr:row>9</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13</xdr:row>
          <xdr:rowOff>0</xdr:rowOff>
        </xdr:from>
        <xdr:to>
          <xdr:col>26</xdr:col>
          <xdr:colOff>0</xdr:colOff>
          <xdr:row>15</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a:t>
              </a:r>
            </a:p>
          </xdr:txBody>
        </xdr:sp>
        <xdr:clientData fPrintsWithSheet="0"/>
      </xdr:twoCellAnchor>
    </mc:Choice>
    <mc:Fallback/>
  </mc:AlternateContent>
  <xdr:twoCellAnchor>
    <xdr:from>
      <xdr:col>23</xdr:col>
      <xdr:colOff>457200</xdr:colOff>
      <xdr:row>3</xdr:row>
      <xdr:rowOff>114301</xdr:rowOff>
    </xdr:from>
    <xdr:to>
      <xdr:col>26</xdr:col>
      <xdr:colOff>152400</xdr:colOff>
      <xdr:row>23</xdr:row>
      <xdr:rowOff>19051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4478000" y="685801"/>
          <a:ext cx="1495425" cy="375285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xdr:from>
          <xdr:col>24</xdr:col>
          <xdr:colOff>0</xdr:colOff>
          <xdr:row>15</xdr:row>
          <xdr:rowOff>180975</xdr:rowOff>
        </xdr:from>
        <xdr:to>
          <xdr:col>26</xdr:col>
          <xdr:colOff>0</xdr:colOff>
          <xdr:row>17</xdr:row>
          <xdr:rowOff>190500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5</xdr:row>
          <xdr:rowOff>66675</xdr:rowOff>
        </xdr:from>
        <xdr:to>
          <xdr:col>25</xdr:col>
          <xdr:colOff>1104900</xdr:colOff>
          <xdr:row>6</xdr:row>
          <xdr:rowOff>114300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Increment Class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590550</xdr:colOff>
          <xdr:row>19</xdr:row>
          <xdr:rowOff>95250</xdr:rowOff>
        </xdr:from>
        <xdr:to>
          <xdr:col>26</xdr:col>
          <xdr:colOff>0</xdr:colOff>
          <xdr:row>22</xdr:row>
          <xdr:rowOff>104775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and Copy</a:t>
              </a:r>
            </a:p>
          </xdr:txBody>
        </xdr:sp>
        <xdr:clientData fPrintsWithSheet="0"/>
      </xdr:twoCellAnchor>
    </mc:Choice>
    <mc:Fallback/>
  </mc:AlternateContent>
  <xdr:twoCellAnchor>
    <xdr:from>
      <xdr:col>0</xdr:col>
      <xdr:colOff>19049</xdr:colOff>
      <xdr:row>0</xdr:row>
      <xdr:rowOff>0</xdr:rowOff>
    </xdr:from>
    <xdr:to>
      <xdr:col>20</xdr:col>
      <xdr:colOff>0</xdr:colOff>
      <xdr:row>6</xdr:row>
      <xdr:rowOff>104775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9525</xdr:colOff>
          <xdr:row>1</xdr:row>
          <xdr:rowOff>9525</xdr:rowOff>
        </xdr:from>
        <xdr:to>
          <xdr:col>21</xdr:col>
          <xdr:colOff>600075</xdr:colOff>
          <xdr:row>1</xdr:row>
          <xdr:rowOff>190500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xdr:row>
          <xdr:rowOff>0</xdr:rowOff>
        </xdr:from>
        <xdr:to>
          <xdr:col>22</xdr:col>
          <xdr:colOff>600075</xdr:colOff>
          <xdr:row>2</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xdr:row>
          <xdr:rowOff>0</xdr:rowOff>
        </xdr:from>
        <xdr:to>
          <xdr:col>21</xdr:col>
          <xdr:colOff>295275</xdr:colOff>
          <xdr:row>4</xdr:row>
          <xdr:rowOff>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2</xdr:row>
          <xdr:rowOff>180975</xdr:rowOff>
        </xdr:from>
        <xdr:to>
          <xdr:col>21</xdr:col>
          <xdr:colOff>600075</xdr:colOff>
          <xdr:row>3</xdr:row>
          <xdr:rowOff>190500</xdr:rowOff>
        </xdr:to>
        <xdr:sp macro="" textlink="">
          <xdr:nvSpPr>
            <xdr:cNvPr id="4135" name="Button 39" hidden="1">
              <a:extLst>
                <a:ext uri="{63B3BB69-23CF-44E3-9099-C40C66FF867C}">
                  <a14:compatExt spid="_x0000_s4135"/>
                </a:ext>
                <a:ext uri="{FF2B5EF4-FFF2-40B4-BE49-F238E27FC236}">
                  <a16:creationId xmlns:a16="http://schemas.microsoft.com/office/drawing/2014/main" id="{00000000-0008-0000-0300-00002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xdr:row>
          <xdr:rowOff>0</xdr:rowOff>
        </xdr:from>
        <xdr:to>
          <xdr:col>22</xdr:col>
          <xdr:colOff>295275</xdr:colOff>
          <xdr:row>4</xdr:row>
          <xdr:rowOff>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2</xdr:row>
          <xdr:rowOff>180975</xdr:rowOff>
        </xdr:from>
        <xdr:to>
          <xdr:col>22</xdr:col>
          <xdr:colOff>600075</xdr:colOff>
          <xdr:row>3</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xdr:row>
          <xdr:rowOff>0</xdr:rowOff>
        </xdr:from>
        <xdr:to>
          <xdr:col>21</xdr:col>
          <xdr:colOff>295275</xdr:colOff>
          <xdr:row>4</xdr:row>
          <xdr:rowOff>209550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300-00002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4</xdr:row>
          <xdr:rowOff>0</xdr:rowOff>
        </xdr:from>
        <xdr:to>
          <xdr:col>21</xdr:col>
          <xdr:colOff>600075</xdr:colOff>
          <xdr:row>4</xdr:row>
          <xdr:rowOff>209550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300-00002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0</xdr:rowOff>
        </xdr:from>
        <xdr:to>
          <xdr:col>22</xdr:col>
          <xdr:colOff>295275</xdr:colOff>
          <xdr:row>4</xdr:row>
          <xdr:rowOff>200025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4</xdr:row>
          <xdr:rowOff>0</xdr:rowOff>
        </xdr:from>
        <xdr:to>
          <xdr:col>22</xdr:col>
          <xdr:colOff>600075</xdr:colOff>
          <xdr:row>4</xdr:row>
          <xdr:rowOff>200025</xdr:rowOff>
        </xdr:to>
        <xdr:sp macro="" textlink="">
          <xdr:nvSpPr>
            <xdr:cNvPr id="4141" name="Button 45"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5</xdr:row>
          <xdr:rowOff>0</xdr:rowOff>
        </xdr:from>
        <xdr:to>
          <xdr:col>21</xdr:col>
          <xdr:colOff>600075</xdr:colOff>
          <xdr:row>6</xdr:row>
          <xdr:rowOff>9525</xdr:rowOff>
        </xdr:to>
        <xdr:sp macro="" textlink="">
          <xdr:nvSpPr>
            <xdr:cNvPr id="4142" name="Button 46"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5</xdr:row>
          <xdr:rowOff>0</xdr:rowOff>
        </xdr:from>
        <xdr:to>
          <xdr:col>22</xdr:col>
          <xdr:colOff>609600</xdr:colOff>
          <xdr:row>6</xdr:row>
          <xdr:rowOff>9525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2</xdr:row>
          <xdr:rowOff>9525</xdr:rowOff>
        </xdr:from>
        <xdr:to>
          <xdr:col>22</xdr:col>
          <xdr:colOff>600075</xdr:colOff>
          <xdr:row>3</xdr:row>
          <xdr:rowOff>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1</xdr:row>
          <xdr:rowOff>171450</xdr:rowOff>
        </xdr:from>
        <xdr:to>
          <xdr:col>26</xdr:col>
          <xdr:colOff>161925</xdr:colOff>
          <xdr:row>3</xdr:row>
          <xdr:rowOff>57150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Selected Class</a:t>
              </a: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A79977C6-062B-4D1D-912E-B763E35B3B38}"/>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0.01751</cdr:x>
      <cdr:y>0</cdr:y>
    </cdr:from>
    <cdr:to>
      <cdr:x>0.01751</cdr:x>
      <cdr:y>1</cdr:y>
    </cdr:to>
    <cdr:cxnSp macro="">
      <cdr:nvCxnSpPr>
        <cdr:cNvPr id="4" name="Straight Connector 3">
          <a:extLst xmlns:a="http://schemas.openxmlformats.org/drawingml/2006/main">
            <a:ext uri="{FF2B5EF4-FFF2-40B4-BE49-F238E27FC236}">
              <a16:creationId xmlns:a16="http://schemas.microsoft.com/office/drawing/2014/main" id="{06469AFB-7441-4B4D-81A5-BF772F62E22A}"/>
            </a:ext>
          </a:extLst>
        </cdr:cNvPr>
        <cdr:cNvCxnSpPr/>
      </cdr:nvCxnSpPr>
      <cdr:spPr>
        <a:xfrm xmlns:a="http://schemas.openxmlformats.org/drawingml/2006/main" flipV="1">
          <a:off x="213150" y="0"/>
          <a:ext cx="0" cy="129540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19050</xdr:rowOff>
        </xdr:from>
        <xdr:to>
          <xdr:col>27</xdr:col>
          <xdr:colOff>0</xdr:colOff>
          <xdr:row>16</xdr:row>
          <xdr:rowOff>104775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4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400-00000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400-00001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400-00001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4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4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4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22</xdr:row>
          <xdr:rowOff>180975</xdr:rowOff>
        </xdr:from>
        <xdr:to>
          <xdr:col>26</xdr:col>
          <xdr:colOff>600075</xdr:colOff>
          <xdr:row>25</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400-00001B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400-00001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400-00001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400-00001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400-00002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12322" name="Button 34" hidden="1">
              <a:extLst>
                <a:ext uri="{63B3BB69-23CF-44E3-9099-C40C66FF867C}">
                  <a14:compatExt spid="_x0000_s12322"/>
                </a:ext>
                <a:ext uri="{FF2B5EF4-FFF2-40B4-BE49-F238E27FC236}">
                  <a16:creationId xmlns:a16="http://schemas.microsoft.com/office/drawing/2014/main" id="{00000000-0008-0000-0400-00002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400-00002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4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104775</xdr:rowOff>
        </xdr:from>
        <xdr:to>
          <xdr:col>25</xdr:col>
          <xdr:colOff>600075</xdr:colOff>
          <xdr:row>22</xdr:row>
          <xdr:rowOff>123825</xdr:rowOff>
        </xdr:to>
        <xdr:sp macro="" textlink="">
          <xdr:nvSpPr>
            <xdr:cNvPr id="12325" name="Button 37" hidden="1">
              <a:extLst>
                <a:ext uri="{63B3BB69-23CF-44E3-9099-C40C66FF867C}">
                  <a14:compatExt spid="_x0000_s12325"/>
                </a:ext>
                <a:ext uri="{FF2B5EF4-FFF2-40B4-BE49-F238E27FC236}">
                  <a16:creationId xmlns:a16="http://schemas.microsoft.com/office/drawing/2014/main" id="{00000000-0008-0000-0400-00002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2326" name="Check Box 39" hidden="1">
              <a:extLst>
                <a:ext uri="{63B3BB69-23CF-44E3-9099-C40C66FF867C}">
                  <a14:compatExt spid="_x0000_s12326"/>
                </a:ext>
                <a:ext uri="{FF2B5EF4-FFF2-40B4-BE49-F238E27FC236}">
                  <a16:creationId xmlns:a16="http://schemas.microsoft.com/office/drawing/2014/main" id="{00000000-0008-0000-0400-000026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29</xdr:col>
          <xdr:colOff>0</xdr:colOff>
          <xdr:row>22</xdr:row>
          <xdr:rowOff>123825</xdr:rowOff>
        </xdr:to>
        <xdr:sp macro="" textlink="">
          <xdr:nvSpPr>
            <xdr:cNvPr id="12327" name="Button 39" hidden="1">
              <a:extLst>
                <a:ext uri="{63B3BB69-23CF-44E3-9099-C40C66FF867C}">
                  <a14:compatExt spid="_x0000_s12327"/>
                </a:ext>
                <a:ext uri="{FF2B5EF4-FFF2-40B4-BE49-F238E27FC236}">
                  <a16:creationId xmlns:a16="http://schemas.microsoft.com/office/drawing/2014/main" id="{00000000-0008-0000-0400-00002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19050</xdr:colOff>
          <xdr:row>22</xdr:row>
          <xdr:rowOff>123825</xdr:rowOff>
        </xdr:to>
        <xdr:sp macro="" textlink="">
          <xdr:nvSpPr>
            <xdr:cNvPr id="12332" name="Button 44" hidden="1">
              <a:extLst>
                <a:ext uri="{63B3BB69-23CF-44E3-9099-C40C66FF867C}">
                  <a14:compatExt spid="_x0000_s12332"/>
                </a:ext>
                <a:ext uri="{FF2B5EF4-FFF2-40B4-BE49-F238E27FC236}">
                  <a16:creationId xmlns:a16="http://schemas.microsoft.com/office/drawing/2014/main" id="{00000000-0008-0000-0400-00002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152400</xdr:rowOff>
        </xdr:from>
        <xdr:to>
          <xdr:col>29</xdr:col>
          <xdr:colOff>9525</xdr:colOff>
          <xdr:row>15</xdr:row>
          <xdr:rowOff>28575</xdr:rowOff>
        </xdr:to>
        <xdr:sp macro="" textlink="">
          <xdr:nvSpPr>
            <xdr:cNvPr id="12333" name="Button 45" hidden="1">
              <a:extLst>
                <a:ext uri="{63B3BB69-23CF-44E3-9099-C40C66FF867C}">
                  <a14:compatExt spid="_x0000_s12333"/>
                </a:ext>
                <a:ext uri="{FF2B5EF4-FFF2-40B4-BE49-F238E27FC236}">
                  <a16:creationId xmlns:a16="http://schemas.microsoft.com/office/drawing/2014/main" id="{00000000-0008-0000-0400-00002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38100</xdr:rowOff>
        </xdr:from>
        <xdr:to>
          <xdr:col>29</xdr:col>
          <xdr:colOff>0</xdr:colOff>
          <xdr:row>16</xdr:row>
          <xdr:rowOff>104775</xdr:rowOff>
        </xdr:to>
        <xdr:sp macro="" textlink="">
          <xdr:nvSpPr>
            <xdr:cNvPr id="12334" name="Button 46" hidden="1">
              <a:extLst>
                <a:ext uri="{63B3BB69-23CF-44E3-9099-C40C66FF867C}">
                  <a14:compatExt spid="_x0000_s12334"/>
                </a:ext>
                <a:ext uri="{FF2B5EF4-FFF2-40B4-BE49-F238E27FC236}">
                  <a16:creationId xmlns:a16="http://schemas.microsoft.com/office/drawing/2014/main" id="{00000000-0008-0000-0400-00002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34</xdr:row>
          <xdr:rowOff>142875</xdr:rowOff>
        </xdr:from>
        <xdr:to>
          <xdr:col>29</xdr:col>
          <xdr:colOff>0</xdr:colOff>
          <xdr:row>36</xdr:row>
          <xdr:rowOff>0</xdr:rowOff>
        </xdr:to>
        <xdr:sp macro="" textlink="">
          <xdr:nvSpPr>
            <xdr:cNvPr id="12335" name="Button 1" hidden="1">
              <a:extLst>
                <a:ext uri="{63B3BB69-23CF-44E3-9099-C40C66FF867C}">
                  <a14:compatExt spid="_x0000_s12335"/>
                </a:ext>
                <a:ext uri="{FF2B5EF4-FFF2-40B4-BE49-F238E27FC236}">
                  <a16:creationId xmlns:a16="http://schemas.microsoft.com/office/drawing/2014/main" id="{00000000-0008-0000-0400-00002F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Generate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12336" name="Check Box 41" hidden="1">
              <a:extLst>
                <a:ext uri="{63B3BB69-23CF-44E3-9099-C40C66FF867C}">
                  <a14:compatExt spid="_x0000_s12336"/>
                </a:ext>
                <a:ext uri="{FF2B5EF4-FFF2-40B4-BE49-F238E27FC236}">
                  <a16:creationId xmlns:a16="http://schemas.microsoft.com/office/drawing/2014/main" id="{00000000-0008-0000-0400-00003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12337" name="Check Box 42" hidden="1">
              <a:extLst>
                <a:ext uri="{63B3BB69-23CF-44E3-9099-C40C66FF867C}">
                  <a14:compatExt spid="_x0000_s12337"/>
                </a:ext>
                <a:ext uri="{FF2B5EF4-FFF2-40B4-BE49-F238E27FC236}">
                  <a16:creationId xmlns:a16="http://schemas.microsoft.com/office/drawing/2014/main" id="{00000000-0008-0000-0400-00003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12338" name="Check Box 43" hidden="1">
              <a:extLst>
                <a:ext uri="{63B3BB69-23CF-44E3-9099-C40C66FF867C}">
                  <a14:compatExt spid="_x0000_s12338"/>
                </a:ext>
                <a:ext uri="{FF2B5EF4-FFF2-40B4-BE49-F238E27FC236}">
                  <a16:creationId xmlns:a16="http://schemas.microsoft.com/office/drawing/2014/main" id="{00000000-0008-0000-0400-00003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27</xdr:row>
          <xdr:rowOff>0</xdr:rowOff>
        </xdr:from>
        <xdr:to>
          <xdr:col>26</xdr:col>
          <xdr:colOff>600075</xdr:colOff>
          <xdr:row>28</xdr:row>
          <xdr:rowOff>9525</xdr:rowOff>
        </xdr:to>
        <xdr:sp macro="" textlink="">
          <xdr:nvSpPr>
            <xdr:cNvPr id="12341" name="Option Button 53" hidden="1">
              <a:extLst>
                <a:ext uri="{63B3BB69-23CF-44E3-9099-C40C66FF867C}">
                  <a14:compatExt spid="_x0000_s12341"/>
                </a:ext>
                <a:ext uri="{FF2B5EF4-FFF2-40B4-BE49-F238E27FC236}">
                  <a16:creationId xmlns:a16="http://schemas.microsoft.com/office/drawing/2014/main" id="{00000000-0008-0000-0400-00003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Display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28</xdr:row>
          <xdr:rowOff>0</xdr:rowOff>
        </xdr:from>
        <xdr:to>
          <xdr:col>26</xdr:col>
          <xdr:colOff>600075</xdr:colOff>
          <xdr:row>29</xdr:row>
          <xdr:rowOff>9525</xdr:rowOff>
        </xdr:to>
        <xdr:sp macro="" textlink="">
          <xdr:nvSpPr>
            <xdr:cNvPr id="12342" name="Option Button 54" hidden="1">
              <a:extLst>
                <a:ext uri="{63B3BB69-23CF-44E3-9099-C40C66FF867C}">
                  <a14:compatExt spid="_x0000_s12342"/>
                </a:ext>
                <a:ext uri="{FF2B5EF4-FFF2-40B4-BE49-F238E27FC236}">
                  <a16:creationId xmlns:a16="http://schemas.microsoft.com/office/drawing/2014/main" id="{00000000-0008-0000-04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29</xdr:row>
          <xdr:rowOff>9525</xdr:rowOff>
        </xdr:from>
        <xdr:to>
          <xdr:col>26</xdr:col>
          <xdr:colOff>600075</xdr:colOff>
          <xdr:row>30</xdr:row>
          <xdr:rowOff>9525</xdr:rowOff>
        </xdr:to>
        <xdr:sp macro="" textlink="">
          <xdr:nvSpPr>
            <xdr:cNvPr id="12343" name="Option Button 55" hidden="1">
              <a:extLst>
                <a:ext uri="{63B3BB69-23CF-44E3-9099-C40C66FF867C}">
                  <a14:compatExt spid="_x0000_s12343"/>
                </a:ext>
                <a:ext uri="{FF2B5EF4-FFF2-40B4-BE49-F238E27FC236}">
                  <a16:creationId xmlns:a16="http://schemas.microsoft.com/office/drawing/2014/main" id="{00000000-0008-0000-0400-00003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30</xdr:row>
          <xdr:rowOff>19050</xdr:rowOff>
        </xdr:from>
        <xdr:to>
          <xdr:col>26</xdr:col>
          <xdr:colOff>600075</xdr:colOff>
          <xdr:row>31</xdr:row>
          <xdr:rowOff>19050</xdr:rowOff>
        </xdr:to>
        <xdr:sp macro="" textlink="">
          <xdr:nvSpPr>
            <xdr:cNvPr id="12344" name="Option Button 56" hidden="1">
              <a:extLst>
                <a:ext uri="{63B3BB69-23CF-44E3-9099-C40C66FF867C}">
                  <a14:compatExt spid="_x0000_s12344"/>
                </a:ext>
                <a:ext uri="{FF2B5EF4-FFF2-40B4-BE49-F238E27FC236}">
                  <a16:creationId xmlns:a16="http://schemas.microsoft.com/office/drawing/2014/main" id="{00000000-0008-0000-0400-00003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 and 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304800</xdr:colOff>
          <xdr:row>17</xdr:row>
          <xdr:rowOff>9525</xdr:rowOff>
        </xdr:from>
        <xdr:to>
          <xdr:col>28</xdr:col>
          <xdr:colOff>600075</xdr:colOff>
          <xdr:row>18</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4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26</xdr:row>
          <xdr:rowOff>171450</xdr:rowOff>
        </xdr:from>
        <xdr:to>
          <xdr:col>29</xdr:col>
          <xdr:colOff>9525</xdr:colOff>
          <xdr:row>28</xdr:row>
          <xdr:rowOff>19050</xdr:rowOff>
        </xdr:to>
        <xdr:sp macro="" textlink="">
          <xdr:nvSpPr>
            <xdr:cNvPr id="12347" name="Check Box 59" hidden="1">
              <a:extLst>
                <a:ext uri="{63B3BB69-23CF-44E3-9099-C40C66FF867C}">
                  <a14:compatExt spid="_x0000_s12347"/>
                </a:ext>
                <a:ext uri="{FF2B5EF4-FFF2-40B4-BE49-F238E27FC236}">
                  <a16:creationId xmlns:a16="http://schemas.microsoft.com/office/drawing/2014/main" id="{00000000-0008-0000-0400-00003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Hidden Peaks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19050</xdr:colOff>
          <xdr:row>31</xdr:row>
          <xdr:rowOff>171450</xdr:rowOff>
        </xdr:from>
        <xdr:to>
          <xdr:col>29</xdr:col>
          <xdr:colOff>0</xdr:colOff>
          <xdr:row>34</xdr:row>
          <xdr:rowOff>57150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Update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2352" name="Button 64" hidden="1">
              <a:extLst>
                <a:ext uri="{63B3BB69-23CF-44E3-9099-C40C66FF867C}">
                  <a14:compatExt spid="_x0000_s12352"/>
                </a:ext>
                <a:ext uri="{FF2B5EF4-FFF2-40B4-BE49-F238E27FC236}">
                  <a16:creationId xmlns:a16="http://schemas.microsoft.com/office/drawing/2014/main" id="{00000000-0008-0000-0400-00004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2353" name="Button 65" hidden="1">
              <a:extLst>
                <a:ext uri="{63B3BB69-23CF-44E3-9099-C40C66FF867C}">
                  <a14:compatExt spid="_x0000_s12353"/>
                </a:ext>
                <a:ext uri="{FF2B5EF4-FFF2-40B4-BE49-F238E27FC236}">
                  <a16:creationId xmlns:a16="http://schemas.microsoft.com/office/drawing/2014/main" id="{00000000-0008-0000-0400-00004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4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27</xdr:row>
          <xdr:rowOff>180975</xdr:rowOff>
        </xdr:from>
        <xdr:to>
          <xdr:col>29</xdr:col>
          <xdr:colOff>0</xdr:colOff>
          <xdr:row>29</xdr:row>
          <xdr:rowOff>9525</xdr:rowOff>
        </xdr:to>
        <xdr:sp macro="" textlink="">
          <xdr:nvSpPr>
            <xdr:cNvPr id="12357" name="Check Box 69" hidden="1">
              <a:extLst>
                <a:ext uri="{63B3BB69-23CF-44E3-9099-C40C66FF867C}">
                  <a14:compatExt spid="_x0000_s12357"/>
                </a:ext>
                <a:ext uri="{FF2B5EF4-FFF2-40B4-BE49-F238E27FC236}">
                  <a16:creationId xmlns:a16="http://schemas.microsoft.com/office/drawing/2014/main" id="{00000000-0008-0000-04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Watermark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29</xdr:row>
          <xdr:rowOff>0</xdr:rowOff>
        </xdr:from>
        <xdr:to>
          <xdr:col>29</xdr:col>
          <xdr:colOff>0</xdr:colOff>
          <xdr:row>30</xdr:row>
          <xdr:rowOff>19050</xdr:rowOff>
        </xdr:to>
        <xdr:sp macro="" textlink="">
          <xdr:nvSpPr>
            <xdr:cNvPr id="12358" name="Check Box 70" hidden="1">
              <a:extLst>
                <a:ext uri="{63B3BB69-23CF-44E3-9099-C40C66FF867C}">
                  <a14:compatExt spid="_x0000_s12358"/>
                </a:ext>
                <a:ext uri="{FF2B5EF4-FFF2-40B4-BE49-F238E27FC236}">
                  <a16:creationId xmlns:a16="http://schemas.microsoft.com/office/drawing/2014/main" id="{00000000-0008-0000-04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Darken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2359" name="Button 71" hidden="1">
              <a:extLst>
                <a:ext uri="{63B3BB69-23CF-44E3-9099-C40C66FF867C}">
                  <a14:compatExt spid="_x0000_s12359"/>
                </a:ext>
                <a:ext uri="{FF2B5EF4-FFF2-40B4-BE49-F238E27FC236}">
                  <a16:creationId xmlns:a16="http://schemas.microsoft.com/office/drawing/2014/main" id="{00000000-0008-0000-0400-00004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2360" name="Button 72" hidden="1">
              <a:extLst>
                <a:ext uri="{63B3BB69-23CF-44E3-9099-C40C66FF867C}">
                  <a14:compatExt spid="_x0000_s12360"/>
                </a:ext>
                <a:ext uri="{FF2B5EF4-FFF2-40B4-BE49-F238E27FC236}">
                  <a16:creationId xmlns:a16="http://schemas.microsoft.com/office/drawing/2014/main" id="{00000000-0008-0000-0400-00004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2361" name="Button 73" hidden="1">
              <a:extLst>
                <a:ext uri="{63B3BB69-23CF-44E3-9099-C40C66FF867C}">
                  <a14:compatExt spid="_x0000_s12361"/>
                </a:ext>
                <a:ext uri="{FF2B5EF4-FFF2-40B4-BE49-F238E27FC236}">
                  <a16:creationId xmlns:a16="http://schemas.microsoft.com/office/drawing/2014/main" id="{00000000-0008-0000-0400-00004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2362" name="Button 74" hidden="1">
              <a:extLst>
                <a:ext uri="{63B3BB69-23CF-44E3-9099-C40C66FF867C}">
                  <a14:compatExt spid="_x0000_s12362"/>
                </a:ext>
                <a:ext uri="{FF2B5EF4-FFF2-40B4-BE49-F238E27FC236}">
                  <a16:creationId xmlns:a16="http://schemas.microsoft.com/office/drawing/2014/main" id="{00000000-0008-0000-0400-00004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0509B1DB-04CC-4C9A-8D57-8E191726CC8C}"/>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13
254: 15</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14</xdr:row>
          <xdr:rowOff>9525</xdr:rowOff>
        </xdr:from>
        <xdr:to>
          <xdr:col>29</xdr:col>
          <xdr:colOff>133350</xdr:colOff>
          <xdr:row>16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5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5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5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5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6408" name="Button 24" hidden="1">
              <a:extLst>
                <a:ext uri="{63B3BB69-23CF-44E3-9099-C40C66FF867C}">
                  <a14:compatExt spid="_x0000_s16408"/>
                </a:ext>
                <a:ext uri="{FF2B5EF4-FFF2-40B4-BE49-F238E27FC236}">
                  <a16:creationId xmlns:a16="http://schemas.microsoft.com/office/drawing/2014/main" id="{00000000-0008-0000-0500-00001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6410" name="Button 28"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6411" name="Button 29" hidden="1">
              <a:extLst>
                <a:ext uri="{63B3BB69-23CF-44E3-9099-C40C66FF867C}">
                  <a14:compatExt spid="_x0000_s16411"/>
                </a:ext>
                <a:ext uri="{FF2B5EF4-FFF2-40B4-BE49-F238E27FC236}">
                  <a16:creationId xmlns:a16="http://schemas.microsoft.com/office/drawing/2014/main" id="{00000000-0008-0000-0500-00001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6412" name="Button 30" hidden="1">
              <a:extLst>
                <a:ext uri="{63B3BB69-23CF-44E3-9099-C40C66FF867C}">
                  <a14:compatExt spid="_x0000_s16412"/>
                </a:ext>
                <a:ext uri="{FF2B5EF4-FFF2-40B4-BE49-F238E27FC236}">
                  <a16:creationId xmlns:a16="http://schemas.microsoft.com/office/drawing/2014/main" id="{00000000-0008-0000-05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6415" name="Button 33"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6420" name="Check Box 39"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76200</xdr:rowOff>
        </xdr:to>
        <xdr:sp macro="" textlink="">
          <xdr:nvSpPr>
            <xdr:cNvPr id="16426" name="Check Box 41" hidden="1">
              <a:extLst>
                <a:ext uri="{63B3BB69-23CF-44E3-9099-C40C66FF867C}">
                  <a14:compatExt spid="_x0000_s16426"/>
                </a:ext>
                <a:ext uri="{FF2B5EF4-FFF2-40B4-BE49-F238E27FC236}">
                  <a16:creationId xmlns:a16="http://schemas.microsoft.com/office/drawing/2014/main" id="{00000000-0008-0000-05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76200</xdr:rowOff>
        </xdr:to>
        <xdr:sp macro="" textlink="">
          <xdr:nvSpPr>
            <xdr:cNvPr id="16427" name="Check Box 42" hidden="1">
              <a:extLst>
                <a:ext uri="{63B3BB69-23CF-44E3-9099-C40C66FF867C}">
                  <a14:compatExt spid="_x0000_s16427"/>
                </a:ext>
                <a:ext uri="{FF2B5EF4-FFF2-40B4-BE49-F238E27FC236}">
                  <a16:creationId xmlns:a16="http://schemas.microsoft.com/office/drawing/2014/main" id="{00000000-0008-0000-05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76200</xdr:rowOff>
        </xdr:to>
        <xdr:sp macro="" textlink="">
          <xdr:nvSpPr>
            <xdr:cNvPr id="16428" name="Check Box 43" hidden="1">
              <a:extLst>
                <a:ext uri="{63B3BB69-23CF-44E3-9099-C40C66FF867C}">
                  <a14:compatExt spid="_x0000_s16428"/>
                </a:ext>
                <a:ext uri="{FF2B5EF4-FFF2-40B4-BE49-F238E27FC236}">
                  <a16:creationId xmlns:a16="http://schemas.microsoft.com/office/drawing/2014/main" id="{00000000-0008-0000-05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6436" name="Button 50" hidden="1">
              <a:extLst>
                <a:ext uri="{63B3BB69-23CF-44E3-9099-C40C66FF867C}">
                  <a14:compatExt spid="_x0000_s16436"/>
                </a:ext>
                <a:ext uri="{FF2B5EF4-FFF2-40B4-BE49-F238E27FC236}">
                  <a16:creationId xmlns:a16="http://schemas.microsoft.com/office/drawing/2014/main" id="{00000000-0008-0000-0500-00003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6437" name="Button 51" hidden="1">
              <a:extLst>
                <a:ext uri="{63B3BB69-23CF-44E3-9099-C40C66FF867C}">
                  <a14:compatExt spid="_x0000_s16437"/>
                </a:ext>
                <a:ext uri="{FF2B5EF4-FFF2-40B4-BE49-F238E27FC236}">
                  <a16:creationId xmlns:a16="http://schemas.microsoft.com/office/drawing/2014/main" id="{00000000-0008-0000-0500-00003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6438" name="Button 52" hidden="1">
              <a:extLst>
                <a:ext uri="{63B3BB69-23CF-44E3-9099-C40C66FF867C}">
                  <a14:compatExt spid="_x0000_s16438"/>
                </a:ext>
                <a:ext uri="{FF2B5EF4-FFF2-40B4-BE49-F238E27FC236}">
                  <a16:creationId xmlns:a16="http://schemas.microsoft.com/office/drawing/2014/main" id="{00000000-0008-0000-0500-00003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6441" name="Button 55" hidden="1">
              <a:extLst>
                <a:ext uri="{63B3BB69-23CF-44E3-9099-C40C66FF867C}">
                  <a14:compatExt spid="_x0000_s16441"/>
                </a:ext>
                <a:ext uri="{FF2B5EF4-FFF2-40B4-BE49-F238E27FC236}">
                  <a16:creationId xmlns:a16="http://schemas.microsoft.com/office/drawing/2014/main" id="{00000000-0008-0000-05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6444" name="Button 60" hidden="1">
              <a:extLst>
                <a:ext uri="{63B3BB69-23CF-44E3-9099-C40C66FF867C}">
                  <a14:compatExt spid="_x0000_s16444"/>
                </a:ext>
                <a:ext uri="{FF2B5EF4-FFF2-40B4-BE49-F238E27FC236}">
                  <a16:creationId xmlns:a16="http://schemas.microsoft.com/office/drawing/2014/main" id="{00000000-0008-0000-05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6445" name="Button 61" hidden="1">
              <a:extLst>
                <a:ext uri="{63B3BB69-23CF-44E3-9099-C40C66FF867C}">
                  <a14:compatExt spid="_x0000_s16445"/>
                </a:ext>
                <a:ext uri="{FF2B5EF4-FFF2-40B4-BE49-F238E27FC236}">
                  <a16:creationId xmlns:a16="http://schemas.microsoft.com/office/drawing/2014/main" id="{00000000-0008-0000-05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6446" name="Button 62" hidden="1">
              <a:extLst>
                <a:ext uri="{63B3BB69-23CF-44E3-9099-C40C66FF867C}">
                  <a14:compatExt spid="_x0000_s16446"/>
                </a:ext>
                <a:ext uri="{FF2B5EF4-FFF2-40B4-BE49-F238E27FC236}">
                  <a16:creationId xmlns:a16="http://schemas.microsoft.com/office/drawing/2014/main" id="{00000000-0008-0000-0500-00003E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6447" name="Button 63" hidden="1">
              <a:extLst>
                <a:ext uri="{63B3BB69-23CF-44E3-9099-C40C66FF867C}">
                  <a14:compatExt spid="_x0000_s16447"/>
                </a:ext>
                <a:ext uri="{FF2B5EF4-FFF2-40B4-BE49-F238E27FC236}">
                  <a16:creationId xmlns:a16="http://schemas.microsoft.com/office/drawing/2014/main" id="{00000000-0008-0000-0500-00003F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twoCellAnchor>
    <xdr:from>
      <xdr:col>0</xdr:col>
      <xdr:colOff>28575</xdr:colOff>
      <xdr:row>10</xdr:row>
      <xdr:rowOff>0</xdr:rowOff>
    </xdr:from>
    <xdr:to>
      <xdr:col>18</xdr:col>
      <xdr:colOff>200025</xdr:colOff>
      <xdr:row>35</xdr:row>
      <xdr:rowOff>180975</xdr:rowOff>
    </xdr:to>
    <xdr:graphicFrame macro="">
      <xdr:nvGraphicFramePr>
        <xdr:cNvPr id="66" name="Chart 65">
          <a:extLst>
            <a:ext uri="{FF2B5EF4-FFF2-40B4-BE49-F238E27FC236}">
              <a16:creationId xmlns:a16="http://schemas.microsoft.com/office/drawing/2014/main" id="{00000000-0008-0000-05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552450</xdr:colOff>
          <xdr:row>23</xdr:row>
          <xdr:rowOff>9525</xdr:rowOff>
        </xdr:from>
        <xdr:to>
          <xdr:col>28</xdr:col>
          <xdr:colOff>542925</xdr:colOff>
          <xdr:row>35</xdr:row>
          <xdr:rowOff>180975</xdr:rowOff>
        </xdr:to>
        <xdr:sp macro="" textlink="">
          <xdr:nvSpPr>
            <xdr:cNvPr id="16448" name="ListBox1" hidden="1">
              <a:extLst>
                <a:ext uri="{63B3BB69-23CF-44E3-9099-C40C66FF867C}">
                  <a14:compatExt spid="_x0000_s16448"/>
                </a:ext>
                <a:ext uri="{FF2B5EF4-FFF2-40B4-BE49-F238E27FC236}">
                  <a16:creationId xmlns:a16="http://schemas.microsoft.com/office/drawing/2014/main" id="{00000000-0008-0000-0500-00004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609600</xdr:colOff>
          <xdr:row>17</xdr:row>
          <xdr:rowOff>0</xdr:rowOff>
        </xdr:from>
        <xdr:to>
          <xdr:col>26</xdr:col>
          <xdr:colOff>609600</xdr:colOff>
          <xdr:row>19</xdr:row>
          <xdr:rowOff>9525</xdr:rowOff>
        </xdr:to>
        <xdr:sp macro="" textlink="">
          <xdr:nvSpPr>
            <xdr:cNvPr id="16450" name="Button 66" hidden="1">
              <a:extLst>
                <a:ext uri="{63B3BB69-23CF-44E3-9099-C40C66FF867C}">
                  <a14:compatExt spid="_x0000_s16450"/>
                </a:ext>
                <a:ext uri="{FF2B5EF4-FFF2-40B4-BE49-F238E27FC236}">
                  <a16:creationId xmlns:a16="http://schemas.microsoft.com/office/drawing/2014/main" id="{00000000-0008-0000-0500-00004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17</xdr:row>
          <xdr:rowOff>0</xdr:rowOff>
        </xdr:from>
        <xdr:to>
          <xdr:col>28</xdr:col>
          <xdr:colOff>0</xdr:colOff>
          <xdr:row>19</xdr:row>
          <xdr:rowOff>9525</xdr:rowOff>
        </xdr:to>
        <xdr:sp macro="" textlink="">
          <xdr:nvSpPr>
            <xdr:cNvPr id="16451" name="Button 67" hidden="1">
              <a:extLst>
                <a:ext uri="{63B3BB69-23CF-44E3-9099-C40C66FF867C}">
                  <a14:compatExt spid="_x0000_s16451"/>
                </a:ext>
                <a:ext uri="{FF2B5EF4-FFF2-40B4-BE49-F238E27FC236}">
                  <a16:creationId xmlns:a16="http://schemas.microsoft.com/office/drawing/2014/main" id="{00000000-0008-0000-0500-00004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17</xdr:row>
          <xdr:rowOff>0</xdr:rowOff>
        </xdr:from>
        <xdr:to>
          <xdr:col>25</xdr:col>
          <xdr:colOff>590550</xdr:colOff>
          <xdr:row>19</xdr:row>
          <xdr:rowOff>9525</xdr:rowOff>
        </xdr:to>
        <xdr:sp macro="" textlink="">
          <xdr:nvSpPr>
            <xdr:cNvPr id="16452" name="Button 68" hidden="1">
              <a:extLst>
                <a:ext uri="{63B3BB69-23CF-44E3-9099-C40C66FF867C}">
                  <a14:compatExt spid="_x0000_s16452"/>
                </a:ext>
                <a:ext uri="{FF2B5EF4-FFF2-40B4-BE49-F238E27FC236}">
                  <a16:creationId xmlns:a16="http://schemas.microsoft.com/office/drawing/2014/main" id="{00000000-0008-0000-0500-00004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466725</xdr:colOff>
          <xdr:row>17</xdr:row>
          <xdr:rowOff>0</xdr:rowOff>
        </xdr:to>
        <xdr:sp macro="" textlink="">
          <xdr:nvSpPr>
            <xdr:cNvPr id="16457" name="Check Box 73" hidden="1">
              <a:extLst>
                <a:ext uri="{63B3BB69-23CF-44E3-9099-C40C66FF867C}">
                  <a14:compatExt spid="_x0000_s16457"/>
                </a:ext>
                <a:ext uri="{FF2B5EF4-FFF2-40B4-BE49-F238E27FC236}">
                  <a16:creationId xmlns:a16="http://schemas.microsoft.com/office/drawing/2014/main" id="{00000000-0008-0000-05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Wavelength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20</xdr:col>
          <xdr:colOff>476250</xdr:colOff>
          <xdr:row>19</xdr:row>
          <xdr:rowOff>9525</xdr:rowOff>
        </xdr:to>
        <xdr:sp macro="" textlink="">
          <xdr:nvSpPr>
            <xdr:cNvPr id="16458" name="Check Box 74" hidden="1">
              <a:extLst>
                <a:ext uri="{63B3BB69-23CF-44E3-9099-C40C66FF867C}">
                  <a14:compatExt spid="_x0000_s16458"/>
                </a:ext>
                <a:ext uri="{FF2B5EF4-FFF2-40B4-BE49-F238E27FC236}">
                  <a16:creationId xmlns:a16="http://schemas.microsoft.com/office/drawing/2014/main" id="{00000000-0008-0000-05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20</xdr:row>
          <xdr:rowOff>0</xdr:rowOff>
        </xdr:from>
        <xdr:to>
          <xdr:col>20</xdr:col>
          <xdr:colOff>476250</xdr:colOff>
          <xdr:row>21</xdr:row>
          <xdr:rowOff>0</xdr:rowOff>
        </xdr:to>
        <xdr:sp macro="" textlink="">
          <xdr:nvSpPr>
            <xdr:cNvPr id="16459" name="Check Box 75" hidden="1">
              <a:extLst>
                <a:ext uri="{63B3BB69-23CF-44E3-9099-C40C66FF867C}">
                  <a14:compatExt spid="_x0000_s16459"/>
                </a:ext>
                <a:ext uri="{FF2B5EF4-FFF2-40B4-BE49-F238E27FC236}">
                  <a16:creationId xmlns:a16="http://schemas.microsoft.com/office/drawing/2014/main" id="{00000000-0008-0000-0500-00004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17</xdr:row>
          <xdr:rowOff>0</xdr:rowOff>
        </xdr:from>
        <xdr:to>
          <xdr:col>29</xdr:col>
          <xdr:colOff>266700</xdr:colOff>
          <xdr:row>18</xdr:row>
          <xdr:rowOff>9525</xdr:rowOff>
        </xdr:to>
        <xdr:sp macro="" textlink="">
          <xdr:nvSpPr>
            <xdr:cNvPr id="16460" name="Check Box 76" hidden="1">
              <a:extLst>
                <a:ext uri="{63B3BB69-23CF-44E3-9099-C40C66FF867C}">
                  <a14:compatExt spid="_x0000_s16460"/>
                </a:ext>
                <a:ext uri="{FF2B5EF4-FFF2-40B4-BE49-F238E27FC236}">
                  <a16:creationId xmlns:a16="http://schemas.microsoft.com/office/drawing/2014/main" id="{00000000-0008-0000-05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18</xdr:row>
          <xdr:rowOff>0</xdr:rowOff>
        </xdr:from>
        <xdr:to>
          <xdr:col>29</xdr:col>
          <xdr:colOff>266700</xdr:colOff>
          <xdr:row>19</xdr:row>
          <xdr:rowOff>9525</xdr:rowOff>
        </xdr:to>
        <xdr:sp macro="" textlink="">
          <xdr:nvSpPr>
            <xdr:cNvPr id="16461" name="Check Box 77" hidden="1">
              <a:extLst>
                <a:ext uri="{63B3BB69-23CF-44E3-9099-C40C66FF867C}">
                  <a14:compatExt spid="_x0000_s16461"/>
                </a:ext>
                <a:ext uri="{FF2B5EF4-FFF2-40B4-BE49-F238E27FC236}">
                  <a16:creationId xmlns:a16="http://schemas.microsoft.com/office/drawing/2014/main" id="{00000000-0008-0000-05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AutoClear</a:t>
              </a:r>
            </a:p>
          </xdr:txBody>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EEBA3E86-F20D-4BFC-A491-25099EDC7B0E}"/>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13
254: 15</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1390650</xdr:colOff>
          <xdr:row>4</xdr:row>
          <xdr:rowOff>180975</xdr:rowOff>
        </xdr:from>
        <xdr:to>
          <xdr:col>0</xdr:col>
          <xdr:colOff>2371725</xdr:colOff>
          <xdr:row>7</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8</xdr:row>
          <xdr:rowOff>0</xdr:rowOff>
        </xdr:from>
        <xdr:to>
          <xdr:col>0</xdr:col>
          <xdr:colOff>2371725</xdr:colOff>
          <xdr:row>10</xdr:row>
          <xdr:rowOff>9525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Append...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11</xdr:row>
          <xdr:rowOff>0</xdr:rowOff>
        </xdr:from>
        <xdr:to>
          <xdr:col>0</xdr:col>
          <xdr:colOff>2371725</xdr:colOff>
          <xdr:row>13</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14</xdr:row>
          <xdr:rowOff>9525</xdr:rowOff>
        </xdr:from>
        <xdr:to>
          <xdr:col>0</xdr:col>
          <xdr:colOff>2371725</xdr:colOff>
          <xdr:row>16</xdr:row>
          <xdr:rowOff>19050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xdr:row>
          <xdr:rowOff>171450</xdr:rowOff>
        </xdr:from>
        <xdr:to>
          <xdr:col>0</xdr:col>
          <xdr:colOff>2371725</xdr:colOff>
          <xdr:row>3</xdr:row>
          <xdr:rowOff>180975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 Peaks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34</xdr:row>
          <xdr:rowOff>28575</xdr:rowOff>
        </xdr:from>
        <xdr:to>
          <xdr:col>1</xdr:col>
          <xdr:colOff>600075</xdr:colOff>
          <xdr:row>35</xdr:row>
          <xdr:rowOff>161925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0</xdr:rowOff>
        </xdr:from>
        <xdr:to>
          <xdr:col>13</xdr:col>
          <xdr:colOff>581025</xdr:colOff>
          <xdr:row>21</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Automatically hide bogus spectra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9525</xdr:rowOff>
        </xdr:from>
        <xdr:to>
          <xdr:col>13</xdr:col>
          <xdr:colOff>600075</xdr:colOff>
          <xdr:row>24</xdr:row>
          <xdr:rowOff>9525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24</xdr:row>
          <xdr:rowOff>9525</xdr:rowOff>
        </xdr:from>
        <xdr:to>
          <xdr:col>13</xdr:col>
          <xdr:colOff>600075</xdr:colOff>
          <xdr:row>25</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min/max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xdr:row>
          <xdr:rowOff>180975</xdr:rowOff>
        </xdr:from>
        <xdr:to>
          <xdr:col>17</xdr:col>
          <xdr:colOff>600075</xdr:colOff>
          <xdr:row>3</xdr:row>
          <xdr:rowOff>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Only copy visible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14</xdr:row>
          <xdr:rowOff>0</xdr:rowOff>
        </xdr:from>
        <xdr:to>
          <xdr:col>8</xdr:col>
          <xdr:colOff>466725</xdr:colOff>
          <xdr:row>15</xdr:row>
          <xdr:rowOff>0</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0</xdr:rowOff>
        </xdr:from>
        <xdr:to>
          <xdr:col>8</xdr:col>
          <xdr:colOff>466725</xdr:colOff>
          <xdr:row>16</xdr:row>
          <xdr:rowOff>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190500</xdr:rowOff>
        </xdr:from>
        <xdr:to>
          <xdr:col>8</xdr:col>
          <xdr:colOff>466725</xdr:colOff>
          <xdr:row>16</xdr:row>
          <xdr:rowOff>190500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16</xdr:row>
          <xdr:rowOff>180975</xdr:rowOff>
        </xdr:from>
        <xdr:to>
          <xdr:col>8</xdr:col>
          <xdr:colOff>466725</xdr:colOff>
          <xdr:row>17</xdr:row>
          <xdr:rowOff>180975</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17</xdr:row>
          <xdr:rowOff>190500</xdr:rowOff>
        </xdr:from>
        <xdr:to>
          <xdr:col>8</xdr:col>
          <xdr:colOff>466725</xdr:colOff>
          <xdr:row>18</xdr:row>
          <xdr:rowOff>190500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9525</xdr:rowOff>
        </xdr:from>
        <xdr:to>
          <xdr:col>14</xdr:col>
          <xdr:colOff>276225</xdr:colOff>
          <xdr:row>26</xdr:row>
          <xdr:rowOff>19050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UV-Vis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190500</xdr:rowOff>
        </xdr:from>
        <xdr:to>
          <xdr:col>14</xdr:col>
          <xdr:colOff>38100</xdr:colOff>
          <xdr:row>28</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27</xdr:row>
          <xdr:rowOff>190500</xdr:rowOff>
        </xdr:from>
        <xdr:to>
          <xdr:col>14</xdr:col>
          <xdr:colOff>38100</xdr:colOff>
          <xdr:row>29</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UV-vis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16</xdr:row>
          <xdr:rowOff>104775</xdr:rowOff>
        </xdr:from>
        <xdr:to>
          <xdr:col>14</xdr:col>
          <xdr:colOff>285750</xdr:colOff>
          <xdr:row>17</xdr:row>
          <xdr:rowOff>114300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Dbase 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15</xdr:row>
          <xdr:rowOff>85725</xdr:rowOff>
        </xdr:from>
        <xdr:to>
          <xdr:col>14</xdr:col>
          <xdr:colOff>285750</xdr:colOff>
          <xdr:row>16</xdr:row>
          <xdr:rowOff>95250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AutoClass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24</xdr:row>
          <xdr:rowOff>180975</xdr:rowOff>
        </xdr:from>
        <xdr:to>
          <xdr:col>17</xdr:col>
          <xdr:colOff>581025</xdr:colOff>
          <xdr:row>25</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Restrict peaks to the following...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35</xdr:row>
          <xdr:rowOff>19050</xdr:rowOff>
        </xdr:from>
        <xdr:to>
          <xdr:col>20</xdr:col>
          <xdr:colOff>581025</xdr:colOff>
          <xdr:row>35</xdr:row>
          <xdr:rowOff>180975</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Filename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36</xdr:row>
          <xdr:rowOff>19050</xdr:rowOff>
        </xdr:from>
        <xdr:to>
          <xdr:col>20</xdr:col>
          <xdr:colOff>600075</xdr:colOff>
          <xdr:row>36</xdr:row>
          <xdr:rowOff>171450</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Sequence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35</xdr:row>
          <xdr:rowOff>9525</xdr:rowOff>
        </xdr:from>
        <xdr:to>
          <xdr:col>16</xdr:col>
          <xdr:colOff>371475</xdr:colOff>
          <xdr:row>35</xdr:row>
          <xdr:rowOff>180975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Number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36</xdr:row>
          <xdr:rowOff>9525</xdr:rowOff>
        </xdr:from>
        <xdr:to>
          <xdr:col>16</xdr:col>
          <xdr:colOff>371475</xdr:colOff>
          <xdr:row>36</xdr:row>
          <xdr:rowOff>180975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Rank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35</xdr:row>
          <xdr:rowOff>9525</xdr:rowOff>
        </xdr:from>
        <xdr:to>
          <xdr:col>17</xdr:col>
          <xdr:colOff>590550</xdr:colOff>
          <xdr:row>35</xdr:row>
          <xdr:rowOff>180975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 Area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36</xdr:row>
          <xdr:rowOff>9525</xdr:rowOff>
        </xdr:from>
        <xdr:to>
          <xdr:col>17</xdr:col>
          <xdr:colOff>590550</xdr:colOff>
          <xdr:row>36</xdr:row>
          <xdr:rowOff>171450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Pos/Neg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35</xdr:row>
          <xdr:rowOff>0</xdr:rowOff>
        </xdr:from>
        <xdr:to>
          <xdr:col>20</xdr:col>
          <xdr:colOff>600075</xdr:colOff>
          <xdr:row>36</xdr:row>
          <xdr:rowOff>190500</xdr:rowOff>
        </xdr:to>
        <xdr:sp macro="" textlink="">
          <xdr:nvSpPr>
            <xdr:cNvPr id="2074" name="Group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9" Type="http://schemas.openxmlformats.org/officeDocument/2006/relationships/ctrlProp" Target="../ctrlProps/ctrlProp71.xml"/><Relationship Id="rId3" Type="http://schemas.openxmlformats.org/officeDocument/2006/relationships/vmlDrawing" Target="../drawings/vmlDrawing3.vml"/><Relationship Id="rId21" Type="http://schemas.openxmlformats.org/officeDocument/2006/relationships/ctrlProp" Target="../ctrlProps/ctrlProp53.xml"/><Relationship Id="rId34" Type="http://schemas.openxmlformats.org/officeDocument/2006/relationships/ctrlProp" Target="../ctrlProps/ctrlProp66.xml"/><Relationship Id="rId42" Type="http://schemas.openxmlformats.org/officeDocument/2006/relationships/ctrlProp" Target="../ctrlProps/ctrlProp74.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38" Type="http://schemas.openxmlformats.org/officeDocument/2006/relationships/ctrlProp" Target="../ctrlProps/ctrlProp70.xml"/><Relationship Id="rId46" Type="http://schemas.openxmlformats.org/officeDocument/2006/relationships/ctrlProp" Target="../ctrlProps/ctrlProp78.xml"/><Relationship Id="rId2" Type="http://schemas.openxmlformats.org/officeDocument/2006/relationships/drawing" Target="../drawings/drawing3.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41" Type="http://schemas.openxmlformats.org/officeDocument/2006/relationships/ctrlProp" Target="../ctrlProps/ctrlProp73.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37" Type="http://schemas.openxmlformats.org/officeDocument/2006/relationships/ctrlProp" Target="../ctrlProps/ctrlProp69.xml"/><Relationship Id="rId40" Type="http://schemas.openxmlformats.org/officeDocument/2006/relationships/ctrlProp" Target="../ctrlProps/ctrlProp72.xml"/><Relationship Id="rId45" Type="http://schemas.openxmlformats.org/officeDocument/2006/relationships/ctrlProp" Target="../ctrlProps/ctrlProp77.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trlProp" Target="../ctrlProps/ctrlProp68.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4" Type="http://schemas.openxmlformats.org/officeDocument/2006/relationships/ctrlProp" Target="../ctrlProps/ctrlProp76.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43" Type="http://schemas.openxmlformats.org/officeDocument/2006/relationships/ctrlProp" Target="../ctrlProps/ctrlProp7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18" Type="http://schemas.openxmlformats.org/officeDocument/2006/relationships/ctrlProp" Target="../ctrlProps/ctrlProp93.xml"/><Relationship Id="rId26" Type="http://schemas.openxmlformats.org/officeDocument/2006/relationships/ctrlProp" Target="../ctrlProps/ctrlProp101.xml"/><Relationship Id="rId39" Type="http://schemas.openxmlformats.org/officeDocument/2006/relationships/ctrlProp" Target="../ctrlProps/ctrlProp114.xml"/><Relationship Id="rId3" Type="http://schemas.openxmlformats.org/officeDocument/2006/relationships/vmlDrawing" Target="../drawings/vmlDrawing4.vml"/><Relationship Id="rId21" Type="http://schemas.openxmlformats.org/officeDocument/2006/relationships/ctrlProp" Target="../ctrlProps/ctrlProp96.xml"/><Relationship Id="rId34" Type="http://schemas.openxmlformats.org/officeDocument/2006/relationships/ctrlProp" Target="../ctrlProps/ctrlProp109.xml"/><Relationship Id="rId42" Type="http://schemas.openxmlformats.org/officeDocument/2006/relationships/ctrlProp" Target="../ctrlProps/ctrlProp117.xml"/><Relationship Id="rId7" Type="http://schemas.openxmlformats.org/officeDocument/2006/relationships/ctrlProp" Target="../ctrlProps/ctrlProp82.xml"/><Relationship Id="rId12" Type="http://schemas.openxmlformats.org/officeDocument/2006/relationships/ctrlProp" Target="../ctrlProps/ctrlProp87.xml"/><Relationship Id="rId17" Type="http://schemas.openxmlformats.org/officeDocument/2006/relationships/ctrlProp" Target="../ctrlProps/ctrlProp92.xml"/><Relationship Id="rId25" Type="http://schemas.openxmlformats.org/officeDocument/2006/relationships/ctrlProp" Target="../ctrlProps/ctrlProp100.xml"/><Relationship Id="rId33" Type="http://schemas.openxmlformats.org/officeDocument/2006/relationships/ctrlProp" Target="../ctrlProps/ctrlProp108.xml"/><Relationship Id="rId38" Type="http://schemas.openxmlformats.org/officeDocument/2006/relationships/ctrlProp" Target="../ctrlProps/ctrlProp113.xml"/><Relationship Id="rId2" Type="http://schemas.openxmlformats.org/officeDocument/2006/relationships/drawing" Target="../drawings/drawing6.xml"/><Relationship Id="rId16" Type="http://schemas.openxmlformats.org/officeDocument/2006/relationships/ctrlProp" Target="../ctrlProps/ctrlProp91.xml"/><Relationship Id="rId20" Type="http://schemas.openxmlformats.org/officeDocument/2006/relationships/ctrlProp" Target="../ctrlProps/ctrlProp95.xml"/><Relationship Id="rId29" Type="http://schemas.openxmlformats.org/officeDocument/2006/relationships/ctrlProp" Target="../ctrlProps/ctrlProp104.xml"/><Relationship Id="rId41" Type="http://schemas.openxmlformats.org/officeDocument/2006/relationships/ctrlProp" Target="../ctrlProps/ctrlProp116.xml"/><Relationship Id="rId1" Type="http://schemas.openxmlformats.org/officeDocument/2006/relationships/printerSettings" Target="../printerSettings/printerSettings4.bin"/><Relationship Id="rId6" Type="http://schemas.openxmlformats.org/officeDocument/2006/relationships/ctrlProp" Target="../ctrlProps/ctrlProp81.xml"/><Relationship Id="rId11" Type="http://schemas.openxmlformats.org/officeDocument/2006/relationships/ctrlProp" Target="../ctrlProps/ctrlProp86.xml"/><Relationship Id="rId24" Type="http://schemas.openxmlformats.org/officeDocument/2006/relationships/ctrlProp" Target="../ctrlProps/ctrlProp99.xml"/><Relationship Id="rId32" Type="http://schemas.openxmlformats.org/officeDocument/2006/relationships/ctrlProp" Target="../ctrlProps/ctrlProp107.xml"/><Relationship Id="rId37" Type="http://schemas.openxmlformats.org/officeDocument/2006/relationships/ctrlProp" Target="../ctrlProps/ctrlProp112.xml"/><Relationship Id="rId40" Type="http://schemas.openxmlformats.org/officeDocument/2006/relationships/ctrlProp" Target="../ctrlProps/ctrlProp115.xml"/><Relationship Id="rId5" Type="http://schemas.openxmlformats.org/officeDocument/2006/relationships/ctrlProp" Target="../ctrlProps/ctrlProp80.xml"/><Relationship Id="rId15" Type="http://schemas.openxmlformats.org/officeDocument/2006/relationships/ctrlProp" Target="../ctrlProps/ctrlProp90.xml"/><Relationship Id="rId23" Type="http://schemas.openxmlformats.org/officeDocument/2006/relationships/ctrlProp" Target="../ctrlProps/ctrlProp98.xml"/><Relationship Id="rId28" Type="http://schemas.openxmlformats.org/officeDocument/2006/relationships/ctrlProp" Target="../ctrlProps/ctrlProp103.xml"/><Relationship Id="rId36" Type="http://schemas.openxmlformats.org/officeDocument/2006/relationships/ctrlProp" Target="../ctrlProps/ctrlProp111.xml"/><Relationship Id="rId10" Type="http://schemas.openxmlformats.org/officeDocument/2006/relationships/ctrlProp" Target="../ctrlProps/ctrlProp85.xml"/><Relationship Id="rId19" Type="http://schemas.openxmlformats.org/officeDocument/2006/relationships/ctrlProp" Target="../ctrlProps/ctrlProp94.xml"/><Relationship Id="rId31" Type="http://schemas.openxmlformats.org/officeDocument/2006/relationships/ctrlProp" Target="../ctrlProps/ctrlProp106.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 Id="rId22" Type="http://schemas.openxmlformats.org/officeDocument/2006/relationships/ctrlProp" Target="../ctrlProps/ctrlProp97.xml"/><Relationship Id="rId27" Type="http://schemas.openxmlformats.org/officeDocument/2006/relationships/ctrlProp" Target="../ctrlProps/ctrlProp102.xml"/><Relationship Id="rId30" Type="http://schemas.openxmlformats.org/officeDocument/2006/relationships/ctrlProp" Target="../ctrlProps/ctrlProp105.xml"/><Relationship Id="rId35" Type="http://schemas.openxmlformats.org/officeDocument/2006/relationships/ctrlProp" Target="../ctrlProps/ctrlProp110.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28.xml"/><Relationship Id="rId18" Type="http://schemas.openxmlformats.org/officeDocument/2006/relationships/ctrlProp" Target="../ctrlProps/ctrlProp133.xml"/><Relationship Id="rId26" Type="http://schemas.openxmlformats.org/officeDocument/2006/relationships/ctrlProp" Target="../ctrlProps/ctrlProp141.xml"/><Relationship Id="rId39" Type="http://schemas.openxmlformats.org/officeDocument/2006/relationships/ctrlProp" Target="../ctrlProps/ctrlProp154.xml"/><Relationship Id="rId3" Type="http://schemas.openxmlformats.org/officeDocument/2006/relationships/ctrlProp" Target="../ctrlProps/ctrlProp118.xml"/><Relationship Id="rId21" Type="http://schemas.openxmlformats.org/officeDocument/2006/relationships/ctrlProp" Target="../ctrlProps/ctrlProp136.xml"/><Relationship Id="rId34" Type="http://schemas.openxmlformats.org/officeDocument/2006/relationships/ctrlProp" Target="../ctrlProps/ctrlProp149.xml"/><Relationship Id="rId42" Type="http://schemas.openxmlformats.org/officeDocument/2006/relationships/ctrlProp" Target="../ctrlProps/ctrlProp157.xml"/><Relationship Id="rId47" Type="http://schemas.openxmlformats.org/officeDocument/2006/relationships/ctrlProp" Target="../ctrlProps/ctrlProp162.xml"/><Relationship Id="rId50" Type="http://schemas.openxmlformats.org/officeDocument/2006/relationships/ctrlProp" Target="../ctrlProps/ctrlProp165.xml"/><Relationship Id="rId7" Type="http://schemas.openxmlformats.org/officeDocument/2006/relationships/ctrlProp" Target="../ctrlProps/ctrlProp122.xml"/><Relationship Id="rId12" Type="http://schemas.openxmlformats.org/officeDocument/2006/relationships/ctrlProp" Target="../ctrlProps/ctrlProp127.xml"/><Relationship Id="rId17" Type="http://schemas.openxmlformats.org/officeDocument/2006/relationships/ctrlProp" Target="../ctrlProps/ctrlProp132.xml"/><Relationship Id="rId25" Type="http://schemas.openxmlformats.org/officeDocument/2006/relationships/ctrlProp" Target="../ctrlProps/ctrlProp140.xml"/><Relationship Id="rId33" Type="http://schemas.openxmlformats.org/officeDocument/2006/relationships/ctrlProp" Target="../ctrlProps/ctrlProp148.xml"/><Relationship Id="rId38" Type="http://schemas.openxmlformats.org/officeDocument/2006/relationships/ctrlProp" Target="../ctrlProps/ctrlProp153.xml"/><Relationship Id="rId46" Type="http://schemas.openxmlformats.org/officeDocument/2006/relationships/ctrlProp" Target="../ctrlProps/ctrlProp161.xml"/><Relationship Id="rId2" Type="http://schemas.openxmlformats.org/officeDocument/2006/relationships/vmlDrawing" Target="../drawings/vmlDrawing5.vml"/><Relationship Id="rId16" Type="http://schemas.openxmlformats.org/officeDocument/2006/relationships/ctrlProp" Target="../ctrlProps/ctrlProp131.xml"/><Relationship Id="rId20" Type="http://schemas.openxmlformats.org/officeDocument/2006/relationships/ctrlProp" Target="../ctrlProps/ctrlProp135.xml"/><Relationship Id="rId29" Type="http://schemas.openxmlformats.org/officeDocument/2006/relationships/ctrlProp" Target="../ctrlProps/ctrlProp144.xml"/><Relationship Id="rId41" Type="http://schemas.openxmlformats.org/officeDocument/2006/relationships/ctrlProp" Target="../ctrlProps/ctrlProp156.xml"/><Relationship Id="rId1" Type="http://schemas.openxmlformats.org/officeDocument/2006/relationships/drawing" Target="../drawings/drawing8.xml"/><Relationship Id="rId6" Type="http://schemas.openxmlformats.org/officeDocument/2006/relationships/ctrlProp" Target="../ctrlProps/ctrlProp121.xml"/><Relationship Id="rId11" Type="http://schemas.openxmlformats.org/officeDocument/2006/relationships/ctrlProp" Target="../ctrlProps/ctrlProp126.xml"/><Relationship Id="rId24" Type="http://schemas.openxmlformats.org/officeDocument/2006/relationships/ctrlProp" Target="../ctrlProps/ctrlProp139.xml"/><Relationship Id="rId32" Type="http://schemas.openxmlformats.org/officeDocument/2006/relationships/ctrlProp" Target="../ctrlProps/ctrlProp147.xml"/><Relationship Id="rId37" Type="http://schemas.openxmlformats.org/officeDocument/2006/relationships/ctrlProp" Target="../ctrlProps/ctrlProp152.xml"/><Relationship Id="rId40" Type="http://schemas.openxmlformats.org/officeDocument/2006/relationships/ctrlProp" Target="../ctrlProps/ctrlProp155.xml"/><Relationship Id="rId45" Type="http://schemas.openxmlformats.org/officeDocument/2006/relationships/ctrlProp" Target="../ctrlProps/ctrlProp160.xml"/><Relationship Id="rId53" Type="http://schemas.openxmlformats.org/officeDocument/2006/relationships/ctrlProp" Target="../ctrlProps/ctrlProp168.xml"/><Relationship Id="rId5" Type="http://schemas.openxmlformats.org/officeDocument/2006/relationships/ctrlProp" Target="../ctrlProps/ctrlProp120.xml"/><Relationship Id="rId15" Type="http://schemas.openxmlformats.org/officeDocument/2006/relationships/ctrlProp" Target="../ctrlProps/ctrlProp130.xml"/><Relationship Id="rId23" Type="http://schemas.openxmlformats.org/officeDocument/2006/relationships/ctrlProp" Target="../ctrlProps/ctrlProp138.xml"/><Relationship Id="rId28" Type="http://schemas.openxmlformats.org/officeDocument/2006/relationships/ctrlProp" Target="../ctrlProps/ctrlProp143.xml"/><Relationship Id="rId36" Type="http://schemas.openxmlformats.org/officeDocument/2006/relationships/ctrlProp" Target="../ctrlProps/ctrlProp151.xml"/><Relationship Id="rId49" Type="http://schemas.openxmlformats.org/officeDocument/2006/relationships/ctrlProp" Target="../ctrlProps/ctrlProp164.xml"/><Relationship Id="rId10" Type="http://schemas.openxmlformats.org/officeDocument/2006/relationships/ctrlProp" Target="../ctrlProps/ctrlProp125.xml"/><Relationship Id="rId19" Type="http://schemas.openxmlformats.org/officeDocument/2006/relationships/ctrlProp" Target="../ctrlProps/ctrlProp134.xml"/><Relationship Id="rId31" Type="http://schemas.openxmlformats.org/officeDocument/2006/relationships/ctrlProp" Target="../ctrlProps/ctrlProp146.xml"/><Relationship Id="rId44" Type="http://schemas.openxmlformats.org/officeDocument/2006/relationships/ctrlProp" Target="../ctrlProps/ctrlProp159.xml"/><Relationship Id="rId52" Type="http://schemas.openxmlformats.org/officeDocument/2006/relationships/ctrlProp" Target="../ctrlProps/ctrlProp167.xml"/><Relationship Id="rId4" Type="http://schemas.openxmlformats.org/officeDocument/2006/relationships/ctrlProp" Target="../ctrlProps/ctrlProp119.xml"/><Relationship Id="rId9" Type="http://schemas.openxmlformats.org/officeDocument/2006/relationships/ctrlProp" Target="../ctrlProps/ctrlProp124.xml"/><Relationship Id="rId14" Type="http://schemas.openxmlformats.org/officeDocument/2006/relationships/ctrlProp" Target="../ctrlProps/ctrlProp129.xml"/><Relationship Id="rId22" Type="http://schemas.openxmlformats.org/officeDocument/2006/relationships/ctrlProp" Target="../ctrlProps/ctrlProp137.xml"/><Relationship Id="rId27" Type="http://schemas.openxmlformats.org/officeDocument/2006/relationships/ctrlProp" Target="../ctrlProps/ctrlProp142.xml"/><Relationship Id="rId30" Type="http://schemas.openxmlformats.org/officeDocument/2006/relationships/ctrlProp" Target="../ctrlProps/ctrlProp145.xml"/><Relationship Id="rId35" Type="http://schemas.openxmlformats.org/officeDocument/2006/relationships/ctrlProp" Target="../ctrlProps/ctrlProp150.xml"/><Relationship Id="rId43" Type="http://schemas.openxmlformats.org/officeDocument/2006/relationships/ctrlProp" Target="../ctrlProps/ctrlProp158.xml"/><Relationship Id="rId48" Type="http://schemas.openxmlformats.org/officeDocument/2006/relationships/ctrlProp" Target="../ctrlProps/ctrlProp163.xml"/><Relationship Id="rId8" Type="http://schemas.openxmlformats.org/officeDocument/2006/relationships/ctrlProp" Target="../ctrlProps/ctrlProp123.xml"/><Relationship Id="rId51" Type="http://schemas.openxmlformats.org/officeDocument/2006/relationships/ctrlProp" Target="../ctrlProps/ctrlProp16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2.xml"/><Relationship Id="rId13" Type="http://schemas.openxmlformats.org/officeDocument/2006/relationships/ctrlProp" Target="../ctrlProps/ctrlProp177.xml"/><Relationship Id="rId18" Type="http://schemas.openxmlformats.org/officeDocument/2006/relationships/ctrlProp" Target="../ctrlProps/ctrlProp182.xml"/><Relationship Id="rId26" Type="http://schemas.openxmlformats.org/officeDocument/2006/relationships/ctrlProp" Target="../ctrlProps/ctrlProp190.xml"/><Relationship Id="rId39" Type="http://schemas.openxmlformats.org/officeDocument/2006/relationships/ctrlProp" Target="../ctrlProps/ctrlProp203.xml"/><Relationship Id="rId3" Type="http://schemas.openxmlformats.org/officeDocument/2006/relationships/control" Target="../activeX/activeX1.xml"/><Relationship Id="rId21" Type="http://schemas.openxmlformats.org/officeDocument/2006/relationships/ctrlProp" Target="../ctrlProps/ctrlProp185.xml"/><Relationship Id="rId34" Type="http://schemas.openxmlformats.org/officeDocument/2006/relationships/ctrlProp" Target="../ctrlProps/ctrlProp198.xml"/><Relationship Id="rId42" Type="http://schemas.openxmlformats.org/officeDocument/2006/relationships/ctrlProp" Target="../ctrlProps/ctrlProp206.xml"/><Relationship Id="rId7" Type="http://schemas.openxmlformats.org/officeDocument/2006/relationships/ctrlProp" Target="../ctrlProps/ctrlProp171.xml"/><Relationship Id="rId12" Type="http://schemas.openxmlformats.org/officeDocument/2006/relationships/ctrlProp" Target="../ctrlProps/ctrlProp176.xml"/><Relationship Id="rId17" Type="http://schemas.openxmlformats.org/officeDocument/2006/relationships/ctrlProp" Target="../ctrlProps/ctrlProp181.xml"/><Relationship Id="rId25" Type="http://schemas.openxmlformats.org/officeDocument/2006/relationships/ctrlProp" Target="../ctrlProps/ctrlProp189.xml"/><Relationship Id="rId33" Type="http://schemas.openxmlformats.org/officeDocument/2006/relationships/ctrlProp" Target="../ctrlProps/ctrlProp197.xml"/><Relationship Id="rId38" Type="http://schemas.openxmlformats.org/officeDocument/2006/relationships/ctrlProp" Target="../ctrlProps/ctrlProp202.xml"/><Relationship Id="rId2" Type="http://schemas.openxmlformats.org/officeDocument/2006/relationships/vmlDrawing" Target="../drawings/vmlDrawing6.vml"/><Relationship Id="rId16" Type="http://schemas.openxmlformats.org/officeDocument/2006/relationships/ctrlProp" Target="../ctrlProps/ctrlProp180.xml"/><Relationship Id="rId20" Type="http://schemas.openxmlformats.org/officeDocument/2006/relationships/ctrlProp" Target="../ctrlProps/ctrlProp184.xml"/><Relationship Id="rId29" Type="http://schemas.openxmlformats.org/officeDocument/2006/relationships/ctrlProp" Target="../ctrlProps/ctrlProp193.xml"/><Relationship Id="rId41" Type="http://schemas.openxmlformats.org/officeDocument/2006/relationships/ctrlProp" Target="../ctrlProps/ctrlProp205.xml"/><Relationship Id="rId1" Type="http://schemas.openxmlformats.org/officeDocument/2006/relationships/drawing" Target="../drawings/drawing10.xml"/><Relationship Id="rId6" Type="http://schemas.openxmlformats.org/officeDocument/2006/relationships/ctrlProp" Target="../ctrlProps/ctrlProp170.xml"/><Relationship Id="rId11" Type="http://schemas.openxmlformats.org/officeDocument/2006/relationships/ctrlProp" Target="../ctrlProps/ctrlProp175.xml"/><Relationship Id="rId24" Type="http://schemas.openxmlformats.org/officeDocument/2006/relationships/ctrlProp" Target="../ctrlProps/ctrlProp188.xml"/><Relationship Id="rId32" Type="http://schemas.openxmlformats.org/officeDocument/2006/relationships/ctrlProp" Target="../ctrlProps/ctrlProp196.xml"/><Relationship Id="rId37" Type="http://schemas.openxmlformats.org/officeDocument/2006/relationships/ctrlProp" Target="../ctrlProps/ctrlProp201.xml"/><Relationship Id="rId40" Type="http://schemas.openxmlformats.org/officeDocument/2006/relationships/ctrlProp" Target="../ctrlProps/ctrlProp204.xml"/><Relationship Id="rId5" Type="http://schemas.openxmlformats.org/officeDocument/2006/relationships/ctrlProp" Target="../ctrlProps/ctrlProp169.xml"/><Relationship Id="rId15" Type="http://schemas.openxmlformats.org/officeDocument/2006/relationships/ctrlProp" Target="../ctrlProps/ctrlProp179.xml"/><Relationship Id="rId23" Type="http://schemas.openxmlformats.org/officeDocument/2006/relationships/ctrlProp" Target="../ctrlProps/ctrlProp187.xml"/><Relationship Id="rId28" Type="http://schemas.openxmlformats.org/officeDocument/2006/relationships/ctrlProp" Target="../ctrlProps/ctrlProp192.xml"/><Relationship Id="rId36" Type="http://schemas.openxmlformats.org/officeDocument/2006/relationships/ctrlProp" Target="../ctrlProps/ctrlProp200.xml"/><Relationship Id="rId10" Type="http://schemas.openxmlformats.org/officeDocument/2006/relationships/ctrlProp" Target="../ctrlProps/ctrlProp174.xml"/><Relationship Id="rId19" Type="http://schemas.openxmlformats.org/officeDocument/2006/relationships/ctrlProp" Target="../ctrlProps/ctrlProp183.xml"/><Relationship Id="rId31" Type="http://schemas.openxmlformats.org/officeDocument/2006/relationships/ctrlProp" Target="../ctrlProps/ctrlProp195.xml"/><Relationship Id="rId44" Type="http://schemas.openxmlformats.org/officeDocument/2006/relationships/ctrlProp" Target="../ctrlProps/ctrlProp208.xml"/><Relationship Id="rId4" Type="http://schemas.openxmlformats.org/officeDocument/2006/relationships/image" Target="../media/image1.emf"/><Relationship Id="rId9" Type="http://schemas.openxmlformats.org/officeDocument/2006/relationships/ctrlProp" Target="../ctrlProps/ctrlProp173.xml"/><Relationship Id="rId14" Type="http://schemas.openxmlformats.org/officeDocument/2006/relationships/ctrlProp" Target="../ctrlProps/ctrlProp178.xml"/><Relationship Id="rId22" Type="http://schemas.openxmlformats.org/officeDocument/2006/relationships/ctrlProp" Target="../ctrlProps/ctrlProp186.xml"/><Relationship Id="rId27" Type="http://schemas.openxmlformats.org/officeDocument/2006/relationships/ctrlProp" Target="../ctrlProps/ctrlProp191.xml"/><Relationship Id="rId30" Type="http://schemas.openxmlformats.org/officeDocument/2006/relationships/ctrlProp" Target="../ctrlProps/ctrlProp194.xml"/><Relationship Id="rId35" Type="http://schemas.openxmlformats.org/officeDocument/2006/relationships/ctrlProp" Target="../ctrlProps/ctrlProp199.xml"/><Relationship Id="rId43" Type="http://schemas.openxmlformats.org/officeDocument/2006/relationships/ctrlProp" Target="../ctrlProps/ctrlProp20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9.xml"/><Relationship Id="rId7" Type="http://schemas.openxmlformats.org/officeDocument/2006/relationships/ctrlProp" Target="../ctrlProps/ctrlProp213.xml"/><Relationship Id="rId2" Type="http://schemas.openxmlformats.org/officeDocument/2006/relationships/vmlDrawing" Target="../drawings/vmlDrawing7.vml"/><Relationship Id="rId1" Type="http://schemas.openxmlformats.org/officeDocument/2006/relationships/drawing" Target="../drawings/drawing12.xml"/><Relationship Id="rId6" Type="http://schemas.openxmlformats.org/officeDocument/2006/relationships/ctrlProp" Target="../ctrlProps/ctrlProp212.xml"/><Relationship Id="rId5" Type="http://schemas.openxmlformats.org/officeDocument/2006/relationships/ctrlProp" Target="../ctrlProps/ctrlProp211.xml"/><Relationship Id="rId4" Type="http://schemas.openxmlformats.org/officeDocument/2006/relationships/ctrlProp" Target="../ctrlProps/ctrlProp2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8.xml"/><Relationship Id="rId13" Type="http://schemas.openxmlformats.org/officeDocument/2006/relationships/ctrlProp" Target="../ctrlProps/ctrlProp223.xml"/><Relationship Id="rId18" Type="http://schemas.openxmlformats.org/officeDocument/2006/relationships/ctrlProp" Target="../ctrlProps/ctrlProp228.xml"/><Relationship Id="rId26" Type="http://schemas.openxmlformats.org/officeDocument/2006/relationships/ctrlProp" Target="../ctrlProps/ctrlProp236.xml"/><Relationship Id="rId3" Type="http://schemas.openxmlformats.org/officeDocument/2006/relationships/vmlDrawing" Target="../drawings/vmlDrawing8.vml"/><Relationship Id="rId21" Type="http://schemas.openxmlformats.org/officeDocument/2006/relationships/ctrlProp" Target="../ctrlProps/ctrlProp231.xml"/><Relationship Id="rId7" Type="http://schemas.openxmlformats.org/officeDocument/2006/relationships/ctrlProp" Target="../ctrlProps/ctrlProp217.xml"/><Relationship Id="rId12" Type="http://schemas.openxmlformats.org/officeDocument/2006/relationships/ctrlProp" Target="../ctrlProps/ctrlProp222.xml"/><Relationship Id="rId17" Type="http://schemas.openxmlformats.org/officeDocument/2006/relationships/ctrlProp" Target="../ctrlProps/ctrlProp227.xml"/><Relationship Id="rId25" Type="http://schemas.openxmlformats.org/officeDocument/2006/relationships/ctrlProp" Target="../ctrlProps/ctrlProp235.xml"/><Relationship Id="rId2" Type="http://schemas.openxmlformats.org/officeDocument/2006/relationships/drawing" Target="../drawings/drawing13.xml"/><Relationship Id="rId16" Type="http://schemas.openxmlformats.org/officeDocument/2006/relationships/ctrlProp" Target="../ctrlProps/ctrlProp226.xml"/><Relationship Id="rId20" Type="http://schemas.openxmlformats.org/officeDocument/2006/relationships/ctrlProp" Target="../ctrlProps/ctrlProp230.xml"/><Relationship Id="rId1" Type="http://schemas.openxmlformats.org/officeDocument/2006/relationships/printerSettings" Target="../printerSettings/printerSettings5.bin"/><Relationship Id="rId6" Type="http://schemas.openxmlformats.org/officeDocument/2006/relationships/ctrlProp" Target="../ctrlProps/ctrlProp216.xml"/><Relationship Id="rId11" Type="http://schemas.openxmlformats.org/officeDocument/2006/relationships/ctrlProp" Target="../ctrlProps/ctrlProp221.xml"/><Relationship Id="rId24" Type="http://schemas.openxmlformats.org/officeDocument/2006/relationships/ctrlProp" Target="../ctrlProps/ctrlProp234.xml"/><Relationship Id="rId5" Type="http://schemas.openxmlformats.org/officeDocument/2006/relationships/ctrlProp" Target="../ctrlProps/ctrlProp215.xml"/><Relationship Id="rId15" Type="http://schemas.openxmlformats.org/officeDocument/2006/relationships/ctrlProp" Target="../ctrlProps/ctrlProp225.xml"/><Relationship Id="rId23" Type="http://schemas.openxmlformats.org/officeDocument/2006/relationships/ctrlProp" Target="../ctrlProps/ctrlProp233.xml"/><Relationship Id="rId10" Type="http://schemas.openxmlformats.org/officeDocument/2006/relationships/ctrlProp" Target="../ctrlProps/ctrlProp220.xml"/><Relationship Id="rId19" Type="http://schemas.openxmlformats.org/officeDocument/2006/relationships/ctrlProp" Target="../ctrlProps/ctrlProp229.xml"/><Relationship Id="rId4" Type="http://schemas.openxmlformats.org/officeDocument/2006/relationships/ctrlProp" Target="../ctrlProps/ctrlProp214.xml"/><Relationship Id="rId9" Type="http://schemas.openxmlformats.org/officeDocument/2006/relationships/ctrlProp" Target="../ctrlProps/ctrlProp219.xml"/><Relationship Id="rId14" Type="http://schemas.openxmlformats.org/officeDocument/2006/relationships/ctrlProp" Target="../ctrlProps/ctrlProp224.xml"/><Relationship Id="rId22" Type="http://schemas.openxmlformats.org/officeDocument/2006/relationships/ctrlProp" Target="../ctrlProps/ctrlProp2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300"/>
  <sheetViews>
    <sheetView tabSelected="1" zoomScaleNormal="100" workbookViewId="0"/>
  </sheetViews>
  <sheetFormatPr defaultColWidth="9.140625" defaultRowHeight="123" customHeight="1" x14ac:dyDescent="0.25"/>
  <cols>
    <col min="1" max="1" width="8.7109375" style="21" customWidth="1"/>
    <col min="2" max="6" width="14.28515625" style="21" customWidth="1"/>
    <col min="7" max="8" width="16.85546875" style="21" hidden="1" customWidth="1"/>
    <col min="9" max="11" width="16.85546875" style="21" customWidth="1"/>
    <col min="12" max="12" width="29.140625" style="21" customWidth="1"/>
    <col min="13" max="13" width="4.5703125" style="21" customWidth="1"/>
    <col min="14" max="14" width="40.85546875" style="21" customWidth="1"/>
    <col min="15" max="16" width="40.85546875" style="21" hidden="1" customWidth="1"/>
    <col min="17" max="18" width="14.28515625" style="24" customWidth="1"/>
    <col min="19" max="19" width="41.5703125" style="24" customWidth="1"/>
    <col min="20" max="20" width="43.85546875" style="24" customWidth="1"/>
    <col min="21" max="16384" width="9.140625" style="24"/>
  </cols>
  <sheetData>
    <row r="1" spans="1:26" ht="18" customHeight="1" x14ac:dyDescent="0.25">
      <c r="A1" s="20" t="s">
        <v>7</v>
      </c>
      <c r="B1" s="20" t="s">
        <v>135</v>
      </c>
      <c r="Q1" s="22"/>
      <c r="R1" s="23"/>
      <c r="T1" s="51"/>
      <c r="U1" s="52"/>
      <c r="V1" s="52"/>
      <c r="W1" s="51"/>
      <c r="X1" s="51"/>
      <c r="Y1" s="51"/>
      <c r="Z1" s="52"/>
    </row>
    <row r="2" spans="1:26" ht="18" customHeight="1" x14ac:dyDescent="0.25">
      <c r="A2" s="20" t="s">
        <v>8</v>
      </c>
      <c r="B2" s="20" t="s">
        <v>136</v>
      </c>
      <c r="G2" s="26"/>
      <c r="H2" s="26"/>
      <c r="J2" s="27"/>
      <c r="K2" s="27"/>
      <c r="Q2" s="26"/>
      <c r="R2" s="26"/>
      <c r="T2" s="51"/>
      <c r="U2" s="52"/>
      <c r="V2" s="52"/>
      <c r="W2" s="51"/>
      <c r="X2" s="51"/>
      <c r="Y2" s="51"/>
      <c r="Z2" s="52"/>
    </row>
    <row r="3" spans="1:26" ht="18" customHeight="1" x14ac:dyDescent="0.25">
      <c r="A3" s="28" t="s">
        <v>47</v>
      </c>
      <c r="B3" s="29"/>
      <c r="C3" s="29"/>
      <c r="D3" s="83">
        <v>1</v>
      </c>
      <c r="E3" s="30"/>
      <c r="I3" s="83">
        <v>100</v>
      </c>
      <c r="J3" s="31" t="s">
        <v>133</v>
      </c>
      <c r="K3" s="31" t="s">
        <v>134</v>
      </c>
      <c r="T3" s="51"/>
      <c r="U3" s="52"/>
      <c r="V3" s="52"/>
      <c r="W3" s="51"/>
      <c r="X3" s="51"/>
      <c r="Y3" s="51"/>
      <c r="Z3" s="51"/>
    </row>
    <row r="4" spans="1:26" ht="18" customHeight="1" x14ac:dyDescent="0.3">
      <c r="A4" s="32" t="s">
        <v>32</v>
      </c>
      <c r="B4" s="33" t="s">
        <v>0</v>
      </c>
      <c r="C4" s="33" t="s">
        <v>1</v>
      </c>
      <c r="D4" s="33" t="s">
        <v>2</v>
      </c>
      <c r="E4" s="32" t="s">
        <v>3</v>
      </c>
      <c r="F4" s="33" t="s">
        <v>14</v>
      </c>
      <c r="G4" s="33"/>
      <c r="H4" s="33"/>
      <c r="I4" s="33" t="s">
        <v>9</v>
      </c>
      <c r="J4" s="33" t="s">
        <v>13</v>
      </c>
      <c r="K4" s="33" t="s">
        <v>12</v>
      </c>
      <c r="L4" s="33" t="s">
        <v>6</v>
      </c>
      <c r="M4" s="32" t="s">
        <v>15</v>
      </c>
      <c r="N4" s="33" t="s">
        <v>4</v>
      </c>
      <c r="O4" s="33" t="s">
        <v>10</v>
      </c>
      <c r="P4" s="33" t="s">
        <v>11</v>
      </c>
      <c r="Q4" s="33" t="s">
        <v>31</v>
      </c>
      <c r="R4" s="33" t="s">
        <v>41</v>
      </c>
      <c r="S4" s="33" t="s">
        <v>48</v>
      </c>
      <c r="T4" s="51"/>
      <c r="U4" s="52"/>
      <c r="V4" s="52"/>
      <c r="W4" s="51"/>
      <c r="X4" s="51"/>
      <c r="Y4" s="51"/>
      <c r="Z4" s="52"/>
    </row>
    <row r="5" spans="1:26" ht="123" customHeight="1" x14ac:dyDescent="0.25">
      <c r="A5" s="34">
        <v>1</v>
      </c>
      <c r="B5" s="35">
        <v>1.0442830000000001</v>
      </c>
      <c r="C5" s="36">
        <v>31.888007999999999</v>
      </c>
      <c r="D5" s="130">
        <f>C5/_xlfn.AGGREGATE(9,$D$3+4,$C$5:$C$104)*100</f>
        <v>9.3233821691255443</v>
      </c>
      <c r="E5" s="35">
        <v>9.3233823776245117</v>
      </c>
      <c r="F5" s="37">
        <f>RANK(C5,$C$5:$C$104)</f>
        <v>4</v>
      </c>
      <c r="G5" s="38"/>
      <c r="H5" s="38"/>
      <c r="I5" s="38" t="str">
        <f>molweight(MSData!A2:A7,MSData!C2:C7)</f>
        <v>?</v>
      </c>
      <c r="J5" s="39"/>
      <c r="K5" s="38" t="str">
        <f>UVPeakList(PeakLabels!B3:B300,A5)</f>
        <v>206 (57)
242 (100)
284 (28)
354 (32)</v>
      </c>
      <c r="L5" s="38"/>
      <c r="M5" s="38"/>
      <c r="Q5" s="36">
        <v>2.7435710000000002</v>
      </c>
      <c r="R5" s="36">
        <v>40.200904080153293</v>
      </c>
      <c r="S5" s="48" t="s">
        <v>142</v>
      </c>
    </row>
    <row r="6" spans="1:26" ht="123" customHeight="1" x14ac:dyDescent="0.25">
      <c r="A6" s="34">
        <v>2</v>
      </c>
      <c r="B6" s="35">
        <v>2.6570019999999999</v>
      </c>
      <c r="C6" s="36">
        <v>75.703772999999998</v>
      </c>
      <c r="D6" s="130">
        <f>C6/_xlfn.AGGREGATE(9,$D$3+4,$C$5:$C$104)*100</f>
        <v>22.134189358072405</v>
      </c>
      <c r="E6" s="35">
        <v>31.457571029663086</v>
      </c>
      <c r="F6" s="37">
        <f>RANK(C6,$C$5:$C$104)</f>
        <v>2</v>
      </c>
      <c r="G6" s="38"/>
      <c r="H6" s="38"/>
      <c r="I6" s="38" t="str">
        <f>molweight(MSData!E2:E7,MSData!G2:G7)</f>
        <v>?</v>
      </c>
      <c r="J6" s="39"/>
      <c r="K6" s="38" t="str">
        <f>UVPeakList(PeakLabels!C3:C300,A6)</f>
        <v>246s (13)
304s (12)
326 (12)
340s (12)
372 (8)
384 (8)
412 (7)
440 (7)
458 (7)
474 (8)
488 (8)
500 (7)
526 (7)
550 (7)
572 (8)
586 (8)
608 (8)
636 (9)</v>
      </c>
      <c r="L6" s="38"/>
      <c r="M6" s="38"/>
      <c r="Q6" s="36">
        <v>1.911003</v>
      </c>
      <c r="R6" s="36">
        <v>28.608402807831535</v>
      </c>
      <c r="S6" s="48" t="s">
        <v>143</v>
      </c>
    </row>
    <row r="7" spans="1:26" ht="123" customHeight="1" x14ac:dyDescent="0.25">
      <c r="A7" s="34">
        <v>3</v>
      </c>
      <c r="B7" s="35">
        <v>3.7890090000000001</v>
      </c>
      <c r="C7" s="36">
        <v>8.5516860000000001</v>
      </c>
      <c r="D7" s="131">
        <f>C7/_xlfn.AGGREGATE(9,$D$3+4,$C$5:$C$104)*100</f>
        <v>2.5003329392152858</v>
      </c>
      <c r="E7" s="35">
        <v>33.957904815673828</v>
      </c>
      <c r="F7" s="37">
        <f>RANK(C7,$C$5:$C$104)</f>
        <v>6</v>
      </c>
      <c r="G7" s="38"/>
      <c r="H7" s="38"/>
      <c r="I7" s="38" t="str">
        <f>molweight(MSData!I2:I7,MSData!K2:K7)</f>
        <v>?</v>
      </c>
      <c r="J7" s="39"/>
      <c r="K7" s="38" t="str">
        <f>UVPeakList(PeakLabels!D3:D300,A7)</f>
        <v>232 (85)
318 (37)
376 (8)
396 (11)
464 (37)
484 (33)
506 (26)
528 (25)</v>
      </c>
      <c r="L7" s="38"/>
      <c r="M7" s="38"/>
      <c r="Q7" s="36">
        <v>1.3211869999999999</v>
      </c>
      <c r="R7" s="36">
        <v>20.395929195543136</v>
      </c>
      <c r="S7" s="48" t="s">
        <v>144</v>
      </c>
    </row>
    <row r="8" spans="1:26" ht="123" customHeight="1" x14ac:dyDescent="0.25">
      <c r="A8" s="34">
        <v>4</v>
      </c>
      <c r="B8" s="35">
        <v>4.047237</v>
      </c>
      <c r="C8" s="36">
        <v>5.7913360000000003</v>
      </c>
      <c r="D8" s="35">
        <f>C8/_xlfn.AGGREGATE(9,$D$3+4,$C$5:$C$104)*100</f>
        <v>1.6932647156202061</v>
      </c>
      <c r="E8" s="35">
        <v>35.651168823242188</v>
      </c>
      <c r="F8" s="37">
        <f>RANK(C8,$C$5:$C$104)</f>
        <v>7</v>
      </c>
      <c r="G8" s="38"/>
      <c r="H8" s="38"/>
      <c r="I8" s="38" t="str">
        <f>molweight(MSData!M2:M7,MSData!O2:O7)</f>
        <v>?</v>
      </c>
      <c r="J8" s="39"/>
      <c r="K8" s="38" t="str">
        <f>UVPeakList(PeakLabels!E3:E300,A8)</f>
        <v>196 (61)
224 (100)
298 (49)
344s (9)
412 (9)
464 (34)
478 (25)
496 (27)
508 (24)
528 (19)</v>
      </c>
      <c r="L8" s="38"/>
      <c r="M8" s="38"/>
      <c r="Q8" s="36">
        <v>1.0383439999999999</v>
      </c>
      <c r="R8" s="36">
        <v>16.457682905309426</v>
      </c>
      <c r="S8" s="48" t="s">
        <v>145</v>
      </c>
    </row>
    <row r="9" spans="1:26" ht="123" customHeight="1" x14ac:dyDescent="0.25">
      <c r="A9" s="34">
        <v>5</v>
      </c>
      <c r="B9" s="35">
        <v>4.4155439999999997</v>
      </c>
      <c r="C9" s="36">
        <v>25.929354</v>
      </c>
      <c r="D9" s="131">
        <f>C9/_xlfn.AGGREGATE(9,$D$3+4,$C$5:$C$104)*100</f>
        <v>7.5811971930182684</v>
      </c>
      <c r="E9" s="35">
        <v>43.232364654541016</v>
      </c>
      <c r="F9" s="37">
        <f>RANK(C9,$C$5:$C$104)</f>
        <v>5</v>
      </c>
      <c r="G9" s="38"/>
      <c r="H9" s="38"/>
      <c r="I9" s="38" t="str">
        <f>molweight(MSData!Q2:Q7,MSData!S2:S7)</f>
        <v>?</v>
      </c>
      <c r="J9" s="39"/>
      <c r="K9" s="38" t="str">
        <f>UVPeakList(PeakLabels!F3:F300,A9)</f>
        <v>192 (55)
276 (100)</v>
      </c>
      <c r="L9" s="38"/>
      <c r="M9" s="38"/>
      <c r="Q9" s="36">
        <v>5.1837090000000003</v>
      </c>
      <c r="R9" s="36">
        <v>74.176871051788837</v>
      </c>
      <c r="S9" s="48" t="s">
        <v>146</v>
      </c>
    </row>
    <row r="10" spans="1:26" ht="123" customHeight="1" x14ac:dyDescent="0.25">
      <c r="A10" s="34">
        <v>6</v>
      </c>
      <c r="B10" s="35">
        <v>5.4613060000000004</v>
      </c>
      <c r="C10" s="36">
        <v>35.742984999999997</v>
      </c>
      <c r="D10" s="130">
        <f>C10/_xlfn.AGGREGATE(9,$D$3+4,$C$5:$C$104)*100</f>
        <v>10.450496281245343</v>
      </c>
      <c r="E10" s="35">
        <v>53.682861328125</v>
      </c>
      <c r="F10" s="37">
        <f>RANK(C10,$C$5:$C$104)</f>
        <v>3</v>
      </c>
      <c r="G10" s="38"/>
      <c r="H10" s="38"/>
      <c r="I10" s="38" t="str">
        <f>molweight(MSData!U2:U7,MSData!W2:W7)</f>
        <v>?</v>
      </c>
      <c r="J10" s="39"/>
      <c r="K10" s="38" t="str">
        <f>UVPeakList(PeakLabels!G3:G300,A10)</f>
        <v>192 (54)
274 (99)</v>
      </c>
      <c r="L10" s="38"/>
      <c r="M10" s="38"/>
      <c r="Q10" s="36">
        <v>7.0383139999999997</v>
      </c>
      <c r="R10" s="36">
        <v>100</v>
      </c>
      <c r="S10" s="48" t="s">
        <v>147</v>
      </c>
    </row>
    <row r="11" spans="1:26" ht="123" customHeight="1" x14ac:dyDescent="0.25">
      <c r="A11" s="34">
        <v>7</v>
      </c>
      <c r="B11" s="35">
        <v>8.5674030000000005</v>
      </c>
      <c r="C11" s="36">
        <v>158.414749</v>
      </c>
      <c r="D11" s="130">
        <f>C11/_xlfn.AGGREGATE(9,$D$3+4,$C$5:$C$104)*100</f>
        <v>46.317137343702953</v>
      </c>
      <c r="E11" s="35">
        <v>100</v>
      </c>
      <c r="F11" s="37">
        <f>RANK(C11,$C$5:$C$104)</f>
        <v>1</v>
      </c>
      <c r="G11" s="38"/>
      <c r="H11" s="38"/>
      <c r="I11" s="38" t="str">
        <f>molweight(MSData!Y2:Y7,MSData!AA2:AA7)</f>
        <v>?</v>
      </c>
      <c r="J11" s="39"/>
      <c r="K11" s="38" t="str">
        <f>UVPeakList(PeakLabels!H3:H300,A11)</f>
        <v>&lt; 190</v>
      </c>
      <c r="L11" s="38"/>
      <c r="M11" s="38"/>
      <c r="Q11" s="36">
        <v>4.7627649999999999</v>
      </c>
      <c r="R11" s="36">
        <v>68.315735558260116</v>
      </c>
      <c r="S11" s="48" t="s">
        <v>148</v>
      </c>
    </row>
    <row r="12" spans="1:26" ht="123" customHeight="1" x14ac:dyDescent="0.25">
      <c r="A12" s="34"/>
      <c r="B12" s="35"/>
      <c r="C12" s="36"/>
      <c r="D12" s="35"/>
      <c r="E12" s="35"/>
      <c r="F12" s="37"/>
      <c r="G12" s="38"/>
      <c r="H12" s="38"/>
      <c r="I12" s="38"/>
      <c r="J12" s="39"/>
      <c r="K12" s="38"/>
      <c r="L12" s="38"/>
      <c r="M12" s="38"/>
      <c r="Q12" s="36"/>
      <c r="R12" s="36"/>
      <c r="S12" s="48"/>
    </row>
    <row r="13" spans="1:26" ht="123" customHeight="1" x14ac:dyDescent="0.25">
      <c r="A13" s="34"/>
      <c r="B13" s="35"/>
      <c r="C13" s="36"/>
      <c r="D13" s="35"/>
      <c r="E13" s="35"/>
      <c r="F13" s="37"/>
      <c r="G13" s="38"/>
      <c r="H13" s="38"/>
      <c r="I13" s="38"/>
      <c r="J13" s="39"/>
      <c r="K13" s="38"/>
      <c r="L13" s="38"/>
      <c r="M13" s="38"/>
      <c r="Q13" s="36"/>
      <c r="R13" s="36"/>
      <c r="S13" s="48"/>
    </row>
    <row r="14" spans="1:26" ht="123" customHeight="1" x14ac:dyDescent="0.25">
      <c r="A14" s="34"/>
      <c r="B14" s="35"/>
      <c r="C14" s="36"/>
      <c r="D14" s="35"/>
      <c r="E14" s="35"/>
      <c r="F14" s="37"/>
      <c r="G14" s="38"/>
      <c r="H14" s="38"/>
      <c r="I14" s="38"/>
      <c r="J14" s="39"/>
      <c r="K14" s="38"/>
      <c r="L14" s="38"/>
      <c r="M14" s="38"/>
      <c r="Q14" s="36"/>
      <c r="R14" s="36"/>
      <c r="S14" s="48"/>
    </row>
    <row r="15" spans="1:26" ht="123" customHeight="1" x14ac:dyDescent="0.25">
      <c r="A15" s="34"/>
      <c r="B15" s="35"/>
      <c r="C15" s="36"/>
      <c r="D15" s="35"/>
      <c r="E15" s="35"/>
      <c r="F15" s="37"/>
      <c r="G15" s="38"/>
      <c r="H15" s="38"/>
      <c r="I15" s="38"/>
      <c r="J15" s="39"/>
      <c r="K15" s="38"/>
      <c r="L15" s="38"/>
      <c r="M15" s="38"/>
      <c r="Q15" s="36"/>
      <c r="R15" s="36"/>
      <c r="S15" s="48"/>
    </row>
    <row r="16" spans="1:26" ht="123" customHeight="1" x14ac:dyDescent="0.25">
      <c r="A16" s="34"/>
      <c r="B16" s="35"/>
      <c r="C16" s="36"/>
      <c r="D16" s="35"/>
      <c r="E16" s="35"/>
      <c r="F16" s="37"/>
      <c r="G16" s="38"/>
      <c r="H16" s="38"/>
      <c r="I16" s="38"/>
      <c r="J16" s="39"/>
      <c r="K16" s="38"/>
      <c r="L16" s="38"/>
      <c r="M16" s="38"/>
      <c r="Q16" s="36"/>
      <c r="R16" s="36"/>
      <c r="S16" s="48"/>
    </row>
    <row r="17" spans="1:19" ht="123" customHeight="1" x14ac:dyDescent="0.25">
      <c r="A17" s="34"/>
      <c r="B17" s="35"/>
      <c r="C17" s="36"/>
      <c r="D17" s="35"/>
      <c r="E17" s="35"/>
      <c r="F17" s="37"/>
      <c r="G17" s="38"/>
      <c r="H17" s="38"/>
      <c r="I17" s="38"/>
      <c r="J17" s="39"/>
      <c r="K17" s="38"/>
      <c r="L17" s="38"/>
      <c r="M17" s="38"/>
      <c r="Q17" s="36"/>
      <c r="R17" s="36"/>
      <c r="S17" s="48"/>
    </row>
    <row r="18" spans="1:19" ht="123" customHeight="1" x14ac:dyDescent="0.25">
      <c r="A18" s="34"/>
      <c r="B18" s="35"/>
      <c r="C18" s="36"/>
      <c r="D18" s="35"/>
      <c r="E18" s="35"/>
      <c r="F18" s="37"/>
      <c r="G18" s="38"/>
      <c r="H18" s="38"/>
      <c r="I18" s="38"/>
      <c r="J18" s="39"/>
      <c r="K18" s="38"/>
      <c r="L18" s="38"/>
      <c r="M18" s="38"/>
      <c r="Q18" s="36"/>
      <c r="R18" s="36"/>
      <c r="S18" s="48"/>
    </row>
    <row r="19" spans="1:19" ht="123" customHeight="1" x14ac:dyDescent="0.25">
      <c r="A19" s="34"/>
      <c r="B19" s="35"/>
      <c r="C19" s="36"/>
      <c r="D19" s="35"/>
      <c r="E19" s="35"/>
      <c r="F19" s="37"/>
      <c r="G19" s="38"/>
      <c r="H19" s="38"/>
      <c r="I19" s="38"/>
      <c r="J19" s="39"/>
      <c r="K19" s="38"/>
      <c r="L19" s="38"/>
      <c r="M19" s="38"/>
      <c r="Q19" s="36"/>
      <c r="R19" s="36"/>
      <c r="S19" s="48"/>
    </row>
    <row r="20" spans="1:19" ht="123" customHeight="1" x14ac:dyDescent="0.25">
      <c r="A20" s="34"/>
      <c r="B20" s="35"/>
      <c r="C20" s="36"/>
      <c r="D20" s="35"/>
      <c r="E20" s="35"/>
      <c r="F20" s="37"/>
      <c r="G20" s="38"/>
      <c r="H20" s="38"/>
      <c r="I20" s="38"/>
      <c r="J20" s="39"/>
      <c r="K20" s="38"/>
      <c r="L20" s="38"/>
      <c r="M20" s="38"/>
      <c r="Q20" s="36"/>
      <c r="R20" s="36"/>
      <c r="S20" s="48"/>
    </row>
    <row r="21" spans="1:19" ht="123" customHeight="1" x14ac:dyDescent="0.25">
      <c r="A21" s="34"/>
      <c r="B21" s="35"/>
      <c r="C21" s="36"/>
      <c r="D21" s="35"/>
      <c r="E21" s="35"/>
      <c r="F21" s="37"/>
      <c r="G21" s="38"/>
      <c r="H21" s="38"/>
      <c r="I21" s="38"/>
      <c r="J21" s="39"/>
      <c r="K21" s="38"/>
      <c r="L21" s="38"/>
      <c r="M21" s="38"/>
      <c r="Q21" s="36"/>
      <c r="R21" s="36"/>
      <c r="S21" s="48"/>
    </row>
    <row r="22" spans="1:19" ht="123" customHeight="1" x14ac:dyDescent="0.25">
      <c r="A22" s="34"/>
      <c r="B22" s="35"/>
      <c r="C22" s="36"/>
      <c r="D22" s="35"/>
      <c r="E22" s="35"/>
      <c r="F22" s="37"/>
      <c r="G22" s="38"/>
      <c r="H22" s="38"/>
      <c r="I22" s="38"/>
      <c r="J22" s="39"/>
      <c r="K22" s="38"/>
      <c r="L22" s="38"/>
      <c r="M22" s="38"/>
      <c r="Q22" s="36"/>
      <c r="R22" s="36"/>
      <c r="S22" s="48"/>
    </row>
    <row r="23" spans="1:19" ht="123" customHeight="1" x14ac:dyDescent="0.25">
      <c r="A23" s="34"/>
      <c r="B23" s="35"/>
      <c r="C23" s="36"/>
      <c r="D23" s="35"/>
      <c r="E23" s="35"/>
      <c r="F23" s="37"/>
      <c r="G23" s="38"/>
      <c r="H23" s="38"/>
      <c r="I23" s="38"/>
      <c r="J23" s="39"/>
      <c r="K23" s="38"/>
      <c r="L23" s="38"/>
      <c r="M23" s="38"/>
      <c r="Q23" s="36"/>
      <c r="R23" s="36"/>
      <c r="S23" s="48"/>
    </row>
    <row r="24" spans="1:19" ht="123" customHeight="1" x14ac:dyDescent="0.25">
      <c r="A24" s="34"/>
      <c r="B24" s="35"/>
      <c r="C24" s="36"/>
      <c r="D24" s="35"/>
      <c r="E24" s="35"/>
      <c r="F24" s="37"/>
      <c r="G24" s="38"/>
      <c r="H24" s="38"/>
      <c r="I24" s="38"/>
      <c r="J24" s="39"/>
      <c r="K24" s="38"/>
      <c r="L24" s="38"/>
      <c r="M24" s="38"/>
      <c r="Q24" s="36"/>
      <c r="R24" s="36"/>
      <c r="S24" s="48"/>
    </row>
    <row r="25" spans="1:19" ht="123" customHeight="1" x14ac:dyDescent="0.25">
      <c r="A25" s="34"/>
      <c r="B25" s="35"/>
      <c r="C25" s="36"/>
      <c r="D25" s="35"/>
      <c r="E25" s="35"/>
      <c r="F25" s="37"/>
      <c r="G25" s="38"/>
      <c r="H25" s="38"/>
      <c r="I25" s="38"/>
      <c r="J25" s="39"/>
      <c r="K25" s="38"/>
      <c r="L25" s="38"/>
      <c r="M25" s="38"/>
      <c r="Q25" s="36"/>
      <c r="R25" s="36"/>
      <c r="S25" s="48"/>
    </row>
    <row r="26" spans="1:19" ht="123" customHeight="1" x14ac:dyDescent="0.25">
      <c r="A26" s="34"/>
      <c r="B26" s="35"/>
      <c r="C26" s="36"/>
      <c r="D26" s="35"/>
      <c r="E26" s="35"/>
      <c r="F26" s="37"/>
      <c r="G26" s="38"/>
      <c r="H26" s="38"/>
      <c r="I26" s="38"/>
      <c r="J26" s="39"/>
      <c r="K26" s="38"/>
      <c r="L26" s="38"/>
      <c r="M26" s="38"/>
      <c r="Q26" s="36"/>
      <c r="R26" s="36"/>
      <c r="S26" s="48"/>
    </row>
    <row r="27" spans="1:19" ht="123" customHeight="1" x14ac:dyDescent="0.25">
      <c r="A27" s="34"/>
      <c r="B27" s="35"/>
      <c r="C27" s="36"/>
      <c r="D27" s="35"/>
      <c r="E27" s="35"/>
      <c r="F27" s="37"/>
      <c r="G27" s="38"/>
      <c r="H27" s="38"/>
      <c r="I27" s="38"/>
      <c r="J27" s="39"/>
      <c r="K27" s="38"/>
      <c r="L27" s="38"/>
      <c r="M27" s="38"/>
      <c r="Q27" s="36"/>
      <c r="R27" s="36"/>
      <c r="S27" s="48"/>
    </row>
    <row r="28" spans="1:19" ht="123" customHeight="1" x14ac:dyDescent="0.25">
      <c r="A28" s="34"/>
      <c r="B28" s="35"/>
      <c r="C28" s="36"/>
      <c r="D28" s="35"/>
      <c r="E28" s="35"/>
      <c r="F28" s="37"/>
      <c r="G28" s="38"/>
      <c r="H28" s="38"/>
      <c r="I28" s="38"/>
      <c r="J28" s="39"/>
      <c r="K28" s="38"/>
      <c r="L28" s="38"/>
      <c r="M28" s="38"/>
      <c r="Q28" s="36"/>
      <c r="R28" s="36"/>
      <c r="S28" s="48"/>
    </row>
    <row r="29" spans="1:19" ht="123" customHeight="1" x14ac:dyDescent="0.25">
      <c r="A29" s="34"/>
      <c r="B29" s="35"/>
      <c r="C29" s="36"/>
      <c r="D29" s="35"/>
      <c r="E29" s="35"/>
      <c r="F29" s="37"/>
      <c r="G29" s="38"/>
      <c r="H29" s="38"/>
      <c r="I29" s="38"/>
      <c r="J29" s="39"/>
      <c r="K29" s="38"/>
      <c r="L29" s="38"/>
      <c r="M29" s="38"/>
      <c r="Q29" s="36"/>
      <c r="R29" s="36"/>
      <c r="S29" s="48"/>
    </row>
    <row r="30" spans="1:19" ht="123" customHeight="1" x14ac:dyDescent="0.25">
      <c r="A30" s="34"/>
      <c r="B30" s="35"/>
      <c r="C30" s="36"/>
      <c r="D30" s="35"/>
      <c r="E30" s="35"/>
      <c r="F30" s="37"/>
      <c r="G30" s="38"/>
      <c r="H30" s="38"/>
      <c r="I30" s="38"/>
      <c r="J30" s="39"/>
      <c r="K30" s="38"/>
      <c r="L30" s="38"/>
      <c r="M30" s="38"/>
      <c r="Q30" s="36"/>
      <c r="R30" s="36"/>
      <c r="S30" s="48"/>
    </row>
    <row r="31" spans="1:19" ht="123" customHeight="1" x14ac:dyDescent="0.25">
      <c r="A31" s="34"/>
      <c r="B31" s="35"/>
      <c r="C31" s="36"/>
      <c r="D31" s="35"/>
      <c r="E31" s="35"/>
      <c r="F31" s="37"/>
      <c r="G31" s="38"/>
      <c r="H31" s="38"/>
      <c r="I31" s="38"/>
      <c r="J31" s="39"/>
      <c r="K31" s="38"/>
      <c r="L31" s="38"/>
      <c r="M31" s="38"/>
      <c r="Q31" s="36"/>
      <c r="R31" s="36"/>
      <c r="S31" s="48"/>
    </row>
    <row r="32" spans="1:19" ht="123" customHeight="1" x14ac:dyDescent="0.25">
      <c r="A32" s="34"/>
      <c r="B32" s="35"/>
      <c r="C32" s="36"/>
      <c r="D32" s="35"/>
      <c r="E32" s="35"/>
      <c r="F32" s="37"/>
      <c r="G32" s="38"/>
      <c r="H32" s="38"/>
      <c r="I32" s="38"/>
      <c r="J32" s="39"/>
      <c r="K32" s="38"/>
      <c r="L32" s="38"/>
      <c r="M32" s="38"/>
      <c r="Q32" s="36"/>
      <c r="R32" s="36"/>
      <c r="S32" s="48"/>
    </row>
    <row r="33" spans="1:19" ht="123" customHeight="1" x14ac:dyDescent="0.25">
      <c r="A33" s="34"/>
      <c r="B33" s="35"/>
      <c r="C33" s="36"/>
      <c r="D33" s="35"/>
      <c r="E33" s="35"/>
      <c r="F33" s="37"/>
      <c r="G33" s="38"/>
      <c r="H33" s="38"/>
      <c r="I33" s="38"/>
      <c r="J33" s="39"/>
      <c r="K33" s="38"/>
      <c r="L33" s="38"/>
      <c r="M33" s="38"/>
      <c r="Q33" s="36"/>
      <c r="R33" s="36"/>
      <c r="S33" s="48"/>
    </row>
    <row r="34" spans="1:19" ht="123" customHeight="1" x14ac:dyDescent="0.25">
      <c r="A34" s="34"/>
      <c r="B34" s="35"/>
      <c r="C34" s="36"/>
      <c r="D34" s="35"/>
      <c r="E34" s="35"/>
      <c r="F34" s="37"/>
      <c r="G34" s="38"/>
      <c r="H34" s="38"/>
      <c r="I34" s="38"/>
      <c r="J34" s="39"/>
      <c r="K34" s="38"/>
      <c r="L34" s="38"/>
      <c r="M34" s="38"/>
      <c r="Q34" s="36"/>
      <c r="R34" s="36"/>
      <c r="S34" s="48"/>
    </row>
    <row r="35" spans="1:19" ht="123" customHeight="1" x14ac:dyDescent="0.25">
      <c r="A35" s="34"/>
      <c r="B35" s="35"/>
      <c r="C35" s="36"/>
      <c r="D35" s="35"/>
      <c r="E35" s="35"/>
      <c r="F35" s="37"/>
      <c r="G35" s="38"/>
      <c r="H35" s="38"/>
      <c r="I35" s="38"/>
      <c r="J35" s="39"/>
      <c r="K35" s="38"/>
      <c r="L35" s="38"/>
      <c r="M35" s="38"/>
      <c r="Q35" s="36"/>
      <c r="R35" s="36"/>
      <c r="S35" s="48"/>
    </row>
    <row r="36" spans="1:19" ht="123" customHeight="1" x14ac:dyDescent="0.25">
      <c r="A36" s="34"/>
      <c r="B36" s="35"/>
      <c r="C36" s="36"/>
      <c r="D36" s="35"/>
      <c r="E36" s="35"/>
      <c r="F36" s="37"/>
      <c r="G36" s="38"/>
      <c r="H36" s="38"/>
      <c r="I36" s="38"/>
      <c r="J36" s="39"/>
      <c r="K36" s="38"/>
      <c r="L36" s="38"/>
      <c r="M36" s="38"/>
      <c r="Q36" s="36"/>
      <c r="R36" s="36"/>
      <c r="S36" s="48"/>
    </row>
    <row r="37" spans="1:19" ht="123" customHeight="1" x14ac:dyDescent="0.25">
      <c r="A37" s="34"/>
      <c r="B37" s="35"/>
      <c r="C37" s="36"/>
      <c r="D37" s="35"/>
      <c r="E37" s="35"/>
      <c r="F37" s="37"/>
      <c r="G37" s="38"/>
      <c r="H37" s="38"/>
      <c r="I37" s="38"/>
      <c r="J37" s="39"/>
      <c r="K37" s="38"/>
      <c r="L37" s="38"/>
      <c r="M37" s="38"/>
      <c r="Q37" s="36"/>
      <c r="R37" s="36"/>
      <c r="S37" s="48"/>
    </row>
    <row r="38" spans="1:19" ht="123" customHeight="1" x14ac:dyDescent="0.25">
      <c r="A38" s="34"/>
      <c r="B38" s="35"/>
      <c r="C38" s="36"/>
      <c r="D38" s="35"/>
      <c r="E38" s="35"/>
      <c r="F38" s="37"/>
      <c r="G38" s="38"/>
      <c r="H38" s="38"/>
      <c r="I38" s="38"/>
      <c r="J38" s="39"/>
      <c r="K38" s="38"/>
      <c r="L38" s="38"/>
      <c r="M38" s="38"/>
      <c r="Q38" s="36"/>
      <c r="R38" s="36"/>
      <c r="S38" s="48"/>
    </row>
    <row r="39" spans="1:19" ht="123" customHeight="1" x14ac:dyDescent="0.25">
      <c r="A39" s="34"/>
      <c r="B39" s="35"/>
      <c r="C39" s="36"/>
      <c r="D39" s="35"/>
      <c r="E39" s="35"/>
      <c r="F39" s="37"/>
      <c r="G39" s="38"/>
      <c r="H39" s="38"/>
      <c r="I39" s="38"/>
      <c r="J39" s="39"/>
      <c r="K39" s="38"/>
      <c r="L39" s="38"/>
      <c r="M39" s="38"/>
      <c r="Q39" s="36"/>
      <c r="R39" s="36"/>
      <c r="S39" s="48"/>
    </row>
    <row r="40" spans="1:19" ht="123" customHeight="1" x14ac:dyDescent="0.25">
      <c r="A40" s="34"/>
      <c r="B40" s="35"/>
      <c r="C40" s="36"/>
      <c r="D40" s="35"/>
      <c r="E40" s="35"/>
      <c r="F40" s="37"/>
      <c r="G40" s="38"/>
      <c r="H40" s="38"/>
      <c r="I40" s="38"/>
      <c r="J40" s="39"/>
      <c r="K40" s="38"/>
      <c r="L40" s="38"/>
      <c r="M40" s="38"/>
      <c r="Q40" s="36"/>
      <c r="R40" s="36"/>
      <c r="S40" s="48"/>
    </row>
    <row r="41" spans="1:19" ht="123" customHeight="1" x14ac:dyDescent="0.25">
      <c r="A41" s="34"/>
      <c r="B41" s="35"/>
      <c r="C41" s="36"/>
      <c r="D41" s="35"/>
      <c r="E41" s="35"/>
      <c r="F41" s="37"/>
      <c r="G41" s="38"/>
      <c r="H41" s="38"/>
      <c r="I41" s="38"/>
      <c r="J41" s="39"/>
      <c r="K41" s="38"/>
      <c r="L41" s="38"/>
      <c r="M41" s="38"/>
      <c r="Q41" s="36"/>
      <c r="R41" s="36"/>
      <c r="S41" s="48"/>
    </row>
    <row r="42" spans="1:19" ht="123" customHeight="1" x14ac:dyDescent="0.25">
      <c r="A42" s="34"/>
      <c r="B42" s="35"/>
      <c r="C42" s="36"/>
      <c r="D42" s="35"/>
      <c r="E42" s="35"/>
      <c r="F42" s="37"/>
      <c r="G42" s="38"/>
      <c r="H42" s="38"/>
      <c r="I42" s="38"/>
      <c r="J42" s="39"/>
      <c r="K42" s="38"/>
      <c r="L42" s="38"/>
      <c r="M42" s="38"/>
      <c r="Q42" s="36"/>
      <c r="R42" s="36"/>
      <c r="S42" s="48"/>
    </row>
    <row r="43" spans="1:19" ht="123" customHeight="1" x14ac:dyDescent="0.25">
      <c r="A43" s="34"/>
      <c r="B43" s="35"/>
      <c r="C43" s="36"/>
      <c r="D43" s="35"/>
      <c r="E43" s="35"/>
      <c r="F43" s="37"/>
      <c r="G43" s="38"/>
      <c r="H43" s="38"/>
      <c r="I43" s="38"/>
      <c r="J43" s="39"/>
      <c r="K43" s="38"/>
      <c r="L43" s="38"/>
      <c r="M43" s="38"/>
      <c r="Q43" s="36"/>
      <c r="R43" s="36"/>
      <c r="S43" s="48"/>
    </row>
    <row r="44" spans="1:19" ht="123" customHeight="1" x14ac:dyDescent="0.25">
      <c r="A44" s="34"/>
      <c r="B44" s="35"/>
      <c r="C44" s="36"/>
      <c r="D44" s="35"/>
      <c r="E44" s="35"/>
      <c r="F44" s="37"/>
      <c r="G44" s="38"/>
      <c r="H44" s="38"/>
      <c r="I44" s="38"/>
      <c r="J44" s="39"/>
      <c r="K44" s="38"/>
      <c r="L44" s="38"/>
      <c r="M44" s="38"/>
      <c r="Q44" s="36"/>
      <c r="R44" s="36"/>
      <c r="S44" s="48"/>
    </row>
    <row r="45" spans="1:19" ht="123" customHeight="1" x14ac:dyDescent="0.25">
      <c r="A45" s="34"/>
      <c r="B45" s="35"/>
      <c r="C45" s="36"/>
      <c r="D45" s="35"/>
      <c r="E45" s="35"/>
      <c r="F45" s="37"/>
      <c r="G45" s="38"/>
      <c r="H45" s="38"/>
      <c r="I45" s="38"/>
      <c r="J45" s="39"/>
      <c r="K45" s="38"/>
      <c r="L45" s="38"/>
      <c r="M45" s="38"/>
      <c r="Q45" s="36"/>
      <c r="R45" s="36"/>
      <c r="S45" s="48"/>
    </row>
    <row r="46" spans="1:19" ht="123" customHeight="1" x14ac:dyDescent="0.25">
      <c r="A46" s="34"/>
      <c r="B46" s="35"/>
      <c r="C46" s="36"/>
      <c r="D46" s="35"/>
      <c r="E46" s="35"/>
      <c r="F46" s="37"/>
      <c r="G46" s="38"/>
      <c r="H46" s="38"/>
      <c r="I46" s="38"/>
      <c r="J46" s="39"/>
      <c r="K46" s="38"/>
      <c r="L46" s="38"/>
      <c r="M46" s="38"/>
      <c r="Q46" s="36"/>
      <c r="R46" s="36"/>
      <c r="S46" s="48"/>
    </row>
    <row r="47" spans="1:19" ht="123" customHeight="1" x14ac:dyDescent="0.25">
      <c r="A47" s="34"/>
      <c r="B47" s="35"/>
      <c r="C47" s="36"/>
      <c r="D47" s="35"/>
      <c r="E47" s="35"/>
      <c r="F47" s="37"/>
      <c r="G47" s="38"/>
      <c r="H47" s="38"/>
      <c r="I47" s="38"/>
      <c r="J47" s="39"/>
      <c r="K47" s="38"/>
      <c r="L47" s="38"/>
      <c r="M47" s="38"/>
      <c r="Q47" s="36"/>
      <c r="R47" s="36"/>
      <c r="S47" s="48"/>
    </row>
    <row r="48" spans="1:19" ht="123" customHeight="1" x14ac:dyDescent="0.25">
      <c r="A48" s="34"/>
      <c r="B48" s="35"/>
      <c r="C48" s="36"/>
      <c r="D48" s="35"/>
      <c r="E48" s="35"/>
      <c r="F48" s="37"/>
      <c r="G48" s="38"/>
      <c r="H48" s="38"/>
      <c r="I48" s="38"/>
      <c r="J48" s="39"/>
      <c r="K48" s="38"/>
      <c r="L48" s="38"/>
      <c r="M48" s="38"/>
      <c r="Q48" s="36"/>
      <c r="R48" s="36"/>
      <c r="S48" s="48"/>
    </row>
    <row r="49" spans="1:19" ht="123" customHeight="1" x14ac:dyDescent="0.25">
      <c r="A49" s="34"/>
      <c r="B49" s="35"/>
      <c r="C49" s="36"/>
      <c r="D49" s="35"/>
      <c r="E49" s="35"/>
      <c r="F49" s="37"/>
      <c r="G49" s="38"/>
      <c r="H49" s="38"/>
      <c r="I49" s="38"/>
      <c r="J49" s="39"/>
      <c r="K49" s="38"/>
      <c r="L49" s="38"/>
      <c r="M49" s="38"/>
      <c r="Q49" s="36"/>
      <c r="R49" s="36"/>
      <c r="S49" s="48"/>
    </row>
    <row r="50" spans="1:19" ht="123" customHeight="1" x14ac:dyDescent="0.25">
      <c r="A50" s="34"/>
      <c r="B50" s="35"/>
      <c r="C50" s="36"/>
      <c r="D50" s="35"/>
      <c r="E50" s="35"/>
      <c r="F50" s="37"/>
      <c r="G50" s="38"/>
      <c r="H50" s="38"/>
      <c r="I50" s="38"/>
      <c r="J50" s="39"/>
      <c r="K50" s="38"/>
      <c r="L50" s="38"/>
      <c r="M50" s="38"/>
      <c r="Q50" s="36"/>
      <c r="R50" s="36"/>
      <c r="S50" s="48"/>
    </row>
    <row r="51" spans="1:19" ht="123" customHeight="1" x14ac:dyDescent="0.25">
      <c r="A51" s="34"/>
      <c r="B51" s="35"/>
      <c r="C51" s="36"/>
      <c r="D51" s="35"/>
      <c r="E51" s="35"/>
      <c r="F51" s="37"/>
      <c r="G51" s="38"/>
      <c r="H51" s="38"/>
      <c r="I51" s="38"/>
      <c r="J51" s="39"/>
      <c r="K51" s="38"/>
      <c r="L51" s="38"/>
      <c r="M51" s="38"/>
      <c r="Q51" s="36"/>
      <c r="R51" s="36"/>
      <c r="S51" s="48"/>
    </row>
    <row r="52" spans="1:19" ht="123" customHeight="1" x14ac:dyDescent="0.25">
      <c r="A52" s="34"/>
      <c r="B52" s="35"/>
      <c r="C52" s="36"/>
      <c r="D52" s="35"/>
      <c r="E52" s="35"/>
      <c r="F52" s="37"/>
      <c r="G52" s="38"/>
      <c r="H52" s="38"/>
      <c r="I52" s="38"/>
      <c r="J52" s="39"/>
      <c r="K52" s="38"/>
      <c r="L52" s="38"/>
      <c r="M52" s="38"/>
      <c r="Q52" s="36"/>
      <c r="R52" s="36"/>
      <c r="S52" s="48"/>
    </row>
    <row r="53" spans="1:19" ht="123" customHeight="1" x14ac:dyDescent="0.25">
      <c r="A53" s="34"/>
      <c r="B53" s="35"/>
      <c r="C53" s="36"/>
      <c r="D53" s="35"/>
      <c r="E53" s="35"/>
      <c r="F53" s="37"/>
      <c r="G53" s="38"/>
      <c r="H53" s="38"/>
      <c r="I53" s="38"/>
      <c r="J53" s="39"/>
      <c r="K53" s="38"/>
      <c r="L53" s="38"/>
      <c r="M53" s="38"/>
      <c r="Q53" s="36"/>
      <c r="R53" s="36"/>
      <c r="S53" s="48"/>
    </row>
    <row r="54" spans="1:19" ht="123" customHeight="1" x14ac:dyDescent="0.25">
      <c r="A54" s="34"/>
      <c r="B54" s="35"/>
      <c r="C54" s="36"/>
      <c r="D54" s="35"/>
      <c r="E54" s="35"/>
      <c r="F54" s="37"/>
      <c r="G54" s="38"/>
      <c r="H54" s="38"/>
      <c r="I54" s="38"/>
      <c r="J54" s="39"/>
      <c r="K54" s="38"/>
      <c r="L54" s="38"/>
      <c r="M54" s="38"/>
      <c r="Q54" s="36"/>
      <c r="R54" s="36"/>
      <c r="S54" s="48"/>
    </row>
    <row r="55" spans="1:19" ht="123" customHeight="1" x14ac:dyDescent="0.25">
      <c r="A55" s="34"/>
      <c r="B55" s="35"/>
      <c r="C55" s="36"/>
      <c r="D55" s="35"/>
      <c r="E55" s="35"/>
      <c r="F55" s="37"/>
      <c r="G55" s="38"/>
      <c r="H55" s="38"/>
      <c r="I55" s="38"/>
      <c r="J55" s="39"/>
      <c r="K55" s="38"/>
      <c r="L55" s="38"/>
      <c r="M55" s="38"/>
      <c r="Q55" s="36"/>
      <c r="R55" s="36"/>
      <c r="S55" s="48"/>
    </row>
    <row r="56" spans="1:19" ht="123" customHeight="1" x14ac:dyDescent="0.25">
      <c r="A56" s="34"/>
      <c r="B56" s="35"/>
      <c r="C56" s="36"/>
      <c r="D56" s="35"/>
      <c r="E56" s="35"/>
      <c r="F56" s="37"/>
      <c r="G56" s="38"/>
      <c r="H56" s="38"/>
      <c r="I56" s="38"/>
      <c r="J56" s="39"/>
      <c r="K56" s="38"/>
      <c r="L56" s="38"/>
      <c r="M56" s="38"/>
      <c r="Q56" s="36"/>
      <c r="R56" s="36"/>
      <c r="S56" s="48"/>
    </row>
    <row r="57" spans="1:19" ht="123" customHeight="1" x14ac:dyDescent="0.25">
      <c r="A57" s="34"/>
      <c r="B57" s="35"/>
      <c r="C57" s="36"/>
      <c r="D57" s="35"/>
      <c r="E57" s="35"/>
      <c r="F57" s="37"/>
      <c r="G57" s="38"/>
      <c r="H57" s="38"/>
      <c r="I57" s="38"/>
      <c r="J57" s="39"/>
      <c r="K57" s="38"/>
      <c r="L57" s="38"/>
      <c r="M57" s="38"/>
      <c r="Q57" s="36"/>
      <c r="R57" s="36"/>
      <c r="S57" s="48"/>
    </row>
    <row r="58" spans="1:19" ht="123" customHeight="1" x14ac:dyDescent="0.25">
      <c r="A58" s="34"/>
      <c r="B58" s="35"/>
      <c r="C58" s="36"/>
      <c r="D58" s="35"/>
      <c r="E58" s="35"/>
      <c r="F58" s="37"/>
      <c r="G58" s="38"/>
      <c r="H58" s="38"/>
      <c r="I58" s="38"/>
      <c r="J58" s="39"/>
      <c r="K58" s="38"/>
      <c r="L58" s="38"/>
      <c r="M58" s="38"/>
      <c r="Q58" s="36"/>
      <c r="R58" s="36"/>
      <c r="S58" s="48"/>
    </row>
    <row r="59" spans="1:19" ht="123" customHeight="1" x14ac:dyDescent="0.25">
      <c r="A59" s="34"/>
      <c r="B59" s="35"/>
      <c r="C59" s="36"/>
      <c r="D59" s="35"/>
      <c r="E59" s="35"/>
      <c r="F59" s="37"/>
      <c r="G59" s="38"/>
      <c r="H59" s="38"/>
      <c r="I59" s="38"/>
      <c r="J59" s="39"/>
      <c r="K59" s="38"/>
      <c r="L59" s="38"/>
      <c r="M59" s="38"/>
      <c r="Q59" s="36"/>
      <c r="R59" s="36"/>
      <c r="S59" s="48"/>
    </row>
    <row r="60" spans="1:19" ht="123" customHeight="1" x14ac:dyDescent="0.25">
      <c r="A60" s="34"/>
      <c r="B60" s="35"/>
      <c r="C60" s="36"/>
      <c r="D60" s="35"/>
      <c r="E60" s="35"/>
      <c r="F60" s="37"/>
      <c r="G60" s="38"/>
      <c r="H60" s="38"/>
      <c r="I60" s="38"/>
      <c r="J60" s="39"/>
      <c r="K60" s="38"/>
      <c r="L60" s="38"/>
      <c r="M60" s="38"/>
      <c r="Q60" s="36"/>
      <c r="R60" s="36"/>
      <c r="S60" s="48"/>
    </row>
    <row r="61" spans="1:19" ht="123" customHeight="1" x14ac:dyDescent="0.25">
      <c r="A61" s="34"/>
      <c r="B61" s="35"/>
      <c r="C61" s="36"/>
      <c r="D61" s="35"/>
      <c r="E61" s="35"/>
      <c r="F61" s="37"/>
      <c r="G61" s="38"/>
      <c r="H61" s="38"/>
      <c r="I61" s="38"/>
      <c r="J61" s="39"/>
      <c r="K61" s="38"/>
      <c r="L61" s="38"/>
      <c r="M61" s="38"/>
      <c r="Q61" s="36"/>
      <c r="R61" s="36"/>
      <c r="S61" s="48"/>
    </row>
    <row r="62" spans="1:19" ht="123" customHeight="1" x14ac:dyDescent="0.25">
      <c r="A62" s="34"/>
      <c r="B62" s="35"/>
      <c r="C62" s="36"/>
      <c r="D62" s="35"/>
      <c r="E62" s="35"/>
      <c r="F62" s="37"/>
      <c r="G62" s="38"/>
      <c r="H62" s="38"/>
      <c r="I62" s="38"/>
      <c r="J62" s="39"/>
      <c r="K62" s="38"/>
      <c r="L62" s="38"/>
      <c r="M62" s="38"/>
      <c r="Q62" s="36"/>
      <c r="R62" s="36"/>
      <c r="S62" s="48"/>
    </row>
    <row r="63" spans="1:19" ht="123" customHeight="1" x14ac:dyDescent="0.25">
      <c r="A63" s="34"/>
      <c r="B63" s="35"/>
      <c r="C63" s="36"/>
      <c r="D63" s="35"/>
      <c r="E63" s="35"/>
      <c r="F63" s="37"/>
      <c r="G63" s="38"/>
      <c r="H63" s="38"/>
      <c r="I63" s="38"/>
      <c r="J63" s="39"/>
      <c r="K63" s="38"/>
      <c r="L63" s="38"/>
      <c r="M63" s="38"/>
      <c r="Q63" s="36"/>
      <c r="R63" s="36"/>
      <c r="S63" s="48"/>
    </row>
    <row r="64" spans="1:19" ht="123" customHeight="1" x14ac:dyDescent="0.25">
      <c r="A64" s="34"/>
      <c r="B64" s="35"/>
      <c r="C64" s="36"/>
      <c r="D64" s="35"/>
      <c r="E64" s="35"/>
      <c r="F64" s="37"/>
      <c r="G64" s="38"/>
      <c r="H64" s="38"/>
      <c r="I64" s="38"/>
      <c r="J64" s="39"/>
      <c r="K64" s="38"/>
      <c r="L64" s="38"/>
      <c r="M64" s="38"/>
      <c r="Q64" s="36"/>
      <c r="R64" s="36"/>
      <c r="S64" s="48"/>
    </row>
    <row r="65" spans="1:19" ht="123" customHeight="1" x14ac:dyDescent="0.25">
      <c r="A65" s="34"/>
      <c r="B65" s="35"/>
      <c r="C65" s="36"/>
      <c r="D65" s="35"/>
      <c r="E65" s="35"/>
      <c r="F65" s="37"/>
      <c r="G65" s="38"/>
      <c r="H65" s="38"/>
      <c r="I65" s="38"/>
      <c r="J65" s="39"/>
      <c r="K65" s="38"/>
      <c r="L65" s="38"/>
      <c r="M65" s="38"/>
      <c r="Q65" s="36"/>
      <c r="R65" s="36"/>
      <c r="S65" s="48"/>
    </row>
    <row r="66" spans="1:19" ht="123" customHeight="1" x14ac:dyDescent="0.25">
      <c r="A66" s="34"/>
      <c r="B66" s="35"/>
      <c r="C66" s="36"/>
      <c r="D66" s="35"/>
      <c r="E66" s="35"/>
      <c r="F66" s="37"/>
      <c r="G66" s="38"/>
      <c r="H66" s="38"/>
      <c r="I66" s="38"/>
      <c r="J66" s="39"/>
      <c r="K66" s="38"/>
      <c r="L66" s="38"/>
      <c r="M66" s="38"/>
      <c r="Q66" s="36"/>
      <c r="R66" s="36"/>
      <c r="S66" s="48"/>
    </row>
    <row r="67" spans="1:19" ht="123" customHeight="1" x14ac:dyDescent="0.25">
      <c r="A67" s="34"/>
      <c r="B67" s="35"/>
      <c r="C67" s="36"/>
      <c r="D67" s="35"/>
      <c r="E67" s="35"/>
      <c r="F67" s="37"/>
      <c r="G67" s="38"/>
      <c r="H67" s="38"/>
      <c r="I67" s="38"/>
      <c r="J67" s="39"/>
      <c r="K67" s="38"/>
      <c r="L67" s="38"/>
      <c r="M67" s="38"/>
      <c r="Q67" s="36"/>
      <c r="R67" s="36"/>
      <c r="S67" s="48"/>
    </row>
    <row r="68" spans="1:19" ht="123" customHeight="1" x14ac:dyDescent="0.25">
      <c r="A68" s="34"/>
      <c r="B68" s="35"/>
      <c r="C68" s="36"/>
      <c r="D68" s="35"/>
      <c r="E68" s="35"/>
      <c r="F68" s="37"/>
      <c r="G68" s="38"/>
      <c r="H68" s="38"/>
      <c r="I68" s="38"/>
      <c r="J68" s="39"/>
      <c r="K68" s="38"/>
      <c r="L68" s="38"/>
      <c r="M68" s="38"/>
      <c r="Q68" s="36"/>
      <c r="R68" s="36"/>
      <c r="S68" s="48"/>
    </row>
    <row r="69" spans="1:19" ht="123" customHeight="1" x14ac:dyDescent="0.25">
      <c r="A69" s="34"/>
      <c r="B69" s="35"/>
      <c r="C69" s="36"/>
      <c r="D69" s="35"/>
      <c r="E69" s="35"/>
      <c r="F69" s="37"/>
      <c r="G69" s="38"/>
      <c r="H69" s="38"/>
      <c r="I69" s="38"/>
      <c r="J69" s="39"/>
      <c r="K69" s="38"/>
      <c r="L69" s="38"/>
      <c r="M69" s="38"/>
      <c r="Q69" s="36"/>
      <c r="R69" s="36"/>
      <c r="S69" s="48"/>
    </row>
    <row r="70" spans="1:19" ht="123" customHeight="1" x14ac:dyDescent="0.25">
      <c r="A70" s="34"/>
      <c r="B70" s="35"/>
      <c r="C70" s="36"/>
      <c r="D70" s="35"/>
      <c r="E70" s="35"/>
      <c r="F70" s="37"/>
      <c r="G70" s="38"/>
      <c r="H70" s="38"/>
      <c r="I70" s="38"/>
      <c r="J70" s="39"/>
      <c r="K70" s="38"/>
      <c r="L70" s="38"/>
      <c r="M70" s="38"/>
      <c r="Q70" s="36"/>
      <c r="R70" s="36"/>
      <c r="S70" s="48"/>
    </row>
    <row r="71" spans="1:19" ht="123" customHeight="1" x14ac:dyDescent="0.25">
      <c r="A71" s="34"/>
      <c r="B71" s="35"/>
      <c r="C71" s="36"/>
      <c r="D71" s="35"/>
      <c r="E71" s="35"/>
      <c r="F71" s="37"/>
      <c r="G71" s="38"/>
      <c r="H71" s="38"/>
      <c r="I71" s="38"/>
      <c r="J71" s="39"/>
      <c r="K71" s="38"/>
      <c r="L71" s="38"/>
      <c r="M71" s="38"/>
      <c r="Q71" s="36"/>
      <c r="R71" s="36"/>
      <c r="S71" s="48"/>
    </row>
    <row r="72" spans="1:19" ht="123" customHeight="1" x14ac:dyDescent="0.25">
      <c r="A72" s="34"/>
      <c r="B72" s="35"/>
      <c r="C72" s="36"/>
      <c r="D72" s="35"/>
      <c r="E72" s="35"/>
      <c r="F72" s="37"/>
      <c r="G72" s="38"/>
      <c r="H72" s="38"/>
      <c r="I72" s="38"/>
      <c r="J72" s="39"/>
      <c r="K72" s="38"/>
      <c r="L72" s="38"/>
      <c r="M72" s="38"/>
      <c r="Q72" s="36"/>
      <c r="R72" s="36"/>
      <c r="S72" s="48"/>
    </row>
    <row r="73" spans="1:19" ht="123" customHeight="1" x14ac:dyDescent="0.25">
      <c r="A73" s="34"/>
      <c r="B73" s="35"/>
      <c r="C73" s="36"/>
      <c r="D73" s="35"/>
      <c r="E73" s="35"/>
      <c r="F73" s="37"/>
      <c r="G73" s="38"/>
      <c r="H73" s="38"/>
      <c r="I73" s="38"/>
      <c r="J73" s="39"/>
      <c r="K73" s="38"/>
      <c r="L73" s="38"/>
      <c r="M73" s="38"/>
      <c r="Q73" s="36"/>
      <c r="R73" s="36"/>
      <c r="S73" s="48"/>
    </row>
    <row r="74" spans="1:19" ht="123" customHeight="1" x14ac:dyDescent="0.25">
      <c r="A74" s="34"/>
      <c r="B74" s="35"/>
      <c r="C74" s="36"/>
      <c r="D74" s="35"/>
      <c r="E74" s="35"/>
      <c r="F74" s="37"/>
      <c r="G74" s="38"/>
      <c r="H74" s="38"/>
      <c r="I74" s="38"/>
      <c r="J74" s="39"/>
      <c r="K74" s="38"/>
      <c r="L74" s="38"/>
      <c r="M74" s="38"/>
      <c r="Q74" s="36"/>
      <c r="R74" s="36"/>
      <c r="S74" s="48"/>
    </row>
    <row r="75" spans="1:19" ht="123" customHeight="1" x14ac:dyDescent="0.25">
      <c r="A75" s="34"/>
      <c r="B75" s="35"/>
      <c r="C75" s="36"/>
      <c r="D75" s="35"/>
      <c r="E75" s="35"/>
      <c r="F75" s="37"/>
      <c r="G75" s="38"/>
      <c r="H75" s="38"/>
      <c r="I75" s="38"/>
      <c r="J75" s="39"/>
      <c r="K75" s="38"/>
      <c r="L75" s="38"/>
      <c r="M75" s="38"/>
      <c r="Q75" s="36"/>
      <c r="R75" s="36"/>
      <c r="S75" s="48"/>
    </row>
    <row r="76" spans="1:19" ht="123" customHeight="1" x14ac:dyDescent="0.25">
      <c r="A76" s="34"/>
      <c r="B76" s="35"/>
      <c r="C76" s="36"/>
      <c r="D76" s="35"/>
      <c r="E76" s="35"/>
      <c r="F76" s="37"/>
      <c r="G76" s="38"/>
      <c r="H76" s="38"/>
      <c r="I76" s="38"/>
      <c r="J76" s="39"/>
      <c r="K76" s="38"/>
      <c r="L76" s="38"/>
      <c r="M76" s="38"/>
      <c r="Q76" s="36"/>
      <c r="R76" s="36"/>
      <c r="S76" s="48"/>
    </row>
    <row r="77" spans="1:19" ht="123" customHeight="1" x14ac:dyDescent="0.25">
      <c r="A77" s="34"/>
      <c r="B77" s="35"/>
      <c r="C77" s="36"/>
      <c r="D77" s="35"/>
      <c r="E77" s="35"/>
      <c r="F77" s="37"/>
      <c r="G77" s="38"/>
      <c r="H77" s="38"/>
      <c r="I77" s="38"/>
      <c r="J77" s="39"/>
      <c r="K77" s="38"/>
      <c r="L77" s="38"/>
      <c r="M77" s="38"/>
      <c r="Q77" s="36"/>
      <c r="R77" s="36"/>
      <c r="S77" s="48"/>
    </row>
    <row r="78" spans="1:19" ht="123" customHeight="1" x14ac:dyDescent="0.25">
      <c r="A78" s="34"/>
      <c r="B78" s="35"/>
      <c r="C78" s="36"/>
      <c r="D78" s="35"/>
      <c r="E78" s="35"/>
      <c r="F78" s="37"/>
      <c r="G78" s="38"/>
      <c r="H78" s="38"/>
      <c r="I78" s="38"/>
      <c r="J78" s="39"/>
      <c r="K78" s="38"/>
      <c r="L78" s="38"/>
      <c r="M78" s="38"/>
      <c r="Q78" s="36"/>
      <c r="R78" s="36"/>
      <c r="S78" s="48"/>
    </row>
    <row r="79" spans="1:19" ht="123" customHeight="1" x14ac:dyDescent="0.25">
      <c r="A79" s="34"/>
      <c r="B79" s="35"/>
      <c r="C79" s="36"/>
      <c r="D79" s="35"/>
      <c r="E79" s="35"/>
      <c r="F79" s="37"/>
      <c r="G79" s="38"/>
      <c r="H79" s="38"/>
      <c r="I79" s="38"/>
      <c r="J79" s="39"/>
      <c r="K79" s="38"/>
      <c r="L79" s="38"/>
      <c r="M79" s="38"/>
      <c r="Q79" s="36"/>
      <c r="R79" s="36"/>
      <c r="S79" s="48"/>
    </row>
    <row r="80" spans="1:19" ht="123" customHeight="1" x14ac:dyDescent="0.25">
      <c r="A80" s="34"/>
      <c r="B80" s="35"/>
      <c r="C80" s="36"/>
      <c r="D80" s="35"/>
      <c r="E80" s="35"/>
      <c r="F80" s="37"/>
      <c r="G80" s="38"/>
      <c r="H80" s="38"/>
      <c r="I80" s="38"/>
      <c r="J80" s="39"/>
      <c r="K80" s="38"/>
      <c r="L80" s="38"/>
      <c r="M80" s="38"/>
      <c r="Q80" s="36"/>
      <c r="R80" s="36"/>
      <c r="S80" s="48"/>
    </row>
    <row r="81" spans="1:19" ht="123" customHeight="1" x14ac:dyDescent="0.25">
      <c r="A81" s="34"/>
      <c r="B81" s="35"/>
      <c r="C81" s="36"/>
      <c r="D81" s="35"/>
      <c r="E81" s="35"/>
      <c r="F81" s="37"/>
      <c r="G81" s="38"/>
      <c r="H81" s="38"/>
      <c r="I81" s="38"/>
      <c r="J81" s="39"/>
      <c r="K81" s="38"/>
      <c r="L81" s="38"/>
      <c r="M81" s="38"/>
      <c r="Q81" s="36"/>
      <c r="R81" s="36"/>
      <c r="S81" s="48"/>
    </row>
    <row r="82" spans="1:19" ht="123" customHeight="1" x14ac:dyDescent="0.25">
      <c r="A82" s="34"/>
      <c r="B82" s="35"/>
      <c r="C82" s="36"/>
      <c r="D82" s="35"/>
      <c r="E82" s="35"/>
      <c r="F82" s="37"/>
      <c r="G82" s="38"/>
      <c r="H82" s="38"/>
      <c r="I82" s="38"/>
      <c r="J82" s="39"/>
      <c r="K82" s="38"/>
      <c r="L82" s="38"/>
      <c r="M82" s="38"/>
      <c r="Q82" s="36"/>
      <c r="R82" s="36"/>
      <c r="S82" s="48"/>
    </row>
    <row r="83" spans="1:19" ht="123" customHeight="1" x14ac:dyDescent="0.25">
      <c r="A83" s="34"/>
      <c r="B83" s="35"/>
      <c r="C83" s="36"/>
      <c r="D83" s="35"/>
      <c r="E83" s="35"/>
      <c r="F83" s="37"/>
      <c r="G83" s="38"/>
      <c r="H83" s="38"/>
      <c r="I83" s="38"/>
      <c r="J83" s="39"/>
      <c r="K83" s="38"/>
      <c r="L83" s="38"/>
      <c r="M83" s="38"/>
      <c r="Q83" s="36"/>
      <c r="R83" s="36"/>
      <c r="S83" s="48"/>
    </row>
    <row r="84" spans="1:19" ht="123" customHeight="1" x14ac:dyDescent="0.25">
      <c r="A84" s="34"/>
      <c r="B84" s="35"/>
      <c r="C84" s="36"/>
      <c r="D84" s="35"/>
      <c r="E84" s="35"/>
      <c r="F84" s="37"/>
      <c r="G84" s="38"/>
      <c r="H84" s="38"/>
      <c r="I84" s="38"/>
      <c r="J84" s="39"/>
      <c r="K84" s="38"/>
      <c r="L84" s="38"/>
      <c r="M84" s="38"/>
      <c r="Q84" s="36"/>
      <c r="R84" s="36"/>
      <c r="S84" s="48"/>
    </row>
    <row r="85" spans="1:19" ht="123" customHeight="1" x14ac:dyDescent="0.25">
      <c r="A85" s="34"/>
      <c r="B85" s="35"/>
      <c r="C85" s="36"/>
      <c r="D85" s="35"/>
      <c r="E85" s="35"/>
      <c r="F85" s="37"/>
      <c r="G85" s="38"/>
      <c r="H85" s="38"/>
      <c r="I85" s="38"/>
      <c r="J85" s="39"/>
      <c r="K85" s="38"/>
      <c r="L85" s="38"/>
      <c r="M85" s="38"/>
      <c r="Q85" s="36"/>
      <c r="R85" s="36"/>
      <c r="S85" s="48"/>
    </row>
    <row r="86" spans="1:19" ht="123" customHeight="1" x14ac:dyDescent="0.25">
      <c r="A86" s="34"/>
      <c r="B86" s="35"/>
      <c r="C86" s="36"/>
      <c r="D86" s="35"/>
      <c r="E86" s="35"/>
      <c r="F86" s="37"/>
      <c r="G86" s="38"/>
      <c r="H86" s="38"/>
      <c r="I86" s="38"/>
      <c r="J86" s="39"/>
      <c r="K86" s="38"/>
      <c r="L86" s="38"/>
      <c r="M86" s="38"/>
      <c r="Q86" s="36"/>
      <c r="R86" s="36"/>
      <c r="S86" s="48"/>
    </row>
    <row r="87" spans="1:19" ht="123" customHeight="1" x14ac:dyDescent="0.25">
      <c r="A87" s="34"/>
      <c r="B87" s="35"/>
      <c r="C87" s="36"/>
      <c r="D87" s="35"/>
      <c r="E87" s="35"/>
      <c r="F87" s="37"/>
      <c r="G87" s="38"/>
      <c r="H87" s="38"/>
      <c r="I87" s="38"/>
      <c r="J87" s="39"/>
      <c r="K87" s="38"/>
      <c r="L87" s="38"/>
      <c r="M87" s="38"/>
      <c r="Q87" s="36"/>
      <c r="R87" s="36"/>
      <c r="S87" s="48"/>
    </row>
    <row r="88" spans="1:19" ht="123" customHeight="1" x14ac:dyDescent="0.25">
      <c r="A88" s="34"/>
      <c r="B88" s="35"/>
      <c r="C88" s="36"/>
      <c r="D88" s="35"/>
      <c r="E88" s="35"/>
      <c r="F88" s="37"/>
      <c r="G88" s="38"/>
      <c r="H88" s="38"/>
      <c r="I88" s="38"/>
      <c r="J88" s="39"/>
      <c r="K88" s="38"/>
      <c r="L88" s="38"/>
      <c r="M88" s="38"/>
      <c r="Q88" s="36"/>
      <c r="R88" s="36"/>
      <c r="S88" s="48"/>
    </row>
    <row r="89" spans="1:19" ht="123" customHeight="1" x14ac:dyDescent="0.25">
      <c r="A89" s="34"/>
      <c r="B89" s="35"/>
      <c r="C89" s="36"/>
      <c r="D89" s="35"/>
      <c r="E89" s="35"/>
      <c r="F89" s="37"/>
      <c r="G89" s="38"/>
      <c r="H89" s="38"/>
      <c r="I89" s="38"/>
      <c r="J89" s="39"/>
      <c r="K89" s="38"/>
      <c r="L89" s="38"/>
      <c r="M89" s="38"/>
      <c r="Q89" s="36"/>
      <c r="R89" s="36"/>
      <c r="S89" s="48"/>
    </row>
    <row r="90" spans="1:19" ht="123" customHeight="1" x14ac:dyDescent="0.25">
      <c r="A90" s="34"/>
      <c r="B90" s="35"/>
      <c r="C90" s="36"/>
      <c r="D90" s="35"/>
      <c r="E90" s="35"/>
      <c r="F90" s="37"/>
      <c r="G90" s="38"/>
      <c r="H90" s="38"/>
      <c r="I90" s="38"/>
      <c r="J90" s="39"/>
      <c r="K90" s="38"/>
      <c r="L90" s="38"/>
      <c r="M90" s="38"/>
      <c r="Q90" s="36"/>
      <c r="R90" s="36"/>
      <c r="S90" s="48"/>
    </row>
    <row r="91" spans="1:19" ht="123" customHeight="1" x14ac:dyDescent="0.25">
      <c r="A91" s="34"/>
      <c r="B91" s="35"/>
      <c r="C91" s="36"/>
      <c r="D91" s="35"/>
      <c r="E91" s="35"/>
      <c r="F91" s="37"/>
      <c r="G91" s="38"/>
      <c r="H91" s="38"/>
      <c r="I91" s="38"/>
      <c r="J91" s="39"/>
      <c r="K91" s="38"/>
      <c r="L91" s="38"/>
      <c r="M91" s="38"/>
      <c r="Q91" s="36"/>
      <c r="R91" s="36"/>
      <c r="S91" s="48"/>
    </row>
    <row r="92" spans="1:19" ht="123" customHeight="1" x14ac:dyDescent="0.25">
      <c r="A92" s="34"/>
      <c r="B92" s="35"/>
      <c r="C92" s="36"/>
      <c r="D92" s="35"/>
      <c r="E92" s="35"/>
      <c r="F92" s="37"/>
      <c r="G92" s="38"/>
      <c r="H92" s="38"/>
      <c r="I92" s="38"/>
      <c r="J92" s="39"/>
      <c r="K92" s="38"/>
      <c r="L92" s="38"/>
      <c r="M92" s="38"/>
      <c r="Q92" s="36"/>
      <c r="R92" s="36"/>
      <c r="S92" s="48"/>
    </row>
    <row r="93" spans="1:19" ht="123" customHeight="1" x14ac:dyDescent="0.25">
      <c r="A93" s="34"/>
      <c r="B93" s="35"/>
      <c r="C93" s="36"/>
      <c r="D93" s="35"/>
      <c r="E93" s="35"/>
      <c r="F93" s="37"/>
      <c r="G93" s="38"/>
      <c r="H93" s="38"/>
      <c r="I93" s="38"/>
      <c r="J93" s="39"/>
      <c r="K93" s="38"/>
      <c r="L93" s="38"/>
      <c r="M93" s="38"/>
      <c r="Q93" s="36"/>
      <c r="R93" s="36"/>
      <c r="S93" s="48"/>
    </row>
    <row r="94" spans="1:19" ht="123" customHeight="1" x14ac:dyDescent="0.25">
      <c r="A94" s="34"/>
      <c r="B94" s="35"/>
      <c r="C94" s="36"/>
      <c r="D94" s="35"/>
      <c r="E94" s="35"/>
      <c r="F94" s="37"/>
      <c r="G94" s="38"/>
      <c r="H94" s="38"/>
      <c r="I94" s="38"/>
      <c r="J94" s="39"/>
      <c r="K94" s="38"/>
      <c r="L94" s="38"/>
      <c r="M94" s="38"/>
      <c r="Q94" s="36"/>
      <c r="R94" s="36"/>
      <c r="S94" s="48"/>
    </row>
    <row r="95" spans="1:19" ht="123" customHeight="1" x14ac:dyDescent="0.25">
      <c r="A95" s="34"/>
      <c r="B95" s="35"/>
      <c r="C95" s="36"/>
      <c r="D95" s="35"/>
      <c r="E95" s="35"/>
      <c r="F95" s="37"/>
      <c r="G95" s="38"/>
      <c r="H95" s="38"/>
      <c r="I95" s="38"/>
      <c r="J95" s="39"/>
      <c r="K95" s="38"/>
      <c r="L95" s="38"/>
      <c r="M95" s="38"/>
      <c r="Q95" s="36"/>
      <c r="R95" s="36"/>
      <c r="S95" s="48"/>
    </row>
    <row r="96" spans="1:19" ht="123" customHeight="1" x14ac:dyDescent="0.25">
      <c r="A96" s="34"/>
      <c r="B96" s="35"/>
      <c r="C96" s="36"/>
      <c r="D96" s="35"/>
      <c r="E96" s="35"/>
      <c r="F96" s="37"/>
      <c r="G96" s="38"/>
      <c r="H96" s="38"/>
      <c r="I96" s="38"/>
      <c r="J96" s="39"/>
      <c r="K96" s="38"/>
      <c r="L96" s="38"/>
      <c r="M96" s="38"/>
      <c r="Q96" s="36"/>
      <c r="R96" s="36"/>
      <c r="S96" s="48"/>
    </row>
    <row r="97" spans="1:19" ht="123" customHeight="1" x14ac:dyDescent="0.25">
      <c r="A97" s="34"/>
      <c r="B97" s="35"/>
      <c r="C97" s="36"/>
      <c r="D97" s="35"/>
      <c r="E97" s="35"/>
      <c r="F97" s="37"/>
      <c r="G97" s="38"/>
      <c r="H97" s="38"/>
      <c r="I97" s="38"/>
      <c r="J97" s="39"/>
      <c r="K97" s="38"/>
      <c r="L97" s="38"/>
      <c r="M97" s="38"/>
      <c r="Q97" s="36"/>
      <c r="R97" s="36"/>
      <c r="S97" s="48"/>
    </row>
    <row r="98" spans="1:19" ht="123" customHeight="1" x14ac:dyDescent="0.25">
      <c r="A98" s="34"/>
      <c r="B98" s="35"/>
      <c r="C98" s="36"/>
      <c r="D98" s="35"/>
      <c r="E98" s="35"/>
      <c r="F98" s="37"/>
      <c r="G98" s="38"/>
      <c r="H98" s="38"/>
      <c r="I98" s="38"/>
      <c r="J98" s="39"/>
      <c r="K98" s="38"/>
      <c r="L98" s="38"/>
      <c r="M98" s="38"/>
      <c r="Q98" s="36"/>
      <c r="R98" s="36"/>
      <c r="S98" s="48"/>
    </row>
    <row r="99" spans="1:19" ht="123" customHeight="1" x14ac:dyDescent="0.25">
      <c r="A99" s="34"/>
      <c r="B99" s="35"/>
      <c r="C99" s="36"/>
      <c r="D99" s="35"/>
      <c r="E99" s="35"/>
      <c r="F99" s="37"/>
      <c r="G99" s="38"/>
      <c r="H99" s="38"/>
      <c r="I99" s="38"/>
      <c r="J99" s="39"/>
      <c r="K99" s="38"/>
      <c r="L99" s="38"/>
      <c r="M99" s="38"/>
      <c r="Q99" s="36"/>
      <c r="R99" s="36"/>
      <c r="S99" s="48"/>
    </row>
    <row r="100" spans="1:19" ht="123" customHeight="1" x14ac:dyDescent="0.25">
      <c r="A100" s="34"/>
      <c r="B100" s="35"/>
      <c r="C100" s="36"/>
      <c r="D100" s="35"/>
      <c r="E100" s="35"/>
      <c r="F100" s="37"/>
      <c r="G100" s="38"/>
      <c r="H100" s="38"/>
      <c r="I100" s="38"/>
      <c r="J100" s="39"/>
      <c r="K100" s="38"/>
      <c r="L100" s="38"/>
      <c r="M100" s="38"/>
      <c r="Q100" s="36"/>
      <c r="R100" s="36"/>
      <c r="S100" s="48"/>
    </row>
    <row r="101" spans="1:19" ht="123" customHeight="1" x14ac:dyDescent="0.25">
      <c r="A101" s="34"/>
      <c r="B101" s="35"/>
      <c r="C101" s="36"/>
      <c r="D101" s="35"/>
      <c r="E101" s="35"/>
      <c r="F101" s="37"/>
      <c r="G101" s="38"/>
      <c r="H101" s="38"/>
      <c r="I101" s="38"/>
      <c r="J101" s="39"/>
      <c r="K101" s="38"/>
      <c r="L101" s="38"/>
      <c r="M101" s="38"/>
      <c r="Q101" s="36"/>
      <c r="R101" s="36"/>
      <c r="S101" s="48"/>
    </row>
    <row r="102" spans="1:19" ht="123" customHeight="1" x14ac:dyDescent="0.25">
      <c r="A102" s="34"/>
      <c r="B102" s="35"/>
      <c r="C102" s="36"/>
      <c r="D102" s="35"/>
      <c r="E102" s="35"/>
      <c r="F102" s="37"/>
      <c r="G102" s="38"/>
      <c r="H102" s="38"/>
      <c r="I102" s="38"/>
      <c r="J102" s="39"/>
      <c r="K102" s="38"/>
      <c r="L102" s="38"/>
      <c r="M102" s="38"/>
      <c r="Q102" s="36"/>
      <c r="R102" s="36"/>
      <c r="S102" s="48"/>
    </row>
    <row r="103" spans="1:19" ht="123" customHeight="1" x14ac:dyDescent="0.25">
      <c r="A103" s="34"/>
      <c r="B103" s="35"/>
      <c r="C103" s="36"/>
      <c r="D103" s="35"/>
      <c r="E103" s="35"/>
      <c r="F103" s="37"/>
      <c r="G103" s="38"/>
      <c r="H103" s="38"/>
      <c r="I103" s="38"/>
      <c r="J103" s="39"/>
      <c r="K103" s="38"/>
      <c r="L103" s="38"/>
      <c r="M103" s="38"/>
      <c r="Q103" s="36"/>
      <c r="R103" s="36"/>
      <c r="S103" s="48"/>
    </row>
    <row r="104" spans="1:19" ht="123" customHeight="1" x14ac:dyDescent="0.25">
      <c r="A104" s="34"/>
      <c r="B104" s="35"/>
      <c r="C104" s="36"/>
      <c r="D104" s="35"/>
      <c r="E104" s="35"/>
      <c r="F104" s="37"/>
      <c r="G104" s="38"/>
      <c r="H104" s="38"/>
      <c r="I104" s="38"/>
      <c r="J104" s="39"/>
      <c r="K104" s="38"/>
      <c r="L104" s="38"/>
      <c r="M104" s="38"/>
      <c r="Q104" s="36"/>
      <c r="R104" s="36"/>
      <c r="S104" s="48"/>
    </row>
    <row r="105" spans="1:19" ht="123" customHeight="1" x14ac:dyDescent="0.25">
      <c r="A105" s="34"/>
      <c r="B105" s="35"/>
      <c r="C105" s="36"/>
      <c r="Q105" s="36"/>
    </row>
    <row r="106" spans="1:19" ht="123" customHeight="1" x14ac:dyDescent="0.25">
      <c r="A106" s="34"/>
      <c r="B106" s="35"/>
      <c r="C106" s="36"/>
      <c r="Q106" s="36"/>
    </row>
    <row r="107" spans="1:19" ht="123" customHeight="1" x14ac:dyDescent="0.25">
      <c r="A107" s="34"/>
      <c r="B107" s="35"/>
      <c r="C107" s="36"/>
      <c r="Q107" s="36"/>
    </row>
    <row r="108" spans="1:19" ht="123" customHeight="1" x14ac:dyDescent="0.25">
      <c r="A108" s="34"/>
      <c r="B108" s="35"/>
      <c r="C108" s="36"/>
      <c r="Q108" s="36"/>
    </row>
    <row r="109" spans="1:19" ht="123" customHeight="1" x14ac:dyDescent="0.25">
      <c r="A109" s="34"/>
      <c r="B109" s="35"/>
      <c r="C109" s="36"/>
      <c r="Q109" s="36"/>
    </row>
    <row r="110" spans="1:19" ht="123" customHeight="1" x14ac:dyDescent="0.25">
      <c r="A110" s="34"/>
      <c r="B110" s="35"/>
      <c r="C110" s="36"/>
      <c r="Q110" s="36"/>
    </row>
    <row r="111" spans="1:19" ht="123" customHeight="1" x14ac:dyDescent="0.25">
      <c r="A111" s="34"/>
      <c r="B111" s="35"/>
      <c r="C111" s="36"/>
      <c r="Q111" s="36"/>
    </row>
    <row r="112" spans="1:19" ht="123" customHeight="1" x14ac:dyDescent="0.25">
      <c r="A112" s="34"/>
      <c r="B112" s="35"/>
      <c r="C112" s="36"/>
      <c r="Q112" s="36"/>
    </row>
    <row r="113" spans="1:17" ht="123" customHeight="1" x14ac:dyDescent="0.25">
      <c r="A113" s="34"/>
      <c r="B113" s="35"/>
      <c r="C113" s="36"/>
      <c r="Q113" s="36"/>
    </row>
    <row r="114" spans="1:17" ht="123" customHeight="1" x14ac:dyDescent="0.25">
      <c r="A114" s="34"/>
      <c r="B114" s="35"/>
      <c r="C114" s="36"/>
      <c r="Q114" s="36"/>
    </row>
    <row r="115" spans="1:17" ht="123" customHeight="1" x14ac:dyDescent="0.25">
      <c r="A115" s="34"/>
      <c r="B115" s="35"/>
      <c r="C115" s="36"/>
      <c r="Q115" s="36"/>
    </row>
    <row r="116" spans="1:17" ht="123" customHeight="1" x14ac:dyDescent="0.25">
      <c r="A116" s="34"/>
      <c r="B116" s="35"/>
      <c r="C116" s="36"/>
      <c r="Q116" s="36"/>
    </row>
    <row r="117" spans="1:17" ht="123" customHeight="1" x14ac:dyDescent="0.25">
      <c r="A117" s="34"/>
      <c r="B117" s="35"/>
      <c r="C117" s="36"/>
      <c r="Q117" s="36"/>
    </row>
    <row r="118" spans="1:17" ht="123" customHeight="1" x14ac:dyDescent="0.25">
      <c r="A118" s="34"/>
      <c r="B118" s="35"/>
      <c r="C118" s="36"/>
      <c r="Q118" s="36"/>
    </row>
    <row r="119" spans="1:17" ht="123" customHeight="1" x14ac:dyDescent="0.25">
      <c r="A119" s="34"/>
      <c r="B119" s="35"/>
      <c r="C119" s="36"/>
      <c r="Q119" s="36"/>
    </row>
    <row r="120" spans="1:17" ht="123" customHeight="1" x14ac:dyDescent="0.25">
      <c r="A120" s="34"/>
      <c r="B120" s="35"/>
      <c r="C120" s="36"/>
      <c r="Q120" s="36"/>
    </row>
    <row r="121" spans="1:17" ht="123" customHeight="1" x14ac:dyDescent="0.25">
      <c r="A121" s="34"/>
      <c r="B121" s="35"/>
      <c r="C121" s="36"/>
      <c r="Q121" s="36"/>
    </row>
    <row r="122" spans="1:17" ht="123" customHeight="1" x14ac:dyDescent="0.25">
      <c r="A122" s="34"/>
      <c r="B122" s="35"/>
      <c r="C122" s="36"/>
      <c r="Q122" s="36"/>
    </row>
    <row r="123" spans="1:17" ht="123" customHeight="1" x14ac:dyDescent="0.25">
      <c r="A123" s="34"/>
      <c r="B123" s="35"/>
      <c r="C123" s="36"/>
      <c r="Q123" s="36"/>
    </row>
    <row r="124" spans="1:17" ht="123" customHeight="1" x14ac:dyDescent="0.25">
      <c r="A124" s="34"/>
      <c r="B124" s="35"/>
      <c r="C124" s="36"/>
      <c r="Q124" s="36"/>
    </row>
    <row r="125" spans="1:17" ht="123" customHeight="1" x14ac:dyDescent="0.25">
      <c r="A125" s="34"/>
      <c r="B125" s="35"/>
      <c r="C125" s="36"/>
      <c r="Q125" s="36"/>
    </row>
    <row r="126" spans="1:17" ht="123" customHeight="1" x14ac:dyDescent="0.25">
      <c r="A126" s="34"/>
      <c r="B126" s="35"/>
      <c r="C126" s="36"/>
      <c r="Q126" s="36"/>
    </row>
    <row r="127" spans="1:17" ht="123" customHeight="1" x14ac:dyDescent="0.25">
      <c r="A127" s="34"/>
      <c r="B127" s="35"/>
      <c r="C127" s="36"/>
      <c r="Q127" s="36"/>
    </row>
    <row r="128" spans="1:17" ht="123" customHeight="1" x14ac:dyDescent="0.25">
      <c r="A128" s="34"/>
      <c r="B128" s="35"/>
      <c r="C128" s="36"/>
      <c r="Q128" s="36"/>
    </row>
    <row r="129" spans="1:17" ht="123" customHeight="1" x14ac:dyDescent="0.25">
      <c r="A129" s="34"/>
      <c r="B129" s="35"/>
      <c r="C129" s="36"/>
      <c r="Q129" s="36"/>
    </row>
    <row r="130" spans="1:17" ht="123" customHeight="1" x14ac:dyDescent="0.25">
      <c r="A130" s="34"/>
      <c r="B130" s="35"/>
      <c r="C130" s="36"/>
      <c r="Q130" s="36"/>
    </row>
    <row r="131" spans="1:17" ht="123" customHeight="1" x14ac:dyDescent="0.25">
      <c r="A131" s="34"/>
      <c r="B131" s="35"/>
      <c r="C131" s="36"/>
      <c r="Q131" s="36"/>
    </row>
    <row r="132" spans="1:17" ht="123" customHeight="1" x14ac:dyDescent="0.25">
      <c r="A132" s="34"/>
      <c r="B132" s="35"/>
      <c r="C132" s="36"/>
      <c r="Q132" s="36"/>
    </row>
    <row r="133" spans="1:17" ht="123" customHeight="1" x14ac:dyDescent="0.25">
      <c r="A133" s="34"/>
      <c r="B133" s="35"/>
      <c r="C133" s="36"/>
      <c r="Q133" s="36"/>
    </row>
    <row r="134" spans="1:17" ht="123" customHeight="1" x14ac:dyDescent="0.25">
      <c r="A134" s="34"/>
      <c r="B134" s="35"/>
      <c r="C134" s="36"/>
      <c r="Q134" s="36"/>
    </row>
    <row r="135" spans="1:17" ht="123" customHeight="1" x14ac:dyDescent="0.25">
      <c r="A135" s="34"/>
      <c r="B135" s="35"/>
      <c r="C135" s="36"/>
      <c r="Q135" s="36"/>
    </row>
    <row r="136" spans="1:17" ht="123" customHeight="1" x14ac:dyDescent="0.25">
      <c r="A136" s="34"/>
      <c r="B136" s="35"/>
      <c r="C136" s="36"/>
      <c r="Q136" s="36"/>
    </row>
    <row r="137" spans="1:17" ht="123" customHeight="1" x14ac:dyDescent="0.25">
      <c r="A137" s="34"/>
      <c r="B137" s="35"/>
      <c r="C137" s="36"/>
      <c r="Q137" s="36"/>
    </row>
    <row r="138" spans="1:17" ht="123" customHeight="1" x14ac:dyDescent="0.25">
      <c r="A138" s="34"/>
      <c r="B138" s="35"/>
      <c r="C138" s="36"/>
      <c r="Q138" s="36"/>
    </row>
    <row r="139" spans="1:17" ht="123" customHeight="1" x14ac:dyDescent="0.25">
      <c r="A139" s="34"/>
      <c r="B139" s="35"/>
      <c r="C139" s="36"/>
      <c r="Q139" s="36"/>
    </row>
    <row r="140" spans="1:17" ht="123" customHeight="1" x14ac:dyDescent="0.25">
      <c r="A140" s="34"/>
      <c r="B140" s="35"/>
      <c r="C140" s="36"/>
      <c r="Q140" s="36"/>
    </row>
    <row r="141" spans="1:17" ht="123" customHeight="1" x14ac:dyDescent="0.25">
      <c r="A141" s="34"/>
      <c r="B141" s="35"/>
      <c r="C141" s="36"/>
      <c r="Q141" s="36"/>
    </row>
    <row r="142" spans="1:17" ht="123" customHeight="1" x14ac:dyDescent="0.25">
      <c r="A142" s="34"/>
      <c r="B142" s="35"/>
      <c r="C142" s="36"/>
      <c r="Q142" s="36"/>
    </row>
    <row r="143" spans="1:17" ht="123" customHeight="1" x14ac:dyDescent="0.25">
      <c r="A143" s="34"/>
      <c r="B143" s="35"/>
      <c r="C143" s="36"/>
      <c r="Q143" s="36"/>
    </row>
    <row r="144" spans="1:17" ht="123" customHeight="1" x14ac:dyDescent="0.25">
      <c r="A144" s="34"/>
      <c r="B144" s="35"/>
      <c r="C144" s="36"/>
      <c r="Q144" s="36"/>
    </row>
    <row r="145" spans="1:17" ht="123" customHeight="1" x14ac:dyDescent="0.25">
      <c r="A145" s="34"/>
      <c r="B145" s="35"/>
      <c r="C145" s="36"/>
      <c r="Q145" s="36"/>
    </row>
    <row r="146" spans="1:17" ht="123" customHeight="1" x14ac:dyDescent="0.25">
      <c r="A146" s="34"/>
      <c r="B146" s="35"/>
      <c r="C146" s="36"/>
      <c r="Q146" s="36"/>
    </row>
    <row r="147" spans="1:17" ht="123" customHeight="1" x14ac:dyDescent="0.25">
      <c r="A147" s="34"/>
      <c r="B147" s="35"/>
      <c r="C147" s="36"/>
      <c r="Q147" s="36"/>
    </row>
    <row r="148" spans="1:17" ht="123" customHeight="1" x14ac:dyDescent="0.25">
      <c r="A148" s="34"/>
      <c r="B148" s="35"/>
      <c r="C148" s="36"/>
      <c r="Q148" s="36"/>
    </row>
    <row r="149" spans="1:17" ht="123" customHeight="1" x14ac:dyDescent="0.25">
      <c r="A149" s="34"/>
      <c r="B149" s="35"/>
      <c r="C149" s="36"/>
      <c r="Q149" s="36"/>
    </row>
    <row r="150" spans="1:17" ht="123" customHeight="1" x14ac:dyDescent="0.25">
      <c r="A150" s="34"/>
      <c r="B150" s="35"/>
      <c r="C150" s="36"/>
      <c r="Q150" s="36"/>
    </row>
    <row r="151" spans="1:17" ht="123" customHeight="1" x14ac:dyDescent="0.25">
      <c r="A151" s="34"/>
      <c r="B151" s="35"/>
      <c r="C151" s="36"/>
      <c r="Q151" s="36"/>
    </row>
    <row r="152" spans="1:17" ht="123" customHeight="1" x14ac:dyDescent="0.25">
      <c r="A152" s="34"/>
      <c r="B152" s="35"/>
      <c r="C152" s="36"/>
      <c r="Q152" s="36"/>
    </row>
    <row r="153" spans="1:17" ht="123" customHeight="1" x14ac:dyDescent="0.25">
      <c r="A153" s="34"/>
      <c r="B153" s="35"/>
      <c r="C153" s="36"/>
      <c r="Q153" s="36"/>
    </row>
    <row r="154" spans="1:17" ht="123" customHeight="1" x14ac:dyDescent="0.25">
      <c r="A154" s="34"/>
      <c r="B154" s="35"/>
      <c r="C154" s="36"/>
      <c r="Q154" s="36"/>
    </row>
    <row r="155" spans="1:17" ht="123" customHeight="1" x14ac:dyDescent="0.25">
      <c r="A155" s="34"/>
      <c r="B155" s="35"/>
      <c r="C155" s="36"/>
      <c r="Q155" s="36"/>
    </row>
    <row r="156" spans="1:17" ht="123" customHeight="1" x14ac:dyDescent="0.25">
      <c r="A156" s="34"/>
      <c r="B156" s="35"/>
      <c r="C156" s="36"/>
      <c r="Q156" s="36"/>
    </row>
    <row r="157" spans="1:17" ht="123" customHeight="1" x14ac:dyDescent="0.25">
      <c r="A157" s="34"/>
      <c r="B157" s="35"/>
      <c r="C157" s="36"/>
      <c r="Q157" s="36"/>
    </row>
    <row r="158" spans="1:17" ht="123" customHeight="1" x14ac:dyDescent="0.25">
      <c r="A158" s="34"/>
      <c r="B158" s="35"/>
      <c r="C158" s="36"/>
      <c r="Q158" s="36"/>
    </row>
    <row r="159" spans="1:17" ht="123" customHeight="1" x14ac:dyDescent="0.25">
      <c r="A159" s="34"/>
      <c r="B159" s="35"/>
      <c r="C159" s="36"/>
      <c r="Q159" s="36"/>
    </row>
    <row r="160" spans="1:17" ht="123" customHeight="1" x14ac:dyDescent="0.25">
      <c r="A160" s="34"/>
      <c r="B160" s="35"/>
      <c r="C160" s="36"/>
      <c r="Q160" s="36"/>
    </row>
    <row r="161" spans="1:17" ht="123" customHeight="1" x14ac:dyDescent="0.25">
      <c r="A161" s="34"/>
      <c r="B161" s="35"/>
      <c r="C161" s="36"/>
      <c r="Q161" s="36"/>
    </row>
    <row r="162" spans="1:17" ht="123" customHeight="1" x14ac:dyDescent="0.25">
      <c r="A162" s="34"/>
      <c r="B162" s="35"/>
      <c r="C162" s="36"/>
      <c r="Q162" s="36"/>
    </row>
    <row r="163" spans="1:17" ht="123" customHeight="1" x14ac:dyDescent="0.25">
      <c r="A163" s="34"/>
      <c r="B163" s="35"/>
      <c r="C163" s="36"/>
      <c r="Q163" s="36"/>
    </row>
    <row r="164" spans="1:17" ht="123" customHeight="1" x14ac:dyDescent="0.25">
      <c r="A164" s="34"/>
      <c r="B164" s="35"/>
      <c r="C164" s="36"/>
      <c r="Q164" s="36"/>
    </row>
    <row r="165" spans="1:17" ht="123" customHeight="1" x14ac:dyDescent="0.25">
      <c r="A165" s="34"/>
      <c r="B165" s="35"/>
      <c r="C165" s="36"/>
      <c r="Q165" s="36"/>
    </row>
    <row r="166" spans="1:17" ht="123" customHeight="1" x14ac:dyDescent="0.25">
      <c r="A166" s="34"/>
      <c r="B166" s="35"/>
      <c r="C166" s="36"/>
      <c r="Q166" s="36"/>
    </row>
    <row r="167" spans="1:17" ht="123" customHeight="1" x14ac:dyDescent="0.25">
      <c r="A167" s="34"/>
      <c r="B167" s="35"/>
      <c r="C167" s="36"/>
      <c r="Q167" s="36"/>
    </row>
    <row r="168" spans="1:17" ht="123" customHeight="1" x14ac:dyDescent="0.25">
      <c r="A168" s="34"/>
      <c r="B168" s="35"/>
      <c r="C168" s="36"/>
      <c r="Q168" s="36"/>
    </row>
    <row r="169" spans="1:17" ht="123" customHeight="1" x14ac:dyDescent="0.25">
      <c r="A169" s="34"/>
      <c r="B169" s="35"/>
      <c r="C169" s="36"/>
      <c r="Q169" s="36"/>
    </row>
    <row r="170" spans="1:17" ht="123" customHeight="1" x14ac:dyDescent="0.25">
      <c r="A170" s="34"/>
      <c r="B170" s="35"/>
      <c r="C170" s="36"/>
      <c r="Q170" s="36"/>
    </row>
    <row r="171" spans="1:17" ht="123" customHeight="1" x14ac:dyDescent="0.25">
      <c r="A171" s="34"/>
      <c r="B171" s="35"/>
      <c r="C171" s="36"/>
      <c r="Q171" s="36"/>
    </row>
    <row r="172" spans="1:17" ht="123" customHeight="1" x14ac:dyDescent="0.25">
      <c r="A172" s="34"/>
      <c r="B172" s="35"/>
      <c r="C172" s="36"/>
      <c r="Q172" s="36"/>
    </row>
    <row r="173" spans="1:17" ht="123" customHeight="1" x14ac:dyDescent="0.25">
      <c r="A173" s="34"/>
      <c r="B173" s="35"/>
      <c r="C173" s="36"/>
      <c r="Q173" s="36"/>
    </row>
    <row r="174" spans="1:17" ht="123" customHeight="1" x14ac:dyDescent="0.25">
      <c r="A174" s="34"/>
      <c r="B174" s="35"/>
      <c r="C174" s="36"/>
      <c r="Q174" s="36"/>
    </row>
    <row r="175" spans="1:17" ht="123" customHeight="1" x14ac:dyDescent="0.25">
      <c r="A175" s="34"/>
      <c r="B175" s="35"/>
      <c r="C175" s="36"/>
      <c r="Q175" s="36"/>
    </row>
    <row r="176" spans="1:17" ht="123" customHeight="1" x14ac:dyDescent="0.25">
      <c r="A176" s="34"/>
      <c r="B176" s="35"/>
      <c r="C176" s="36"/>
      <c r="Q176" s="36"/>
    </row>
    <row r="177" spans="1:17" ht="123" customHeight="1" x14ac:dyDescent="0.25">
      <c r="A177" s="34"/>
      <c r="B177" s="35"/>
      <c r="C177" s="36"/>
      <c r="Q177" s="36"/>
    </row>
    <row r="178" spans="1:17" ht="123" customHeight="1" x14ac:dyDescent="0.25">
      <c r="A178" s="34"/>
      <c r="B178" s="35"/>
      <c r="C178" s="36"/>
      <c r="Q178" s="36"/>
    </row>
    <row r="179" spans="1:17" ht="123" customHeight="1" x14ac:dyDescent="0.25">
      <c r="A179" s="34"/>
      <c r="B179" s="35"/>
      <c r="C179" s="36"/>
      <c r="Q179" s="36"/>
    </row>
    <row r="180" spans="1:17" ht="123" customHeight="1" x14ac:dyDescent="0.25">
      <c r="A180" s="34"/>
      <c r="B180" s="35"/>
      <c r="C180" s="36"/>
      <c r="Q180" s="36"/>
    </row>
    <row r="181" spans="1:17" ht="123" customHeight="1" x14ac:dyDescent="0.25">
      <c r="A181" s="34"/>
      <c r="B181" s="35"/>
      <c r="C181" s="36"/>
      <c r="Q181" s="36"/>
    </row>
    <row r="182" spans="1:17" ht="123" customHeight="1" x14ac:dyDescent="0.25">
      <c r="A182" s="34"/>
      <c r="B182" s="35"/>
      <c r="C182" s="36"/>
      <c r="Q182" s="36"/>
    </row>
    <row r="183" spans="1:17" ht="123" customHeight="1" x14ac:dyDescent="0.25">
      <c r="A183" s="34"/>
      <c r="B183" s="35"/>
      <c r="C183" s="36"/>
      <c r="Q183" s="36"/>
    </row>
    <row r="184" spans="1:17" ht="123" customHeight="1" x14ac:dyDescent="0.25">
      <c r="A184" s="34"/>
      <c r="B184" s="35"/>
      <c r="C184" s="36"/>
      <c r="Q184" s="36"/>
    </row>
    <row r="185" spans="1:17" ht="123" customHeight="1" x14ac:dyDescent="0.25">
      <c r="A185" s="34"/>
      <c r="B185" s="35"/>
      <c r="C185" s="36"/>
      <c r="Q185" s="36"/>
    </row>
    <row r="186" spans="1:17" ht="123" customHeight="1" x14ac:dyDescent="0.25">
      <c r="A186" s="34"/>
      <c r="B186" s="35"/>
      <c r="C186" s="36"/>
      <c r="Q186" s="36"/>
    </row>
    <row r="187" spans="1:17" ht="123" customHeight="1" x14ac:dyDescent="0.25">
      <c r="A187" s="34"/>
      <c r="B187" s="35"/>
      <c r="C187" s="36"/>
      <c r="Q187" s="36"/>
    </row>
    <row r="188" spans="1:17" ht="123" customHeight="1" x14ac:dyDescent="0.25">
      <c r="A188" s="34"/>
      <c r="B188" s="35"/>
      <c r="C188" s="36"/>
      <c r="Q188" s="36"/>
    </row>
    <row r="189" spans="1:17" ht="123" customHeight="1" x14ac:dyDescent="0.25">
      <c r="A189" s="34"/>
      <c r="B189" s="35"/>
      <c r="C189" s="36"/>
      <c r="Q189" s="36"/>
    </row>
    <row r="190" spans="1:17" ht="123" customHeight="1" x14ac:dyDescent="0.25">
      <c r="A190" s="34"/>
      <c r="B190" s="35"/>
      <c r="C190" s="36"/>
      <c r="Q190" s="36"/>
    </row>
    <row r="191" spans="1:17" ht="123" customHeight="1" x14ac:dyDescent="0.25">
      <c r="A191" s="34"/>
      <c r="B191" s="35"/>
      <c r="C191" s="36"/>
      <c r="Q191" s="36"/>
    </row>
    <row r="192" spans="1:17" ht="123" customHeight="1" x14ac:dyDescent="0.25">
      <c r="A192" s="34"/>
      <c r="B192" s="35"/>
      <c r="C192" s="36"/>
      <c r="Q192" s="36"/>
    </row>
    <row r="193" spans="1:17" ht="123" customHeight="1" x14ac:dyDescent="0.25">
      <c r="A193" s="34"/>
      <c r="B193" s="35"/>
      <c r="C193" s="36"/>
      <c r="Q193" s="36"/>
    </row>
    <row r="194" spans="1:17" ht="123" customHeight="1" x14ac:dyDescent="0.25">
      <c r="A194" s="34"/>
      <c r="B194" s="35"/>
      <c r="C194" s="36"/>
      <c r="Q194" s="36"/>
    </row>
    <row r="195" spans="1:17" ht="123" customHeight="1" x14ac:dyDescent="0.25">
      <c r="A195" s="34"/>
      <c r="B195" s="35"/>
      <c r="C195" s="36"/>
      <c r="Q195" s="36"/>
    </row>
    <row r="196" spans="1:17" ht="123" customHeight="1" x14ac:dyDescent="0.25">
      <c r="A196" s="34"/>
      <c r="B196" s="35"/>
      <c r="C196" s="36"/>
      <c r="Q196" s="36"/>
    </row>
    <row r="197" spans="1:17" ht="123" customHeight="1" x14ac:dyDescent="0.25">
      <c r="A197" s="34"/>
      <c r="B197" s="35"/>
      <c r="C197" s="36"/>
      <c r="Q197" s="36"/>
    </row>
    <row r="198" spans="1:17" ht="123" customHeight="1" x14ac:dyDescent="0.25">
      <c r="A198" s="34"/>
      <c r="B198" s="35"/>
      <c r="C198" s="36"/>
      <c r="Q198" s="36"/>
    </row>
    <row r="199" spans="1:17" ht="123" customHeight="1" x14ac:dyDescent="0.25">
      <c r="A199" s="34"/>
      <c r="B199" s="35"/>
      <c r="C199" s="36"/>
      <c r="Q199" s="36"/>
    </row>
    <row r="200" spans="1:17" ht="123" customHeight="1" x14ac:dyDescent="0.25">
      <c r="A200" s="34"/>
      <c r="B200" s="35"/>
      <c r="C200" s="36"/>
      <c r="Q200" s="36"/>
    </row>
    <row r="201" spans="1:17" ht="123" customHeight="1" x14ac:dyDescent="0.25">
      <c r="A201" s="34"/>
      <c r="B201" s="35"/>
      <c r="C201" s="36"/>
      <c r="Q201" s="36"/>
    </row>
    <row r="202" spans="1:17" ht="123" customHeight="1" x14ac:dyDescent="0.25">
      <c r="A202" s="34"/>
      <c r="B202" s="35"/>
      <c r="C202" s="36"/>
      <c r="Q202" s="36"/>
    </row>
    <row r="203" spans="1:17" ht="123" customHeight="1" x14ac:dyDescent="0.25">
      <c r="A203" s="34"/>
      <c r="B203" s="35"/>
      <c r="C203" s="36"/>
      <c r="Q203" s="36"/>
    </row>
    <row r="204" spans="1:17" ht="123" customHeight="1" x14ac:dyDescent="0.25">
      <c r="A204" s="34"/>
      <c r="B204" s="35"/>
      <c r="C204" s="36"/>
      <c r="Q204" s="36"/>
    </row>
    <row r="205" spans="1:17" ht="123" customHeight="1" x14ac:dyDescent="0.25">
      <c r="A205" s="34"/>
      <c r="B205" s="35"/>
      <c r="C205" s="36"/>
      <c r="Q205" s="36"/>
    </row>
    <row r="206" spans="1:17" ht="123" customHeight="1" x14ac:dyDescent="0.25">
      <c r="A206" s="34"/>
      <c r="B206" s="35"/>
      <c r="C206" s="36"/>
      <c r="Q206" s="36"/>
    </row>
    <row r="207" spans="1:17" ht="123" customHeight="1" x14ac:dyDescent="0.25">
      <c r="A207" s="34"/>
      <c r="B207" s="35"/>
      <c r="C207" s="36"/>
      <c r="Q207" s="36"/>
    </row>
    <row r="208" spans="1:17" ht="123" customHeight="1" x14ac:dyDescent="0.25">
      <c r="A208" s="34"/>
      <c r="B208" s="35"/>
      <c r="C208" s="36"/>
      <c r="Q208" s="36"/>
    </row>
    <row r="209" spans="1:17" ht="123" customHeight="1" x14ac:dyDescent="0.25">
      <c r="A209" s="34"/>
      <c r="B209" s="35"/>
      <c r="C209" s="36"/>
      <c r="Q209" s="36"/>
    </row>
    <row r="210" spans="1:17" ht="123" customHeight="1" x14ac:dyDescent="0.25">
      <c r="A210" s="34"/>
      <c r="B210" s="35"/>
      <c r="C210" s="36"/>
      <c r="Q210" s="36"/>
    </row>
    <row r="211" spans="1:17" ht="123" customHeight="1" x14ac:dyDescent="0.25">
      <c r="A211" s="34"/>
      <c r="B211" s="35"/>
      <c r="C211" s="36"/>
      <c r="Q211" s="36"/>
    </row>
    <row r="212" spans="1:17" ht="123" customHeight="1" x14ac:dyDescent="0.25">
      <c r="A212" s="34"/>
      <c r="B212" s="35"/>
      <c r="C212" s="36"/>
      <c r="Q212" s="36"/>
    </row>
    <row r="213" spans="1:17" ht="123" customHeight="1" x14ac:dyDescent="0.25">
      <c r="A213" s="34"/>
      <c r="B213" s="35"/>
      <c r="C213" s="36"/>
      <c r="Q213" s="36"/>
    </row>
    <row r="214" spans="1:17" ht="123" customHeight="1" x14ac:dyDescent="0.25">
      <c r="A214" s="34"/>
      <c r="B214" s="35"/>
      <c r="C214" s="36"/>
      <c r="Q214" s="36"/>
    </row>
    <row r="215" spans="1:17" ht="123" customHeight="1" x14ac:dyDescent="0.25">
      <c r="A215" s="34"/>
      <c r="B215" s="35"/>
      <c r="C215" s="36"/>
      <c r="Q215" s="36"/>
    </row>
    <row r="216" spans="1:17" ht="123" customHeight="1" x14ac:dyDescent="0.25">
      <c r="A216" s="34"/>
      <c r="B216" s="35"/>
      <c r="C216" s="36"/>
      <c r="Q216" s="36"/>
    </row>
    <row r="217" spans="1:17" ht="123" customHeight="1" x14ac:dyDescent="0.25">
      <c r="A217" s="34"/>
      <c r="B217" s="35"/>
      <c r="C217" s="36"/>
      <c r="Q217" s="36"/>
    </row>
    <row r="218" spans="1:17" ht="123" customHeight="1" x14ac:dyDescent="0.25">
      <c r="A218" s="34"/>
      <c r="B218" s="35"/>
      <c r="C218" s="36"/>
      <c r="Q218" s="36"/>
    </row>
    <row r="219" spans="1:17" ht="123" customHeight="1" x14ac:dyDescent="0.25">
      <c r="A219" s="34"/>
      <c r="B219" s="35"/>
      <c r="C219" s="36"/>
      <c r="Q219" s="36"/>
    </row>
    <row r="220" spans="1:17" ht="123" customHeight="1" x14ac:dyDescent="0.25">
      <c r="A220" s="34"/>
      <c r="B220" s="35"/>
      <c r="C220" s="36"/>
      <c r="Q220" s="36"/>
    </row>
    <row r="221" spans="1:17" ht="123" customHeight="1" x14ac:dyDescent="0.25">
      <c r="A221" s="34"/>
      <c r="B221" s="35"/>
      <c r="C221" s="36"/>
      <c r="Q221" s="36"/>
    </row>
    <row r="222" spans="1:17" ht="123" customHeight="1" x14ac:dyDescent="0.25">
      <c r="A222" s="34"/>
      <c r="B222" s="35"/>
      <c r="C222" s="36"/>
      <c r="Q222" s="36"/>
    </row>
    <row r="223" spans="1:17" ht="123" customHeight="1" x14ac:dyDescent="0.25">
      <c r="A223" s="34"/>
      <c r="B223" s="35"/>
      <c r="C223" s="36"/>
      <c r="Q223" s="36"/>
    </row>
    <row r="224" spans="1:17" ht="123" customHeight="1" x14ac:dyDescent="0.25">
      <c r="A224" s="34"/>
      <c r="B224" s="35"/>
      <c r="C224" s="36"/>
      <c r="Q224" s="36"/>
    </row>
    <row r="225" spans="1:17" ht="123" customHeight="1" x14ac:dyDescent="0.25">
      <c r="A225" s="34"/>
      <c r="B225" s="35"/>
      <c r="C225" s="36"/>
      <c r="Q225" s="36"/>
    </row>
    <row r="226" spans="1:17" ht="123" customHeight="1" x14ac:dyDescent="0.25">
      <c r="A226" s="34"/>
      <c r="B226" s="35"/>
      <c r="C226" s="36"/>
      <c r="Q226" s="36"/>
    </row>
    <row r="227" spans="1:17" ht="123" customHeight="1" x14ac:dyDescent="0.25">
      <c r="A227" s="34"/>
      <c r="B227" s="35"/>
      <c r="C227" s="36"/>
      <c r="Q227" s="36"/>
    </row>
    <row r="228" spans="1:17" ht="123" customHeight="1" x14ac:dyDescent="0.25">
      <c r="A228" s="34"/>
      <c r="B228" s="35"/>
      <c r="C228" s="36"/>
      <c r="Q228" s="36"/>
    </row>
    <row r="229" spans="1:17" ht="123" customHeight="1" x14ac:dyDescent="0.25">
      <c r="A229" s="34"/>
      <c r="B229" s="35"/>
      <c r="C229" s="36"/>
      <c r="Q229" s="36"/>
    </row>
    <row r="230" spans="1:17" ht="123" customHeight="1" x14ac:dyDescent="0.25">
      <c r="A230" s="34"/>
      <c r="B230" s="35"/>
      <c r="C230" s="36"/>
      <c r="Q230" s="36"/>
    </row>
    <row r="231" spans="1:17" ht="123" customHeight="1" x14ac:dyDescent="0.25">
      <c r="A231" s="34"/>
      <c r="B231" s="35"/>
      <c r="C231" s="36"/>
      <c r="Q231" s="36"/>
    </row>
    <row r="232" spans="1:17" ht="123" customHeight="1" x14ac:dyDescent="0.25">
      <c r="A232" s="34"/>
      <c r="B232" s="35"/>
      <c r="C232" s="36"/>
      <c r="Q232" s="36"/>
    </row>
    <row r="233" spans="1:17" ht="123" customHeight="1" x14ac:dyDescent="0.25">
      <c r="A233" s="34"/>
      <c r="B233" s="35"/>
      <c r="C233" s="36"/>
      <c r="Q233" s="36"/>
    </row>
    <row r="234" spans="1:17" ht="123" customHeight="1" x14ac:dyDescent="0.25">
      <c r="A234" s="34"/>
      <c r="B234" s="35"/>
      <c r="C234" s="36"/>
      <c r="Q234" s="36"/>
    </row>
    <row r="235" spans="1:17" ht="123" customHeight="1" x14ac:dyDescent="0.25">
      <c r="A235" s="34"/>
      <c r="B235" s="35"/>
      <c r="C235" s="36"/>
      <c r="Q235" s="36"/>
    </row>
    <row r="236" spans="1:17" ht="123" customHeight="1" x14ac:dyDescent="0.25">
      <c r="A236" s="34"/>
      <c r="B236" s="35"/>
      <c r="C236" s="36"/>
      <c r="Q236" s="36"/>
    </row>
    <row r="237" spans="1:17" ht="123" customHeight="1" x14ac:dyDescent="0.25">
      <c r="A237" s="34"/>
      <c r="B237" s="35"/>
      <c r="C237" s="36"/>
      <c r="Q237" s="36"/>
    </row>
    <row r="238" spans="1:17" ht="123" customHeight="1" x14ac:dyDescent="0.25">
      <c r="A238" s="34"/>
      <c r="B238" s="35"/>
      <c r="C238" s="36"/>
      <c r="Q238" s="36"/>
    </row>
    <row r="239" spans="1:17" ht="123" customHeight="1" x14ac:dyDescent="0.25">
      <c r="A239" s="34"/>
      <c r="B239" s="35"/>
      <c r="C239" s="36"/>
      <c r="Q239" s="36"/>
    </row>
    <row r="240" spans="1:17" ht="123" customHeight="1" x14ac:dyDescent="0.25">
      <c r="A240" s="34"/>
      <c r="B240" s="35"/>
      <c r="C240" s="36"/>
      <c r="Q240" s="36"/>
    </row>
    <row r="241" spans="1:17" ht="123" customHeight="1" x14ac:dyDescent="0.25">
      <c r="A241" s="34"/>
      <c r="B241" s="35"/>
      <c r="C241" s="36"/>
      <c r="Q241" s="36"/>
    </row>
    <row r="242" spans="1:17" ht="123" customHeight="1" x14ac:dyDescent="0.25">
      <c r="A242" s="34"/>
      <c r="B242" s="35"/>
      <c r="C242" s="36"/>
      <c r="Q242" s="36"/>
    </row>
    <row r="243" spans="1:17" ht="123" customHeight="1" x14ac:dyDescent="0.25">
      <c r="A243" s="34"/>
      <c r="B243" s="35"/>
      <c r="C243" s="36"/>
      <c r="Q243" s="36"/>
    </row>
    <row r="244" spans="1:17" ht="123" customHeight="1" x14ac:dyDescent="0.25">
      <c r="A244" s="34"/>
      <c r="B244" s="35"/>
      <c r="C244" s="36"/>
      <c r="Q244" s="36"/>
    </row>
    <row r="245" spans="1:17" ht="123" customHeight="1" x14ac:dyDescent="0.25">
      <c r="A245" s="34"/>
      <c r="B245" s="35"/>
      <c r="C245" s="36"/>
      <c r="Q245" s="36"/>
    </row>
    <row r="246" spans="1:17" ht="123" customHeight="1" x14ac:dyDescent="0.25">
      <c r="A246" s="34"/>
      <c r="B246" s="35"/>
      <c r="C246" s="36"/>
      <c r="Q246" s="36"/>
    </row>
    <row r="247" spans="1:17" ht="123" customHeight="1" x14ac:dyDescent="0.25">
      <c r="A247" s="34"/>
      <c r="B247" s="35"/>
      <c r="C247" s="36"/>
      <c r="Q247" s="36"/>
    </row>
    <row r="248" spans="1:17" ht="123" customHeight="1" x14ac:dyDescent="0.25">
      <c r="A248" s="34"/>
      <c r="B248" s="35"/>
      <c r="C248" s="36"/>
      <c r="Q248" s="36"/>
    </row>
    <row r="249" spans="1:17" ht="123" customHeight="1" x14ac:dyDescent="0.25">
      <c r="A249" s="34"/>
      <c r="B249" s="35"/>
      <c r="C249" s="36"/>
      <c r="Q249" s="36"/>
    </row>
    <row r="250" spans="1:17" ht="123" customHeight="1" x14ac:dyDescent="0.25">
      <c r="A250" s="34"/>
      <c r="B250" s="35"/>
      <c r="C250" s="36"/>
      <c r="Q250" s="36"/>
    </row>
    <row r="251" spans="1:17" ht="123" customHeight="1" x14ac:dyDescent="0.25">
      <c r="A251" s="34"/>
      <c r="B251" s="35"/>
      <c r="C251" s="36"/>
      <c r="Q251" s="36"/>
    </row>
    <row r="252" spans="1:17" ht="123" customHeight="1" x14ac:dyDescent="0.25">
      <c r="A252" s="34"/>
      <c r="B252" s="35"/>
      <c r="C252" s="36"/>
      <c r="Q252" s="36"/>
    </row>
    <row r="253" spans="1:17" ht="123" customHeight="1" x14ac:dyDescent="0.25">
      <c r="A253" s="34"/>
      <c r="B253" s="35"/>
      <c r="C253" s="36"/>
      <c r="Q253" s="36"/>
    </row>
    <row r="254" spans="1:17" ht="123" customHeight="1" x14ac:dyDescent="0.25">
      <c r="A254" s="34"/>
      <c r="B254" s="35"/>
      <c r="C254" s="36"/>
      <c r="Q254" s="36"/>
    </row>
    <row r="255" spans="1:17" ht="123" customHeight="1" x14ac:dyDescent="0.25">
      <c r="A255" s="34"/>
      <c r="B255" s="35"/>
      <c r="C255" s="36"/>
      <c r="Q255" s="36"/>
    </row>
    <row r="256" spans="1:17" ht="123" customHeight="1" x14ac:dyDescent="0.25">
      <c r="A256" s="34"/>
      <c r="B256" s="35"/>
      <c r="C256" s="36"/>
      <c r="Q256" s="36"/>
    </row>
    <row r="257" spans="1:17" ht="123" customHeight="1" x14ac:dyDescent="0.25">
      <c r="A257" s="34"/>
      <c r="B257" s="35"/>
      <c r="C257" s="36"/>
      <c r="Q257" s="36"/>
    </row>
    <row r="258" spans="1:17" ht="123" customHeight="1" x14ac:dyDescent="0.25">
      <c r="A258" s="34"/>
      <c r="B258" s="35"/>
      <c r="C258" s="36"/>
      <c r="Q258" s="36"/>
    </row>
    <row r="259" spans="1:17" ht="123" customHeight="1" x14ac:dyDescent="0.25">
      <c r="A259" s="34"/>
      <c r="B259" s="35"/>
      <c r="C259" s="36"/>
      <c r="Q259" s="36"/>
    </row>
    <row r="260" spans="1:17" ht="123" customHeight="1" x14ac:dyDescent="0.25">
      <c r="A260" s="34"/>
      <c r="B260" s="35"/>
      <c r="C260" s="36"/>
      <c r="Q260" s="36"/>
    </row>
    <row r="261" spans="1:17" ht="123" customHeight="1" x14ac:dyDescent="0.25">
      <c r="A261" s="34"/>
      <c r="B261" s="35"/>
      <c r="C261" s="36"/>
      <c r="Q261" s="36"/>
    </row>
    <row r="262" spans="1:17" ht="123" customHeight="1" x14ac:dyDescent="0.25">
      <c r="A262" s="34"/>
      <c r="B262" s="35"/>
      <c r="C262" s="36"/>
      <c r="Q262" s="36"/>
    </row>
    <row r="263" spans="1:17" ht="123" customHeight="1" x14ac:dyDescent="0.25">
      <c r="A263" s="34"/>
      <c r="B263" s="35"/>
      <c r="C263" s="36"/>
      <c r="Q263" s="36"/>
    </row>
    <row r="264" spans="1:17" ht="123" customHeight="1" x14ac:dyDescent="0.25">
      <c r="A264" s="34"/>
      <c r="B264" s="35"/>
      <c r="C264" s="36"/>
      <c r="Q264" s="36"/>
    </row>
    <row r="265" spans="1:17" ht="123" customHeight="1" x14ac:dyDescent="0.25">
      <c r="A265" s="34"/>
      <c r="B265" s="35"/>
      <c r="C265" s="36"/>
      <c r="Q265" s="36"/>
    </row>
    <row r="266" spans="1:17" ht="123" customHeight="1" x14ac:dyDescent="0.25">
      <c r="A266" s="34"/>
      <c r="B266" s="35"/>
      <c r="C266" s="36"/>
      <c r="Q266" s="36"/>
    </row>
    <row r="267" spans="1:17" ht="123" customHeight="1" x14ac:dyDescent="0.25">
      <c r="A267" s="34"/>
      <c r="B267" s="35"/>
      <c r="C267" s="36"/>
      <c r="Q267" s="36"/>
    </row>
    <row r="268" spans="1:17" ht="123" customHeight="1" x14ac:dyDescent="0.25">
      <c r="A268" s="34"/>
      <c r="B268" s="35"/>
      <c r="C268" s="36"/>
      <c r="Q268" s="36"/>
    </row>
    <row r="269" spans="1:17" ht="123" customHeight="1" x14ac:dyDescent="0.25">
      <c r="A269" s="34"/>
      <c r="B269" s="35"/>
      <c r="C269" s="36"/>
      <c r="Q269" s="36"/>
    </row>
    <row r="270" spans="1:17" ht="123" customHeight="1" x14ac:dyDescent="0.25">
      <c r="A270" s="34"/>
      <c r="B270" s="35"/>
      <c r="C270" s="36"/>
      <c r="Q270" s="36"/>
    </row>
    <row r="271" spans="1:17" ht="123" customHeight="1" x14ac:dyDescent="0.25">
      <c r="A271" s="34"/>
      <c r="B271" s="35"/>
      <c r="C271" s="36"/>
      <c r="Q271" s="36"/>
    </row>
    <row r="272" spans="1:17" ht="123" customHeight="1" x14ac:dyDescent="0.25">
      <c r="A272" s="34"/>
      <c r="B272" s="35"/>
      <c r="C272" s="36"/>
      <c r="Q272" s="36"/>
    </row>
    <row r="273" spans="1:17" ht="123" customHeight="1" x14ac:dyDescent="0.25">
      <c r="A273" s="34"/>
      <c r="B273" s="35"/>
      <c r="C273" s="36"/>
      <c r="Q273" s="36"/>
    </row>
    <row r="274" spans="1:17" ht="123" customHeight="1" x14ac:dyDescent="0.25">
      <c r="A274" s="34"/>
      <c r="B274" s="35"/>
      <c r="C274" s="36"/>
      <c r="Q274" s="36"/>
    </row>
    <row r="275" spans="1:17" ht="123" customHeight="1" x14ac:dyDescent="0.25">
      <c r="A275" s="34"/>
      <c r="B275" s="35"/>
      <c r="C275" s="36"/>
      <c r="Q275" s="36"/>
    </row>
    <row r="276" spans="1:17" ht="123" customHeight="1" x14ac:dyDescent="0.25">
      <c r="A276" s="34"/>
      <c r="B276" s="35"/>
      <c r="C276" s="36"/>
      <c r="Q276" s="36"/>
    </row>
    <row r="277" spans="1:17" ht="123" customHeight="1" x14ac:dyDescent="0.25">
      <c r="A277" s="34"/>
      <c r="B277" s="35"/>
      <c r="C277" s="36"/>
      <c r="Q277" s="36"/>
    </row>
    <row r="278" spans="1:17" ht="123" customHeight="1" x14ac:dyDescent="0.25">
      <c r="A278" s="34"/>
      <c r="B278" s="35"/>
      <c r="C278" s="36"/>
      <c r="Q278" s="36"/>
    </row>
    <row r="279" spans="1:17" ht="123" customHeight="1" x14ac:dyDescent="0.25">
      <c r="A279" s="34"/>
      <c r="B279" s="35"/>
      <c r="C279" s="36"/>
      <c r="Q279" s="36"/>
    </row>
    <row r="280" spans="1:17" ht="123" customHeight="1" x14ac:dyDescent="0.25">
      <c r="A280" s="34"/>
      <c r="B280" s="35"/>
      <c r="C280" s="36"/>
      <c r="Q280" s="36"/>
    </row>
    <row r="281" spans="1:17" ht="123" customHeight="1" x14ac:dyDescent="0.25">
      <c r="A281" s="34"/>
      <c r="B281" s="35"/>
      <c r="C281" s="36"/>
      <c r="Q281" s="36"/>
    </row>
    <row r="282" spans="1:17" ht="123" customHeight="1" x14ac:dyDescent="0.25">
      <c r="A282" s="34"/>
      <c r="B282" s="35"/>
      <c r="C282" s="36"/>
      <c r="Q282" s="36"/>
    </row>
    <row r="283" spans="1:17" ht="123" customHeight="1" x14ac:dyDescent="0.25">
      <c r="A283" s="34"/>
      <c r="B283" s="35"/>
      <c r="C283" s="36"/>
      <c r="Q283" s="36"/>
    </row>
    <row r="284" spans="1:17" ht="123" customHeight="1" x14ac:dyDescent="0.25">
      <c r="A284" s="34"/>
      <c r="B284" s="35"/>
      <c r="C284" s="36"/>
      <c r="Q284" s="36"/>
    </row>
    <row r="285" spans="1:17" ht="123" customHeight="1" x14ac:dyDescent="0.25">
      <c r="A285" s="34"/>
      <c r="B285" s="35"/>
      <c r="C285" s="36"/>
      <c r="Q285" s="36"/>
    </row>
    <row r="286" spans="1:17" ht="123" customHeight="1" x14ac:dyDescent="0.25">
      <c r="A286" s="34"/>
      <c r="B286" s="35"/>
      <c r="C286" s="36"/>
      <c r="Q286" s="36"/>
    </row>
    <row r="287" spans="1:17" ht="123" customHeight="1" x14ac:dyDescent="0.25">
      <c r="A287" s="34"/>
      <c r="B287" s="35"/>
      <c r="C287" s="36"/>
      <c r="Q287" s="36"/>
    </row>
    <row r="288" spans="1:17" ht="123" customHeight="1" x14ac:dyDescent="0.25">
      <c r="A288" s="34"/>
      <c r="B288" s="35"/>
      <c r="C288" s="36"/>
      <c r="Q288" s="36"/>
    </row>
    <row r="289" spans="1:17" ht="123" customHeight="1" x14ac:dyDescent="0.25">
      <c r="A289" s="34"/>
      <c r="B289" s="35"/>
      <c r="C289" s="36"/>
      <c r="Q289" s="36"/>
    </row>
    <row r="290" spans="1:17" ht="123" customHeight="1" x14ac:dyDescent="0.25">
      <c r="A290" s="34"/>
      <c r="B290" s="35"/>
      <c r="C290" s="36"/>
      <c r="Q290" s="36"/>
    </row>
    <row r="291" spans="1:17" ht="123" customHeight="1" x14ac:dyDescent="0.25">
      <c r="A291" s="34"/>
      <c r="B291" s="35"/>
      <c r="C291" s="36"/>
      <c r="Q291" s="36"/>
    </row>
    <row r="292" spans="1:17" ht="123" customHeight="1" x14ac:dyDescent="0.25">
      <c r="A292" s="34"/>
      <c r="B292" s="35"/>
      <c r="C292" s="36"/>
      <c r="Q292" s="36"/>
    </row>
    <row r="293" spans="1:17" ht="123" customHeight="1" x14ac:dyDescent="0.25">
      <c r="A293" s="34"/>
      <c r="B293" s="35"/>
      <c r="C293" s="36"/>
      <c r="Q293" s="36"/>
    </row>
    <row r="294" spans="1:17" ht="123" customHeight="1" x14ac:dyDescent="0.25">
      <c r="A294" s="34"/>
      <c r="B294" s="35"/>
      <c r="C294" s="36"/>
      <c r="Q294" s="36"/>
    </row>
    <row r="295" spans="1:17" ht="123" customHeight="1" x14ac:dyDescent="0.25">
      <c r="A295" s="34"/>
      <c r="B295" s="35"/>
      <c r="C295" s="36"/>
      <c r="Q295" s="36"/>
    </row>
    <row r="296" spans="1:17" ht="123" customHeight="1" x14ac:dyDescent="0.25">
      <c r="A296" s="34"/>
      <c r="B296" s="35"/>
      <c r="C296" s="36"/>
      <c r="Q296" s="36"/>
    </row>
    <row r="297" spans="1:17" ht="123" customHeight="1" x14ac:dyDescent="0.25">
      <c r="A297" s="34"/>
      <c r="B297" s="35"/>
      <c r="C297" s="36"/>
      <c r="Q297" s="36"/>
    </row>
    <row r="298" spans="1:17" ht="123" customHeight="1" x14ac:dyDescent="0.25">
      <c r="A298" s="34"/>
      <c r="B298" s="35"/>
      <c r="C298" s="36"/>
      <c r="Q298" s="36"/>
    </row>
    <row r="299" spans="1:17" ht="123" customHeight="1" x14ac:dyDescent="0.25">
      <c r="A299" s="34"/>
      <c r="B299" s="35"/>
      <c r="C299" s="36"/>
      <c r="Q299" s="36"/>
    </row>
    <row r="300" spans="1:17" ht="123" customHeight="1" x14ac:dyDescent="0.25">
      <c r="A300" s="34"/>
      <c r="B300" s="35"/>
      <c r="C300" s="36"/>
      <c r="Q300" s="36"/>
    </row>
  </sheetData>
  <sheetProtection formatCells="0" formatColumns="0" formatRows="0" insertColumns="0" insertRows="0" insertHyperlinks="0" deleteColumns="0" deleteRows="0" sort="0" autoFilter="0" pivotTables="0"/>
  <autoFilter ref="A4:S4" xr:uid="{00000000-0009-0000-0000-000000000000}">
    <sortState xmlns:xlrd2="http://schemas.microsoft.com/office/spreadsheetml/2017/richdata2" ref="A5:S11">
      <sortCondition ref="A4"/>
    </sortState>
  </autoFilter>
  <conditionalFormatting sqref="C5:C300">
    <cfRule type="dataBar" priority="3">
      <dataBar>
        <cfvo type="min"/>
        <cfvo type="num" val="500"/>
        <color theme="9" tint="0.39997558519241921"/>
      </dataBar>
      <extLst>
        <ext xmlns:x14="http://schemas.microsoft.com/office/spreadsheetml/2009/9/main" uri="{B025F937-C7B1-47D3-B67F-A62EFF666E3E}">
          <x14:id>{CCAB9563-10AB-4C49-9501-26FBFEDC0318}</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1">
              <controlPr defaultSize="0" print="0" disabled="1" autoFill="0" autoPict="0" macro="[0]!NovaCSingleFile">
                <anchor moveWithCells="1" sizeWithCells="1">
                  <from>
                    <xdr:col>9</xdr:col>
                    <xdr:colOff>9525</xdr:colOff>
                    <xdr:row>1</xdr:row>
                    <xdr:rowOff>0</xdr:rowOff>
                  </from>
                  <to>
                    <xdr:col>10</xdr:col>
                    <xdr:colOff>0</xdr:colOff>
                    <xdr:row>2</xdr:row>
                    <xdr:rowOff>9525</xdr:rowOff>
                  </to>
                </anchor>
              </controlPr>
            </control>
          </mc:Choice>
        </mc:AlternateContent>
        <mc:AlternateContent xmlns:mc="http://schemas.openxmlformats.org/markup-compatibility/2006">
          <mc:Choice Requires="x14">
            <control shapeId="1033" r:id="rId5" name="CheckBox1">
              <controlPr defaultSize="0" autoFill="0" autoLine="0" autoPict="0">
                <anchor moveWithCells="1">
                  <from>
                    <xdr:col>12</xdr:col>
                    <xdr:colOff>38100</xdr:colOff>
                    <xdr:row>4</xdr:row>
                    <xdr:rowOff>666750</xdr:rowOff>
                  </from>
                  <to>
                    <xdr:col>12</xdr:col>
                    <xdr:colOff>247650</xdr:colOff>
                    <xdr:row>4</xdr:row>
                    <xdr:rowOff>885825</xdr:rowOff>
                  </to>
                </anchor>
              </controlPr>
            </control>
          </mc:Choice>
        </mc:AlternateContent>
        <mc:AlternateContent xmlns:mc="http://schemas.openxmlformats.org/markup-compatibility/2006">
          <mc:Choice Requires="x14">
            <control shapeId="1034" r:id="rId6" name="CheckBox2">
              <controlPr defaultSize="0" autoFill="0" autoLine="0" autoPict="0">
                <anchor moveWithCells="1">
                  <from>
                    <xdr:col>12</xdr:col>
                    <xdr:colOff>38100</xdr:colOff>
                    <xdr:row>5</xdr:row>
                    <xdr:rowOff>666750</xdr:rowOff>
                  </from>
                  <to>
                    <xdr:col>12</xdr:col>
                    <xdr:colOff>247650</xdr:colOff>
                    <xdr:row>5</xdr:row>
                    <xdr:rowOff>885825</xdr:rowOff>
                  </to>
                </anchor>
              </controlPr>
            </control>
          </mc:Choice>
        </mc:AlternateContent>
        <mc:AlternateContent xmlns:mc="http://schemas.openxmlformats.org/markup-compatibility/2006">
          <mc:Choice Requires="x14">
            <control shapeId="1035" r:id="rId7" name="CheckBox3">
              <controlPr defaultSize="0" autoFill="0" autoLine="0" autoPict="0">
                <anchor moveWithCells="1">
                  <from>
                    <xdr:col>12</xdr:col>
                    <xdr:colOff>38100</xdr:colOff>
                    <xdr:row>6</xdr:row>
                    <xdr:rowOff>666750</xdr:rowOff>
                  </from>
                  <to>
                    <xdr:col>12</xdr:col>
                    <xdr:colOff>247650</xdr:colOff>
                    <xdr:row>6</xdr:row>
                    <xdr:rowOff>885825</xdr:rowOff>
                  </to>
                </anchor>
              </controlPr>
            </control>
          </mc:Choice>
        </mc:AlternateContent>
        <mc:AlternateContent xmlns:mc="http://schemas.openxmlformats.org/markup-compatibility/2006">
          <mc:Choice Requires="x14">
            <control shapeId="1036" r:id="rId8" name="CheckBox4">
              <controlPr defaultSize="0" autoFill="0" autoLine="0" autoPict="0">
                <anchor moveWithCells="1">
                  <from>
                    <xdr:col>12</xdr:col>
                    <xdr:colOff>38100</xdr:colOff>
                    <xdr:row>7</xdr:row>
                    <xdr:rowOff>666750</xdr:rowOff>
                  </from>
                  <to>
                    <xdr:col>12</xdr:col>
                    <xdr:colOff>247650</xdr:colOff>
                    <xdr:row>7</xdr:row>
                    <xdr:rowOff>885825</xdr:rowOff>
                  </to>
                </anchor>
              </controlPr>
            </control>
          </mc:Choice>
        </mc:AlternateContent>
        <mc:AlternateContent xmlns:mc="http://schemas.openxmlformats.org/markup-compatibility/2006">
          <mc:Choice Requires="x14">
            <control shapeId="1037" r:id="rId9" name="CheckBox5">
              <controlPr defaultSize="0" autoFill="0" autoLine="0" autoPict="0">
                <anchor moveWithCells="1">
                  <from>
                    <xdr:col>12</xdr:col>
                    <xdr:colOff>38100</xdr:colOff>
                    <xdr:row>8</xdr:row>
                    <xdr:rowOff>666750</xdr:rowOff>
                  </from>
                  <to>
                    <xdr:col>12</xdr:col>
                    <xdr:colOff>247650</xdr:colOff>
                    <xdr:row>8</xdr:row>
                    <xdr:rowOff>885825</xdr:rowOff>
                  </to>
                </anchor>
              </controlPr>
            </control>
          </mc:Choice>
        </mc:AlternateContent>
        <mc:AlternateContent xmlns:mc="http://schemas.openxmlformats.org/markup-compatibility/2006">
          <mc:Choice Requires="x14">
            <control shapeId="1038" r:id="rId10" name="CheckBox6">
              <controlPr defaultSize="0" autoFill="0" autoLine="0" autoPict="0">
                <anchor moveWithCells="1">
                  <from>
                    <xdr:col>12</xdr:col>
                    <xdr:colOff>38100</xdr:colOff>
                    <xdr:row>9</xdr:row>
                    <xdr:rowOff>666750</xdr:rowOff>
                  </from>
                  <to>
                    <xdr:col>12</xdr:col>
                    <xdr:colOff>247650</xdr:colOff>
                    <xdr:row>9</xdr:row>
                    <xdr:rowOff>885825</xdr:rowOff>
                  </to>
                </anchor>
              </controlPr>
            </control>
          </mc:Choice>
        </mc:AlternateContent>
        <mc:AlternateContent xmlns:mc="http://schemas.openxmlformats.org/markup-compatibility/2006">
          <mc:Choice Requires="x14">
            <control shapeId="1039" r:id="rId11" name="CheckBox7">
              <controlPr defaultSize="0" autoFill="0" autoLine="0" autoPict="0">
                <anchor moveWithCells="1">
                  <from>
                    <xdr:col>12</xdr:col>
                    <xdr:colOff>38100</xdr:colOff>
                    <xdr:row>10</xdr:row>
                    <xdr:rowOff>666750</xdr:rowOff>
                  </from>
                  <to>
                    <xdr:col>12</xdr:col>
                    <xdr:colOff>247650</xdr:colOff>
                    <xdr:row>10</xdr:row>
                    <xdr:rowOff>885825</xdr:rowOff>
                  </to>
                </anchor>
              </controlPr>
            </control>
          </mc:Choice>
        </mc:AlternateContent>
        <mc:AlternateContent xmlns:mc="http://schemas.openxmlformats.org/markup-compatibility/2006">
          <mc:Choice Requires="x14">
            <control shapeId="1134" r:id="rId12" name="Button 110">
              <controlPr defaultSize="0" print="0" autoFill="0" autoPict="0" macro="[0]!Uncheckall">
                <anchor moveWithCells="1" sizeWithCells="1">
                  <from>
                    <xdr:col>12</xdr:col>
                    <xdr:colOff>19050</xdr:colOff>
                    <xdr:row>2</xdr:row>
                    <xdr:rowOff>9525</xdr:rowOff>
                  </from>
                  <to>
                    <xdr:col>13</xdr:col>
                    <xdr:colOff>647700</xdr:colOff>
                    <xdr:row>3</xdr:row>
                    <xdr:rowOff>0</xdr:rowOff>
                  </to>
                </anchor>
              </controlPr>
            </control>
          </mc:Choice>
        </mc:AlternateContent>
        <mc:AlternateContent xmlns:mc="http://schemas.openxmlformats.org/markup-compatibility/2006">
          <mc:Choice Requires="x14">
            <control shapeId="1135" r:id="rId13" name="Button 111">
              <controlPr defaultSize="0" print="0" autoFill="0" autoPict="0" macro="[0]!Checkall">
                <anchor moveWithCells="1" sizeWithCells="1">
                  <from>
                    <xdr:col>12</xdr:col>
                    <xdr:colOff>19050</xdr:colOff>
                    <xdr:row>1</xdr:row>
                    <xdr:rowOff>9525</xdr:rowOff>
                  </from>
                  <to>
                    <xdr:col>13</xdr:col>
                    <xdr:colOff>647700</xdr:colOff>
                    <xdr:row>2</xdr:row>
                    <xdr:rowOff>0</xdr:rowOff>
                  </to>
                </anchor>
              </controlPr>
            </control>
          </mc:Choice>
        </mc:AlternateContent>
        <mc:AlternateContent xmlns:mc="http://schemas.openxmlformats.org/markup-compatibility/2006">
          <mc:Choice Requires="x14">
            <control shapeId="1136" r:id="rId14" name="Button 112">
              <controlPr defaultSize="0" print="0" autoFill="0" autoPict="0" macro="[0]!HideChecked">
                <anchor moveWithCells="1" sizeWithCells="1">
                  <from>
                    <xdr:col>13</xdr:col>
                    <xdr:colOff>666750</xdr:colOff>
                    <xdr:row>1</xdr:row>
                    <xdr:rowOff>0</xdr:rowOff>
                  </from>
                  <to>
                    <xdr:col>13</xdr:col>
                    <xdr:colOff>1714500</xdr:colOff>
                    <xdr:row>2</xdr:row>
                    <xdr:rowOff>0</xdr:rowOff>
                  </to>
                </anchor>
              </controlPr>
            </control>
          </mc:Choice>
        </mc:AlternateContent>
        <mc:AlternateContent xmlns:mc="http://schemas.openxmlformats.org/markup-compatibility/2006">
          <mc:Choice Requires="x14">
            <control shapeId="1137" r:id="rId15" name="Button 113">
              <controlPr defaultSize="0" print="0" autoFill="0" autoPict="0" macro="[0]!UnhideAll">
                <anchor moveWithCells="1" sizeWithCells="1">
                  <from>
                    <xdr:col>13</xdr:col>
                    <xdr:colOff>1724025</xdr:colOff>
                    <xdr:row>1</xdr:row>
                    <xdr:rowOff>9525</xdr:rowOff>
                  </from>
                  <to>
                    <xdr:col>14</xdr:col>
                    <xdr:colOff>57150</xdr:colOff>
                    <xdr:row>3</xdr:row>
                    <xdr:rowOff>0</xdr:rowOff>
                  </to>
                </anchor>
              </controlPr>
            </control>
          </mc:Choice>
        </mc:AlternateContent>
        <mc:AlternateContent xmlns:mc="http://schemas.openxmlformats.org/markup-compatibility/2006">
          <mc:Choice Requires="x14">
            <control shapeId="1138" r:id="rId16" name="Button 114">
              <controlPr defaultSize="0" print="0" autoFill="0" autoPict="0" macro="[0]!Recalculate_Peaks">
                <anchor moveWithCells="1" sizeWithCells="1">
                  <from>
                    <xdr:col>5</xdr:col>
                    <xdr:colOff>19050</xdr:colOff>
                    <xdr:row>2</xdr:row>
                    <xdr:rowOff>0</xdr:rowOff>
                  </from>
                  <to>
                    <xdr:col>5</xdr:col>
                    <xdr:colOff>952500</xdr:colOff>
                    <xdr:row>2</xdr:row>
                    <xdr:rowOff>219075</xdr:rowOff>
                  </to>
                </anchor>
              </controlPr>
            </control>
          </mc:Choice>
        </mc:AlternateContent>
        <mc:AlternateContent xmlns:mc="http://schemas.openxmlformats.org/markup-compatibility/2006">
          <mc:Choice Requires="x14">
            <control shapeId="1139" r:id="rId17" name="Button 115">
              <controlPr defaultSize="0" print="0" autoFill="0" autoPict="0" macro="[0]!Cumulative_Area">
                <anchor moveWithCells="1" sizeWithCells="1">
                  <from>
                    <xdr:col>4</xdr:col>
                    <xdr:colOff>9525</xdr:colOff>
                    <xdr:row>2</xdr:row>
                    <xdr:rowOff>9525</xdr:rowOff>
                  </from>
                  <to>
                    <xdr:col>4</xdr:col>
                    <xdr:colOff>942975</xdr:colOff>
                    <xdr:row>2</xdr:row>
                    <xdr:rowOff>219075</xdr:rowOff>
                  </to>
                </anchor>
              </controlPr>
            </control>
          </mc:Choice>
        </mc:AlternateContent>
        <mc:AlternateContent xmlns:mc="http://schemas.openxmlformats.org/markup-compatibility/2006">
          <mc:Choice Requires="x14">
            <control shapeId="1142" r:id="rId18" name="Button 118">
              <controlPr defaultSize="0" print="0" autoFill="0" autoPict="0" macro="[0]!HideUV">
                <anchor moveWithCells="1" sizeWithCells="1">
                  <from>
                    <xdr:col>14</xdr:col>
                    <xdr:colOff>66675</xdr:colOff>
                    <xdr:row>1</xdr:row>
                    <xdr:rowOff>9525</xdr:rowOff>
                  </from>
                  <to>
                    <xdr:col>14</xdr:col>
                    <xdr:colOff>962025</xdr:colOff>
                    <xdr:row>2</xdr:row>
                    <xdr:rowOff>9525</xdr:rowOff>
                  </to>
                </anchor>
              </controlPr>
            </control>
          </mc:Choice>
        </mc:AlternateContent>
        <mc:AlternateContent xmlns:mc="http://schemas.openxmlformats.org/markup-compatibility/2006">
          <mc:Choice Requires="x14">
            <control shapeId="1143" r:id="rId19" name="Button 119">
              <controlPr defaultSize="0" print="0" autoFill="0" autoPict="0" macro="[0]!UnhideUV">
                <anchor moveWithCells="1" sizeWithCells="1">
                  <from>
                    <xdr:col>14</xdr:col>
                    <xdr:colOff>66675</xdr:colOff>
                    <xdr:row>2</xdr:row>
                    <xdr:rowOff>9525</xdr:rowOff>
                  </from>
                  <to>
                    <xdr:col>14</xdr:col>
                    <xdr:colOff>962025</xdr:colOff>
                    <xdr:row>3</xdr:row>
                    <xdr:rowOff>0</xdr:rowOff>
                  </to>
                </anchor>
              </controlPr>
            </control>
          </mc:Choice>
        </mc:AlternateContent>
        <mc:AlternateContent xmlns:mc="http://schemas.openxmlformats.org/markup-compatibility/2006">
          <mc:Choice Requires="x14">
            <control shapeId="1146" r:id="rId20" name="Button 122">
              <controlPr defaultSize="0" print="0" autoFill="0" autoPict="0" macro="[0]!Lock_Click">
                <anchor moveWithCells="1" sizeWithCells="1">
                  <from>
                    <xdr:col>9</xdr:col>
                    <xdr:colOff>9525</xdr:colOff>
                    <xdr:row>1</xdr:row>
                    <xdr:rowOff>0</xdr:rowOff>
                  </from>
                  <to>
                    <xdr:col>9</xdr:col>
                    <xdr:colOff>1114425</xdr:colOff>
                    <xdr:row>2</xdr:row>
                    <xdr:rowOff>9525</xdr:rowOff>
                  </to>
                </anchor>
              </controlPr>
            </control>
          </mc:Choice>
        </mc:AlternateContent>
        <mc:AlternateContent xmlns:mc="http://schemas.openxmlformats.org/markup-compatibility/2006">
          <mc:Choice Requires="x14">
            <control shapeId="1148" r:id="rId21" name="Button 124">
              <controlPr defaultSize="0" print="0" autoFill="0" autoPict="0" macro="[0]!UVSearchAll">
                <anchor moveWithCells="1" sizeWithCells="1">
                  <from>
                    <xdr:col>11</xdr:col>
                    <xdr:colOff>981075</xdr:colOff>
                    <xdr:row>2</xdr:row>
                    <xdr:rowOff>9525</xdr:rowOff>
                  </from>
                  <to>
                    <xdr:col>12</xdr:col>
                    <xdr:colOff>0</xdr:colOff>
                    <xdr:row>3</xdr:row>
                    <xdr:rowOff>0</xdr:rowOff>
                  </to>
                </anchor>
              </controlPr>
            </control>
          </mc:Choice>
        </mc:AlternateContent>
        <mc:AlternateContent xmlns:mc="http://schemas.openxmlformats.org/markup-compatibility/2006">
          <mc:Choice Requires="x14">
            <control shapeId="1149" r:id="rId22" name="Option Button 125">
              <controlPr defaultSize="0" autoFill="0" autoLine="0" autoPict="0">
                <anchor moveWithCells="1">
                  <from>
                    <xdr:col>8</xdr:col>
                    <xdr:colOff>95250</xdr:colOff>
                    <xdr:row>1</xdr:row>
                    <xdr:rowOff>9525</xdr:rowOff>
                  </from>
                  <to>
                    <xdr:col>8</xdr:col>
                    <xdr:colOff>533400</xdr:colOff>
                    <xdr:row>2</xdr:row>
                    <xdr:rowOff>0</xdr:rowOff>
                  </to>
                </anchor>
              </controlPr>
            </control>
          </mc:Choice>
        </mc:AlternateContent>
        <mc:AlternateContent xmlns:mc="http://schemas.openxmlformats.org/markup-compatibility/2006">
          <mc:Choice Requires="x14">
            <control shapeId="1150" r:id="rId23" name="Option Button 126">
              <controlPr defaultSize="0" autoFill="0" autoLine="0" autoPict="0">
                <anchor moveWithCells="1">
                  <from>
                    <xdr:col>8</xdr:col>
                    <xdr:colOff>619125</xdr:colOff>
                    <xdr:row>1</xdr:row>
                    <xdr:rowOff>9525</xdr:rowOff>
                  </from>
                  <to>
                    <xdr:col>8</xdr:col>
                    <xdr:colOff>1057275</xdr:colOff>
                    <xdr:row>1</xdr:row>
                    <xdr:rowOff>228600</xdr:rowOff>
                  </to>
                </anchor>
              </controlPr>
            </control>
          </mc:Choice>
        </mc:AlternateContent>
        <mc:AlternateContent xmlns:mc="http://schemas.openxmlformats.org/markup-compatibility/2006">
          <mc:Choice Requires="x14">
            <control shapeId="1151" r:id="rId24" name="Button 127">
              <controlPr defaultSize="0" print="0" disabled="1" autoFill="0" autoPict="0" macro="[0]!NovaCBatch">
                <anchor moveWithCells="1" sizeWithCells="1">
                  <from>
                    <xdr:col>10</xdr:col>
                    <xdr:colOff>0</xdr:colOff>
                    <xdr:row>1</xdr:row>
                    <xdr:rowOff>0</xdr:rowOff>
                  </from>
                  <to>
                    <xdr:col>11</xdr:col>
                    <xdr:colOff>0</xdr:colOff>
                    <xdr:row>2</xdr:row>
                    <xdr:rowOff>9525</xdr:rowOff>
                  </to>
                </anchor>
              </controlPr>
            </control>
          </mc:Choice>
        </mc:AlternateContent>
        <mc:AlternateContent xmlns:mc="http://schemas.openxmlformats.org/markup-compatibility/2006">
          <mc:Choice Requires="x14">
            <control shapeId="1152" r:id="rId25" name="Button 128">
              <controlPr defaultSize="0" print="0" autoFill="0" autoPict="0" macro="[0]!HideUnchecked">
                <anchor moveWithCells="1" sizeWithCells="1">
                  <from>
                    <xdr:col>13</xdr:col>
                    <xdr:colOff>657225</xdr:colOff>
                    <xdr:row>2</xdr:row>
                    <xdr:rowOff>9525</xdr:rowOff>
                  </from>
                  <to>
                    <xdr:col>13</xdr:col>
                    <xdr:colOff>1714500</xdr:colOff>
                    <xdr:row>3</xdr:row>
                    <xdr:rowOff>0</xdr:rowOff>
                  </to>
                </anchor>
              </controlPr>
            </control>
          </mc:Choice>
        </mc:AlternateContent>
        <mc:AlternateContent xmlns:mc="http://schemas.openxmlformats.org/markup-compatibility/2006">
          <mc:Choice Requires="x14">
            <control shapeId="1153" r:id="rId26" name="Button 129">
              <controlPr defaultSize="0" print="0" autoFill="0" autoPict="0" macro="[0]!MassSearch">
                <anchor moveWithCells="1" sizeWithCells="1">
                  <from>
                    <xdr:col>11</xdr:col>
                    <xdr:colOff>981075</xdr:colOff>
                    <xdr:row>1</xdr:row>
                    <xdr:rowOff>9525</xdr:rowOff>
                  </from>
                  <to>
                    <xdr:col>12</xdr:col>
                    <xdr:colOff>0</xdr:colOff>
                    <xdr:row>2</xdr:row>
                    <xdr:rowOff>0</xdr:rowOff>
                  </to>
                </anchor>
              </controlPr>
            </control>
          </mc:Choice>
        </mc:AlternateContent>
        <mc:AlternateContent xmlns:mc="http://schemas.openxmlformats.org/markup-compatibility/2006">
          <mc:Choice Requires="x14">
            <control shapeId="1154" r:id="rId27" name="Button 130">
              <controlPr defaultSize="0" print="0" autoFill="0" autoPict="0" macro="[0]!CopyTable_Click">
                <anchor moveWithCells="1" sizeWithCells="1">
                  <from>
                    <xdr:col>10</xdr:col>
                    <xdr:colOff>9525</xdr:colOff>
                    <xdr:row>1</xdr:row>
                    <xdr:rowOff>0</xdr:rowOff>
                  </from>
                  <to>
                    <xdr:col>10</xdr:col>
                    <xdr:colOff>1114425</xdr:colOff>
                    <xdr:row>2</xdr:row>
                    <xdr:rowOff>9525</xdr:rowOff>
                  </to>
                </anchor>
              </controlPr>
            </control>
          </mc:Choice>
        </mc:AlternateContent>
        <mc:AlternateContent xmlns:mc="http://schemas.openxmlformats.org/markup-compatibility/2006">
          <mc:Choice Requires="x14">
            <control shapeId="1155" r:id="rId28" name="Button 131">
              <controlPr defaultSize="0" print="0" autoFill="0" autoPict="0" macro="[0]!ClearPeakIds">
                <anchor moveWithCells="1" sizeWithCells="1">
                  <from>
                    <xdr:col>11</xdr:col>
                    <xdr:colOff>9525</xdr:colOff>
                    <xdr:row>2</xdr:row>
                    <xdr:rowOff>9525</xdr:rowOff>
                  </from>
                  <to>
                    <xdr:col>11</xdr:col>
                    <xdr:colOff>971550</xdr:colOff>
                    <xdr:row>3</xdr:row>
                    <xdr:rowOff>0</xdr:rowOff>
                  </to>
                </anchor>
              </controlPr>
            </control>
          </mc:Choice>
        </mc:AlternateContent>
        <mc:AlternateContent xmlns:mc="http://schemas.openxmlformats.org/markup-compatibility/2006">
          <mc:Choice Requires="x14">
            <control shapeId="1156" r:id="rId29" name="Button 132">
              <controlPr defaultSize="0" print="0" autoFill="0" autoPict="0" macro="[0]!AutoUVClass">
                <anchor moveWithCells="1" sizeWithCells="1">
                  <from>
                    <xdr:col>11</xdr:col>
                    <xdr:colOff>9525</xdr:colOff>
                    <xdr:row>1</xdr:row>
                    <xdr:rowOff>9525</xdr:rowOff>
                  </from>
                  <to>
                    <xdr:col>11</xdr:col>
                    <xdr:colOff>971550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AB9563-10AB-4C49-9501-26FBFEDC0318}">
            <x14:dataBar minLength="0" maxLength="100" gradient="0">
              <x14:cfvo type="autoMin"/>
              <x14:cfvo type="num">
                <xm:f>500</xm:f>
              </x14:cfvo>
              <x14:negativeFillColor rgb="FFFF0000"/>
              <x14:axisColor rgb="FF000000"/>
            </x14:dataBar>
          </x14:cfRule>
          <xm:sqref>C5:C300</xm:sqref>
        </x14:conditionalFormatting>
        <x14:conditionalFormatting xmlns:xm="http://schemas.microsoft.com/office/excel/2006/main">
          <x14:cfRule type="cellIs" priority="1" operator="greaterThan" id="{337D6A85-7DC0-4A07-A82D-044471C809F8}">
            <xm:f>Summary!$A$14</xm:f>
            <x14:dxf>
              <fill>
                <patternFill>
                  <bgColor theme="4" tint="0.39994506668294322"/>
                </patternFill>
              </fill>
            </x14:dxf>
          </x14:cfRule>
          <x14:cfRule type="cellIs" priority="2" operator="between" id="{C4C5A8EB-6E3E-4F3D-BAD0-68F493139E29}">
            <xm:f>0.00001</xm:f>
            <xm:f>Summary!$A$10</xm:f>
            <x14:dxf>
              <fill>
                <patternFill>
                  <bgColor rgb="FFFF8989"/>
                </patternFill>
              </fill>
            </x14:dxf>
          </x14:cfRule>
          <xm:sqref>J5:J104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N35"/>
  <sheetViews>
    <sheetView workbookViewId="0"/>
  </sheetViews>
  <sheetFormatPr defaultColWidth="9.140625" defaultRowHeight="15" x14ac:dyDescent="0.25"/>
  <cols>
    <col min="1" max="2" width="9.140625" style="63"/>
    <col min="3" max="3" width="32.85546875" style="63" customWidth="1"/>
    <col min="4" max="5" width="11" style="63" customWidth="1"/>
    <col min="6" max="6" width="9.140625" style="63"/>
    <col min="7" max="7" width="28.140625" style="63" customWidth="1"/>
    <col min="8" max="8" width="22.5703125" style="63" customWidth="1"/>
    <col min="9" max="9" width="13.5703125" style="63" customWidth="1"/>
    <col min="10" max="10" width="9.28515625" style="63" customWidth="1"/>
    <col min="11" max="11" width="19.5703125" style="63" customWidth="1"/>
    <col min="12" max="12" width="9.42578125" style="63" customWidth="1"/>
    <col min="13" max="13" width="21.7109375" style="63" customWidth="1"/>
    <col min="14" max="14" width="45.85546875" style="63" customWidth="1"/>
    <col min="15" max="16" width="9.28515625" style="63" customWidth="1"/>
    <col min="17" max="16384" width="9.140625" style="63"/>
  </cols>
  <sheetData>
    <row r="1" spans="1:14" ht="15.75" x14ac:dyDescent="0.25">
      <c r="D1" s="64" t="s">
        <v>18</v>
      </c>
      <c r="E1" s="64" t="s">
        <v>19</v>
      </c>
      <c r="H1" s="64" t="s">
        <v>18</v>
      </c>
      <c r="I1" s="64" t="s">
        <v>19</v>
      </c>
      <c r="L1" s="64" t="s">
        <v>18</v>
      </c>
      <c r="M1" s="64" t="s">
        <v>19</v>
      </c>
      <c r="N1" s="65" t="s">
        <v>64</v>
      </c>
    </row>
    <row r="2" spans="1:14" x14ac:dyDescent="0.25">
      <c r="A2" s="66" t="s">
        <v>20</v>
      </c>
      <c r="C2" s="67" t="s">
        <v>16</v>
      </c>
      <c r="D2" s="68">
        <v>7</v>
      </c>
      <c r="E2" s="69"/>
      <c r="G2" s="67" t="s">
        <v>17</v>
      </c>
      <c r="H2" s="70">
        <v>342.02188110351563</v>
      </c>
      <c r="I2" s="69"/>
      <c r="K2" s="71" t="s">
        <v>91</v>
      </c>
      <c r="L2" s="72">
        <f>COUNTIF(Peaks!$L$5:$L$104,"*" &amp; K2 &amp; "*")</f>
        <v>0</v>
      </c>
      <c r="M2" s="73">
        <f>L2/$D$2</f>
        <v>0</v>
      </c>
      <c r="N2" s="68"/>
    </row>
    <row r="3" spans="1:14" x14ac:dyDescent="0.25">
      <c r="K3" s="71" t="s">
        <v>43</v>
      </c>
      <c r="L3" s="72">
        <f>COUNTIF(Peaks!$L$5:$L$104,"*" &amp; K3 &amp; "*")</f>
        <v>0</v>
      </c>
      <c r="M3" s="73">
        <f t="shared" ref="M3:M9" si="0">L3/$D$2</f>
        <v>0</v>
      </c>
      <c r="N3" s="68"/>
    </row>
    <row r="4" spans="1:14" x14ac:dyDescent="0.25">
      <c r="A4" s="82">
        <v>90</v>
      </c>
      <c r="C4" s="67" t="str">
        <f>CONCATENATE("Peaks - ",A4,"% cumulative")</f>
        <v>Peaks - 90% cumulative</v>
      </c>
      <c r="D4" s="68">
        <v>4</v>
      </c>
      <c r="E4" s="74">
        <f>D4/$D$2</f>
        <v>0.5714285714285714</v>
      </c>
      <c r="G4" s="67" t="str">
        <f>CONCATENATE("Area - ",A4,"% cumulative")</f>
        <v>Area - 90% cumulative</v>
      </c>
      <c r="H4" s="70">
        <v>301.74951171875</v>
      </c>
      <c r="I4" s="69"/>
      <c r="K4" s="71" t="s">
        <v>28</v>
      </c>
      <c r="L4" s="72">
        <f>COUNTIF(Peaks!$L$5:$L$104,"*" &amp; K4 &amp; "*")</f>
        <v>0</v>
      </c>
      <c r="M4" s="73">
        <f t="shared" si="0"/>
        <v>0</v>
      </c>
      <c r="N4" s="68"/>
    </row>
    <row r="5" spans="1:14" x14ac:dyDescent="0.25">
      <c r="A5" s="75"/>
      <c r="I5" s="76"/>
      <c r="K5" s="71" t="s">
        <v>49</v>
      </c>
      <c r="L5" s="72">
        <f>COUNTIF(Peaks!$L$5:$L$104,"*" &amp; K5 &amp; "*")</f>
        <v>0</v>
      </c>
      <c r="M5" s="73">
        <f t="shared" si="0"/>
        <v>0</v>
      </c>
      <c r="N5" s="68"/>
    </row>
    <row r="6" spans="1:14" x14ac:dyDescent="0.25">
      <c r="A6" s="82">
        <v>95</v>
      </c>
      <c r="C6" s="67" t="str">
        <f>CONCATENATE("Peaks - ",A6,"% cumulative")</f>
        <v>Peaks - 95% cumulative</v>
      </c>
      <c r="D6" s="68">
        <v>4</v>
      </c>
      <c r="E6" s="74">
        <f>D6/$D$2</f>
        <v>0.5714285714285714</v>
      </c>
      <c r="G6" s="67" t="str">
        <f>CONCATENATE("Area - ",A6,"% cumulative")</f>
        <v>Area - 95% cumulative</v>
      </c>
      <c r="H6" s="70">
        <v>301.74951171875</v>
      </c>
      <c r="I6" s="69"/>
      <c r="K6" s="71" t="s">
        <v>50</v>
      </c>
      <c r="L6" s="72">
        <f>COUNTIF(Peaks!$L$5:$L$104,"*" &amp; K6 &amp; "*")</f>
        <v>0</v>
      </c>
      <c r="M6" s="73">
        <f t="shared" si="0"/>
        <v>0</v>
      </c>
      <c r="N6" s="68"/>
    </row>
    <row r="7" spans="1:14" x14ac:dyDescent="0.25">
      <c r="A7" s="75"/>
      <c r="I7" s="76"/>
      <c r="K7" s="71" t="s">
        <v>51</v>
      </c>
      <c r="L7" s="72">
        <f>COUNTIF(Peaks!$L$5:$L$104,"*" &amp; K7 &amp; "*")</f>
        <v>0</v>
      </c>
      <c r="M7" s="73">
        <f t="shared" si="0"/>
        <v>0</v>
      </c>
      <c r="N7" s="68"/>
    </row>
    <row r="8" spans="1:14" x14ac:dyDescent="0.25">
      <c r="A8" s="82">
        <v>99</v>
      </c>
      <c r="C8" s="67" t="str">
        <f>CONCATENATE("Peaks - ",A8,"% cumulative")</f>
        <v>Peaks - 99% cumulative</v>
      </c>
      <c r="D8" s="68">
        <v>6</v>
      </c>
      <c r="E8" s="74">
        <f>D8/$D$2</f>
        <v>0.8571428571428571</v>
      </c>
      <c r="G8" s="67" t="str">
        <f>CONCATENATE("Area - ",A8,"% cumulative")</f>
        <v>Area - 99% cumulative</v>
      </c>
      <c r="H8" s="70">
        <v>336.23056030273438</v>
      </c>
      <c r="I8" s="69"/>
      <c r="K8" s="71" t="s">
        <v>52</v>
      </c>
      <c r="L8" s="72">
        <f>COUNTIF(Peaks!$L$5:$L$104,"*" &amp; K8 &amp; "*")</f>
        <v>0</v>
      </c>
      <c r="M8" s="73">
        <f t="shared" si="0"/>
        <v>0</v>
      </c>
      <c r="N8" s="68"/>
    </row>
    <row r="9" spans="1:14" x14ac:dyDescent="0.25">
      <c r="A9" s="75"/>
      <c r="K9" s="71" t="s">
        <v>53</v>
      </c>
      <c r="L9" s="72">
        <f>COUNTIF(Peaks!$L$5:$L$104,"*" &amp; K9 &amp; "*")</f>
        <v>0</v>
      </c>
      <c r="M9" s="73">
        <f t="shared" si="0"/>
        <v>0</v>
      </c>
      <c r="N9" s="68"/>
    </row>
    <row r="10" spans="1:14" x14ac:dyDescent="0.25">
      <c r="A10" s="82">
        <v>2</v>
      </c>
      <c r="C10" s="67" t="str">
        <f>CONCATENATE("Peaks - acidic (Ratio &lt; ",A10,")")</f>
        <v>Peaks - acidic (Ratio &lt; 2)</v>
      </c>
      <c r="D10" s="68">
        <v>7</v>
      </c>
      <c r="E10" s="74">
        <f>D10/$D$2</f>
        <v>1</v>
      </c>
      <c r="G10" s="67" t="str">
        <f>CONCATENATE("Area - acidic (Ratio &lt; ",A10,")")</f>
        <v>Area - acidic (Ratio &lt; 2)</v>
      </c>
      <c r="H10" s="70">
        <v>342.02188110351563</v>
      </c>
      <c r="I10" s="74">
        <f>H10/$H$2</f>
        <v>1</v>
      </c>
      <c r="K10" s="71" t="s">
        <v>54</v>
      </c>
      <c r="L10" s="72">
        <f>COUNTIF(Peaks!$L$5:$L$104,"*" &amp; K10 &amp; "*")</f>
        <v>0</v>
      </c>
      <c r="M10" s="73">
        <f>L10/$D$2</f>
        <v>0</v>
      </c>
      <c r="N10" s="68"/>
    </row>
    <row r="11" spans="1:14" x14ac:dyDescent="0.25">
      <c r="A11" s="75"/>
      <c r="K11" s="71" t="s">
        <v>55</v>
      </c>
      <c r="L11" s="72">
        <f>COUNTIF(Peaks!$L$5:$L$104,"*" &amp; K11 &amp; "*")</f>
        <v>0</v>
      </c>
      <c r="M11" s="73">
        <f t="shared" ref="M11:M17" si="1">L11/$D$2</f>
        <v>0</v>
      </c>
      <c r="N11" s="68"/>
    </row>
    <row r="12" spans="1:14" x14ac:dyDescent="0.25">
      <c r="A12" s="77"/>
      <c r="C12" s="67" t="str">
        <f>CONCATENATE("Peaks - neutral (Ratio ",A10," - ",A14,")")</f>
        <v>Peaks - neutral (Ratio 2 - 50)</v>
      </c>
      <c r="D12" s="68">
        <v>0</v>
      </c>
      <c r="E12" s="74">
        <f>D12/$D$2</f>
        <v>0</v>
      </c>
      <c r="G12" s="67" t="str">
        <f>CONCATENATE("Area - neutral (Ratio ",A10," - ",A14,")")</f>
        <v>Area - neutral (Ratio 2 - 50)</v>
      </c>
      <c r="H12" s="70">
        <v>0</v>
      </c>
      <c r="I12" s="74">
        <f>H12/$H$2</f>
        <v>0</v>
      </c>
      <c r="K12" s="71" t="s">
        <v>56</v>
      </c>
      <c r="L12" s="72">
        <f>COUNTIF(Peaks!$L$5:$L$104,"*" &amp; K12 &amp; "*")</f>
        <v>0</v>
      </c>
      <c r="M12" s="73">
        <f t="shared" si="1"/>
        <v>0</v>
      </c>
      <c r="N12" s="68"/>
    </row>
    <row r="13" spans="1:14" x14ac:dyDescent="0.25">
      <c r="A13" s="75"/>
      <c r="K13" s="71" t="s">
        <v>57</v>
      </c>
      <c r="L13" s="72">
        <f>COUNTIF(Peaks!$L$5:$L$104,"*" &amp; K13 &amp; "*")</f>
        <v>0</v>
      </c>
      <c r="M13" s="73">
        <f t="shared" si="1"/>
        <v>0</v>
      </c>
      <c r="N13" s="68"/>
    </row>
    <row r="14" spans="1:14" x14ac:dyDescent="0.25">
      <c r="A14" s="82">
        <v>50</v>
      </c>
      <c r="C14" s="67" t="str">
        <f>CONCATENATE("Peaks - basic (Ratio &gt; ",A14,")")</f>
        <v>Peaks - basic (Ratio &gt; 50)</v>
      </c>
      <c r="D14" s="68">
        <v>0</v>
      </c>
      <c r="E14" s="74">
        <f>D14/$D$2</f>
        <v>0</v>
      </c>
      <c r="G14" s="67" t="str">
        <f>CONCATENATE("Area - basic (Ratio &gt; ",A14,")")</f>
        <v>Area - basic (Ratio &gt; 50)</v>
      </c>
      <c r="H14" s="70">
        <v>0</v>
      </c>
      <c r="I14" s="74">
        <f>H14/$H$2</f>
        <v>0</v>
      </c>
      <c r="K14" s="71" t="s">
        <v>58</v>
      </c>
      <c r="L14" s="72">
        <f>COUNTIF(Peaks!$L$5:$L$104,"*" &amp; K14 &amp; "*")</f>
        <v>0</v>
      </c>
      <c r="M14" s="73">
        <f t="shared" si="1"/>
        <v>0</v>
      </c>
      <c r="N14" s="68"/>
    </row>
    <row r="15" spans="1:14" x14ac:dyDescent="0.25">
      <c r="A15" s="75"/>
      <c r="K15" s="71" t="s">
        <v>59</v>
      </c>
      <c r="L15" s="72">
        <f>COUNTIF(Peaks!$L$5:$L$104,"*" &amp; K15 &amp; "*")</f>
        <v>0</v>
      </c>
      <c r="M15" s="73">
        <f t="shared" si="1"/>
        <v>0</v>
      </c>
      <c r="N15" s="68"/>
    </row>
    <row r="16" spans="1:14" x14ac:dyDescent="0.25">
      <c r="A16" s="82">
        <v>3</v>
      </c>
      <c r="C16" s="67" t="str">
        <f>CONCATENATE("Peaks - polar (&lt; ",A16," min)")</f>
        <v>Peaks - polar (&lt; 3 min)</v>
      </c>
      <c r="D16" s="68">
        <v>2</v>
      </c>
      <c r="E16" s="74">
        <f>D16/$D$2</f>
        <v>0.2857142857142857</v>
      </c>
      <c r="G16" s="67" t="str">
        <f>CONCATENATE("Area- polar (&lt; ",A16," min)")</f>
        <v>Area- polar (&lt; 3 min)</v>
      </c>
      <c r="H16" s="70">
        <v>107.59178161621094</v>
      </c>
      <c r="I16" s="74">
        <f>H16/$H$2</f>
        <v>0.31457572617597362</v>
      </c>
      <c r="K16" s="71" t="s">
        <v>60</v>
      </c>
      <c r="L16" s="72">
        <f>COUNTIF(Peaks!$L$5:$L$104,"*" &amp; K16 &amp; "*")</f>
        <v>0</v>
      </c>
      <c r="M16" s="73">
        <f t="shared" si="1"/>
        <v>0</v>
      </c>
      <c r="N16" s="68"/>
    </row>
    <row r="17" spans="1:14" x14ac:dyDescent="0.25">
      <c r="A17" s="75"/>
      <c r="K17" s="71" t="s">
        <v>61</v>
      </c>
      <c r="L17" s="72">
        <f>COUNTIF(Peaks!$L$5:$L$104,"*" &amp; K17 &amp; "*")</f>
        <v>0</v>
      </c>
      <c r="M17" s="73">
        <f t="shared" si="1"/>
        <v>0</v>
      </c>
      <c r="N17" s="68"/>
    </row>
    <row r="18" spans="1:14" x14ac:dyDescent="0.25">
      <c r="A18" s="77"/>
      <c r="C18" s="67" t="str">
        <f>CONCATENATE("Peaks - intermediate (",A16," - ",A20," min)")</f>
        <v>Peaks - intermediate (3 - 6 min)</v>
      </c>
      <c r="D18" s="68">
        <v>4</v>
      </c>
      <c r="E18" s="74">
        <f>D18/$D$2</f>
        <v>0.5714285714285714</v>
      </c>
      <c r="G18" s="67" t="str">
        <f>CONCATENATE("Area - intermediate (",A16," - ",A20," min)")</f>
        <v>Area - intermediate (3 - 6 min)</v>
      </c>
      <c r="H18" s="70">
        <v>76.015365600585938</v>
      </c>
      <c r="I18" s="74">
        <f>H18/$H$2</f>
        <v>0.22225293117307687</v>
      </c>
      <c r="K18" s="71" t="s">
        <v>62</v>
      </c>
      <c r="L18" s="72">
        <f>COUNTIF(Peaks!$L$5:$L$104,"*" &amp; K18 &amp; "*")</f>
        <v>0</v>
      </c>
      <c r="M18" s="73">
        <f>L18/$D$2</f>
        <v>0</v>
      </c>
      <c r="N18" s="68"/>
    </row>
    <row r="19" spans="1:14" x14ac:dyDescent="0.25">
      <c r="A19" s="75"/>
      <c r="K19" s="71" t="s">
        <v>63</v>
      </c>
      <c r="L19" s="72">
        <f>COUNTIF(Peaks!$L$5:$L$104,"*" &amp; K19 &amp; "*")</f>
        <v>0</v>
      </c>
      <c r="M19" s="73">
        <f t="shared" ref="M19:M25" si="2">L19/$D$2</f>
        <v>0</v>
      </c>
      <c r="N19" s="68"/>
    </row>
    <row r="20" spans="1:14" x14ac:dyDescent="0.25">
      <c r="A20" s="82">
        <v>6</v>
      </c>
      <c r="C20" s="67" t="str">
        <f>CONCATENATE("Peaks - non-polar (&gt; ",A20," min)")</f>
        <v>Peaks - non-polar (&gt; 6 min)</v>
      </c>
      <c r="D20" s="68">
        <v>1</v>
      </c>
      <c r="E20" s="74">
        <f>D20/$D$2</f>
        <v>0.14285714285714285</v>
      </c>
      <c r="G20" s="67" t="str">
        <f>CONCATENATE("Area - non-polar (&gt; ",A20," min)")</f>
        <v>Area - non-polar (&gt; 6 min)</v>
      </c>
      <c r="H20" s="70">
        <v>158.41474914550781</v>
      </c>
      <c r="I20" s="74">
        <f>H20/$H$2</f>
        <v>0.46317138726443746</v>
      </c>
      <c r="K20" s="71" t="s">
        <v>65</v>
      </c>
      <c r="L20" s="72">
        <f>COUNTIF(Peaks!$L$5:$L$104,"*" &amp; K20 &amp; "*")</f>
        <v>0</v>
      </c>
      <c r="M20" s="73">
        <f t="shared" si="2"/>
        <v>0</v>
      </c>
      <c r="N20" s="68"/>
    </row>
    <row r="21" spans="1:14" x14ac:dyDescent="0.25">
      <c r="K21" s="71" t="s">
        <v>66</v>
      </c>
      <c r="L21" s="72">
        <f>COUNTIF(Peaks!$L$5:$L$104,"*" &amp; K21 &amp; "*")</f>
        <v>0</v>
      </c>
      <c r="M21" s="73">
        <f t="shared" si="2"/>
        <v>0</v>
      </c>
      <c r="N21" s="68"/>
    </row>
    <row r="22" spans="1:14" x14ac:dyDescent="0.25">
      <c r="C22" s="71" t="s">
        <v>21</v>
      </c>
      <c r="D22" s="68">
        <v>6</v>
      </c>
      <c r="E22" s="74">
        <f>D22/$D$2</f>
        <v>0.8571428571428571</v>
      </c>
      <c r="G22" s="71" t="s">
        <v>22</v>
      </c>
      <c r="H22" s="70">
        <v>183.60713195800781</v>
      </c>
      <c r="I22" s="74">
        <f>H22/$H$2</f>
        <v>0.53682861273556259</v>
      </c>
      <c r="K22" s="71" t="s">
        <v>67</v>
      </c>
      <c r="L22" s="72">
        <f>COUNTIF(Peaks!$L$5:$L$104,"*" &amp; K22 &amp; "*")</f>
        <v>0</v>
      </c>
      <c r="M22" s="73">
        <f t="shared" si="2"/>
        <v>0</v>
      </c>
      <c r="N22" s="68"/>
    </row>
    <row r="23" spans="1:14" x14ac:dyDescent="0.25">
      <c r="K23" s="71" t="s">
        <v>68</v>
      </c>
      <c r="L23" s="72">
        <f>COUNTIF(Peaks!$L$5:$L$104,"*" &amp; K23 &amp; "*")</f>
        <v>0</v>
      </c>
      <c r="M23" s="73">
        <f t="shared" si="2"/>
        <v>0</v>
      </c>
      <c r="N23" s="68"/>
    </row>
    <row r="24" spans="1:14" x14ac:dyDescent="0.25">
      <c r="C24" s="71" t="s">
        <v>23</v>
      </c>
      <c r="D24" s="68">
        <v>1</v>
      </c>
      <c r="E24" s="74">
        <f>D24/$D$2</f>
        <v>0.14285714285714285</v>
      </c>
      <c r="G24" s="71" t="s">
        <v>24</v>
      </c>
      <c r="H24" s="70">
        <v>158.41474914550781</v>
      </c>
      <c r="I24" s="74">
        <f>H24/$H$2</f>
        <v>0.46317138726443746</v>
      </c>
      <c r="K24" s="71" t="s">
        <v>69</v>
      </c>
      <c r="L24" s="72">
        <f>COUNTIF(Peaks!$L$5:$L$104,"*" &amp; K24 &amp; "*")</f>
        <v>0</v>
      </c>
      <c r="M24" s="73">
        <f t="shared" si="2"/>
        <v>0</v>
      </c>
      <c r="N24" s="68"/>
    </row>
    <row r="25" spans="1:14" x14ac:dyDescent="0.25">
      <c r="K25" s="71" t="s">
        <v>70</v>
      </c>
      <c r="L25" s="72">
        <f>COUNTIF(Peaks!$L$5:$L$104,"*" &amp; K25 &amp; "*")</f>
        <v>0</v>
      </c>
      <c r="M25" s="73">
        <f t="shared" si="2"/>
        <v>0</v>
      </c>
      <c r="N25" s="68"/>
    </row>
    <row r="26" spans="1:14" x14ac:dyDescent="0.25">
      <c r="C26" s="71" t="s">
        <v>46</v>
      </c>
      <c r="D26" s="68">
        <v>0</v>
      </c>
      <c r="K26" s="71" t="s">
        <v>71</v>
      </c>
      <c r="L26" s="72">
        <f>COUNTIF(Peaks!$L$5:$L$104,"*" &amp; K26 &amp; "*")</f>
        <v>0</v>
      </c>
      <c r="M26" s="73">
        <f>L26/$D$2</f>
        <v>0</v>
      </c>
      <c r="N26" s="68"/>
    </row>
    <row r="27" spans="1:14" x14ac:dyDescent="0.25">
      <c r="G27" s="78"/>
      <c r="H27" s="78" t="s">
        <v>86</v>
      </c>
      <c r="K27" s="71" t="s">
        <v>72</v>
      </c>
      <c r="L27" s="72">
        <f>COUNTIF(Peaks!$L$5:$L$104,"*" &amp; K27 &amp; "*")</f>
        <v>0</v>
      </c>
      <c r="M27" s="73">
        <f t="shared" ref="M27:M29" si="3">L27/$D$2</f>
        <v>0</v>
      </c>
      <c r="N27" s="68"/>
    </row>
    <row r="28" spans="1:14" x14ac:dyDescent="0.25">
      <c r="H28" s="63" t="s">
        <v>44</v>
      </c>
      <c r="K28" s="71" t="s">
        <v>73</v>
      </c>
      <c r="L28" s="72">
        <f>COUNTIF(Peaks!$L$5:$L$104,"*" &amp; K28 &amp; "*")</f>
        <v>0</v>
      </c>
      <c r="M28" s="73">
        <f t="shared" si="3"/>
        <v>0</v>
      </c>
      <c r="N28" s="68"/>
    </row>
    <row r="29" spans="1:14" x14ac:dyDescent="0.25">
      <c r="H29" s="63" t="s">
        <v>45</v>
      </c>
      <c r="K29" s="71" t="s">
        <v>74</v>
      </c>
      <c r="L29" s="72">
        <f>COUNTIF(Peaks!$L$5:$L$104,"*" &amp; K29 &amp; "*")</f>
        <v>0</v>
      </c>
      <c r="M29" s="73">
        <f t="shared" si="3"/>
        <v>0</v>
      </c>
      <c r="N29" s="68"/>
    </row>
    <row r="30" spans="1:14" x14ac:dyDescent="0.25">
      <c r="K30" s="79"/>
      <c r="L30" s="80"/>
      <c r="M30" s="81"/>
      <c r="N30" s="76"/>
    </row>
    <row r="31" spans="1:14" x14ac:dyDescent="0.25">
      <c r="C31" s="78"/>
      <c r="K31" s="79"/>
      <c r="L31" s="80"/>
      <c r="M31" s="81"/>
      <c r="N31" s="76"/>
    </row>
    <row r="32" spans="1:14" x14ac:dyDescent="0.25">
      <c r="K32" s="79"/>
      <c r="L32" s="80"/>
      <c r="M32" s="81"/>
      <c r="N32" s="76"/>
    </row>
    <row r="33" spans="6:14" ht="15.75" thickBot="1" x14ac:dyDescent="0.3">
      <c r="K33" s="79"/>
      <c r="L33" s="80"/>
      <c r="M33" s="81"/>
      <c r="N33" s="76"/>
    </row>
    <row r="34" spans="6:14" ht="15.75" thickBot="1" x14ac:dyDescent="0.3">
      <c r="F34" s="25">
        <v>20</v>
      </c>
      <c r="K34" s="79"/>
      <c r="L34" s="80"/>
      <c r="M34" s="81"/>
      <c r="N34" s="76"/>
    </row>
    <row r="35" spans="6:14" x14ac:dyDescent="0.25">
      <c r="K35" s="79"/>
      <c r="L35" s="80"/>
      <c r="M35" s="81"/>
      <c r="N35" s="7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Summary">
                <anchor moveWithCells="1" sizeWithCells="1">
                  <from>
                    <xdr:col>2</xdr:col>
                    <xdr:colOff>66675</xdr:colOff>
                    <xdr:row>32</xdr:row>
                    <xdr:rowOff>9525</xdr:rowOff>
                  </from>
                  <to>
                    <xdr:col>2</xdr:col>
                    <xdr:colOff>2133600</xdr:colOff>
                    <xdr:row>34</xdr:row>
                    <xdr:rowOff>9525</xdr:rowOff>
                  </to>
                </anchor>
              </controlPr>
            </control>
          </mc:Choice>
        </mc:AlternateContent>
        <mc:AlternateContent xmlns:mc="http://schemas.openxmlformats.org/markup-compatibility/2006">
          <mc:Choice Requires="x14">
            <control shapeId="6146" r:id="rId5" name="Button 2">
              <controlPr defaultSize="0" print="0" autoFill="0" autoPict="0" macro="[0]!HideSpecificID">
                <anchor moveWithCells="1">
                  <from>
                    <xdr:col>7</xdr:col>
                    <xdr:colOff>295275</xdr:colOff>
                    <xdr:row>29</xdr:row>
                    <xdr:rowOff>76200</xdr:rowOff>
                  </from>
                  <to>
                    <xdr:col>8</xdr:col>
                    <xdr:colOff>266700</xdr:colOff>
                    <xdr:row>30</xdr:row>
                    <xdr:rowOff>123825</xdr:rowOff>
                  </to>
                </anchor>
              </controlPr>
            </control>
          </mc:Choice>
        </mc:AlternateContent>
        <mc:AlternateContent xmlns:mc="http://schemas.openxmlformats.org/markup-compatibility/2006">
          <mc:Choice Requires="x14">
            <control shapeId="6147" r:id="rId6" name="Button 3">
              <controlPr defaultSize="0" print="0" autoFill="0" autoPict="0" macro="[0]!UnhideSpecificID">
                <anchor moveWithCells="1">
                  <from>
                    <xdr:col>7</xdr:col>
                    <xdr:colOff>295275</xdr:colOff>
                    <xdr:row>31</xdr:row>
                    <xdr:rowOff>28575</xdr:rowOff>
                  </from>
                  <to>
                    <xdr:col>8</xdr:col>
                    <xdr:colOff>266700</xdr:colOff>
                    <xdr:row>32</xdr:row>
                    <xdr:rowOff>76200</xdr:rowOff>
                  </to>
                </anchor>
              </controlPr>
            </control>
          </mc:Choice>
        </mc:AlternateContent>
        <mc:AlternateContent xmlns:mc="http://schemas.openxmlformats.org/markup-compatibility/2006">
          <mc:Choice Requires="x14">
            <control shapeId="6148" r:id="rId7" name="Button 4">
              <controlPr defaultSize="0" print="0" autoFill="0" autoPict="0" macro="[0]!UnhideAll">
                <anchor moveWithCells="1" sizeWithCells="1">
                  <from>
                    <xdr:col>7</xdr:col>
                    <xdr:colOff>295275</xdr:colOff>
                    <xdr:row>36</xdr:row>
                    <xdr:rowOff>76200</xdr:rowOff>
                  </from>
                  <to>
                    <xdr:col>8</xdr:col>
                    <xdr:colOff>266700</xdr:colOff>
                    <xdr:row>37</xdr:row>
                    <xdr:rowOff>123825</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2</xdr:col>
                    <xdr:colOff>28575</xdr:colOff>
                    <xdr:row>34</xdr:row>
                    <xdr:rowOff>190500</xdr:rowOff>
                  </from>
                  <to>
                    <xdr:col>2</xdr:col>
                    <xdr:colOff>2181225</xdr:colOff>
                    <xdr:row>36</xdr:row>
                    <xdr:rowOff>9525</xdr:rowOff>
                  </to>
                </anchor>
              </controlPr>
            </control>
          </mc:Choice>
        </mc:AlternateContent>
        <mc:AlternateContent xmlns:mc="http://schemas.openxmlformats.org/markup-compatibility/2006">
          <mc:Choice Requires="x14">
            <control shapeId="6150" r:id="rId9" name="Button 6">
              <controlPr defaultSize="0" print="0" autoFill="0" autoPict="0" macro="[0]!ShowOnlyID">
                <anchor moveWithCells="1">
                  <from>
                    <xdr:col>7</xdr:col>
                    <xdr:colOff>295275</xdr:colOff>
                    <xdr:row>32</xdr:row>
                    <xdr:rowOff>171450</xdr:rowOff>
                  </from>
                  <to>
                    <xdr:col>8</xdr:col>
                    <xdr:colOff>266700</xdr:colOff>
                    <xdr:row>34</xdr:row>
                    <xdr:rowOff>9525</xdr:rowOff>
                  </to>
                </anchor>
              </controlPr>
            </control>
          </mc:Choice>
        </mc:AlternateContent>
        <mc:AlternateContent xmlns:mc="http://schemas.openxmlformats.org/markup-compatibility/2006">
          <mc:Choice Requires="x14">
            <control shapeId="6151" r:id="rId10" name="Button 7">
              <controlPr defaultSize="0" print="0" autoFill="0" autoPict="0" macro="[0]!ShowOnlyCumulative">
                <anchor moveWithCells="1">
                  <from>
                    <xdr:col>1</xdr:col>
                    <xdr:colOff>66675</xdr:colOff>
                    <xdr:row>0</xdr:row>
                    <xdr:rowOff>19050</xdr:rowOff>
                  </from>
                  <to>
                    <xdr:col>1</xdr:col>
                    <xdr:colOff>504825</xdr:colOff>
                    <xdr:row>2</xdr:row>
                    <xdr:rowOff>85725</xdr:rowOff>
                  </to>
                </anchor>
              </controlPr>
            </control>
          </mc:Choice>
        </mc:AlternateContent>
        <mc:AlternateContent xmlns:mc="http://schemas.openxmlformats.org/markup-compatibility/2006">
          <mc:Choice Requires="x14">
            <control shapeId="6153" r:id="rId11" name="Button 9">
              <controlPr defaultSize="0" print="0" autoFill="0" autoPict="0" macro="[0]!ShowOnlyTop">
                <anchor moveWithCells="1">
                  <from>
                    <xdr:col>6</xdr:col>
                    <xdr:colOff>28575</xdr:colOff>
                    <xdr:row>32</xdr:row>
                    <xdr:rowOff>161925</xdr:rowOff>
                  </from>
                  <to>
                    <xdr:col>7</xdr:col>
                    <xdr:colOff>0</xdr:colOff>
                    <xdr:row>34</xdr:row>
                    <xdr:rowOff>0</xdr:rowOff>
                  </to>
                </anchor>
              </controlPr>
            </control>
          </mc:Choice>
        </mc:AlternateContent>
        <mc:AlternateContent xmlns:mc="http://schemas.openxmlformats.org/markup-compatibility/2006">
          <mc:Choice Requires="x14">
            <control shapeId="6154" r:id="rId12" name="Button 10">
              <controlPr defaultSize="0" print="0" autoFill="0" autoPict="0" macro="[0]!HideUnlabelled">
                <anchor moveWithCells="1">
                  <from>
                    <xdr:col>7</xdr:col>
                    <xdr:colOff>295275</xdr:colOff>
                    <xdr:row>34</xdr:row>
                    <xdr:rowOff>123825</xdr:rowOff>
                  </from>
                  <to>
                    <xdr:col>8</xdr:col>
                    <xdr:colOff>266700</xdr:colOff>
                    <xdr:row>35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Z1:AB21"/>
  <sheetViews>
    <sheetView zoomScaleNormal="100" workbookViewId="0">
      <selection activeCell="AA21" sqref="AA21"/>
    </sheetView>
  </sheetViews>
  <sheetFormatPr defaultRowHeight="15" x14ac:dyDescent="0.25"/>
  <sheetData>
    <row r="1" spans="26:28" ht="15.75" thickBot="1" x14ac:dyDescent="0.3">
      <c r="Z1" s="10" t="s">
        <v>30</v>
      </c>
      <c r="AB1" s="10" t="s">
        <v>19</v>
      </c>
    </row>
    <row r="2" spans="26:28" ht="15.75" thickBot="1" x14ac:dyDescent="0.3">
      <c r="Z2" s="2">
        <v>2</v>
      </c>
      <c r="AB2" s="2">
        <v>20</v>
      </c>
    </row>
    <row r="3" spans="26:28" ht="15.75" thickBot="1" x14ac:dyDescent="0.3"/>
    <row r="4" spans="26:28" ht="15.75" thickBot="1" x14ac:dyDescent="0.3">
      <c r="AA4" s="11"/>
    </row>
    <row r="5" spans="26:28" ht="15.75" thickBot="1" x14ac:dyDescent="0.3"/>
    <row r="6" spans="26:28" ht="15.75" thickBot="1" x14ac:dyDescent="0.3">
      <c r="AA6" s="12"/>
    </row>
    <row r="8" spans="26:28" x14ac:dyDescent="0.25">
      <c r="AA8" s="1"/>
    </row>
    <row r="9" spans="26:28" x14ac:dyDescent="0.25">
      <c r="AA9" s="1"/>
    </row>
    <row r="10" spans="26:28" x14ac:dyDescent="0.25">
      <c r="AA10" s="1"/>
    </row>
    <row r="11" spans="26:28" ht="15.75" thickBot="1" x14ac:dyDescent="0.3"/>
    <row r="12" spans="26:28" ht="15.75" thickBot="1" x14ac:dyDescent="0.3">
      <c r="Z12" s="2">
        <v>100</v>
      </c>
    </row>
    <row r="14" spans="26:28" ht="15.75" thickBot="1" x14ac:dyDescent="0.3">
      <c r="Z14" s="40"/>
    </row>
    <row r="15" spans="26:28" ht="15.75" thickBot="1" x14ac:dyDescent="0.3">
      <c r="Z15" s="2">
        <v>0.5</v>
      </c>
      <c r="AA15" s="2">
        <v>10</v>
      </c>
    </row>
    <row r="17" spans="26:28" ht="15.75" thickBot="1" x14ac:dyDescent="0.3"/>
    <row r="18" spans="26:28" ht="15.75" thickBot="1" x14ac:dyDescent="0.3">
      <c r="Z18" s="105" t="s">
        <v>42</v>
      </c>
      <c r="AA18" s="106"/>
      <c r="AB18" s="41"/>
    </row>
    <row r="20" spans="26:28" ht="15.75" thickBot="1" x14ac:dyDescent="0.3"/>
    <row r="21" spans="26:28" ht="15.75" thickBot="1" x14ac:dyDescent="0.3">
      <c r="AA21" s="2">
        <v>0</v>
      </c>
    </row>
  </sheetData>
  <mergeCells count="1">
    <mergeCell ref="Z18:AA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9221" r:id="rId8" name="Button 5">
              <controlPr defaultSize="0" print="0" autoFill="0" autoPict="0" macro="[0]!Chromatograms_Click">
                <anchor moveWithCells="1" sizeWithCells="1">
                  <from>
                    <xdr:col>25</xdr:col>
                    <xdr:colOff>0</xdr:colOff>
                    <xdr:row>15</xdr:row>
                    <xdr:rowOff>47625</xdr:rowOff>
                  </from>
                  <to>
                    <xdr:col>27</xdr:col>
                    <xdr:colOff>0</xdr:colOff>
                    <xdr:row>16</xdr:row>
                    <xdr:rowOff>104775</xdr:rowOff>
                  </to>
                </anchor>
              </controlPr>
            </control>
          </mc:Choice>
        </mc:AlternateContent>
        <mc:AlternateContent xmlns:mc="http://schemas.openxmlformats.org/markup-compatibility/2006">
          <mc:Choice Requires="x14">
            <control shapeId="9222" r:id="rId9"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9223" r:id="rId10"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9224" r:id="rId11"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9225" r:id="rId12"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9230" r:id="rId13"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9231" r:id="rId14"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9232" r:id="rId15"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9233" r:id="rId16"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9238" r:id="rId17"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9239" r:id="rId18"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9240" r:id="rId19"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9241" r:id="rId20" name="Button 25">
              <controlPr defaultSize="0" print="0" autoFill="0" autoPict="0" macro="[0]!NextTraceOne">
                <anchor moveWithCells="1" sizeWithCells="1">
                  <from>
                    <xdr:col>27</xdr:col>
                    <xdr:colOff>19050</xdr:colOff>
                    <xdr:row>19</xdr:row>
                    <xdr:rowOff>104775</xdr:rowOff>
                  </from>
                  <to>
                    <xdr:col>27</xdr:col>
                    <xdr:colOff>381000</xdr:colOff>
                    <xdr:row>21</xdr:row>
                    <xdr:rowOff>95250</xdr:rowOff>
                  </to>
                </anchor>
              </controlPr>
            </control>
          </mc:Choice>
        </mc:AlternateContent>
        <mc:AlternateContent xmlns:mc="http://schemas.openxmlformats.org/markup-compatibility/2006">
          <mc:Choice Requires="x14">
            <control shapeId="9242" r:id="rId21" name="Button 26">
              <controlPr defaultSize="0" print="0" autoFill="0" autoPict="0" macro="[0]!PreviousTraceOne">
                <anchor moveWithCells="1" sizeWithCells="1">
                  <from>
                    <xdr:col>25</xdr:col>
                    <xdr:colOff>238125</xdr:colOff>
                    <xdr:row>19</xdr:row>
                    <xdr:rowOff>104775</xdr:rowOff>
                  </from>
                  <to>
                    <xdr:col>25</xdr:col>
                    <xdr:colOff>600075</xdr:colOff>
                    <xdr:row>21</xdr:row>
                    <xdr:rowOff>85725</xdr:rowOff>
                  </to>
                </anchor>
              </controlPr>
            </control>
          </mc:Choice>
        </mc:AlternateContent>
        <mc:AlternateContent xmlns:mc="http://schemas.openxmlformats.org/markup-compatibility/2006">
          <mc:Choice Requires="x14">
            <control shapeId="9243" r:id="rId22" name="Button 27">
              <controlPr defaultSize="0" print="0" autoFill="0" autoPict="0" macro="[0]!Clear_Inset">
                <anchor moveWithCells="1" sizeWithCells="1">
                  <from>
                    <xdr:col>28</xdr:col>
                    <xdr:colOff>9525</xdr:colOff>
                    <xdr:row>13</xdr:row>
                    <xdr:rowOff>142875</xdr:rowOff>
                  </from>
                  <to>
                    <xdr:col>29</xdr:col>
                    <xdr:colOff>9525</xdr:colOff>
                    <xdr:row>15</xdr:row>
                    <xdr:rowOff>38100</xdr:rowOff>
                  </to>
                </anchor>
              </controlPr>
            </control>
          </mc:Choice>
        </mc:AlternateContent>
        <mc:AlternateContent xmlns:mc="http://schemas.openxmlformats.org/markup-compatibility/2006">
          <mc:Choice Requires="x14">
            <control shapeId="9244" r:id="rId23" name="Button 28">
              <controlPr defaultSize="0" print="0" autoFill="0" autoPict="0" macro="[0]!Reset_Allchromatograms">
                <anchor moveWithCells="1" sizeWithCells="1">
                  <from>
                    <xdr:col>28</xdr:col>
                    <xdr:colOff>38100</xdr:colOff>
                    <xdr:row>0</xdr:row>
                    <xdr:rowOff>57150</xdr:rowOff>
                  </from>
                  <to>
                    <xdr:col>28</xdr:col>
                    <xdr:colOff>457200</xdr:colOff>
                    <xdr:row>2</xdr:row>
                    <xdr:rowOff>66675</xdr:rowOff>
                  </to>
                </anchor>
              </controlPr>
            </control>
          </mc:Choice>
        </mc:AlternateContent>
        <mc:AlternateContent xmlns:mc="http://schemas.openxmlformats.org/markup-compatibility/2006">
          <mc:Choice Requires="x14">
            <control shapeId="9245" r:id="rId24" name="Button 29">
              <controlPr defaultSize="0" print="0" autoFill="0" autoPict="0" macro="[0]!Reset_210">
                <anchor moveWithCells="1" sizeWithCells="1">
                  <from>
                    <xdr:col>28</xdr:col>
                    <xdr:colOff>38100</xdr:colOff>
                    <xdr:row>3</xdr:row>
                    <xdr:rowOff>0</xdr:rowOff>
                  </from>
                  <to>
                    <xdr:col>28</xdr:col>
                    <xdr:colOff>457200</xdr:colOff>
                    <xdr:row>4</xdr:row>
                    <xdr:rowOff>0</xdr:rowOff>
                  </to>
                </anchor>
              </controlPr>
            </control>
          </mc:Choice>
        </mc:AlternateContent>
        <mc:AlternateContent xmlns:mc="http://schemas.openxmlformats.org/markup-compatibility/2006">
          <mc:Choice Requires="x14">
            <control shapeId="9246" r:id="rId25" name="Button 30">
              <controlPr defaultSize="0" print="0" autoFill="0" autoPict="0" macro="[0]!Reset_254">
                <anchor moveWithCells="1" sizeWithCells="1">
                  <from>
                    <xdr:col>28</xdr:col>
                    <xdr:colOff>38100</xdr:colOff>
                    <xdr:row>5</xdr:row>
                    <xdr:rowOff>0</xdr:rowOff>
                  </from>
                  <to>
                    <xdr:col>28</xdr:col>
                    <xdr:colOff>457200</xdr:colOff>
                    <xdr:row>6</xdr:row>
                    <xdr:rowOff>0</xdr:rowOff>
                  </to>
                </anchor>
              </controlPr>
            </control>
          </mc:Choice>
        </mc:AlternateContent>
        <mc:AlternateContent xmlns:mc="http://schemas.openxmlformats.org/markup-compatibility/2006">
          <mc:Choice Requires="x14">
            <control shapeId="9249" r:id="rId26" name="Button 33">
              <controlPr defaultSize="0" print="0" autoFill="0" autoPict="0" macro="[0]!Reset_Labels">
                <anchor moveWithCells="1" sizeWithCells="1">
                  <from>
                    <xdr:col>28</xdr:col>
                    <xdr:colOff>38100</xdr:colOff>
                    <xdr:row>11</xdr:row>
                    <xdr:rowOff>0</xdr:rowOff>
                  </from>
                  <to>
                    <xdr:col>28</xdr:col>
                    <xdr:colOff>457200</xdr:colOff>
                    <xdr:row>12</xdr:row>
                    <xdr:rowOff>0</xdr:rowOff>
                  </to>
                </anchor>
              </controlPr>
            </control>
          </mc:Choice>
        </mc:AlternateContent>
        <mc:AlternateContent xmlns:mc="http://schemas.openxmlformats.org/markup-compatibility/2006">
          <mc:Choice Requires="x14">
            <control shapeId="9250" r:id="rId27"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9252" r:id="rId28" name="Button 36">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9253" r:id="rId29" name="Button 37">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9254" r:id="rId30" name="Button 38">
              <controlPr defaultSize="0" print="0" autoFill="0" autoPict="0" macro="[0]!UnhideID_From_Chromatogram">
                <anchor moveWithCells="1" sizeWithCells="1">
                  <from>
                    <xdr:col>25</xdr:col>
                    <xdr:colOff>9525</xdr:colOff>
                    <xdr:row>21</xdr:row>
                    <xdr:rowOff>114300</xdr:rowOff>
                  </from>
                  <to>
                    <xdr:col>25</xdr:col>
                    <xdr:colOff>600075</xdr:colOff>
                    <xdr:row>22</xdr:row>
                    <xdr:rowOff>114300</xdr:rowOff>
                  </to>
                </anchor>
              </controlPr>
            </control>
          </mc:Choice>
        </mc:AlternateContent>
        <mc:AlternateContent xmlns:mc="http://schemas.openxmlformats.org/markup-compatibility/2006">
          <mc:Choice Requires="x14">
            <control shapeId="9255" r:id="rId31"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9256" r:id="rId32" name="Button 40">
              <controlPr defaultSize="0" print="0" autoFill="0" autoPict="0" macro="[0]!UnhideAll_From_Chromatogram">
                <anchor moveWithCells="1" sizeWithCells="1">
                  <from>
                    <xdr:col>27</xdr:col>
                    <xdr:colOff>19050</xdr:colOff>
                    <xdr:row>21</xdr:row>
                    <xdr:rowOff>104775</xdr:rowOff>
                  </from>
                  <to>
                    <xdr:col>28</xdr:col>
                    <xdr:colOff>600075</xdr:colOff>
                    <xdr:row>22</xdr:row>
                    <xdr:rowOff>114300</xdr:rowOff>
                  </to>
                </anchor>
              </controlPr>
            </control>
          </mc:Choice>
        </mc:AlternateContent>
        <mc:AlternateContent xmlns:mc="http://schemas.openxmlformats.org/markup-compatibility/2006">
          <mc:Choice Requires="x14">
            <control shapeId="9257" r:id="rId33"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9258" r:id="rId34"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9259" r:id="rId35"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9260" r:id="rId36" name="Button 44">
              <controlPr defaultSize="0" print="0" autoFill="0" autoPict="0" macro="[0]!CopyChromatogram">
                <anchor moveWithCells="1" sizeWithCells="1">
                  <from>
                    <xdr:col>27</xdr:col>
                    <xdr:colOff>9525</xdr:colOff>
                    <xdr:row>13</xdr:row>
                    <xdr:rowOff>142875</xdr:rowOff>
                  </from>
                  <to>
                    <xdr:col>28</xdr:col>
                    <xdr:colOff>0</xdr:colOff>
                    <xdr:row>15</xdr:row>
                    <xdr:rowOff>38100</xdr:rowOff>
                  </to>
                </anchor>
              </controlPr>
            </control>
          </mc:Choice>
        </mc:AlternateContent>
        <mc:AlternateContent xmlns:mc="http://schemas.openxmlformats.org/markup-compatibility/2006">
          <mc:Choice Requires="x14">
            <control shapeId="9261" r:id="rId37" name="Button 45">
              <controlPr defaultSize="0" print="0" autoFill="0" autoPict="0" macro="[0]!ChromatogramsUnlabel">
                <anchor moveWithCells="1" sizeWithCells="1">
                  <from>
                    <xdr:col>26</xdr:col>
                    <xdr:colOff>0</xdr:colOff>
                    <xdr:row>21</xdr:row>
                    <xdr:rowOff>104775</xdr:rowOff>
                  </from>
                  <to>
                    <xdr:col>27</xdr:col>
                    <xdr:colOff>0</xdr:colOff>
                    <xdr:row>22</xdr:row>
                    <xdr:rowOff>114300</xdr:rowOff>
                  </to>
                </anchor>
              </controlPr>
            </control>
          </mc:Choice>
        </mc:AlternateContent>
        <mc:AlternateContent xmlns:mc="http://schemas.openxmlformats.org/markup-compatibility/2006">
          <mc:Choice Requires="x14">
            <control shapeId="9263" r:id="rId38" name="Button 47">
              <controlPr defaultSize="0" print="0" autoFill="0" autoPict="0" macro="[0]!ChromatogramsKillLabels">
                <anchor moveWithCells="1" sizeWithCells="1">
                  <from>
                    <xdr:col>27</xdr:col>
                    <xdr:colOff>314325</xdr:colOff>
                    <xdr:row>17</xdr:row>
                    <xdr:rowOff>0</xdr:rowOff>
                  </from>
                  <to>
                    <xdr:col>28</xdr:col>
                    <xdr:colOff>609600</xdr:colOff>
                    <xdr:row>17</xdr:row>
                    <xdr:rowOff>200025</xdr:rowOff>
                  </to>
                </anchor>
              </controlPr>
            </control>
          </mc:Choice>
        </mc:AlternateContent>
        <mc:AlternateContent xmlns:mc="http://schemas.openxmlformats.org/markup-compatibility/2006">
          <mc:Choice Requires="x14">
            <control shapeId="9264" r:id="rId39" name="Button 48">
              <controlPr defaultSize="0" print="0" autoFill="0" autoPict="0" macro="[0]!ChromatogramsKillAllLabels">
                <anchor moveWithCells="1" sizeWithCells="1">
                  <from>
                    <xdr:col>27</xdr:col>
                    <xdr:colOff>9525</xdr:colOff>
                    <xdr:row>15</xdr:row>
                    <xdr:rowOff>57150</xdr:rowOff>
                  </from>
                  <to>
                    <xdr:col>29</xdr:col>
                    <xdr:colOff>0</xdr:colOff>
                    <xdr:row>16</xdr:row>
                    <xdr:rowOff>104775</xdr:rowOff>
                  </to>
                </anchor>
              </controlPr>
            </control>
          </mc:Choice>
        </mc:AlternateContent>
        <mc:AlternateContent xmlns:mc="http://schemas.openxmlformats.org/markup-compatibility/2006">
          <mc:Choice Requires="x14">
            <control shapeId="9265" r:id="rId40" name="Button 49">
              <controlPr defaultSize="0" print="0" autoFill="0" autoPict="0" macro="[0]!CoA">
                <anchor moveWithCells="1" sizeWithCells="1">
                  <from>
                    <xdr:col>28</xdr:col>
                    <xdr:colOff>9525</xdr:colOff>
                    <xdr:row>12</xdr:row>
                    <xdr:rowOff>76200</xdr:rowOff>
                  </from>
                  <to>
                    <xdr:col>29</xdr:col>
                    <xdr:colOff>9525</xdr:colOff>
                    <xdr:row>13</xdr:row>
                    <xdr:rowOff>95250</xdr:rowOff>
                  </to>
                </anchor>
              </controlPr>
            </control>
          </mc:Choice>
        </mc:AlternateContent>
        <mc:AlternateContent xmlns:mc="http://schemas.openxmlformats.org/markup-compatibility/2006">
          <mc:Choice Requires="x14">
            <control shapeId="9266" r:id="rId41" name="Button 50">
              <controlPr defaultSize="0" print="0" autoFill="0" autoPict="0" macro="[0]!Base_Allchromatograms">
                <anchor moveWithCells="1" sizeWithCells="1">
                  <from>
                    <xdr:col>28</xdr:col>
                    <xdr:colOff>476250</xdr:colOff>
                    <xdr:row>0</xdr:row>
                    <xdr:rowOff>57150</xdr:rowOff>
                  </from>
                  <to>
                    <xdr:col>29</xdr:col>
                    <xdr:colOff>295275</xdr:colOff>
                    <xdr:row>2</xdr:row>
                    <xdr:rowOff>66675</xdr:rowOff>
                  </to>
                </anchor>
              </controlPr>
            </control>
          </mc:Choice>
        </mc:AlternateContent>
        <mc:AlternateContent xmlns:mc="http://schemas.openxmlformats.org/markup-compatibility/2006">
          <mc:Choice Requires="x14">
            <control shapeId="9267" r:id="rId42" name="Button 51">
              <controlPr defaultSize="0" print="0" autoFill="0" autoPict="0" macro="[0]!Base_210">
                <anchor moveWithCells="1" sizeWithCells="1">
                  <from>
                    <xdr:col>28</xdr:col>
                    <xdr:colOff>476250</xdr:colOff>
                    <xdr:row>3</xdr:row>
                    <xdr:rowOff>0</xdr:rowOff>
                  </from>
                  <to>
                    <xdr:col>29</xdr:col>
                    <xdr:colOff>285750</xdr:colOff>
                    <xdr:row>4</xdr:row>
                    <xdr:rowOff>0</xdr:rowOff>
                  </to>
                </anchor>
              </controlPr>
            </control>
          </mc:Choice>
        </mc:AlternateContent>
        <mc:AlternateContent xmlns:mc="http://schemas.openxmlformats.org/markup-compatibility/2006">
          <mc:Choice Requires="x14">
            <control shapeId="9268" r:id="rId43" name="Button 52">
              <controlPr defaultSize="0" print="0" autoFill="0" autoPict="0" macro="[0]!Base_254">
                <anchor moveWithCells="1" sizeWithCells="1">
                  <from>
                    <xdr:col>28</xdr:col>
                    <xdr:colOff>476250</xdr:colOff>
                    <xdr:row>5</xdr:row>
                    <xdr:rowOff>0</xdr:rowOff>
                  </from>
                  <to>
                    <xdr:col>29</xdr:col>
                    <xdr:colOff>285750</xdr:colOff>
                    <xdr:row>6</xdr:row>
                    <xdr:rowOff>0</xdr:rowOff>
                  </to>
                </anchor>
              </controlPr>
            </control>
          </mc:Choice>
        </mc:AlternateContent>
        <mc:AlternateContent xmlns:mc="http://schemas.openxmlformats.org/markup-compatibility/2006">
          <mc:Choice Requires="x14">
            <control shapeId="9271" r:id="rId44" name="Button 55">
              <controlPr defaultSize="0" print="0" autoFill="0" autoPict="0" macro="[0]!Base_Labels">
                <anchor moveWithCells="1" sizeWithCells="1">
                  <from>
                    <xdr:col>28</xdr:col>
                    <xdr:colOff>476250</xdr:colOff>
                    <xdr:row>11</xdr:row>
                    <xdr:rowOff>0</xdr:rowOff>
                  </from>
                  <to>
                    <xdr:col>29</xdr:col>
                    <xdr:colOff>285750</xdr:colOff>
                    <xdr:row>12</xdr:row>
                    <xdr:rowOff>0</xdr:rowOff>
                  </to>
                </anchor>
              </controlPr>
            </control>
          </mc:Choice>
        </mc:AlternateContent>
        <mc:AlternateContent xmlns:mc="http://schemas.openxmlformats.org/markup-compatibility/2006">
          <mc:Choice Requires="x14">
            <control shapeId="9272" r:id="rId45" name="Button 56">
              <controlPr defaultSize="0" print="0" autoFill="0" autoPict="0" macro="[0]!PreviousTraceTen">
                <anchor moveWithCells="1" sizeWithCells="1">
                  <from>
                    <xdr:col>25</xdr:col>
                    <xdr:colOff>9525</xdr:colOff>
                    <xdr:row>19</xdr:row>
                    <xdr:rowOff>104775</xdr:rowOff>
                  </from>
                  <to>
                    <xdr:col>25</xdr:col>
                    <xdr:colOff>228600</xdr:colOff>
                    <xdr:row>21</xdr:row>
                    <xdr:rowOff>85725</xdr:rowOff>
                  </to>
                </anchor>
              </controlPr>
            </control>
          </mc:Choice>
        </mc:AlternateContent>
        <mc:AlternateContent xmlns:mc="http://schemas.openxmlformats.org/markup-compatibility/2006">
          <mc:Choice Requires="x14">
            <control shapeId="9273" r:id="rId46" name="Button 57">
              <controlPr defaultSize="0" print="0" autoFill="0" autoPict="0" macro="[0]!NextTraceTen">
                <anchor moveWithCells="1" sizeWithCells="1">
                  <from>
                    <xdr:col>27</xdr:col>
                    <xdr:colOff>390525</xdr:colOff>
                    <xdr:row>19</xdr:row>
                    <xdr:rowOff>104775</xdr:rowOff>
                  </from>
                  <to>
                    <xdr:col>28</xdr:col>
                    <xdr:colOff>0</xdr:colOff>
                    <xdr:row>21</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200-000000000000}">
          <x14:formula1>
            <xm:f>Summary!$K$2:$K$9</xm:f>
          </x14:formula1>
          <xm:sqref>AB18</xm:sqref>
        </x14:dataValidation>
        <x14:dataValidation type="list" allowBlank="1" showInputMessage="1" xr:uid="{00000000-0002-0000-0200-000001000000}">
          <x14:formula1>
            <xm:f>Summary!$K$2:$K$29</xm:f>
          </x14:formula1>
          <xm:sqref>Z18:AA18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V1:AB37"/>
  <sheetViews>
    <sheetView zoomScaleNormal="100" workbookViewId="0">
      <selection activeCell="Z11" sqref="Z11:Z12"/>
    </sheetView>
  </sheetViews>
  <sheetFormatPr defaultColWidth="9.140625" defaultRowHeight="15" x14ac:dyDescent="0.25"/>
  <cols>
    <col min="1" max="22" width="9.140625" style="9"/>
    <col min="23" max="23" width="9.140625" style="9" customWidth="1"/>
    <col min="24" max="24" width="9" style="9" customWidth="1"/>
    <col min="25" max="25" width="9.140625" hidden="1" customWidth="1"/>
    <col min="26" max="26" width="18" customWidth="1"/>
    <col min="27" max="28" width="8.85546875" customWidth="1"/>
    <col min="29" max="16384" width="9.140625" style="9"/>
  </cols>
  <sheetData>
    <row r="1" spans="22:28" ht="15.75" thickBot="1" x14ac:dyDescent="0.3">
      <c r="W1" s="17"/>
    </row>
    <row r="2" spans="22:28" ht="15.75" thickBot="1" x14ac:dyDescent="0.3">
      <c r="V2" s="16"/>
      <c r="W2" s="18"/>
      <c r="AB2" s="6">
        <v>1</v>
      </c>
    </row>
    <row r="3" spans="22:28" x14ac:dyDescent="0.25">
      <c r="V3" s="15"/>
      <c r="W3" s="19"/>
    </row>
    <row r="4" spans="22:28" ht="15.75" thickBot="1" x14ac:dyDescent="0.3">
      <c r="AB4" s="6">
        <v>1</v>
      </c>
    </row>
    <row r="5" spans="22:28" ht="16.5" thickBot="1" x14ac:dyDescent="0.3">
      <c r="Z5" s="14" t="s">
        <v>28</v>
      </c>
      <c r="AA5" s="13"/>
      <c r="AB5" s="6">
        <v>1</v>
      </c>
    </row>
    <row r="8" spans="22:28" ht="15" customHeight="1" x14ac:dyDescent="0.25">
      <c r="Z8" s="8"/>
      <c r="AB8" s="6">
        <v>1</v>
      </c>
    </row>
    <row r="9" spans="22:28" ht="15" customHeight="1" x14ac:dyDescent="0.25">
      <c r="Z9" s="8"/>
    </row>
    <row r="10" spans="22:28" ht="15" customHeight="1" thickBot="1" x14ac:dyDescent="0.3">
      <c r="AB10" s="6">
        <v>1</v>
      </c>
    </row>
    <row r="11" spans="22:28" x14ac:dyDescent="0.25">
      <c r="Z11" s="109">
        <v>0</v>
      </c>
      <c r="AB11" s="6">
        <v>1</v>
      </c>
    </row>
    <row r="12" spans="22:28" ht="15.75" thickBot="1" x14ac:dyDescent="0.3">
      <c r="Z12" s="110"/>
    </row>
    <row r="14" spans="22:28" x14ac:dyDescent="0.25">
      <c r="AB14" s="6">
        <v>1</v>
      </c>
    </row>
    <row r="16" spans="22:28" x14ac:dyDescent="0.25">
      <c r="AB16" s="6">
        <v>1</v>
      </c>
    </row>
    <row r="17" spans="28:28" x14ac:dyDescent="0.25">
      <c r="AB17" s="6">
        <v>1</v>
      </c>
    </row>
    <row r="20" spans="28:28" x14ac:dyDescent="0.25">
      <c r="AB20" s="6">
        <v>1</v>
      </c>
    </row>
    <row r="22" spans="28:28" x14ac:dyDescent="0.25">
      <c r="AB22" s="6">
        <v>1</v>
      </c>
    </row>
    <row r="23" spans="28:28" x14ac:dyDescent="0.25">
      <c r="AB23" s="6">
        <v>1</v>
      </c>
    </row>
    <row r="26" spans="28:28" x14ac:dyDescent="0.25">
      <c r="AB26" s="6">
        <v>3</v>
      </c>
    </row>
    <row r="27" spans="28:28" x14ac:dyDescent="0.25">
      <c r="AB27" s="107" t="s">
        <v>26</v>
      </c>
    </row>
    <row r="28" spans="28:28" x14ac:dyDescent="0.25">
      <c r="AB28" s="108"/>
    </row>
    <row r="29" spans="28:28" x14ac:dyDescent="0.25">
      <c r="AB29" s="6">
        <v>6</v>
      </c>
    </row>
    <row r="32" spans="28:28" x14ac:dyDescent="0.25">
      <c r="AB32" s="6">
        <v>1</v>
      </c>
    </row>
    <row r="33" spans="26:28" x14ac:dyDescent="0.25">
      <c r="AB33" s="107" t="s">
        <v>27</v>
      </c>
    </row>
    <row r="34" spans="26:28" x14ac:dyDescent="0.25">
      <c r="AB34" s="108"/>
    </row>
    <row r="35" spans="26:28" x14ac:dyDescent="0.25">
      <c r="AB35" s="6">
        <v>50</v>
      </c>
    </row>
    <row r="37" spans="26:28" x14ac:dyDescent="0.25">
      <c r="Z37" s="7" t="s">
        <v>25</v>
      </c>
    </row>
  </sheetData>
  <mergeCells count="3">
    <mergeCell ref="AB27:AB28"/>
    <mergeCell ref="AB33:AB34"/>
    <mergeCell ref="Z11:Z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verlay_Click">
                <anchor moveWithCells="1" sizeWithCells="1">
                  <from>
                    <xdr:col>23</xdr:col>
                    <xdr:colOff>457200</xdr:colOff>
                    <xdr:row>0</xdr:row>
                    <xdr:rowOff>38100</xdr:rowOff>
                  </from>
                  <to>
                    <xdr:col>26</xdr:col>
                    <xdr:colOff>161925</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heckallandoverlay">
                <anchor moveWithCells="1" sizeWithCells="1">
                  <from>
                    <xdr:col>23</xdr:col>
                    <xdr:colOff>457200</xdr:colOff>
                    <xdr:row>30</xdr:row>
                    <xdr:rowOff>171450</xdr:rowOff>
                  </from>
                  <to>
                    <xdr:col>26</xdr:col>
                    <xdr:colOff>171450</xdr:colOff>
                    <xdr:row>32</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Uncheckallandoverlay">
                <anchor moveWithCells="1" sizeWithCells="1">
                  <from>
                    <xdr:col>23</xdr:col>
                    <xdr:colOff>457200</xdr:colOff>
                    <xdr:row>34</xdr:row>
                    <xdr:rowOff>0</xdr:rowOff>
                  </from>
                  <to>
                    <xdr:col>26</xdr:col>
                    <xdr:colOff>171450</xdr:colOff>
                    <xdr:row>35</xdr:row>
                    <xdr:rowOff>180975</xdr:rowOff>
                  </to>
                </anchor>
              </controlPr>
            </control>
          </mc:Choice>
        </mc:AlternateContent>
        <mc:AlternateContent xmlns:mc="http://schemas.openxmlformats.org/markup-compatibility/2006">
          <mc:Choice Requires="x14">
            <control shapeId="4102" r:id="rId7" name="Button 6">
              <controlPr defaultSize="0" print="0" autoFill="0" autoPict="0" macro="[0]!NotSelected">
                <anchor moveWithCells="1" sizeWithCells="1">
                  <from>
                    <xdr:col>23</xdr:col>
                    <xdr:colOff>457200</xdr:colOff>
                    <xdr:row>28</xdr:row>
                    <xdr:rowOff>104775</xdr:rowOff>
                  </from>
                  <to>
                    <xdr:col>26</xdr:col>
                    <xdr:colOff>171450</xdr:colOff>
                    <xdr:row>29</xdr:row>
                    <xdr:rowOff>180975</xdr:rowOff>
                  </to>
                </anchor>
              </controlPr>
            </control>
          </mc:Choice>
        </mc:AlternateContent>
        <mc:AlternateContent xmlns:mc="http://schemas.openxmlformats.org/markup-compatibility/2006">
          <mc:Choice Requires="x14">
            <control shapeId="4103" r:id="rId8" name="Button 7">
              <controlPr defaultSize="0" print="0" autoFill="0" autoPict="0" macro="[0]!OnlySelected">
                <anchor moveWithCells="1" sizeWithCells="1">
                  <from>
                    <xdr:col>23</xdr:col>
                    <xdr:colOff>457200</xdr:colOff>
                    <xdr:row>26</xdr:row>
                    <xdr:rowOff>114300</xdr:rowOff>
                  </from>
                  <to>
                    <xdr:col>26</xdr:col>
                    <xdr:colOff>171450</xdr:colOff>
                    <xdr:row>28</xdr:row>
                    <xdr:rowOff>0</xdr:rowOff>
                  </to>
                </anchor>
              </controlPr>
            </control>
          </mc:Choice>
        </mc:AlternateContent>
        <mc:AlternateContent xmlns:mc="http://schemas.openxmlformats.org/markup-compatibility/2006">
          <mc:Choice Requires="x14">
            <control shapeId="4104" r:id="rId9" name="Button 8">
              <controlPr defaultSize="0" print="0" autoFill="0" autoPict="0" macro="[0]!Showonly">
                <anchor moveWithCells="1" sizeWithCells="1">
                  <from>
                    <xdr:col>28</xdr:col>
                    <xdr:colOff>28575</xdr:colOff>
                    <xdr:row>12</xdr:row>
                    <xdr:rowOff>152400</xdr:rowOff>
                  </from>
                  <to>
                    <xdr:col>28</xdr:col>
                    <xdr:colOff>600075</xdr:colOff>
                    <xdr:row>14</xdr:row>
                    <xdr:rowOff>19050</xdr:rowOff>
                  </to>
                </anchor>
              </controlPr>
            </control>
          </mc:Choice>
        </mc:AlternateContent>
        <mc:AlternateContent xmlns:mc="http://schemas.openxmlformats.org/markup-compatibility/2006">
          <mc:Choice Requires="x14">
            <control shapeId="4105" r:id="rId10" name="Button 9">
              <controlPr defaultSize="0" print="0" autoFill="0" autoPict="0" macro="[0]!Showonlyrange">
                <anchor moveWithCells="1" sizeWithCells="1">
                  <from>
                    <xdr:col>28</xdr:col>
                    <xdr:colOff>28575</xdr:colOff>
                    <xdr:row>14</xdr:row>
                    <xdr:rowOff>180975</xdr:rowOff>
                  </from>
                  <to>
                    <xdr:col>28</xdr:col>
                    <xdr:colOff>600075</xdr:colOff>
                    <xdr:row>17</xdr:row>
                    <xdr:rowOff>9525</xdr:rowOff>
                  </to>
                </anchor>
              </controlPr>
            </control>
          </mc:Choice>
        </mc:AlternateContent>
        <mc:AlternateContent xmlns:mc="http://schemas.openxmlformats.org/markup-compatibility/2006">
          <mc:Choice Requires="x14">
            <control shapeId="4106" r:id="rId11" name="Button 10">
              <controlPr defaultSize="0" print="0" autoFill="0" autoPict="0" macro="[0]!NotShow">
                <anchor moveWithCells="1" sizeWithCells="1">
                  <from>
                    <xdr:col>28</xdr:col>
                    <xdr:colOff>28575</xdr:colOff>
                    <xdr:row>18</xdr:row>
                    <xdr:rowOff>152400</xdr:rowOff>
                  </from>
                  <to>
                    <xdr:col>28</xdr:col>
                    <xdr:colOff>600075</xdr:colOff>
                    <xdr:row>20</xdr:row>
                    <xdr:rowOff>28575</xdr:rowOff>
                  </to>
                </anchor>
              </controlPr>
            </control>
          </mc:Choice>
        </mc:AlternateContent>
        <mc:AlternateContent xmlns:mc="http://schemas.openxmlformats.org/markup-compatibility/2006">
          <mc:Choice Requires="x14">
            <control shapeId="4107" r:id="rId12" name="Button 11">
              <controlPr defaultSize="0" print="0" autoFill="0" autoPict="0" macro="[0]!NotShowRange">
                <anchor moveWithCells="1" sizeWithCells="1">
                  <from>
                    <xdr:col>28</xdr:col>
                    <xdr:colOff>28575</xdr:colOff>
                    <xdr:row>20</xdr:row>
                    <xdr:rowOff>180975</xdr:rowOff>
                  </from>
                  <to>
                    <xdr:col>28</xdr:col>
                    <xdr:colOff>600075</xdr:colOff>
                    <xdr:row>23</xdr:row>
                    <xdr:rowOff>9525</xdr:rowOff>
                  </to>
                </anchor>
              </controlPr>
            </control>
          </mc:Choice>
        </mc:AlternateContent>
        <mc:AlternateContent xmlns:mc="http://schemas.openxmlformats.org/markup-compatibility/2006">
          <mc:Choice Requires="x14">
            <control shapeId="4110" r:id="rId13" name="Button 14">
              <controlPr defaultSize="0" print="0" autoFill="0" autoPict="0" macro="[0]!AddOverlay">
                <anchor moveWithCells="1" sizeWithCells="1">
                  <from>
                    <xdr:col>28</xdr:col>
                    <xdr:colOff>28575</xdr:colOff>
                    <xdr:row>0</xdr:row>
                    <xdr:rowOff>161925</xdr:rowOff>
                  </from>
                  <to>
                    <xdr:col>28</xdr:col>
                    <xdr:colOff>600075</xdr:colOff>
                    <xdr:row>2</xdr:row>
                    <xdr:rowOff>28575</xdr:rowOff>
                  </to>
                </anchor>
              </controlPr>
            </control>
          </mc:Choice>
        </mc:AlternateContent>
        <mc:AlternateContent xmlns:mc="http://schemas.openxmlformats.org/markup-compatibility/2006">
          <mc:Choice Requires="x14">
            <control shapeId="4111" r:id="rId14" name="Button 15">
              <controlPr defaultSize="0" print="0" autoFill="0" autoPict="0" macro="[0]!AddOverlayRange">
                <anchor moveWithCells="1" sizeWithCells="1">
                  <from>
                    <xdr:col>28</xdr:col>
                    <xdr:colOff>28575</xdr:colOff>
                    <xdr:row>3</xdr:row>
                    <xdr:rowOff>0</xdr:rowOff>
                  </from>
                  <to>
                    <xdr:col>28</xdr:col>
                    <xdr:colOff>600075</xdr:colOff>
                    <xdr:row>5</xdr:row>
                    <xdr:rowOff>0</xdr:rowOff>
                  </to>
                </anchor>
              </controlPr>
            </control>
          </mc:Choice>
        </mc:AlternateContent>
        <mc:AlternateContent xmlns:mc="http://schemas.openxmlformats.org/markup-compatibility/2006">
          <mc:Choice Requires="x14">
            <control shapeId="4112" r:id="rId15" name="Button 16">
              <controlPr defaultSize="0" print="0" autoFill="0" autoPict="0" macro="[0]!RemoveOverlay">
                <anchor moveWithCells="1" sizeWithCells="1">
                  <from>
                    <xdr:col>28</xdr:col>
                    <xdr:colOff>28575</xdr:colOff>
                    <xdr:row>6</xdr:row>
                    <xdr:rowOff>152400</xdr:rowOff>
                  </from>
                  <to>
                    <xdr:col>28</xdr:col>
                    <xdr:colOff>600075</xdr:colOff>
                    <xdr:row>8</xdr:row>
                    <xdr:rowOff>28575</xdr:rowOff>
                  </to>
                </anchor>
              </controlPr>
            </control>
          </mc:Choice>
        </mc:AlternateContent>
        <mc:AlternateContent xmlns:mc="http://schemas.openxmlformats.org/markup-compatibility/2006">
          <mc:Choice Requires="x14">
            <control shapeId="4113" r:id="rId16" name="Button 17">
              <controlPr defaultSize="0" print="0" autoFill="0" autoPict="0" macro="[0]!RemoveOverlayRange">
                <anchor moveWithCells="1" sizeWithCells="1">
                  <from>
                    <xdr:col>28</xdr:col>
                    <xdr:colOff>28575</xdr:colOff>
                    <xdr:row>8</xdr:row>
                    <xdr:rowOff>180975</xdr:rowOff>
                  </from>
                  <to>
                    <xdr:col>28</xdr:col>
                    <xdr:colOff>600075</xdr:colOff>
                    <xdr:row>11</xdr:row>
                    <xdr:rowOff>9525</xdr:rowOff>
                  </to>
                </anchor>
              </controlPr>
            </control>
          </mc:Choice>
        </mc:AlternateContent>
        <mc:AlternateContent xmlns:mc="http://schemas.openxmlformats.org/markup-compatibility/2006">
          <mc:Choice Requires="x14">
            <control shapeId="4114" r:id="rId17" name="Button 18">
              <controlPr defaultSize="0" print="0" autoFill="0" autoPict="0" macro="[0]!RemoveSelected">
                <anchor moveWithCells="1" sizeWithCells="1">
                  <from>
                    <xdr:col>23</xdr:col>
                    <xdr:colOff>457200</xdr:colOff>
                    <xdr:row>24</xdr:row>
                    <xdr:rowOff>114300</xdr:rowOff>
                  </from>
                  <to>
                    <xdr:col>26</xdr:col>
                    <xdr:colOff>171450</xdr:colOff>
                    <xdr:row>26</xdr:row>
                    <xdr:rowOff>0</xdr:rowOff>
                  </to>
                </anchor>
              </controlPr>
            </control>
          </mc:Choice>
        </mc:AlternateContent>
        <mc:AlternateContent xmlns:mc="http://schemas.openxmlformats.org/markup-compatibility/2006">
          <mc:Choice Requires="x14">
            <control shapeId="4115" r:id="rId18" name="Button 19">
              <controlPr defaultSize="0" print="0" autoFill="0" autoPict="0" macro="[0]!ShowPolar">
                <anchor moveWithCells="1" sizeWithCells="1">
                  <from>
                    <xdr:col>28</xdr:col>
                    <xdr:colOff>28575</xdr:colOff>
                    <xdr:row>25</xdr:row>
                    <xdr:rowOff>0</xdr:rowOff>
                  </from>
                  <to>
                    <xdr:col>28</xdr:col>
                    <xdr:colOff>600075</xdr:colOff>
                    <xdr:row>26</xdr:row>
                    <xdr:rowOff>9525</xdr:rowOff>
                  </to>
                </anchor>
              </controlPr>
            </control>
          </mc:Choice>
        </mc:AlternateContent>
        <mc:AlternateContent xmlns:mc="http://schemas.openxmlformats.org/markup-compatibility/2006">
          <mc:Choice Requires="x14">
            <control shapeId="4116" r:id="rId19" name="Button 20">
              <controlPr defaultSize="0" print="0" autoFill="0" autoPict="0" macro="[0]!ShowNonpolar">
                <anchor moveWithCells="1" sizeWithCells="1">
                  <from>
                    <xdr:col>28</xdr:col>
                    <xdr:colOff>38100</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4117" r:id="rId20" name="Button 21">
              <controlPr defaultSize="0" print="0" autoFill="0" autoPict="0" macro="[0]!ShowIntermediate">
                <anchor moveWithCells="1" sizeWithCells="1">
                  <from>
                    <xdr:col>28</xdr:col>
                    <xdr:colOff>28575</xdr:colOff>
                    <xdr:row>26</xdr:row>
                    <xdr:rowOff>95250</xdr:rowOff>
                  </from>
                  <to>
                    <xdr:col>28</xdr:col>
                    <xdr:colOff>600075</xdr:colOff>
                    <xdr:row>27</xdr:row>
                    <xdr:rowOff>95250</xdr:rowOff>
                  </to>
                </anchor>
              </controlPr>
            </control>
          </mc:Choice>
        </mc:AlternateContent>
        <mc:AlternateContent xmlns:mc="http://schemas.openxmlformats.org/markup-compatibility/2006">
          <mc:Choice Requires="x14">
            <control shapeId="4118" r:id="rId21" name="Button 22">
              <controlPr defaultSize="0" print="0" autoFill="0" autoPict="0" macro="[0]!ShowAcidic">
                <anchor moveWithCells="1" sizeWithCells="1">
                  <from>
                    <xdr:col>28</xdr:col>
                    <xdr:colOff>28575</xdr:colOff>
                    <xdr:row>30</xdr:row>
                    <xdr:rowOff>180975</xdr:rowOff>
                  </from>
                  <to>
                    <xdr:col>28</xdr:col>
                    <xdr:colOff>600075</xdr:colOff>
                    <xdr:row>32</xdr:row>
                    <xdr:rowOff>0</xdr:rowOff>
                  </to>
                </anchor>
              </controlPr>
            </control>
          </mc:Choice>
        </mc:AlternateContent>
        <mc:AlternateContent xmlns:mc="http://schemas.openxmlformats.org/markup-compatibility/2006">
          <mc:Choice Requires="x14">
            <control shapeId="4119" r:id="rId22" name="Button 23">
              <controlPr defaultSize="0" print="0" autoFill="0" autoPict="0" macro="[0]!ShowBasic">
                <anchor moveWithCells="1" sizeWithCells="1">
                  <from>
                    <xdr:col>28</xdr:col>
                    <xdr:colOff>28575</xdr:colOff>
                    <xdr:row>34</xdr:row>
                    <xdr:rowOff>0</xdr:rowOff>
                  </from>
                  <to>
                    <xdr:col>28</xdr:col>
                    <xdr:colOff>600075</xdr:colOff>
                    <xdr:row>35</xdr:row>
                    <xdr:rowOff>0</xdr:rowOff>
                  </to>
                </anchor>
              </controlPr>
            </control>
          </mc:Choice>
        </mc:AlternateContent>
        <mc:AlternateContent xmlns:mc="http://schemas.openxmlformats.org/markup-compatibility/2006">
          <mc:Choice Requires="x14">
            <control shapeId="4120" r:id="rId23" name="Button 24">
              <controlPr defaultSize="0" print="0" autoFill="0" autoPict="0" macro="[0]!ShowNeutral">
                <anchor moveWithCells="1" sizeWithCells="1">
                  <from>
                    <xdr:col>28</xdr:col>
                    <xdr:colOff>28575</xdr:colOff>
                    <xdr:row>32</xdr:row>
                    <xdr:rowOff>85725</xdr:rowOff>
                  </from>
                  <to>
                    <xdr:col>28</xdr:col>
                    <xdr:colOff>600075</xdr:colOff>
                    <xdr:row>33</xdr:row>
                    <xdr:rowOff>104775</xdr:rowOff>
                  </to>
                </anchor>
              </controlPr>
            </control>
          </mc:Choice>
        </mc:AlternateContent>
        <mc:AlternateContent xmlns:mc="http://schemas.openxmlformats.org/markup-compatibility/2006">
          <mc:Choice Requires="x14">
            <control shapeId="4124" r:id="rId24" name="Button 28">
              <controlPr defaultSize="0" print="0" autoFill="0" autoPict="0" macro="[0]!ShowPreviousTrace">
                <anchor moveWithCells="1" sizeWithCells="1">
                  <from>
                    <xdr:col>25</xdr:col>
                    <xdr:colOff>0</xdr:colOff>
                    <xdr:row>7</xdr:row>
                    <xdr:rowOff>9525</xdr:rowOff>
                  </from>
                  <to>
                    <xdr:col>26</xdr:col>
                    <xdr:colOff>9525</xdr:colOff>
                    <xdr:row>9</xdr:row>
                    <xdr:rowOff>0</xdr:rowOff>
                  </to>
                </anchor>
              </controlPr>
            </control>
          </mc:Choice>
        </mc:AlternateContent>
        <mc:AlternateContent xmlns:mc="http://schemas.openxmlformats.org/markup-compatibility/2006">
          <mc:Choice Requires="x14">
            <control shapeId="4125" r:id="rId25" name="Button 29">
              <controlPr defaultSize="0" print="0" autoFill="0" autoPict="0" macro="[0]!ShowNextTrace">
                <anchor moveWithCells="1" sizeWithCells="1">
                  <from>
                    <xdr:col>24</xdr:col>
                    <xdr:colOff>0</xdr:colOff>
                    <xdr:row>13</xdr:row>
                    <xdr:rowOff>0</xdr:rowOff>
                  </from>
                  <to>
                    <xdr:col>26</xdr:col>
                    <xdr:colOff>0</xdr:colOff>
                    <xdr:row>15</xdr:row>
                    <xdr:rowOff>0</xdr:rowOff>
                  </to>
                </anchor>
              </controlPr>
            </control>
          </mc:Choice>
        </mc:AlternateContent>
        <mc:AlternateContent xmlns:mc="http://schemas.openxmlformats.org/markup-compatibility/2006">
          <mc:Choice Requires="x14">
            <control shapeId="4127" r:id="rId26" name="Button 31">
              <controlPr defaultSize="0" print="0" autoFill="0" autoPict="0" macro="[0]!KeepTrace">
                <anchor moveWithCells="1" sizeWithCells="1">
                  <from>
                    <xdr:col>24</xdr:col>
                    <xdr:colOff>0</xdr:colOff>
                    <xdr:row>15</xdr:row>
                    <xdr:rowOff>180975</xdr:rowOff>
                  </from>
                  <to>
                    <xdr:col>26</xdr:col>
                    <xdr:colOff>0</xdr:colOff>
                    <xdr:row>17</xdr:row>
                    <xdr:rowOff>190500</xdr:rowOff>
                  </to>
                </anchor>
              </controlPr>
            </control>
          </mc:Choice>
        </mc:AlternateContent>
        <mc:AlternateContent xmlns:mc="http://schemas.openxmlformats.org/markup-compatibility/2006">
          <mc:Choice Requires="x14">
            <control shapeId="4130" r:id="rId27" name="Check Box 34">
              <controlPr defaultSize="0" autoFill="0" autoLine="0" autoPict="0">
                <anchor moveWithCells="1">
                  <from>
                    <xdr:col>25</xdr:col>
                    <xdr:colOff>152400</xdr:colOff>
                    <xdr:row>5</xdr:row>
                    <xdr:rowOff>66675</xdr:rowOff>
                  </from>
                  <to>
                    <xdr:col>25</xdr:col>
                    <xdr:colOff>1104900</xdr:colOff>
                    <xdr:row>6</xdr:row>
                    <xdr:rowOff>114300</xdr:rowOff>
                  </to>
                </anchor>
              </controlPr>
            </control>
          </mc:Choice>
        </mc:AlternateContent>
        <mc:AlternateContent xmlns:mc="http://schemas.openxmlformats.org/markup-compatibility/2006">
          <mc:Choice Requires="x14">
            <control shapeId="4131" r:id="rId28" name="Button 35">
              <controlPr defaultSize="0" print="0" autoFill="0" autoPict="0" macro="[0]!LabelAndCopy">
                <anchor moveWithCells="1" sizeWithCells="1">
                  <from>
                    <xdr:col>23</xdr:col>
                    <xdr:colOff>590550</xdr:colOff>
                    <xdr:row>19</xdr:row>
                    <xdr:rowOff>95250</xdr:rowOff>
                  </from>
                  <to>
                    <xdr:col>26</xdr:col>
                    <xdr:colOff>0</xdr:colOff>
                    <xdr:row>22</xdr:row>
                    <xdr:rowOff>104775</xdr:rowOff>
                  </to>
                </anchor>
              </controlPr>
            </control>
          </mc:Choice>
        </mc:AlternateContent>
        <mc:AlternateContent xmlns:mc="http://schemas.openxmlformats.org/markup-compatibility/2006">
          <mc:Choice Requires="x14">
            <control shapeId="4132" r:id="rId29" name="Check Box 36">
              <controlPr defaultSize="0" autoFill="0" autoLine="0" autoPict="0">
                <anchor moveWithCells="1">
                  <from>
                    <xdr:col>21</xdr:col>
                    <xdr:colOff>9525</xdr:colOff>
                    <xdr:row>1</xdr:row>
                    <xdr:rowOff>9525</xdr:rowOff>
                  </from>
                  <to>
                    <xdr:col>21</xdr:col>
                    <xdr:colOff>600075</xdr:colOff>
                    <xdr:row>1</xdr:row>
                    <xdr:rowOff>190500</xdr:rowOff>
                  </to>
                </anchor>
              </controlPr>
            </control>
          </mc:Choice>
        </mc:AlternateContent>
        <mc:AlternateContent xmlns:mc="http://schemas.openxmlformats.org/markup-compatibility/2006">
          <mc:Choice Requires="x14">
            <control shapeId="4133" r:id="rId30" name="Check Box 37">
              <controlPr defaultSize="0" autoFill="0" autoLine="0" autoPict="0">
                <anchor moveWithCells="1">
                  <from>
                    <xdr:col>22</xdr:col>
                    <xdr:colOff>9525</xdr:colOff>
                    <xdr:row>1</xdr:row>
                    <xdr:rowOff>0</xdr:rowOff>
                  </from>
                  <to>
                    <xdr:col>22</xdr:col>
                    <xdr:colOff>600075</xdr:colOff>
                    <xdr:row>2</xdr:row>
                    <xdr:rowOff>0</xdr:rowOff>
                  </to>
                </anchor>
              </controlPr>
            </control>
          </mc:Choice>
        </mc:AlternateContent>
        <mc:AlternateContent xmlns:mc="http://schemas.openxmlformats.org/markup-compatibility/2006">
          <mc:Choice Requires="x14">
            <control shapeId="4134" r:id="rId31" name="Button 38">
              <controlPr defaultSize="0" print="0" autoFill="0" autoPict="0" macro="[0]!Chromatogram_Inset_DAD_A_Small">
                <anchor moveWithCells="1" sizeWithCells="1">
                  <from>
                    <xdr:col>21</xdr:col>
                    <xdr:colOff>9525</xdr:colOff>
                    <xdr:row>3</xdr:row>
                    <xdr:rowOff>0</xdr:rowOff>
                  </from>
                  <to>
                    <xdr:col>21</xdr:col>
                    <xdr:colOff>295275</xdr:colOff>
                    <xdr:row>4</xdr:row>
                    <xdr:rowOff>0</xdr:rowOff>
                  </to>
                </anchor>
              </controlPr>
            </control>
          </mc:Choice>
        </mc:AlternateContent>
        <mc:AlternateContent xmlns:mc="http://schemas.openxmlformats.org/markup-compatibility/2006">
          <mc:Choice Requires="x14">
            <control shapeId="4135" r:id="rId32" name="Button 39">
              <controlPr defaultSize="0" print="0" autoFill="0" autoPict="0" macro="[0]!Chromatogram_Inset_DAD_A_Big">
                <anchor moveWithCells="1" sizeWithCells="1">
                  <from>
                    <xdr:col>21</xdr:col>
                    <xdr:colOff>314325</xdr:colOff>
                    <xdr:row>2</xdr:row>
                    <xdr:rowOff>180975</xdr:rowOff>
                  </from>
                  <to>
                    <xdr:col>21</xdr:col>
                    <xdr:colOff>600075</xdr:colOff>
                    <xdr:row>3</xdr:row>
                    <xdr:rowOff>190500</xdr:rowOff>
                  </to>
                </anchor>
              </controlPr>
            </control>
          </mc:Choice>
        </mc:AlternateContent>
        <mc:AlternateContent xmlns:mc="http://schemas.openxmlformats.org/markup-compatibility/2006">
          <mc:Choice Requires="x14">
            <control shapeId="4136" r:id="rId33" name="Button 40">
              <controlPr defaultSize="0" print="0" autoFill="0" autoPict="0" macro="[0]!Chromatogram_Inset_DAD_B_Small">
                <anchor moveWithCells="1" sizeWithCells="1">
                  <from>
                    <xdr:col>22</xdr:col>
                    <xdr:colOff>9525</xdr:colOff>
                    <xdr:row>3</xdr:row>
                    <xdr:rowOff>0</xdr:rowOff>
                  </from>
                  <to>
                    <xdr:col>22</xdr:col>
                    <xdr:colOff>295275</xdr:colOff>
                    <xdr:row>4</xdr:row>
                    <xdr:rowOff>0</xdr:rowOff>
                  </to>
                </anchor>
              </controlPr>
            </control>
          </mc:Choice>
        </mc:AlternateContent>
        <mc:AlternateContent xmlns:mc="http://schemas.openxmlformats.org/markup-compatibility/2006">
          <mc:Choice Requires="x14">
            <control shapeId="4137" r:id="rId34" name="Button 41">
              <controlPr defaultSize="0" print="0" autoFill="0" autoPict="0" macro="[0]!Chromatogram_Inset_DAD_B_Big">
                <anchor moveWithCells="1" sizeWithCells="1">
                  <from>
                    <xdr:col>22</xdr:col>
                    <xdr:colOff>314325</xdr:colOff>
                    <xdr:row>2</xdr:row>
                    <xdr:rowOff>180975</xdr:rowOff>
                  </from>
                  <to>
                    <xdr:col>22</xdr:col>
                    <xdr:colOff>600075</xdr:colOff>
                    <xdr:row>3</xdr:row>
                    <xdr:rowOff>190500</xdr:rowOff>
                  </to>
                </anchor>
              </controlPr>
            </control>
          </mc:Choice>
        </mc:AlternateContent>
        <mc:AlternateContent xmlns:mc="http://schemas.openxmlformats.org/markup-compatibility/2006">
          <mc:Choice Requires="x14">
            <control shapeId="4138" r:id="rId35" name="Button 42">
              <controlPr defaultSize="0" print="0" autoFill="0" autoPict="0" macro="[0]!Chromatogram_Inset_DAD_A_Down">
                <anchor moveWithCells="1" sizeWithCells="1">
                  <from>
                    <xdr:col>21</xdr:col>
                    <xdr:colOff>9525</xdr:colOff>
                    <xdr:row>4</xdr:row>
                    <xdr:rowOff>0</xdr:rowOff>
                  </from>
                  <to>
                    <xdr:col>21</xdr:col>
                    <xdr:colOff>295275</xdr:colOff>
                    <xdr:row>4</xdr:row>
                    <xdr:rowOff>209550</xdr:rowOff>
                  </to>
                </anchor>
              </controlPr>
            </control>
          </mc:Choice>
        </mc:AlternateContent>
        <mc:AlternateContent xmlns:mc="http://schemas.openxmlformats.org/markup-compatibility/2006">
          <mc:Choice Requires="x14">
            <control shapeId="4139" r:id="rId36" name="Button 43">
              <controlPr defaultSize="0" print="0" autoFill="0" autoPict="0" macro="[0]!Chromatogram_Inset_DAD_A_Up">
                <anchor moveWithCells="1" sizeWithCells="1">
                  <from>
                    <xdr:col>21</xdr:col>
                    <xdr:colOff>314325</xdr:colOff>
                    <xdr:row>4</xdr:row>
                    <xdr:rowOff>0</xdr:rowOff>
                  </from>
                  <to>
                    <xdr:col>21</xdr:col>
                    <xdr:colOff>600075</xdr:colOff>
                    <xdr:row>4</xdr:row>
                    <xdr:rowOff>209550</xdr:rowOff>
                  </to>
                </anchor>
              </controlPr>
            </control>
          </mc:Choice>
        </mc:AlternateContent>
        <mc:AlternateContent xmlns:mc="http://schemas.openxmlformats.org/markup-compatibility/2006">
          <mc:Choice Requires="x14">
            <control shapeId="4140" r:id="rId37" name="Button 44">
              <controlPr defaultSize="0" print="0" autoFill="0" autoPict="0" macro="[0]!Chromatogram_Inset_DAD_B_Down">
                <anchor moveWithCells="1" sizeWithCells="1">
                  <from>
                    <xdr:col>22</xdr:col>
                    <xdr:colOff>9525</xdr:colOff>
                    <xdr:row>4</xdr:row>
                    <xdr:rowOff>0</xdr:rowOff>
                  </from>
                  <to>
                    <xdr:col>22</xdr:col>
                    <xdr:colOff>295275</xdr:colOff>
                    <xdr:row>4</xdr:row>
                    <xdr:rowOff>200025</xdr:rowOff>
                  </to>
                </anchor>
              </controlPr>
            </control>
          </mc:Choice>
        </mc:AlternateContent>
        <mc:AlternateContent xmlns:mc="http://schemas.openxmlformats.org/markup-compatibility/2006">
          <mc:Choice Requires="x14">
            <control shapeId="4141" r:id="rId38" name="Button 45">
              <controlPr defaultSize="0" print="0" autoFill="0" autoPict="0" macro="[0]!Chromatogram_Inset_DAD_B_Up">
                <anchor moveWithCells="1" sizeWithCells="1">
                  <from>
                    <xdr:col>22</xdr:col>
                    <xdr:colOff>314325</xdr:colOff>
                    <xdr:row>4</xdr:row>
                    <xdr:rowOff>0</xdr:rowOff>
                  </from>
                  <to>
                    <xdr:col>22</xdr:col>
                    <xdr:colOff>600075</xdr:colOff>
                    <xdr:row>4</xdr:row>
                    <xdr:rowOff>200025</xdr:rowOff>
                  </to>
                </anchor>
              </controlPr>
            </control>
          </mc:Choice>
        </mc:AlternateContent>
        <mc:AlternateContent xmlns:mc="http://schemas.openxmlformats.org/markup-compatibility/2006">
          <mc:Choice Requires="x14">
            <control shapeId="4142" r:id="rId39" name="Button 46">
              <controlPr defaultSize="0" print="0" autoFill="0" autoPict="0" macro="[0]!Chromatogram_Inset_DAD_A_Reset">
                <anchor moveWithCells="1" sizeWithCells="1">
                  <from>
                    <xdr:col>21</xdr:col>
                    <xdr:colOff>9525</xdr:colOff>
                    <xdr:row>5</xdr:row>
                    <xdr:rowOff>0</xdr:rowOff>
                  </from>
                  <to>
                    <xdr:col>21</xdr:col>
                    <xdr:colOff>600075</xdr:colOff>
                    <xdr:row>6</xdr:row>
                    <xdr:rowOff>9525</xdr:rowOff>
                  </to>
                </anchor>
              </controlPr>
            </control>
          </mc:Choice>
        </mc:AlternateContent>
        <mc:AlternateContent xmlns:mc="http://schemas.openxmlformats.org/markup-compatibility/2006">
          <mc:Choice Requires="x14">
            <control shapeId="4143" r:id="rId40" name="Button 47">
              <controlPr defaultSize="0" print="0" autoFill="0" autoPict="0" macro="[0]!Chromatogram_Inset_DAD_B_Reset">
                <anchor moveWithCells="1" sizeWithCells="1">
                  <from>
                    <xdr:col>22</xdr:col>
                    <xdr:colOff>9525</xdr:colOff>
                    <xdr:row>5</xdr:row>
                    <xdr:rowOff>0</xdr:rowOff>
                  </from>
                  <to>
                    <xdr:col>22</xdr:col>
                    <xdr:colOff>609600</xdr:colOff>
                    <xdr:row>6</xdr:row>
                    <xdr:rowOff>9525</xdr:rowOff>
                  </to>
                </anchor>
              </controlPr>
            </control>
          </mc:Choice>
        </mc:AlternateContent>
        <mc:AlternateContent xmlns:mc="http://schemas.openxmlformats.org/markup-compatibility/2006">
          <mc:Choice Requires="x14">
            <control shapeId="4144" r:id="rId41" name="Button 48">
              <controlPr defaultSize="0" print="0" autoFill="0" autoPict="0" macro="[0]!Chromatogram_Inset_Click">
                <anchor moveWithCells="1" sizeWithCells="1">
                  <from>
                    <xdr:col>21</xdr:col>
                    <xdr:colOff>9525</xdr:colOff>
                    <xdr:row>2</xdr:row>
                    <xdr:rowOff>9525</xdr:rowOff>
                  </from>
                  <to>
                    <xdr:col>22</xdr:col>
                    <xdr:colOff>600075</xdr:colOff>
                    <xdr:row>3</xdr:row>
                    <xdr:rowOff>0</xdr:rowOff>
                  </to>
                </anchor>
              </controlPr>
            </control>
          </mc:Choice>
        </mc:AlternateContent>
        <mc:AlternateContent xmlns:mc="http://schemas.openxmlformats.org/markup-compatibility/2006">
          <mc:Choice Requires="x14">
            <control shapeId="4145" r:id="rId42" name="Button 49">
              <controlPr defaultSize="0" print="0" autoFill="0" autoPict="0" macro="[0]!ShowSelectedClass">
                <anchor moveWithCells="1" sizeWithCells="1">
                  <from>
                    <xdr:col>23</xdr:col>
                    <xdr:colOff>457200</xdr:colOff>
                    <xdr:row>1</xdr:row>
                    <xdr:rowOff>171450</xdr:rowOff>
                  </from>
                  <to>
                    <xdr:col>26</xdr:col>
                    <xdr:colOff>161925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300-000000000000}">
          <x14:formula1>
            <xm:f>Summary!$K$2:$K$29</xm:f>
          </x14:formula1>
          <xm:sqref>Z5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Z1:AB27"/>
  <sheetViews>
    <sheetView zoomScaleNormal="100" workbookViewId="0">
      <pane ySplit="10" topLeftCell="A11" activePane="bottomLeft" state="frozen"/>
      <selection pane="bottomLeft" activeCell="AA21" sqref="AA21"/>
    </sheetView>
  </sheetViews>
  <sheetFormatPr defaultColWidth="9.140625" defaultRowHeight="15" x14ac:dyDescent="0.25"/>
  <cols>
    <col min="1" max="16384" width="9.140625" style="24"/>
  </cols>
  <sheetData>
    <row r="1" spans="26:28" ht="15.75" thickBot="1" x14ac:dyDescent="0.3">
      <c r="Z1" s="42" t="s">
        <v>30</v>
      </c>
      <c r="AB1" s="42" t="s">
        <v>19</v>
      </c>
    </row>
    <row r="2" spans="26:28" ht="15.75" thickBot="1" x14ac:dyDescent="0.3">
      <c r="Z2" s="25">
        <v>1.5</v>
      </c>
      <c r="AB2" s="25">
        <v>5</v>
      </c>
    </row>
    <row r="3" spans="26:28" ht="15.75" thickBot="1" x14ac:dyDescent="0.3"/>
    <row r="4" spans="26:28" ht="15.75" thickBot="1" x14ac:dyDescent="0.3">
      <c r="AA4" s="43"/>
    </row>
    <row r="5" spans="26:28" ht="15.75" thickBot="1" x14ac:dyDescent="0.3"/>
    <row r="6" spans="26:28" ht="15.75" thickBot="1" x14ac:dyDescent="0.3">
      <c r="AA6" s="44"/>
    </row>
    <row r="8" spans="26:28" x14ac:dyDescent="0.25">
      <c r="AA8" s="23"/>
    </row>
    <row r="9" spans="26:28" x14ac:dyDescent="0.25">
      <c r="AA9" s="23"/>
    </row>
    <row r="10" spans="26:28" x14ac:dyDescent="0.25">
      <c r="AA10" s="23"/>
    </row>
    <row r="11" spans="26:28" ht="15.75" thickBot="1" x14ac:dyDescent="0.3"/>
    <row r="12" spans="26:28" ht="15.75" thickBot="1" x14ac:dyDescent="0.3">
      <c r="Z12" s="25">
        <v>100</v>
      </c>
    </row>
    <row r="14" spans="26:28" ht="15.75" thickBot="1" x14ac:dyDescent="0.3">
      <c r="Z14" s="45"/>
    </row>
    <row r="15" spans="26:28" ht="15.75" thickBot="1" x14ac:dyDescent="0.3">
      <c r="Z15" s="25">
        <v>0.5</v>
      </c>
      <c r="AA15" s="25">
        <v>10</v>
      </c>
    </row>
    <row r="17" spans="26:28" ht="15.75" thickBot="1" x14ac:dyDescent="0.3"/>
    <row r="18" spans="26:28" ht="15.75" thickBot="1" x14ac:dyDescent="0.3">
      <c r="Z18" s="111" t="s">
        <v>42</v>
      </c>
      <c r="AA18" s="112"/>
      <c r="AB18" s="46"/>
    </row>
    <row r="20" spans="26:28" ht="15.75" thickBot="1" x14ac:dyDescent="0.3"/>
    <row r="21" spans="26:28" ht="15.75" thickBot="1" x14ac:dyDescent="0.3">
      <c r="AA21" s="25">
        <v>0</v>
      </c>
    </row>
    <row r="25" spans="26:28" x14ac:dyDescent="0.25">
      <c r="Z25" s="46"/>
      <c r="AA25" s="41"/>
    </row>
    <row r="27" spans="26:28" x14ac:dyDescent="0.25">
      <c r="Z27" s="47" t="s">
        <v>75</v>
      </c>
      <c r="AB27" s="47" t="s">
        <v>95</v>
      </c>
    </row>
  </sheetData>
  <mergeCells count="1">
    <mergeCell ref="Z18:AA18"/>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2290" r:id="rId4"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2291" r:id="rId5"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2292" r:id="rId6"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2293" r:id="rId7" name="Button 5">
              <controlPr defaultSize="0" print="0" autoFill="0" autoPict="0" macro="[0]!Chromatograms_Click">
                <anchor moveWithCells="1" sizeWithCells="1">
                  <from>
                    <xdr:col>25</xdr:col>
                    <xdr:colOff>0</xdr:colOff>
                    <xdr:row>15</xdr:row>
                    <xdr:rowOff>19050</xdr:rowOff>
                  </from>
                  <to>
                    <xdr:col>27</xdr:col>
                    <xdr:colOff>0</xdr:colOff>
                    <xdr:row>16</xdr:row>
                    <xdr:rowOff>104775</xdr:rowOff>
                  </to>
                </anchor>
              </controlPr>
            </control>
          </mc:Choice>
        </mc:AlternateContent>
        <mc:AlternateContent xmlns:mc="http://schemas.openxmlformats.org/markup-compatibility/2006">
          <mc:Choice Requires="x14">
            <control shapeId="12294" r:id="rId8"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2295" r:id="rId9"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2296" r:id="rId10"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2297" r:id="rId11"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2302" r:id="rId12"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2303" r:id="rId13"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2304" r:id="rId14"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2305" r:id="rId15"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2310" r:id="rId16"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2311" r:id="rId17"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2312" r:id="rId18"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2315" r:id="rId19" name="Button 27">
              <controlPr defaultSize="0" print="0" autoFill="0" autoPict="0" macro="[0]!Clear_Inset">
                <anchor moveWithCells="1" sizeWithCells="1">
                  <from>
                    <xdr:col>25</xdr:col>
                    <xdr:colOff>600075</xdr:colOff>
                    <xdr:row>22</xdr:row>
                    <xdr:rowOff>180975</xdr:rowOff>
                  </from>
                  <to>
                    <xdr:col>26</xdr:col>
                    <xdr:colOff>600075</xdr:colOff>
                    <xdr:row>25</xdr:row>
                    <xdr:rowOff>0</xdr:rowOff>
                  </to>
                </anchor>
              </controlPr>
            </control>
          </mc:Choice>
        </mc:AlternateContent>
        <mc:AlternateContent xmlns:mc="http://schemas.openxmlformats.org/markup-compatibility/2006">
          <mc:Choice Requires="x14">
            <control shapeId="12316" r:id="rId20"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2317" r:id="rId21"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2318" r:id="rId22"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2321" r:id="rId23"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2322" r:id="rId24"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12323" r:id="rId25" name="Button 35">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12324" r:id="rId26" name="Button 36">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12325" r:id="rId27" name="Button 37">
              <controlPr defaultSize="0" print="0" autoFill="0" autoPict="0" macro="[0]!UnhideID_From_Chromatogram">
                <anchor moveWithCells="1" sizeWithCells="1">
                  <from>
                    <xdr:col>25</xdr:col>
                    <xdr:colOff>9525</xdr:colOff>
                    <xdr:row>21</xdr:row>
                    <xdr:rowOff>104775</xdr:rowOff>
                  </from>
                  <to>
                    <xdr:col>25</xdr:col>
                    <xdr:colOff>600075</xdr:colOff>
                    <xdr:row>22</xdr:row>
                    <xdr:rowOff>123825</xdr:rowOff>
                  </to>
                </anchor>
              </controlPr>
            </control>
          </mc:Choice>
        </mc:AlternateContent>
        <mc:AlternateContent xmlns:mc="http://schemas.openxmlformats.org/markup-compatibility/2006">
          <mc:Choice Requires="x14">
            <control shapeId="12326" r:id="rId28"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2327" r:id="rId29" name="Button 39">
              <controlPr defaultSize="0" print="0" autoFill="0" autoPict="0" macro="[0]!UnhideAll_From_Chromatogram">
                <anchor moveWithCells="1" sizeWithCells="1">
                  <from>
                    <xdr:col>27</xdr:col>
                    <xdr:colOff>19050</xdr:colOff>
                    <xdr:row>21</xdr:row>
                    <xdr:rowOff>104775</xdr:rowOff>
                  </from>
                  <to>
                    <xdr:col>29</xdr:col>
                    <xdr:colOff>0</xdr:colOff>
                    <xdr:row>22</xdr:row>
                    <xdr:rowOff>123825</xdr:rowOff>
                  </to>
                </anchor>
              </controlPr>
            </control>
          </mc:Choice>
        </mc:AlternateContent>
        <mc:AlternateContent xmlns:mc="http://schemas.openxmlformats.org/markup-compatibility/2006">
          <mc:Choice Requires="x14">
            <control shapeId="12332" r:id="rId30" name="Button 44">
              <controlPr defaultSize="0" print="0" autoFill="0" autoPict="0" macro="[0]!ChromatogramsUnlabel">
                <anchor moveWithCells="1" sizeWithCells="1">
                  <from>
                    <xdr:col>26</xdr:col>
                    <xdr:colOff>0</xdr:colOff>
                    <xdr:row>21</xdr:row>
                    <xdr:rowOff>104775</xdr:rowOff>
                  </from>
                  <to>
                    <xdr:col>27</xdr:col>
                    <xdr:colOff>19050</xdr:colOff>
                    <xdr:row>22</xdr:row>
                    <xdr:rowOff>123825</xdr:rowOff>
                  </to>
                </anchor>
              </controlPr>
            </control>
          </mc:Choice>
        </mc:AlternateContent>
        <mc:AlternateContent xmlns:mc="http://schemas.openxmlformats.org/markup-compatibility/2006">
          <mc:Choice Requires="x14">
            <control shapeId="12333" r:id="rId31" name="Button 45">
              <controlPr defaultSize="0" print="0" autoFill="0" autoPict="0" macro="[0]!ChromatogramsKillLabels">
                <anchor moveWithCells="1" sizeWithCells="1">
                  <from>
                    <xdr:col>27</xdr:col>
                    <xdr:colOff>9525</xdr:colOff>
                    <xdr:row>13</xdr:row>
                    <xdr:rowOff>152400</xdr:rowOff>
                  </from>
                  <to>
                    <xdr:col>29</xdr:col>
                    <xdr:colOff>9525</xdr:colOff>
                    <xdr:row>15</xdr:row>
                    <xdr:rowOff>28575</xdr:rowOff>
                  </to>
                </anchor>
              </controlPr>
            </control>
          </mc:Choice>
        </mc:AlternateContent>
        <mc:AlternateContent xmlns:mc="http://schemas.openxmlformats.org/markup-compatibility/2006">
          <mc:Choice Requires="x14">
            <control shapeId="12334" r:id="rId32" name="Button 46">
              <controlPr defaultSize="0" print="0" autoFill="0" autoPict="0" macro="[0]!ChromatogramsKillAllLabels">
                <anchor moveWithCells="1" sizeWithCells="1">
                  <from>
                    <xdr:col>27</xdr:col>
                    <xdr:colOff>9525</xdr:colOff>
                    <xdr:row>15</xdr:row>
                    <xdr:rowOff>38100</xdr:rowOff>
                  </from>
                  <to>
                    <xdr:col>29</xdr:col>
                    <xdr:colOff>0</xdr:colOff>
                    <xdr:row>16</xdr:row>
                    <xdr:rowOff>104775</xdr:rowOff>
                  </to>
                </anchor>
              </controlPr>
            </control>
          </mc:Choice>
        </mc:AlternateContent>
        <mc:AlternateContent xmlns:mc="http://schemas.openxmlformats.org/markup-compatibility/2006">
          <mc:Choice Requires="x14">
            <control shapeId="12335" r:id="rId33" name="Button 1">
              <controlPr defaultSize="0" print="0" autoFill="0" autoPict="0" macro="[0]!GenerateUVGrid">
                <anchor moveWithCells="1" sizeWithCells="1">
                  <from>
                    <xdr:col>25</xdr:col>
                    <xdr:colOff>9525</xdr:colOff>
                    <xdr:row>34</xdr:row>
                    <xdr:rowOff>142875</xdr:rowOff>
                  </from>
                  <to>
                    <xdr:col>29</xdr:col>
                    <xdr:colOff>0</xdr:colOff>
                    <xdr:row>36</xdr:row>
                    <xdr:rowOff>0</xdr:rowOff>
                  </to>
                </anchor>
              </controlPr>
            </control>
          </mc:Choice>
        </mc:AlternateContent>
        <mc:AlternateContent xmlns:mc="http://schemas.openxmlformats.org/markup-compatibility/2006">
          <mc:Choice Requires="x14">
            <control shapeId="12336" r:id="rId34"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12337" r:id="rId35"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12338" r:id="rId36"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12341" r:id="rId37" name="Option Button 53">
              <controlPr defaultSize="0" autoFill="0" autoLine="0" autoPict="0">
                <anchor moveWithCells="1">
                  <from>
                    <xdr:col>24</xdr:col>
                    <xdr:colOff>600075</xdr:colOff>
                    <xdr:row>27</xdr:row>
                    <xdr:rowOff>0</xdr:rowOff>
                  </from>
                  <to>
                    <xdr:col>26</xdr:col>
                    <xdr:colOff>600075</xdr:colOff>
                    <xdr:row>28</xdr:row>
                    <xdr:rowOff>9525</xdr:rowOff>
                  </to>
                </anchor>
              </controlPr>
            </control>
          </mc:Choice>
        </mc:AlternateContent>
        <mc:AlternateContent xmlns:mc="http://schemas.openxmlformats.org/markup-compatibility/2006">
          <mc:Choice Requires="x14">
            <control shapeId="12342" r:id="rId38" name="Option Button 54">
              <controlPr defaultSize="0" autoFill="0" autoLine="0" autoPict="0">
                <anchor moveWithCells="1">
                  <from>
                    <xdr:col>24</xdr:col>
                    <xdr:colOff>600075</xdr:colOff>
                    <xdr:row>28</xdr:row>
                    <xdr:rowOff>0</xdr:rowOff>
                  </from>
                  <to>
                    <xdr:col>26</xdr:col>
                    <xdr:colOff>600075</xdr:colOff>
                    <xdr:row>29</xdr:row>
                    <xdr:rowOff>9525</xdr:rowOff>
                  </to>
                </anchor>
              </controlPr>
            </control>
          </mc:Choice>
        </mc:AlternateContent>
        <mc:AlternateContent xmlns:mc="http://schemas.openxmlformats.org/markup-compatibility/2006">
          <mc:Choice Requires="x14">
            <control shapeId="12343" r:id="rId39" name="Option Button 55">
              <controlPr defaultSize="0" autoFill="0" autoLine="0" autoPict="0">
                <anchor moveWithCells="1">
                  <from>
                    <xdr:col>24</xdr:col>
                    <xdr:colOff>600075</xdr:colOff>
                    <xdr:row>29</xdr:row>
                    <xdr:rowOff>9525</xdr:rowOff>
                  </from>
                  <to>
                    <xdr:col>26</xdr:col>
                    <xdr:colOff>600075</xdr:colOff>
                    <xdr:row>30</xdr:row>
                    <xdr:rowOff>9525</xdr:rowOff>
                  </to>
                </anchor>
              </controlPr>
            </control>
          </mc:Choice>
        </mc:AlternateContent>
        <mc:AlternateContent xmlns:mc="http://schemas.openxmlformats.org/markup-compatibility/2006">
          <mc:Choice Requires="x14">
            <control shapeId="12344" r:id="rId40" name="Option Button 56">
              <controlPr defaultSize="0" autoFill="0" autoLine="0" autoPict="0">
                <anchor moveWithCells="1">
                  <from>
                    <xdr:col>24</xdr:col>
                    <xdr:colOff>600075</xdr:colOff>
                    <xdr:row>30</xdr:row>
                    <xdr:rowOff>19050</xdr:rowOff>
                  </from>
                  <to>
                    <xdr:col>26</xdr:col>
                    <xdr:colOff>600075</xdr:colOff>
                    <xdr:row>31</xdr:row>
                    <xdr:rowOff>19050</xdr:rowOff>
                  </to>
                </anchor>
              </controlPr>
            </control>
          </mc:Choice>
        </mc:AlternateContent>
        <mc:AlternateContent xmlns:mc="http://schemas.openxmlformats.org/markup-compatibility/2006">
          <mc:Choice Requires="x14">
            <control shapeId="12346" r:id="rId41" name="Button 58">
              <controlPr defaultSize="0" print="0" autoFill="0" autoPict="0" macro="[0]!NextClass">
                <anchor moveWithCells="1" sizeWithCells="1">
                  <from>
                    <xdr:col>27</xdr:col>
                    <xdr:colOff>304800</xdr:colOff>
                    <xdr:row>17</xdr:row>
                    <xdr:rowOff>9525</xdr:rowOff>
                  </from>
                  <to>
                    <xdr:col>28</xdr:col>
                    <xdr:colOff>600075</xdr:colOff>
                    <xdr:row>18</xdr:row>
                    <xdr:rowOff>0</xdr:rowOff>
                  </to>
                </anchor>
              </controlPr>
            </control>
          </mc:Choice>
        </mc:AlternateContent>
        <mc:AlternateContent xmlns:mc="http://schemas.openxmlformats.org/markup-compatibility/2006">
          <mc:Choice Requires="x14">
            <control shapeId="12347" r:id="rId42" name="Check Box 59">
              <controlPr defaultSize="0" autoFill="0" autoLine="0" autoPict="0">
                <anchor moveWithCells="1">
                  <from>
                    <xdr:col>27</xdr:col>
                    <xdr:colOff>9525</xdr:colOff>
                    <xdr:row>26</xdr:row>
                    <xdr:rowOff>171450</xdr:rowOff>
                  </from>
                  <to>
                    <xdr:col>29</xdr:col>
                    <xdr:colOff>9525</xdr:colOff>
                    <xdr:row>28</xdr:row>
                    <xdr:rowOff>19050</xdr:rowOff>
                  </to>
                </anchor>
              </controlPr>
            </control>
          </mc:Choice>
        </mc:AlternateContent>
        <mc:AlternateContent xmlns:mc="http://schemas.openxmlformats.org/markup-compatibility/2006">
          <mc:Choice Requires="x14">
            <control shapeId="12350" r:id="rId43" name="Button 62">
              <controlPr defaultSize="0" print="0" autoFill="0" autoPict="0" macro="[0]!UpdateUVGrid">
                <anchor moveWithCells="1" sizeWithCells="1">
                  <from>
                    <xdr:col>25</xdr:col>
                    <xdr:colOff>19050</xdr:colOff>
                    <xdr:row>31</xdr:row>
                    <xdr:rowOff>171450</xdr:rowOff>
                  </from>
                  <to>
                    <xdr:col>29</xdr:col>
                    <xdr:colOff>0</xdr:colOff>
                    <xdr:row>34</xdr:row>
                    <xdr:rowOff>57150</xdr:rowOff>
                  </to>
                </anchor>
              </controlPr>
            </control>
          </mc:Choice>
        </mc:AlternateContent>
        <mc:AlternateContent xmlns:mc="http://schemas.openxmlformats.org/markup-compatibility/2006">
          <mc:Choice Requires="x14">
            <control shapeId="12351" r:id="rId44" name="Button 63">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2352" r:id="rId45" name="Button 64">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2353" r:id="rId46" name="Button 65">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2356" r:id="rId47" name="Button 68">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2357" r:id="rId48" name="Check Box 69">
              <controlPr defaultSize="0" autoFill="0" autoLine="0" autoPict="0">
                <anchor moveWithCells="1">
                  <from>
                    <xdr:col>27</xdr:col>
                    <xdr:colOff>209550</xdr:colOff>
                    <xdr:row>27</xdr:row>
                    <xdr:rowOff>180975</xdr:rowOff>
                  </from>
                  <to>
                    <xdr:col>29</xdr:col>
                    <xdr:colOff>0</xdr:colOff>
                    <xdr:row>29</xdr:row>
                    <xdr:rowOff>9525</xdr:rowOff>
                  </to>
                </anchor>
              </controlPr>
            </control>
          </mc:Choice>
        </mc:AlternateContent>
        <mc:AlternateContent xmlns:mc="http://schemas.openxmlformats.org/markup-compatibility/2006">
          <mc:Choice Requires="x14">
            <control shapeId="12358" r:id="rId49" name="Check Box 70">
              <controlPr defaultSize="0" autoFill="0" autoLine="0" autoPict="0">
                <anchor moveWithCells="1">
                  <from>
                    <xdr:col>27</xdr:col>
                    <xdr:colOff>209550</xdr:colOff>
                    <xdr:row>29</xdr:row>
                    <xdr:rowOff>0</xdr:rowOff>
                  </from>
                  <to>
                    <xdr:col>29</xdr:col>
                    <xdr:colOff>0</xdr:colOff>
                    <xdr:row>30</xdr:row>
                    <xdr:rowOff>19050</xdr:rowOff>
                  </to>
                </anchor>
              </controlPr>
            </control>
          </mc:Choice>
        </mc:AlternateContent>
        <mc:AlternateContent xmlns:mc="http://schemas.openxmlformats.org/markup-compatibility/2006">
          <mc:Choice Requires="x14">
            <control shapeId="12359" r:id="rId50" name="Button 71">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2360" r:id="rId51" name="Button 72">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2361" r:id="rId52" name="Button 73">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2362" r:id="rId53" name="Button 74">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400-000000000000}">
          <x14:formula1>
            <xm:f>Summary!$K$2:$K$9</xm:f>
          </x14:formula1>
          <xm:sqref>AB18</xm:sqref>
        </x14:dataValidation>
        <x14:dataValidation type="list" allowBlank="1" showInputMessage="1" xr:uid="{00000000-0002-0000-0400-000001000000}">
          <x14:formula1>
            <xm:f>Summary!$K$2:$K$29</xm:f>
          </x14:formula1>
          <xm:sqref>Z18:AA18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T1:AC27"/>
  <sheetViews>
    <sheetView zoomScaleNormal="100" workbookViewId="0">
      <selection activeCell="AA21" sqref="AA21"/>
    </sheetView>
  </sheetViews>
  <sheetFormatPr defaultColWidth="9.140625" defaultRowHeight="15" x14ac:dyDescent="0.25"/>
  <cols>
    <col min="1" max="16384" width="9.140625" style="24"/>
  </cols>
  <sheetData>
    <row r="1" spans="22:28" ht="15.75" thickBot="1" x14ac:dyDescent="0.3">
      <c r="Z1" s="42" t="s">
        <v>30</v>
      </c>
      <c r="AB1" s="42" t="s">
        <v>19</v>
      </c>
    </row>
    <row r="2" spans="22:28" ht="15.75" thickBot="1" x14ac:dyDescent="0.3">
      <c r="Z2" s="25">
        <v>1.5</v>
      </c>
      <c r="AB2" s="25">
        <v>5</v>
      </c>
    </row>
    <row r="3" spans="22:28" ht="15.75" thickBot="1" x14ac:dyDescent="0.3"/>
    <row r="4" spans="22:28" ht="15.75" thickBot="1" x14ac:dyDescent="0.3">
      <c r="AA4" s="43"/>
    </row>
    <row r="5" spans="22:28" ht="15.75" thickBot="1" x14ac:dyDescent="0.3"/>
    <row r="6" spans="22:28" ht="15.75" thickBot="1" x14ac:dyDescent="0.3">
      <c r="AA6" s="44"/>
    </row>
    <row r="8" spans="22:28" x14ac:dyDescent="0.25">
      <c r="AA8" s="23"/>
    </row>
    <row r="9" spans="22:28" x14ac:dyDescent="0.25">
      <c r="AA9" s="23"/>
    </row>
    <row r="10" spans="22:28" x14ac:dyDescent="0.25">
      <c r="AA10" s="23"/>
    </row>
    <row r="11" spans="22:28" ht="15.75" thickBot="1" x14ac:dyDescent="0.3"/>
    <row r="12" spans="22:28" ht="15.75" thickBot="1" x14ac:dyDescent="0.3">
      <c r="Z12" s="25">
        <v>100</v>
      </c>
    </row>
    <row r="13" spans="22:28" ht="15.75" thickBot="1" x14ac:dyDescent="0.3">
      <c r="V13" s="89" t="s">
        <v>116</v>
      </c>
      <c r="W13" s="1"/>
      <c r="X13" s="1"/>
      <c r="Y13" s="1"/>
    </row>
    <row r="14" spans="22:28" ht="15.75" thickBot="1" x14ac:dyDescent="0.3">
      <c r="V14" s="88" t="s">
        <v>104</v>
      </c>
      <c r="W14" s="2">
        <v>200</v>
      </c>
      <c r="X14" s="2">
        <v>500</v>
      </c>
      <c r="Y14" s="50" t="s">
        <v>83</v>
      </c>
      <c r="Z14" s="45"/>
    </row>
    <row r="15" spans="22:28" ht="15.75" thickBot="1" x14ac:dyDescent="0.3">
      <c r="Y15" s="91" t="s">
        <v>111</v>
      </c>
      <c r="Z15" s="25">
        <v>0.5</v>
      </c>
      <c r="AA15" s="25">
        <v>10</v>
      </c>
      <c r="AB15" s="47" t="s">
        <v>108</v>
      </c>
    </row>
    <row r="16" spans="22:28" ht="15.75" thickBot="1" x14ac:dyDescent="0.3">
      <c r="V16" s="42" t="s">
        <v>114</v>
      </c>
      <c r="W16" s="42" t="s">
        <v>115</v>
      </c>
      <c r="X16" s="42" t="s">
        <v>109</v>
      </c>
      <c r="Y16" s="92" t="s">
        <v>113</v>
      </c>
      <c r="Z16" s="25">
        <v>200</v>
      </c>
      <c r="AA16" s="25">
        <v>600</v>
      </c>
      <c r="AB16" s="47" t="s">
        <v>83</v>
      </c>
    </row>
    <row r="17" spans="20:29" ht="15.75" thickBot="1" x14ac:dyDescent="0.3">
      <c r="V17" s="25">
        <v>-20</v>
      </c>
      <c r="W17" s="25">
        <v>20</v>
      </c>
      <c r="X17" s="25">
        <v>4</v>
      </c>
      <c r="Y17" s="47" t="s">
        <v>83</v>
      </c>
    </row>
    <row r="18" spans="20:29" ht="15.75" thickBot="1" x14ac:dyDescent="0.3">
      <c r="Z18" s="90"/>
      <c r="AA18" s="90"/>
      <c r="AB18" s="46"/>
    </row>
    <row r="19" spans="20:29" ht="15.75" thickBot="1" x14ac:dyDescent="0.3">
      <c r="V19" s="25">
        <v>-20</v>
      </c>
      <c r="W19" s="25">
        <v>20</v>
      </c>
      <c r="X19" s="25">
        <v>5</v>
      </c>
      <c r="Y19" s="47" t="s">
        <v>19</v>
      </c>
    </row>
    <row r="20" spans="20:29" ht="15.75" thickBot="1" x14ac:dyDescent="0.3"/>
    <row r="21" spans="20:29" ht="15.75" thickBot="1" x14ac:dyDescent="0.3">
      <c r="V21" s="93">
        <v>0.9</v>
      </c>
      <c r="W21" s="93">
        <v>1.1000000000000001</v>
      </c>
      <c r="X21" s="25">
        <v>0.05</v>
      </c>
      <c r="Y21" s="47" t="s">
        <v>30</v>
      </c>
      <c r="AA21" s="25">
        <v>0</v>
      </c>
    </row>
    <row r="23" spans="20:29" x14ac:dyDescent="0.25">
      <c r="T23" s="47" t="s">
        <v>112</v>
      </c>
      <c r="U23" s="47" t="s">
        <v>9</v>
      </c>
      <c r="V23" s="47" t="s">
        <v>111</v>
      </c>
      <c r="W23" s="47" t="s">
        <v>90</v>
      </c>
      <c r="Z23" s="47"/>
      <c r="AC23" s="47" t="s">
        <v>130</v>
      </c>
    </row>
    <row r="25" spans="20:29" x14ac:dyDescent="0.25">
      <c r="Z25" s="46"/>
      <c r="AA25" s="41"/>
    </row>
    <row r="27" spans="20:29" x14ac:dyDescent="0.25">
      <c r="Z27" s="47"/>
      <c r="AB27" s="47"/>
    </row>
  </sheetData>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16448" r:id="rId3" name="ListBox1">
          <controlPr defaultSize="0" autoLine="0" autoPict="0" r:id="rId4">
            <anchor moveWithCells="1">
              <from>
                <xdr:col>18</xdr:col>
                <xdr:colOff>552450</xdr:colOff>
                <xdr:row>23</xdr:row>
                <xdr:rowOff>9525</xdr:rowOff>
              </from>
              <to>
                <xdr:col>28</xdr:col>
                <xdr:colOff>542925</xdr:colOff>
                <xdr:row>35</xdr:row>
                <xdr:rowOff>180975</xdr:rowOff>
              </to>
            </anchor>
          </controlPr>
        </control>
      </mc:Choice>
      <mc:Fallback>
        <control shapeId="16448" r:id="rId3" name="ListBox1"/>
      </mc:Fallback>
    </mc:AlternateContent>
    <mc:AlternateContent xmlns:mc="http://schemas.openxmlformats.org/markup-compatibility/2006">
      <mc:Choice Requires="x14">
        <control shapeId="16385" r:id="rId5"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6386" r:id="rId6"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6387" r:id="rId7"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6388" r:id="rId8"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6389" r:id="rId9" name="Button 5">
          <controlPr defaultSize="0" print="0" autoFill="0" autoPict="0" macro="[0]!Chromatograms_Click">
            <anchor moveWithCells="1" sizeWithCells="1">
              <from>
                <xdr:col>28</xdr:col>
                <xdr:colOff>0</xdr:colOff>
                <xdr:row>14</xdr:row>
                <xdr:rowOff>9525</xdr:rowOff>
              </from>
              <to>
                <xdr:col>29</xdr:col>
                <xdr:colOff>133350</xdr:colOff>
                <xdr:row>16</xdr:row>
                <xdr:rowOff>0</xdr:rowOff>
              </to>
            </anchor>
          </controlPr>
        </control>
      </mc:Choice>
    </mc:AlternateContent>
    <mc:AlternateContent xmlns:mc="http://schemas.openxmlformats.org/markup-compatibility/2006">
      <mc:Choice Requires="x14">
        <control shapeId="16390" r:id="rId10"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6391" r:id="rId11"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6392" r:id="rId12"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6393" r:id="rId13"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6398" r:id="rId14"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6399" r:id="rId15"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6400" r:id="rId16"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6401" r:id="rId17"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6406" r:id="rId18"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6407" r:id="rId19"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6408" r:id="rId20"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6410" r:id="rId21"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6411" r:id="rId22"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6412" r:id="rId23"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6415" r:id="rId24"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6420" r:id="rId25"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6426" r:id="rId26" name="Check Box 41">
          <controlPr defaultSize="0" autoFill="0" autoLine="0" autoPict="0">
            <anchor moveWithCells="1">
              <from>
                <xdr:col>25</xdr:col>
                <xdr:colOff>9525</xdr:colOff>
                <xdr:row>12</xdr:row>
                <xdr:rowOff>85725</xdr:rowOff>
              </from>
              <to>
                <xdr:col>25</xdr:col>
                <xdr:colOff>600075</xdr:colOff>
                <xdr:row>13</xdr:row>
                <xdr:rowOff>76200</xdr:rowOff>
              </to>
            </anchor>
          </controlPr>
        </control>
      </mc:Choice>
    </mc:AlternateContent>
    <mc:AlternateContent xmlns:mc="http://schemas.openxmlformats.org/markup-compatibility/2006">
      <mc:Choice Requires="x14">
        <control shapeId="16427" r:id="rId27" name="Check Box 42">
          <controlPr defaultSize="0" autoFill="0" autoLine="0" autoPict="0">
            <anchor moveWithCells="1">
              <from>
                <xdr:col>25</xdr:col>
                <xdr:colOff>600075</xdr:colOff>
                <xdr:row>12</xdr:row>
                <xdr:rowOff>85725</xdr:rowOff>
              </from>
              <to>
                <xdr:col>26</xdr:col>
                <xdr:colOff>581025</xdr:colOff>
                <xdr:row>13</xdr:row>
                <xdr:rowOff>76200</xdr:rowOff>
              </to>
            </anchor>
          </controlPr>
        </control>
      </mc:Choice>
    </mc:AlternateContent>
    <mc:AlternateContent xmlns:mc="http://schemas.openxmlformats.org/markup-compatibility/2006">
      <mc:Choice Requires="x14">
        <control shapeId="16428" r:id="rId28" name="Check Box 43">
          <controlPr defaultSize="0" autoFill="0" autoLine="0" autoPict="0">
            <anchor moveWithCells="1">
              <from>
                <xdr:col>27</xdr:col>
                <xdr:colOff>0</xdr:colOff>
                <xdr:row>12</xdr:row>
                <xdr:rowOff>85725</xdr:rowOff>
              </from>
              <to>
                <xdr:col>27</xdr:col>
                <xdr:colOff>590550</xdr:colOff>
                <xdr:row>13</xdr:row>
                <xdr:rowOff>76200</xdr:rowOff>
              </to>
            </anchor>
          </controlPr>
        </control>
      </mc:Choice>
    </mc:AlternateContent>
    <mc:AlternateContent xmlns:mc="http://schemas.openxmlformats.org/markup-compatibility/2006">
      <mc:Choice Requires="x14">
        <control shapeId="16436" r:id="rId29" name="Button 50">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6437" r:id="rId30" name="Button 51">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6438" r:id="rId31" name="Button 52">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6441" r:id="rId32" name="Button 55">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6444" r:id="rId33" name="Button 60">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6445" r:id="rId34" name="Button 61">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6446" r:id="rId35" name="Button 62">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6447" r:id="rId36" name="Button 63">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mc:AlternateContent xmlns:mc="http://schemas.openxmlformats.org/markup-compatibility/2006">
      <mc:Choice Requires="x14">
        <control shapeId="16450" r:id="rId37" name="Button 66">
          <controlPr defaultSize="0" print="0" autoFill="0" autoPict="0" macro="[0]!UVSearchOne">
            <anchor moveWithCells="1" sizeWithCells="1">
              <from>
                <xdr:col>25</xdr:col>
                <xdr:colOff>609600</xdr:colOff>
                <xdr:row>17</xdr:row>
                <xdr:rowOff>0</xdr:rowOff>
              </from>
              <to>
                <xdr:col>26</xdr:col>
                <xdr:colOff>609600</xdr:colOff>
                <xdr:row>19</xdr:row>
                <xdr:rowOff>9525</xdr:rowOff>
              </to>
            </anchor>
          </controlPr>
        </control>
      </mc:Choice>
    </mc:AlternateContent>
    <mc:AlternateContent xmlns:mc="http://schemas.openxmlformats.org/markup-compatibility/2006">
      <mc:Choice Requires="x14">
        <control shapeId="16451" r:id="rId38" name="Button 67">
          <controlPr defaultSize="0" print="0" autoFill="0" autoPict="0" macro="[0]!Clear_Inset">
            <anchor moveWithCells="1" sizeWithCells="1">
              <from>
                <xdr:col>27</xdr:col>
                <xdr:colOff>19050</xdr:colOff>
                <xdr:row>17</xdr:row>
                <xdr:rowOff>0</xdr:rowOff>
              </from>
              <to>
                <xdr:col>28</xdr:col>
                <xdr:colOff>0</xdr:colOff>
                <xdr:row>19</xdr:row>
                <xdr:rowOff>9525</xdr:rowOff>
              </to>
            </anchor>
          </controlPr>
        </control>
      </mc:Choice>
    </mc:AlternateContent>
    <mc:AlternateContent xmlns:mc="http://schemas.openxmlformats.org/markup-compatibility/2006">
      <mc:Choice Requires="x14">
        <control shapeId="16452" r:id="rId39" name="Button 68">
          <controlPr defaultSize="0" print="0" autoFill="0" autoPict="0" macro="[0]!KeepDbaseTrace">
            <anchor moveWithCells="1" sizeWithCells="1">
              <from>
                <xdr:col>25</xdr:col>
                <xdr:colOff>9525</xdr:colOff>
                <xdr:row>17</xdr:row>
                <xdr:rowOff>0</xdr:rowOff>
              </from>
              <to>
                <xdr:col>25</xdr:col>
                <xdr:colOff>590550</xdr:colOff>
                <xdr:row>19</xdr:row>
                <xdr:rowOff>9525</xdr:rowOff>
              </to>
            </anchor>
          </controlPr>
        </control>
      </mc:Choice>
    </mc:AlternateContent>
    <mc:AlternateContent xmlns:mc="http://schemas.openxmlformats.org/markup-compatibility/2006">
      <mc:Choice Requires="x14">
        <control shapeId="16457" r:id="rId40" name="Check Box 73">
          <controlPr defaultSize="0" autoFill="0" autoLine="0" autoPict="0">
            <anchor moveWithCells="1">
              <from>
                <xdr:col>19</xdr:col>
                <xdr:colOff>0</xdr:colOff>
                <xdr:row>16</xdr:row>
                <xdr:rowOff>0</xdr:rowOff>
              </from>
              <to>
                <xdr:col>20</xdr:col>
                <xdr:colOff>466725</xdr:colOff>
                <xdr:row>17</xdr:row>
                <xdr:rowOff>0</xdr:rowOff>
              </to>
            </anchor>
          </controlPr>
        </control>
      </mc:Choice>
    </mc:AlternateContent>
    <mc:AlternateContent xmlns:mc="http://schemas.openxmlformats.org/markup-compatibility/2006">
      <mc:Choice Requires="x14">
        <control shapeId="16458" r:id="rId41" name="Check Box 74">
          <controlPr defaultSize="0" autoFill="0" autoLine="0" autoPict="0">
            <anchor moveWithCells="1">
              <from>
                <xdr:col>19</xdr:col>
                <xdr:colOff>0</xdr:colOff>
                <xdr:row>18</xdr:row>
                <xdr:rowOff>0</xdr:rowOff>
              </from>
              <to>
                <xdr:col>20</xdr:col>
                <xdr:colOff>476250</xdr:colOff>
                <xdr:row>19</xdr:row>
                <xdr:rowOff>9525</xdr:rowOff>
              </to>
            </anchor>
          </controlPr>
        </control>
      </mc:Choice>
    </mc:AlternateContent>
    <mc:AlternateContent xmlns:mc="http://schemas.openxmlformats.org/markup-compatibility/2006">
      <mc:Choice Requires="x14">
        <control shapeId="16459" r:id="rId42" name="Check Box 75">
          <controlPr defaultSize="0" autoFill="0" autoLine="0" autoPict="0">
            <anchor moveWithCells="1">
              <from>
                <xdr:col>19</xdr:col>
                <xdr:colOff>0</xdr:colOff>
                <xdr:row>20</xdr:row>
                <xdr:rowOff>0</xdr:rowOff>
              </from>
              <to>
                <xdr:col>20</xdr:col>
                <xdr:colOff>476250</xdr:colOff>
                <xdr:row>21</xdr:row>
                <xdr:rowOff>0</xdr:rowOff>
              </to>
            </anchor>
          </controlPr>
        </control>
      </mc:Choice>
    </mc:AlternateContent>
    <mc:AlternateContent xmlns:mc="http://schemas.openxmlformats.org/markup-compatibility/2006">
      <mc:Choice Requires="x14">
        <control shapeId="16460" r:id="rId43" name="Check Box 76">
          <controlPr defaultSize="0" autoFill="0" autoLine="0" autoPict="0">
            <anchor moveWithCells="1">
              <from>
                <xdr:col>28</xdr:col>
                <xdr:colOff>9525</xdr:colOff>
                <xdr:row>17</xdr:row>
                <xdr:rowOff>0</xdr:rowOff>
              </from>
              <to>
                <xdr:col>29</xdr:col>
                <xdr:colOff>266700</xdr:colOff>
                <xdr:row>18</xdr:row>
                <xdr:rowOff>9525</xdr:rowOff>
              </to>
            </anchor>
          </controlPr>
        </control>
      </mc:Choice>
    </mc:AlternateContent>
    <mc:AlternateContent xmlns:mc="http://schemas.openxmlformats.org/markup-compatibility/2006">
      <mc:Choice Requires="x14">
        <control shapeId="16461" r:id="rId44" name="Check Box 77">
          <controlPr defaultSize="0" autoFill="0" autoLine="0" autoPict="0">
            <anchor moveWithCells="1">
              <from>
                <xdr:col>28</xdr:col>
                <xdr:colOff>9525</xdr:colOff>
                <xdr:row>18</xdr:row>
                <xdr:rowOff>0</xdr:rowOff>
              </from>
              <to>
                <xdr:col>29</xdr:col>
                <xdr:colOff>266700</xdr:colOff>
                <xdr:row>19</xdr:row>
                <xdr:rowOff>9525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xr:uid="{00000000-0002-0000-0500-000000000000}">
          <x14:formula1>
            <xm:f>Summary!$K$2:$K$9</xm:f>
          </x14:formula1>
          <xm:sqref>AB18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HX1"/>
  <sheetViews>
    <sheetView workbookViewId="0"/>
  </sheetViews>
  <sheetFormatPr defaultRowHeight="15" x14ac:dyDescent="0.25"/>
  <cols>
    <col min="1" max="1" width="56.5703125" customWidth="1"/>
    <col min="2" max="2" width="13.28515625" customWidth="1"/>
    <col min="3" max="4" width="43.140625" customWidth="1"/>
    <col min="5" max="5" width="17.42578125" customWidth="1"/>
    <col min="232" max="232" width="23.140625" customWidth="1"/>
  </cols>
  <sheetData>
    <row r="1" spans="1:232" x14ac:dyDescent="0.25">
      <c r="A1" s="104"/>
      <c r="B1" s="5" t="s">
        <v>93</v>
      </c>
      <c r="C1" s="5" t="s">
        <v>90</v>
      </c>
      <c r="D1" s="5" t="s">
        <v>130</v>
      </c>
      <c r="E1" s="5" t="s">
        <v>92</v>
      </c>
      <c r="F1" s="84">
        <v>190</v>
      </c>
      <c r="G1" s="84">
        <v>192</v>
      </c>
      <c r="H1" s="84">
        <v>194</v>
      </c>
      <c r="I1" s="84">
        <v>196</v>
      </c>
      <c r="J1" s="84">
        <v>198</v>
      </c>
      <c r="K1" s="84">
        <v>200</v>
      </c>
      <c r="L1" s="84">
        <v>202</v>
      </c>
      <c r="M1" s="84">
        <v>204</v>
      </c>
      <c r="N1" s="84">
        <v>206</v>
      </c>
      <c r="O1" s="84">
        <v>208</v>
      </c>
      <c r="P1" s="84">
        <v>210</v>
      </c>
      <c r="Q1" s="84">
        <v>212</v>
      </c>
      <c r="R1" s="84">
        <v>214</v>
      </c>
      <c r="S1" s="84">
        <v>216</v>
      </c>
      <c r="T1" s="84">
        <v>218</v>
      </c>
      <c r="U1" s="84">
        <v>220</v>
      </c>
      <c r="V1" s="84">
        <v>222</v>
      </c>
      <c r="W1" s="84">
        <v>224</v>
      </c>
      <c r="X1" s="84">
        <v>226</v>
      </c>
      <c r="Y1" s="84">
        <v>228</v>
      </c>
      <c r="Z1" s="84">
        <v>230</v>
      </c>
      <c r="AA1" s="84">
        <v>232</v>
      </c>
      <c r="AB1" s="84">
        <v>234</v>
      </c>
      <c r="AC1" s="84">
        <v>236</v>
      </c>
      <c r="AD1" s="84">
        <v>238</v>
      </c>
      <c r="AE1" s="84">
        <v>240</v>
      </c>
      <c r="AF1" s="84">
        <v>242</v>
      </c>
      <c r="AG1" s="84">
        <v>244</v>
      </c>
      <c r="AH1" s="84">
        <v>246</v>
      </c>
      <c r="AI1" s="84">
        <v>248</v>
      </c>
      <c r="AJ1" s="84">
        <v>250</v>
      </c>
      <c r="AK1" s="84">
        <v>252</v>
      </c>
      <c r="AL1" s="84">
        <v>254</v>
      </c>
      <c r="AM1" s="84">
        <v>256</v>
      </c>
      <c r="AN1" s="84">
        <v>258</v>
      </c>
      <c r="AO1" s="84">
        <v>260</v>
      </c>
      <c r="AP1" s="84">
        <v>262</v>
      </c>
      <c r="AQ1" s="84">
        <v>264</v>
      </c>
      <c r="AR1" s="84">
        <v>266</v>
      </c>
      <c r="AS1" s="84">
        <v>268</v>
      </c>
      <c r="AT1" s="84">
        <v>270</v>
      </c>
      <c r="AU1" s="84">
        <v>272</v>
      </c>
      <c r="AV1" s="84">
        <v>274</v>
      </c>
      <c r="AW1" s="84">
        <v>276</v>
      </c>
      <c r="AX1" s="84">
        <v>278</v>
      </c>
      <c r="AY1" s="84">
        <v>280</v>
      </c>
      <c r="AZ1" s="84">
        <v>282</v>
      </c>
      <c r="BA1" s="84">
        <v>284</v>
      </c>
      <c r="BB1" s="84">
        <v>286</v>
      </c>
      <c r="BC1" s="84">
        <v>288</v>
      </c>
      <c r="BD1" s="84">
        <v>290</v>
      </c>
      <c r="BE1" s="84">
        <v>292</v>
      </c>
      <c r="BF1" s="84">
        <v>294</v>
      </c>
      <c r="BG1" s="84">
        <v>296</v>
      </c>
      <c r="BH1" s="84">
        <v>298</v>
      </c>
      <c r="BI1" s="84">
        <v>300</v>
      </c>
      <c r="BJ1" s="84">
        <v>302</v>
      </c>
      <c r="BK1" s="84">
        <v>304</v>
      </c>
      <c r="BL1" s="84">
        <v>306</v>
      </c>
      <c r="BM1" s="84">
        <v>308</v>
      </c>
      <c r="BN1" s="84">
        <v>310</v>
      </c>
      <c r="BO1" s="84">
        <v>312</v>
      </c>
      <c r="BP1" s="84">
        <v>314</v>
      </c>
      <c r="BQ1" s="84">
        <v>316</v>
      </c>
      <c r="BR1" s="84">
        <v>318</v>
      </c>
      <c r="BS1" s="84">
        <v>320</v>
      </c>
      <c r="BT1" s="84">
        <v>322</v>
      </c>
      <c r="BU1" s="84">
        <v>324</v>
      </c>
      <c r="BV1" s="84">
        <v>326</v>
      </c>
      <c r="BW1" s="84">
        <v>328</v>
      </c>
      <c r="BX1" s="84">
        <v>330</v>
      </c>
      <c r="BY1" s="84">
        <v>332</v>
      </c>
      <c r="BZ1" s="84">
        <v>334</v>
      </c>
      <c r="CA1" s="84">
        <v>336</v>
      </c>
      <c r="CB1" s="84">
        <v>338</v>
      </c>
      <c r="CC1" s="84">
        <v>340</v>
      </c>
      <c r="CD1" s="84">
        <v>342</v>
      </c>
      <c r="CE1" s="84">
        <v>344</v>
      </c>
      <c r="CF1" s="84">
        <v>346</v>
      </c>
      <c r="CG1" s="84">
        <v>348</v>
      </c>
      <c r="CH1" s="84">
        <v>350</v>
      </c>
      <c r="CI1" s="84">
        <v>352</v>
      </c>
      <c r="CJ1" s="84">
        <v>354</v>
      </c>
      <c r="CK1" s="84">
        <v>356</v>
      </c>
      <c r="CL1" s="84">
        <v>358</v>
      </c>
      <c r="CM1" s="84">
        <v>360</v>
      </c>
      <c r="CN1" s="84">
        <v>362</v>
      </c>
      <c r="CO1" s="84">
        <v>364</v>
      </c>
      <c r="CP1" s="84">
        <v>366</v>
      </c>
      <c r="CQ1" s="84">
        <v>368</v>
      </c>
      <c r="CR1" s="84">
        <v>370</v>
      </c>
      <c r="CS1" s="84">
        <v>372</v>
      </c>
      <c r="CT1" s="84">
        <v>374</v>
      </c>
      <c r="CU1" s="84">
        <v>376</v>
      </c>
      <c r="CV1" s="84">
        <v>378</v>
      </c>
      <c r="CW1" s="84">
        <v>380</v>
      </c>
      <c r="CX1" s="84">
        <v>382</v>
      </c>
      <c r="CY1" s="84">
        <v>384</v>
      </c>
      <c r="CZ1" s="84">
        <v>386</v>
      </c>
      <c r="DA1" s="84">
        <v>388</v>
      </c>
      <c r="DB1" s="84">
        <v>390</v>
      </c>
      <c r="DC1" s="84">
        <v>392</v>
      </c>
      <c r="DD1" s="84">
        <v>394</v>
      </c>
      <c r="DE1" s="84">
        <v>396</v>
      </c>
      <c r="DF1" s="84">
        <v>398</v>
      </c>
      <c r="DG1" s="84">
        <v>400</v>
      </c>
      <c r="DH1" s="84">
        <v>402</v>
      </c>
      <c r="DI1" s="84">
        <v>404</v>
      </c>
      <c r="DJ1" s="84">
        <v>406</v>
      </c>
      <c r="DK1" s="84">
        <v>408</v>
      </c>
      <c r="DL1" s="84">
        <v>410</v>
      </c>
      <c r="DM1" s="84">
        <v>412</v>
      </c>
      <c r="DN1" s="84">
        <v>414</v>
      </c>
      <c r="DO1" s="84">
        <v>416</v>
      </c>
      <c r="DP1" s="84">
        <v>418</v>
      </c>
      <c r="DQ1" s="84">
        <v>420</v>
      </c>
      <c r="DR1" s="84">
        <v>422</v>
      </c>
      <c r="DS1" s="84">
        <v>424</v>
      </c>
      <c r="DT1" s="84">
        <v>426</v>
      </c>
      <c r="DU1" s="84">
        <v>428</v>
      </c>
      <c r="DV1" s="84">
        <v>430</v>
      </c>
      <c r="DW1" s="84">
        <v>432</v>
      </c>
      <c r="DX1" s="84">
        <v>434</v>
      </c>
      <c r="DY1" s="84">
        <v>436</v>
      </c>
      <c r="DZ1" s="84">
        <v>438</v>
      </c>
      <c r="EA1" s="84">
        <v>440</v>
      </c>
      <c r="EB1" s="84">
        <v>442</v>
      </c>
      <c r="EC1" s="84">
        <v>444</v>
      </c>
      <c r="ED1" s="84">
        <v>446</v>
      </c>
      <c r="EE1" s="84">
        <v>448</v>
      </c>
      <c r="EF1" s="84">
        <v>450</v>
      </c>
      <c r="EG1" s="84">
        <v>452</v>
      </c>
      <c r="EH1" s="84">
        <v>454</v>
      </c>
      <c r="EI1" s="84">
        <v>456</v>
      </c>
      <c r="EJ1" s="84">
        <v>458</v>
      </c>
      <c r="EK1" s="84">
        <v>460</v>
      </c>
      <c r="EL1" s="84">
        <v>462</v>
      </c>
      <c r="EM1" s="84">
        <v>464</v>
      </c>
      <c r="EN1" s="84">
        <v>466</v>
      </c>
      <c r="EO1" s="84">
        <v>468</v>
      </c>
      <c r="EP1" s="84">
        <v>470</v>
      </c>
      <c r="EQ1" s="84">
        <v>472</v>
      </c>
      <c r="ER1" s="84">
        <v>474</v>
      </c>
      <c r="ES1" s="84">
        <v>476</v>
      </c>
      <c r="ET1" s="84">
        <v>478</v>
      </c>
      <c r="EU1" s="84">
        <v>480</v>
      </c>
      <c r="EV1" s="84">
        <v>482</v>
      </c>
      <c r="EW1" s="84">
        <v>484</v>
      </c>
      <c r="EX1" s="84">
        <v>486</v>
      </c>
      <c r="EY1" s="84">
        <v>488</v>
      </c>
      <c r="EZ1" s="84">
        <v>490</v>
      </c>
      <c r="FA1" s="84">
        <v>492</v>
      </c>
      <c r="FB1" s="84">
        <v>494</v>
      </c>
      <c r="FC1" s="84">
        <v>496</v>
      </c>
      <c r="FD1" s="84">
        <v>498</v>
      </c>
      <c r="FE1" s="84">
        <v>500</v>
      </c>
      <c r="FF1" s="84">
        <v>502</v>
      </c>
      <c r="FG1" s="84">
        <v>504</v>
      </c>
      <c r="FH1" s="84">
        <v>506</v>
      </c>
      <c r="FI1" s="84">
        <v>508</v>
      </c>
      <c r="FJ1" s="84">
        <v>510</v>
      </c>
      <c r="FK1" s="84">
        <v>512</v>
      </c>
      <c r="FL1" s="84">
        <v>514</v>
      </c>
      <c r="FM1" s="84">
        <v>516</v>
      </c>
      <c r="FN1" s="84">
        <v>518</v>
      </c>
      <c r="FO1" s="84">
        <v>520</v>
      </c>
      <c r="FP1" s="84">
        <v>522</v>
      </c>
      <c r="FQ1" s="84">
        <v>524</v>
      </c>
      <c r="FR1" s="84">
        <v>526</v>
      </c>
      <c r="FS1" s="84">
        <v>528</v>
      </c>
      <c r="FT1" s="84">
        <v>530</v>
      </c>
      <c r="FU1" s="84">
        <v>532</v>
      </c>
      <c r="FV1" s="84">
        <v>534</v>
      </c>
      <c r="FW1" s="84">
        <v>536</v>
      </c>
      <c r="FX1" s="84">
        <v>538</v>
      </c>
      <c r="FY1" s="84">
        <v>540</v>
      </c>
      <c r="FZ1" s="84">
        <v>542</v>
      </c>
      <c r="GA1" s="84">
        <v>544</v>
      </c>
      <c r="GB1" s="84">
        <v>546</v>
      </c>
      <c r="GC1" s="84">
        <v>548</v>
      </c>
      <c r="GD1" s="84">
        <v>550</v>
      </c>
      <c r="GE1" s="84">
        <v>552</v>
      </c>
      <c r="GF1" s="84">
        <v>554</v>
      </c>
      <c r="GG1" s="84">
        <v>556</v>
      </c>
      <c r="GH1" s="84">
        <v>558</v>
      </c>
      <c r="GI1" s="84">
        <v>560</v>
      </c>
      <c r="GJ1" s="84">
        <v>562</v>
      </c>
      <c r="GK1" s="84">
        <v>564</v>
      </c>
      <c r="GL1" s="84">
        <v>566</v>
      </c>
      <c r="GM1" s="84">
        <v>568</v>
      </c>
      <c r="GN1" s="84">
        <v>570</v>
      </c>
      <c r="GO1" s="84">
        <v>572</v>
      </c>
      <c r="GP1" s="84">
        <v>574</v>
      </c>
      <c r="GQ1" s="84">
        <v>576</v>
      </c>
      <c r="GR1" s="84">
        <v>578</v>
      </c>
      <c r="GS1" s="84">
        <v>580</v>
      </c>
      <c r="GT1" s="84">
        <v>582</v>
      </c>
      <c r="GU1" s="84">
        <v>584</v>
      </c>
      <c r="GV1" s="84">
        <v>586</v>
      </c>
      <c r="GW1" s="84">
        <v>588</v>
      </c>
      <c r="GX1" s="84">
        <v>590</v>
      </c>
      <c r="GY1" s="84">
        <v>592</v>
      </c>
      <c r="GZ1" s="84">
        <v>594</v>
      </c>
      <c r="HA1" s="84">
        <v>596</v>
      </c>
      <c r="HB1" s="84">
        <v>598</v>
      </c>
      <c r="HC1" s="84">
        <v>600</v>
      </c>
      <c r="HD1" s="84">
        <v>602</v>
      </c>
      <c r="HE1" s="84">
        <v>604</v>
      </c>
      <c r="HF1" s="84">
        <v>606</v>
      </c>
      <c r="HG1" s="84">
        <v>608</v>
      </c>
      <c r="HH1" s="84">
        <v>610</v>
      </c>
      <c r="HI1" s="84">
        <v>612</v>
      </c>
      <c r="HJ1" s="84">
        <v>614</v>
      </c>
      <c r="HK1" s="84">
        <v>616</v>
      </c>
      <c r="HL1" s="84">
        <v>618</v>
      </c>
      <c r="HM1" s="84">
        <v>620</v>
      </c>
      <c r="HN1" s="84">
        <v>622</v>
      </c>
      <c r="HO1" s="84">
        <v>624</v>
      </c>
      <c r="HP1" s="84">
        <v>626</v>
      </c>
      <c r="HQ1" s="84">
        <v>628</v>
      </c>
      <c r="HR1" s="84">
        <v>630</v>
      </c>
      <c r="HS1" s="84">
        <v>632</v>
      </c>
      <c r="HT1" s="84">
        <v>634</v>
      </c>
      <c r="HU1" s="84">
        <v>636</v>
      </c>
      <c r="HV1" s="84">
        <v>638</v>
      </c>
      <c r="HW1" s="84">
        <v>640</v>
      </c>
      <c r="HX1" s="5" t="s">
        <v>97</v>
      </c>
    </row>
  </sheetData>
  <autoFilter ref="B1:HX1" xr:uid="{00000000-0009-0000-0000-00000600000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baseLoad">
                <anchor moveWithCells="1" sizeWithCells="1">
                  <from>
                    <xdr:col>0</xdr:col>
                    <xdr:colOff>1390650</xdr:colOff>
                    <xdr:row>4</xdr:row>
                    <xdr:rowOff>180975</xdr:rowOff>
                  </from>
                  <to>
                    <xdr:col>0</xdr:col>
                    <xdr:colOff>2371725</xdr:colOff>
                    <xdr:row>7</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DbaseAppend">
                <anchor moveWithCells="1" sizeWithCells="1">
                  <from>
                    <xdr:col>0</xdr:col>
                    <xdr:colOff>1390650</xdr:colOff>
                    <xdr:row>8</xdr:row>
                    <xdr:rowOff>0</xdr:rowOff>
                  </from>
                  <to>
                    <xdr:col>0</xdr:col>
                    <xdr:colOff>2371725</xdr:colOff>
                    <xdr:row>10</xdr:row>
                    <xdr:rowOff>9525</xdr:rowOff>
                  </to>
                </anchor>
              </controlPr>
            </control>
          </mc:Choice>
        </mc:AlternateContent>
        <mc:AlternateContent xmlns:mc="http://schemas.openxmlformats.org/markup-compatibility/2006">
          <mc:Choice Requires="x14">
            <control shapeId="14339" r:id="rId5" name="Button 3">
              <controlPr defaultSize="0" print="0" autoFill="0" autoPict="0" macro="[0]!DbaseSave">
                <anchor moveWithCells="1" sizeWithCells="1">
                  <from>
                    <xdr:col>0</xdr:col>
                    <xdr:colOff>1390650</xdr:colOff>
                    <xdr:row>11</xdr:row>
                    <xdr:rowOff>0</xdr:rowOff>
                  </from>
                  <to>
                    <xdr:col>0</xdr:col>
                    <xdr:colOff>2371725</xdr:colOff>
                    <xdr:row>13</xdr:row>
                    <xdr:rowOff>9525</xdr:rowOff>
                  </to>
                </anchor>
              </controlPr>
            </control>
          </mc:Choice>
        </mc:AlternateContent>
        <mc:AlternateContent xmlns:mc="http://schemas.openxmlformats.org/markup-compatibility/2006">
          <mc:Choice Requires="x14">
            <control shapeId="14340" r:id="rId6" name="Button 4">
              <controlPr defaultSize="0" print="0" autoFill="0" autoPict="0" macro="[0]!DbaseClear">
                <anchor moveWithCells="1" sizeWithCells="1">
                  <from>
                    <xdr:col>0</xdr:col>
                    <xdr:colOff>1390650</xdr:colOff>
                    <xdr:row>14</xdr:row>
                    <xdr:rowOff>9525</xdr:rowOff>
                  </from>
                  <to>
                    <xdr:col>0</xdr:col>
                    <xdr:colOff>2371725</xdr:colOff>
                    <xdr:row>16</xdr:row>
                    <xdr:rowOff>19050</xdr:rowOff>
                  </to>
                </anchor>
              </controlPr>
            </control>
          </mc:Choice>
        </mc:AlternateContent>
        <mc:AlternateContent xmlns:mc="http://schemas.openxmlformats.org/markup-compatibility/2006">
          <mc:Choice Requires="x14">
            <control shapeId="14341" r:id="rId7" name="Button 5">
              <controlPr defaultSize="0" print="0" autoFill="0" autoPict="0" macro="[0]!DbaseAdd">
                <anchor moveWithCells="1" sizeWithCells="1">
                  <from>
                    <xdr:col>0</xdr:col>
                    <xdr:colOff>1390650</xdr:colOff>
                    <xdr:row>1</xdr:row>
                    <xdr:rowOff>171450</xdr:rowOff>
                  </from>
                  <to>
                    <xdr:col>0</xdr:col>
                    <xdr:colOff>2371725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U37"/>
  <sheetViews>
    <sheetView zoomScaleNormal="100" workbookViewId="0"/>
  </sheetViews>
  <sheetFormatPr defaultRowHeight="15" x14ac:dyDescent="0.25"/>
  <cols>
    <col min="1" max="10" width="11" customWidth="1"/>
  </cols>
  <sheetData>
    <row r="1" spans="1:18" x14ac:dyDescent="0.25">
      <c r="A1" s="118"/>
      <c r="B1" s="119"/>
      <c r="C1" s="119"/>
      <c r="D1" s="119"/>
      <c r="E1" s="119"/>
      <c r="F1" s="119"/>
      <c r="G1" s="119"/>
      <c r="H1" s="120"/>
      <c r="I1" s="120"/>
      <c r="J1" s="120"/>
      <c r="K1" s="121"/>
      <c r="L1" s="121"/>
      <c r="M1" s="121"/>
      <c r="N1" s="121"/>
      <c r="O1" s="121"/>
      <c r="P1" s="53" t="s">
        <v>94</v>
      </c>
    </row>
    <row r="2" spans="1:18" x14ac:dyDescent="0.25">
      <c r="A2" s="119"/>
      <c r="B2" s="118"/>
      <c r="C2" s="118"/>
      <c r="D2" s="118"/>
      <c r="E2" s="118"/>
      <c r="F2" s="118"/>
      <c r="G2" s="118"/>
      <c r="H2" s="118"/>
      <c r="I2" s="118"/>
      <c r="J2" s="118"/>
      <c r="K2" s="121"/>
      <c r="L2" s="121"/>
      <c r="M2" s="121"/>
      <c r="N2" s="121"/>
      <c r="O2" s="121"/>
    </row>
    <row r="3" spans="1:18" x14ac:dyDescent="0.25">
      <c r="A3" s="119"/>
      <c r="B3" s="118"/>
      <c r="C3" s="118"/>
      <c r="D3" s="118"/>
      <c r="E3" s="118"/>
      <c r="F3" s="118"/>
      <c r="G3" s="118"/>
      <c r="H3" s="118"/>
      <c r="I3" s="118"/>
      <c r="J3" s="118"/>
      <c r="K3" s="121"/>
      <c r="L3" s="121"/>
      <c r="M3" s="121"/>
      <c r="N3" s="121"/>
      <c r="O3" s="121"/>
    </row>
    <row r="4" spans="1:18" ht="15.75" thickBot="1" x14ac:dyDescent="0.3">
      <c r="A4" s="119"/>
      <c r="B4" s="118"/>
      <c r="C4" s="118"/>
      <c r="D4" s="118"/>
      <c r="E4" s="118"/>
      <c r="F4" s="118"/>
      <c r="G4" s="118"/>
      <c r="H4" s="118"/>
      <c r="I4" s="118"/>
      <c r="J4" s="118"/>
      <c r="K4" s="121"/>
      <c r="L4" s="121"/>
      <c r="M4" s="121"/>
      <c r="N4" s="121"/>
      <c r="O4" s="121"/>
    </row>
    <row r="5" spans="1:18" ht="15.75" thickBot="1" x14ac:dyDescent="0.3">
      <c r="A5" s="119"/>
      <c r="B5" s="118"/>
      <c r="C5" s="118"/>
      <c r="D5" s="118"/>
      <c r="E5" s="118"/>
      <c r="F5" s="118"/>
      <c r="G5" s="118"/>
      <c r="H5" s="118"/>
      <c r="I5" s="118"/>
      <c r="J5" s="118"/>
      <c r="K5" s="121"/>
      <c r="L5" s="121"/>
      <c r="M5" s="121"/>
      <c r="N5" s="121"/>
      <c r="O5" s="121"/>
      <c r="P5" s="62" t="s">
        <v>32</v>
      </c>
      <c r="Q5" s="49"/>
      <c r="R5" s="2">
        <v>1</v>
      </c>
    </row>
    <row r="6" spans="1:18" ht="15.75" thickBot="1" x14ac:dyDescent="0.3">
      <c r="A6" s="119"/>
      <c r="B6" s="118"/>
      <c r="C6" s="118"/>
      <c r="D6" s="118"/>
      <c r="E6" s="118"/>
      <c r="F6" s="118"/>
      <c r="G6" s="118"/>
      <c r="H6" s="118"/>
      <c r="I6" s="118"/>
      <c r="J6" s="118"/>
      <c r="K6" s="121"/>
      <c r="L6" s="121"/>
      <c r="M6" s="121"/>
      <c r="N6" s="121"/>
      <c r="O6" s="121"/>
      <c r="P6" s="62" t="s">
        <v>0</v>
      </c>
      <c r="Q6" s="49"/>
      <c r="R6" s="2">
        <v>1</v>
      </c>
    </row>
    <row r="7" spans="1:18" ht="15.75" thickBot="1" x14ac:dyDescent="0.3">
      <c r="A7" s="119"/>
      <c r="B7" s="118"/>
      <c r="C7" s="118"/>
      <c r="D7" s="118"/>
      <c r="E7" s="118"/>
      <c r="F7" s="118"/>
      <c r="G7" s="118"/>
      <c r="H7" s="118"/>
      <c r="I7" s="118"/>
      <c r="J7" s="118"/>
      <c r="K7" s="121"/>
      <c r="L7" s="121"/>
      <c r="M7" s="121"/>
      <c r="N7" s="121"/>
      <c r="O7" s="121"/>
      <c r="P7" s="62" t="s">
        <v>1</v>
      </c>
      <c r="Q7" s="49"/>
      <c r="R7" s="2">
        <v>1</v>
      </c>
    </row>
    <row r="8" spans="1:18" ht="15.75" thickBot="1" x14ac:dyDescent="0.3">
      <c r="A8" s="120"/>
      <c r="B8" s="118"/>
      <c r="C8" s="118"/>
      <c r="D8" s="118"/>
      <c r="E8" s="118"/>
      <c r="F8" s="118"/>
      <c r="G8" s="118"/>
      <c r="H8" s="118"/>
      <c r="I8" s="118"/>
      <c r="J8" s="118"/>
      <c r="K8" s="121"/>
      <c r="L8" s="121"/>
      <c r="M8" s="121"/>
      <c r="N8" s="121"/>
      <c r="O8" s="121"/>
      <c r="P8" s="62" t="s">
        <v>2</v>
      </c>
      <c r="Q8" s="49"/>
      <c r="R8" s="2"/>
    </row>
    <row r="9" spans="1:18" ht="15.75" thickBot="1" x14ac:dyDescent="0.3">
      <c r="A9" s="120"/>
      <c r="B9" s="118"/>
      <c r="C9" s="118"/>
      <c r="D9" s="118"/>
      <c r="E9" s="118"/>
      <c r="F9" s="118"/>
      <c r="G9" s="118"/>
      <c r="H9" s="118"/>
      <c r="I9" s="118"/>
      <c r="J9" s="118"/>
      <c r="K9" s="121"/>
      <c r="L9" s="121"/>
      <c r="M9" s="121"/>
      <c r="N9" s="121"/>
      <c r="O9" s="121"/>
      <c r="P9" s="62" t="s">
        <v>3</v>
      </c>
      <c r="Q9" s="49"/>
      <c r="R9" s="2"/>
    </row>
    <row r="10" spans="1:18" ht="15.75" thickBot="1" x14ac:dyDescent="0.3">
      <c r="A10" s="120"/>
      <c r="B10" s="118"/>
      <c r="C10" s="118"/>
      <c r="D10" s="118"/>
      <c r="E10" s="118"/>
      <c r="F10" s="118"/>
      <c r="G10" s="118"/>
      <c r="H10" s="118"/>
      <c r="I10" s="118"/>
      <c r="J10" s="118"/>
      <c r="K10" s="121"/>
      <c r="L10" s="121"/>
      <c r="M10" s="121"/>
      <c r="N10" s="121"/>
      <c r="O10" s="121"/>
      <c r="P10" s="62" t="s">
        <v>14</v>
      </c>
      <c r="Q10" s="49"/>
      <c r="R10" s="2"/>
    </row>
    <row r="11" spans="1:18" ht="15.75" thickBot="1" x14ac:dyDescent="0.3">
      <c r="A11" s="121"/>
      <c r="B11" s="121"/>
      <c r="C11" s="121"/>
      <c r="D11" s="121"/>
      <c r="E11" s="121"/>
      <c r="F11" s="121"/>
      <c r="G11" s="121"/>
      <c r="H11" s="121"/>
      <c r="I11" s="121"/>
      <c r="J11" s="121"/>
      <c r="K11" s="121"/>
      <c r="L11" s="121"/>
      <c r="M11" s="121"/>
      <c r="N11" s="121"/>
      <c r="O11" s="121"/>
      <c r="P11" s="62"/>
      <c r="Q11" s="49"/>
      <c r="R11" s="2"/>
    </row>
    <row r="12" spans="1:18" ht="15.75" thickBot="1" x14ac:dyDescent="0.3">
      <c r="A12" s="121"/>
      <c r="B12" s="121"/>
      <c r="C12" s="121"/>
      <c r="D12" s="121"/>
      <c r="E12" s="121"/>
      <c r="F12" s="121"/>
      <c r="G12" s="121"/>
      <c r="H12" s="121"/>
      <c r="I12" s="121"/>
      <c r="J12" s="121"/>
      <c r="K12" s="121"/>
      <c r="L12" s="121"/>
      <c r="M12" s="121"/>
      <c r="N12" s="121"/>
      <c r="O12" s="121"/>
      <c r="P12" s="62"/>
      <c r="Q12" s="49"/>
      <c r="R12" s="2"/>
    </row>
    <row r="13" spans="1:18" ht="15.75" thickBot="1" x14ac:dyDescent="0.3">
      <c r="A13" s="122"/>
      <c r="B13" s="121"/>
      <c r="C13" s="121"/>
      <c r="D13" s="119"/>
      <c r="E13" s="119"/>
      <c r="F13" s="123"/>
      <c r="G13" s="53" t="s">
        <v>96</v>
      </c>
      <c r="H13" s="54"/>
      <c r="I13" s="54"/>
      <c r="J13" s="54"/>
      <c r="K13" s="54"/>
      <c r="L13" s="54"/>
      <c r="M13" s="54"/>
      <c r="N13" s="54"/>
      <c r="O13" s="85"/>
      <c r="P13" s="62" t="s">
        <v>9</v>
      </c>
      <c r="Q13" s="49"/>
      <c r="R13" s="2"/>
    </row>
    <row r="14" spans="1:18" ht="15.75" thickBot="1" x14ac:dyDescent="0.3">
      <c r="A14" s="121"/>
      <c r="B14" s="121"/>
      <c r="C14" s="121"/>
      <c r="D14" s="120"/>
      <c r="E14" s="120"/>
      <c r="F14" s="121"/>
      <c r="G14" s="125" t="s">
        <v>105</v>
      </c>
      <c r="H14" s="1"/>
      <c r="I14" s="1"/>
      <c r="J14" s="87" t="s">
        <v>103</v>
      </c>
      <c r="K14" s="1"/>
      <c r="L14" s="89" t="s">
        <v>106</v>
      </c>
      <c r="M14" s="1"/>
      <c r="N14" s="1"/>
      <c r="O14" s="1"/>
      <c r="P14" s="62"/>
      <c r="Q14" s="49"/>
      <c r="R14" s="2"/>
    </row>
    <row r="15" spans="1:18" ht="15.75" thickBot="1" x14ac:dyDescent="0.3">
      <c r="A15" s="121"/>
      <c r="B15" s="121"/>
      <c r="C15" s="121"/>
      <c r="D15" s="121"/>
      <c r="E15" s="121"/>
      <c r="F15" s="121"/>
      <c r="G15" s="126" t="s">
        <v>102</v>
      </c>
      <c r="H15" s="4"/>
      <c r="I15" s="49"/>
      <c r="J15" s="2">
        <v>500</v>
      </c>
      <c r="K15" s="1"/>
      <c r="L15" s="88" t="s">
        <v>104</v>
      </c>
      <c r="M15" s="2">
        <v>200</v>
      </c>
      <c r="N15" s="2">
        <v>500</v>
      </c>
      <c r="O15" s="50" t="s">
        <v>83</v>
      </c>
      <c r="P15" s="62" t="s">
        <v>12</v>
      </c>
      <c r="Q15" s="49"/>
      <c r="R15" s="2">
        <v>1</v>
      </c>
    </row>
    <row r="16" spans="1:18" ht="15.75" thickBot="1" x14ac:dyDescent="0.3">
      <c r="A16" s="124"/>
      <c r="B16" s="121"/>
      <c r="C16" s="121"/>
      <c r="D16" s="121"/>
      <c r="E16" s="121"/>
      <c r="F16" s="121"/>
      <c r="G16" s="126" t="s">
        <v>98</v>
      </c>
      <c r="H16" s="4"/>
      <c r="I16" s="49"/>
      <c r="J16" s="2">
        <v>1.5</v>
      </c>
      <c r="K16" s="1"/>
      <c r="L16" s="1"/>
      <c r="M16" s="1"/>
      <c r="N16" s="1"/>
      <c r="O16" s="1"/>
      <c r="P16" s="62" t="s">
        <v>6</v>
      </c>
      <c r="Q16" s="49"/>
      <c r="R16" s="2">
        <v>1</v>
      </c>
    </row>
    <row r="17" spans="1:20" ht="15.75" thickBot="1" x14ac:dyDescent="0.3">
      <c r="A17" s="121"/>
      <c r="B17" s="121"/>
      <c r="C17" s="121"/>
      <c r="D17" s="121"/>
      <c r="E17" s="121"/>
      <c r="F17" s="121"/>
      <c r="G17" s="126" t="s">
        <v>99</v>
      </c>
      <c r="H17" s="4"/>
      <c r="I17" s="49"/>
      <c r="J17" s="2">
        <v>300</v>
      </c>
      <c r="K17" s="1"/>
      <c r="L17" s="1"/>
      <c r="M17" s="1"/>
      <c r="N17" s="1"/>
      <c r="O17" s="1"/>
      <c r="P17" s="62" t="s">
        <v>15</v>
      </c>
      <c r="Q17" s="49"/>
      <c r="R17" s="2"/>
    </row>
    <row r="18" spans="1:20" ht="15.75" thickBot="1" x14ac:dyDescent="0.3">
      <c r="A18" s="59"/>
      <c r="B18" s="60"/>
      <c r="C18" s="60"/>
      <c r="D18" s="60"/>
      <c r="E18" s="60"/>
      <c r="F18" s="60"/>
      <c r="G18" s="126" t="s">
        <v>100</v>
      </c>
      <c r="H18" s="4"/>
      <c r="I18" s="49"/>
      <c r="J18" s="2">
        <v>300</v>
      </c>
      <c r="K18" s="1"/>
      <c r="L18" s="1"/>
      <c r="M18" s="1"/>
      <c r="N18" s="1"/>
      <c r="O18" s="1"/>
      <c r="P18" s="62" t="s">
        <v>4</v>
      </c>
      <c r="Q18" s="49"/>
      <c r="R18" s="2">
        <v>1</v>
      </c>
    </row>
    <row r="19" spans="1:20" ht="15.75" thickBot="1" x14ac:dyDescent="0.3">
      <c r="A19" s="53" t="s">
        <v>87</v>
      </c>
      <c r="B19" s="54"/>
      <c r="C19" s="54"/>
      <c r="D19" s="54"/>
      <c r="E19" s="54"/>
      <c r="F19" s="54"/>
      <c r="G19" s="126" t="s">
        <v>101</v>
      </c>
      <c r="H19" s="4"/>
      <c r="I19" s="49"/>
      <c r="J19" s="2">
        <v>10</v>
      </c>
      <c r="K19" s="88" t="s">
        <v>110</v>
      </c>
      <c r="L19" s="2">
        <v>2</v>
      </c>
      <c r="M19" s="88" t="s">
        <v>109</v>
      </c>
      <c r="N19" s="2">
        <v>2</v>
      </c>
      <c r="O19" s="86"/>
      <c r="P19" s="62"/>
      <c r="Q19" s="49"/>
      <c r="R19" s="2"/>
    </row>
    <row r="20" spans="1:20" ht="15.75" thickBot="1" x14ac:dyDescent="0.3">
      <c r="A20" s="55"/>
      <c r="B20" s="1"/>
      <c r="C20" s="1"/>
      <c r="D20" s="1"/>
      <c r="E20" s="1"/>
      <c r="F20" s="1"/>
      <c r="G20" s="127"/>
      <c r="H20" s="1"/>
      <c r="I20" s="1"/>
      <c r="J20" s="1"/>
      <c r="K20" s="1"/>
      <c r="L20" s="1"/>
      <c r="M20" s="1"/>
      <c r="N20" s="1"/>
      <c r="O20" s="1"/>
      <c r="P20" s="62"/>
      <c r="Q20" s="49"/>
      <c r="R20" s="2"/>
    </row>
    <row r="21" spans="1:20" ht="15.75" thickBot="1" x14ac:dyDescent="0.3">
      <c r="A21" s="57" t="s">
        <v>76</v>
      </c>
      <c r="B21" s="4"/>
      <c r="C21" s="49"/>
      <c r="D21" s="2">
        <v>5</v>
      </c>
      <c r="E21" s="50" t="s">
        <v>19</v>
      </c>
      <c r="F21" s="1"/>
      <c r="G21" s="126" t="s">
        <v>88</v>
      </c>
      <c r="H21" s="4"/>
      <c r="I21" s="49"/>
      <c r="J21" s="2">
        <v>10</v>
      </c>
      <c r="K21" s="50" t="s">
        <v>19</v>
      </c>
      <c r="L21" s="1"/>
      <c r="M21" s="1"/>
      <c r="N21" s="1"/>
      <c r="O21" s="1"/>
      <c r="P21" s="62" t="s">
        <v>31</v>
      </c>
      <c r="Q21" s="49"/>
      <c r="R21" s="2"/>
    </row>
    <row r="22" spans="1:20" ht="15.75" thickBot="1" x14ac:dyDescent="0.3">
      <c r="A22" s="57" t="s">
        <v>77</v>
      </c>
      <c r="B22" s="4"/>
      <c r="C22" s="49"/>
      <c r="D22" s="2">
        <v>0.1</v>
      </c>
      <c r="E22" s="50" t="s">
        <v>82</v>
      </c>
      <c r="F22" s="1"/>
      <c r="G22" s="126" t="s">
        <v>89</v>
      </c>
      <c r="H22" s="4"/>
      <c r="I22" s="49"/>
      <c r="J22" s="105" t="s">
        <v>43</v>
      </c>
      <c r="K22" s="106"/>
      <c r="L22" s="1"/>
      <c r="M22" s="1"/>
      <c r="N22" s="1"/>
      <c r="O22" s="56"/>
      <c r="P22" s="62" t="s">
        <v>41</v>
      </c>
      <c r="Q22" s="49"/>
      <c r="R22" s="2"/>
    </row>
    <row r="23" spans="1:20" ht="15.75" thickBot="1" x14ac:dyDescent="0.3">
      <c r="A23" s="57" t="s">
        <v>78</v>
      </c>
      <c r="B23" s="4"/>
      <c r="C23" s="49"/>
      <c r="D23" s="2">
        <v>5</v>
      </c>
      <c r="E23" s="50" t="s">
        <v>83</v>
      </c>
      <c r="F23" s="1"/>
      <c r="G23" s="127"/>
      <c r="L23" s="41"/>
      <c r="M23" s="1"/>
      <c r="N23" s="1"/>
      <c r="O23" s="56"/>
      <c r="P23" s="62" t="s">
        <v>48</v>
      </c>
      <c r="Q23" s="49"/>
      <c r="R23" s="2"/>
    </row>
    <row r="24" spans="1:20" ht="15.75" thickBot="1" x14ac:dyDescent="0.3">
      <c r="A24" s="58"/>
      <c r="B24" s="1"/>
      <c r="C24" s="1"/>
      <c r="D24" s="1"/>
      <c r="E24" s="50"/>
      <c r="F24" s="1"/>
      <c r="G24" s="128"/>
      <c r="H24" s="121"/>
      <c r="I24" s="121"/>
      <c r="J24" s="120"/>
      <c r="K24" s="1"/>
      <c r="L24" s="1"/>
      <c r="M24" s="1"/>
      <c r="N24" s="1"/>
      <c r="O24" s="56"/>
    </row>
    <row r="25" spans="1:20" ht="15.75" thickBot="1" x14ac:dyDescent="0.3">
      <c r="A25" s="57" t="s">
        <v>79</v>
      </c>
      <c r="B25" s="4"/>
      <c r="C25" s="49"/>
      <c r="D25" s="2">
        <v>5</v>
      </c>
      <c r="E25" s="50" t="s">
        <v>19</v>
      </c>
      <c r="F25" s="1"/>
      <c r="G25" s="128"/>
      <c r="H25" s="121"/>
      <c r="I25" s="121"/>
      <c r="J25" s="120"/>
      <c r="K25" s="41"/>
      <c r="L25" s="50"/>
      <c r="M25" s="1"/>
      <c r="N25" s="1"/>
      <c r="O25" s="1"/>
      <c r="P25" s="94" t="s">
        <v>128</v>
      </c>
    </row>
    <row r="26" spans="1:20" ht="15.75" thickBot="1" x14ac:dyDescent="0.3">
      <c r="A26" s="57" t="s">
        <v>80</v>
      </c>
      <c r="B26" s="4"/>
      <c r="C26" s="49"/>
      <c r="D26" s="2">
        <v>0.1</v>
      </c>
      <c r="E26" s="50" t="s">
        <v>82</v>
      </c>
      <c r="F26" s="1"/>
      <c r="G26" s="128"/>
      <c r="H26" s="121"/>
      <c r="I26" s="121"/>
      <c r="J26" s="120"/>
      <c r="K26" s="1"/>
      <c r="L26" s="1"/>
      <c r="M26" s="1"/>
      <c r="N26" s="1"/>
      <c r="O26" s="56"/>
    </row>
    <row r="27" spans="1:20" ht="15.75" thickBot="1" x14ac:dyDescent="0.3">
      <c r="A27" s="57" t="s">
        <v>81</v>
      </c>
      <c r="B27" s="4"/>
      <c r="C27" s="49"/>
      <c r="D27" s="2">
        <v>5</v>
      </c>
      <c r="E27" s="50" t="s">
        <v>83</v>
      </c>
      <c r="F27" s="1"/>
      <c r="G27" s="129"/>
      <c r="H27" s="121"/>
      <c r="I27" s="121"/>
      <c r="J27" s="121"/>
      <c r="K27" s="1"/>
      <c r="L27" s="1"/>
      <c r="M27" s="1"/>
      <c r="N27" s="1"/>
      <c r="O27" s="1"/>
      <c r="P27" s="115" t="s">
        <v>117</v>
      </c>
      <c r="Q27" s="116"/>
      <c r="R27" s="2">
        <v>100</v>
      </c>
      <c r="T27" t="s">
        <v>118</v>
      </c>
    </row>
    <row r="28" spans="1:20" ht="15.75" thickBot="1" x14ac:dyDescent="0.3">
      <c r="A28" s="57" t="s">
        <v>84</v>
      </c>
      <c r="B28" s="4"/>
      <c r="C28" s="49"/>
      <c r="D28" s="2">
        <v>1</v>
      </c>
      <c r="E28" s="50"/>
      <c r="F28" s="1"/>
      <c r="G28" s="62" t="s">
        <v>107</v>
      </c>
      <c r="H28" s="4"/>
      <c r="I28" s="49"/>
      <c r="J28" s="2">
        <v>1</v>
      </c>
      <c r="K28" s="50" t="s">
        <v>108</v>
      </c>
      <c r="L28" s="1"/>
      <c r="M28" s="1"/>
      <c r="N28" s="1"/>
      <c r="O28" s="1"/>
      <c r="P28" s="115" t="s">
        <v>1</v>
      </c>
      <c r="Q28" s="116"/>
      <c r="R28" s="2">
        <v>0</v>
      </c>
      <c r="T28" t="s">
        <v>119</v>
      </c>
    </row>
    <row r="29" spans="1:20" ht="15.75" thickBot="1" x14ac:dyDescent="0.3">
      <c r="A29" s="57" t="s">
        <v>85</v>
      </c>
      <c r="B29" s="4"/>
      <c r="C29" s="49"/>
      <c r="D29" s="2">
        <v>1</v>
      </c>
      <c r="E29" s="50"/>
      <c r="F29" s="1"/>
      <c r="G29" s="55"/>
      <c r="K29" s="1"/>
      <c r="L29" s="1"/>
      <c r="M29" s="1"/>
      <c r="N29" s="1"/>
      <c r="O29" s="1"/>
      <c r="P29" s="115" t="s">
        <v>120</v>
      </c>
      <c r="Q29" s="116"/>
      <c r="R29" s="2">
        <v>0</v>
      </c>
      <c r="S29" t="s">
        <v>19</v>
      </c>
      <c r="T29" t="s">
        <v>121</v>
      </c>
    </row>
    <row r="30" spans="1:20" ht="15.75" thickBot="1" x14ac:dyDescent="0.3">
      <c r="A30" s="58"/>
      <c r="B30" s="1"/>
      <c r="C30" s="1"/>
      <c r="D30" s="1"/>
      <c r="E30" s="50"/>
      <c r="F30" s="1"/>
      <c r="G30" s="62" t="s">
        <v>129</v>
      </c>
      <c r="H30" s="4"/>
      <c r="I30" s="49"/>
      <c r="J30" s="2">
        <v>100</v>
      </c>
      <c r="K30" s="1"/>
      <c r="L30" s="1"/>
      <c r="M30" s="1"/>
      <c r="N30" s="1"/>
      <c r="O30" s="1"/>
      <c r="P30" s="115" t="s">
        <v>31</v>
      </c>
      <c r="Q30" s="116"/>
      <c r="R30" s="2">
        <v>0</v>
      </c>
      <c r="T30" t="s">
        <v>122</v>
      </c>
    </row>
    <row r="31" spans="1:20" ht="15.75" thickBot="1" x14ac:dyDescent="0.3">
      <c r="A31" s="50"/>
      <c r="B31" s="1"/>
      <c r="C31" s="1"/>
      <c r="D31" s="41"/>
      <c r="E31" s="50"/>
      <c r="F31" s="56"/>
      <c r="G31" s="55"/>
      <c r="H31" s="1"/>
      <c r="I31" s="1"/>
      <c r="J31" s="1"/>
      <c r="K31" s="1"/>
      <c r="L31" s="1"/>
      <c r="M31" s="1"/>
      <c r="N31" s="1"/>
      <c r="O31" s="1"/>
      <c r="P31" s="113" t="s">
        <v>41</v>
      </c>
      <c r="Q31" s="114"/>
      <c r="R31" s="2">
        <v>0</v>
      </c>
      <c r="S31" t="s">
        <v>19</v>
      </c>
      <c r="T31" t="s">
        <v>123</v>
      </c>
    </row>
    <row r="32" spans="1:20" ht="15.75" thickBot="1" x14ac:dyDescent="0.3">
      <c r="A32" s="50"/>
      <c r="B32" s="1"/>
      <c r="C32" s="1"/>
      <c r="D32" s="41"/>
      <c r="E32" s="50"/>
      <c r="F32" s="56"/>
      <c r="G32" s="55"/>
      <c r="H32" s="1"/>
      <c r="I32" s="1"/>
      <c r="J32" s="1"/>
      <c r="K32" s="1"/>
      <c r="L32" s="1"/>
      <c r="M32" s="1"/>
      <c r="N32" s="1"/>
      <c r="O32" s="1"/>
      <c r="P32" s="113" t="s">
        <v>124</v>
      </c>
      <c r="Q32" s="114"/>
      <c r="R32" s="95">
        <v>0.5</v>
      </c>
      <c r="S32" t="s">
        <v>108</v>
      </c>
      <c r="T32" t="s">
        <v>125</v>
      </c>
    </row>
    <row r="33" spans="1:21" ht="15.75" thickBot="1" x14ac:dyDescent="0.3">
      <c r="A33" s="50"/>
      <c r="B33" s="1"/>
      <c r="C33" s="1"/>
      <c r="D33" s="41"/>
      <c r="E33" s="50"/>
      <c r="F33" s="56"/>
      <c r="G33" s="55"/>
      <c r="H33" s="1"/>
      <c r="I33" s="1"/>
      <c r="J33" s="1"/>
      <c r="K33" s="1"/>
      <c r="L33" s="1"/>
      <c r="M33" s="1"/>
      <c r="N33" s="1"/>
      <c r="O33" s="1"/>
      <c r="P33" s="113" t="s">
        <v>126</v>
      </c>
      <c r="Q33" s="114"/>
      <c r="R33" s="96">
        <v>14</v>
      </c>
      <c r="S33" t="s">
        <v>108</v>
      </c>
      <c r="T33" t="s">
        <v>127</v>
      </c>
    </row>
    <row r="34" spans="1:21" ht="8.25" customHeight="1" x14ac:dyDescent="0.25">
      <c r="A34" s="55"/>
      <c r="B34" s="1"/>
      <c r="C34" s="1"/>
      <c r="D34" s="1"/>
      <c r="E34" s="1"/>
      <c r="F34" s="56"/>
      <c r="G34" s="55"/>
      <c r="H34" s="1"/>
      <c r="I34" s="1"/>
      <c r="J34" s="1"/>
      <c r="K34" s="1"/>
      <c r="L34" s="1"/>
      <c r="M34" s="1"/>
      <c r="N34" s="1"/>
      <c r="O34" s="56"/>
    </row>
    <row r="35" spans="1:21" ht="15.75" thickBot="1" x14ac:dyDescent="0.3">
      <c r="A35" s="55"/>
      <c r="B35" s="1"/>
      <c r="C35" s="1"/>
      <c r="D35" s="1"/>
      <c r="E35" s="1"/>
      <c r="F35" s="56"/>
      <c r="G35" s="55"/>
      <c r="H35" s="1"/>
      <c r="I35" s="1"/>
      <c r="J35" s="1"/>
      <c r="K35" s="1"/>
      <c r="L35" s="1"/>
      <c r="M35" s="1"/>
      <c r="N35" s="1"/>
      <c r="O35" s="56"/>
      <c r="P35" s="94" t="s">
        <v>131</v>
      </c>
      <c r="T35" s="103" t="s">
        <v>132</v>
      </c>
    </row>
    <row r="36" spans="1:21" x14ac:dyDescent="0.25">
      <c r="A36" s="55"/>
      <c r="B36" s="1"/>
      <c r="C36" s="1"/>
      <c r="D36" s="1"/>
      <c r="E36" s="1"/>
      <c r="F36" s="56"/>
      <c r="G36" s="55"/>
      <c r="H36" s="1"/>
      <c r="I36" s="1"/>
      <c r="J36" s="1"/>
      <c r="K36" s="1"/>
      <c r="L36" s="1"/>
      <c r="M36" s="1"/>
      <c r="N36" s="1"/>
      <c r="O36" s="1"/>
      <c r="P36" s="97"/>
      <c r="Q36" s="98"/>
      <c r="R36" s="99"/>
      <c r="T36" s="97"/>
      <c r="U36" s="99"/>
    </row>
    <row r="37" spans="1:21" ht="15.75" thickBot="1" x14ac:dyDescent="0.3">
      <c r="A37" s="59"/>
      <c r="B37" s="60"/>
      <c r="C37" s="60"/>
      <c r="D37" s="60"/>
      <c r="E37" s="60"/>
      <c r="F37" s="61"/>
      <c r="G37" s="59"/>
      <c r="H37" s="60"/>
      <c r="I37" s="60"/>
      <c r="J37" s="60"/>
      <c r="K37" s="60"/>
      <c r="L37" s="60"/>
      <c r="M37" s="60"/>
      <c r="N37" s="60"/>
      <c r="O37" s="60"/>
      <c r="P37" s="100"/>
      <c r="Q37" s="101"/>
      <c r="R37" s="102"/>
      <c r="T37" s="100"/>
      <c r="U37" s="102"/>
    </row>
  </sheetData>
  <mergeCells count="8">
    <mergeCell ref="P31:Q31"/>
    <mergeCell ref="P32:Q32"/>
    <mergeCell ref="P33:Q33"/>
    <mergeCell ref="J22:K22"/>
    <mergeCell ref="P27:Q27"/>
    <mergeCell ref="P28:Q28"/>
    <mergeCell ref="P29:Q29"/>
    <mergeCell ref="P30:Q30"/>
  </mergeCells>
  <dataValidations disablePrompts="1" count="1">
    <dataValidation allowBlank="1" showInputMessage="1" sqref="L23" xr:uid="{00000000-0002-0000-07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UpdatePeakLabels_Peaksheet">
                <anchor moveWithCells="1" sizeWithCells="1">
                  <from>
                    <xdr:col>0</xdr:col>
                    <xdr:colOff>114300</xdr:colOff>
                    <xdr:row>34</xdr:row>
                    <xdr:rowOff>28575</xdr:rowOff>
                  </from>
                  <to>
                    <xdr:col>1</xdr:col>
                    <xdr:colOff>600075</xdr:colOff>
                    <xdr:row>35</xdr:row>
                    <xdr:rowOff>161925</xdr:rowOff>
                  </to>
                </anchor>
              </controlPr>
            </control>
          </mc:Choice>
        </mc:AlternateContent>
        <mc:AlternateContent xmlns:mc="http://schemas.openxmlformats.org/markup-compatibility/2006">
          <mc:Choice Requires="x14">
            <control shapeId="2052" r:id="rId5" name="Check Box 4">
              <controlPr defaultSize="0" autoFill="0" autoLine="0" autoPict="0">
                <anchor moveWithCells="1">
                  <from>
                    <xdr:col>11</xdr:col>
                    <xdr:colOff>9525</xdr:colOff>
                    <xdr:row>20</xdr:row>
                    <xdr:rowOff>0</xdr:rowOff>
                  </from>
                  <to>
                    <xdr:col>13</xdr:col>
                    <xdr:colOff>581025</xdr:colOff>
                    <xdr:row>21</xdr:row>
                    <xdr:rowOff>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11</xdr:col>
                    <xdr:colOff>0</xdr:colOff>
                    <xdr:row>23</xdr:row>
                    <xdr:rowOff>9525</xdr:rowOff>
                  </from>
                  <to>
                    <xdr:col>13</xdr:col>
                    <xdr:colOff>600075</xdr:colOff>
                    <xdr:row>24</xdr:row>
                    <xdr:rowOff>9525</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11</xdr:col>
                    <xdr:colOff>0</xdr:colOff>
                    <xdr:row>24</xdr:row>
                    <xdr:rowOff>9525</xdr:rowOff>
                  </from>
                  <to>
                    <xdr:col>13</xdr:col>
                    <xdr:colOff>600075</xdr:colOff>
                    <xdr:row>25</xdr:row>
                    <xdr:rowOff>9525</xdr:rowOff>
                  </to>
                </anchor>
              </controlPr>
            </control>
          </mc:Choice>
        </mc:AlternateContent>
        <mc:AlternateContent xmlns:mc="http://schemas.openxmlformats.org/markup-compatibility/2006">
          <mc:Choice Requires="x14">
            <control shapeId="2055" r:id="rId8" name="Check Box 7">
              <controlPr defaultSize="0" autoFill="0" autoLine="0" autoPict="0">
                <anchor moveWithCells="1">
                  <from>
                    <xdr:col>15</xdr:col>
                    <xdr:colOff>28575</xdr:colOff>
                    <xdr:row>1</xdr:row>
                    <xdr:rowOff>180975</xdr:rowOff>
                  </from>
                  <to>
                    <xdr:col>17</xdr:col>
                    <xdr:colOff>600075</xdr:colOff>
                    <xdr:row>3</xdr:row>
                    <xdr:rowOff>0</xdr:rowOff>
                  </to>
                </anchor>
              </controlPr>
            </control>
          </mc:Choice>
        </mc:AlternateContent>
        <mc:AlternateContent xmlns:mc="http://schemas.openxmlformats.org/markup-compatibility/2006">
          <mc:Choice Requires="x14">
            <control shapeId="2056" r:id="rId9" name="Option Button 8">
              <controlPr defaultSize="0" autoFill="0" autoLine="0" autoPict="0">
                <anchor moveWithCells="1">
                  <from>
                    <xdr:col>8</xdr:col>
                    <xdr:colOff>247650</xdr:colOff>
                    <xdr:row>14</xdr:row>
                    <xdr:rowOff>0</xdr:rowOff>
                  </from>
                  <to>
                    <xdr:col>8</xdr:col>
                    <xdr:colOff>466725</xdr:colOff>
                    <xdr:row>15</xdr:row>
                    <xdr:rowOff>0</xdr:rowOff>
                  </to>
                </anchor>
              </controlPr>
            </control>
          </mc:Choice>
        </mc:AlternateContent>
        <mc:AlternateContent xmlns:mc="http://schemas.openxmlformats.org/markup-compatibility/2006">
          <mc:Choice Requires="x14">
            <control shapeId="2057" r:id="rId10" name="Option Button 9">
              <controlPr defaultSize="0" autoFill="0" autoLine="0" autoPict="0">
                <anchor moveWithCells="1">
                  <from>
                    <xdr:col>8</xdr:col>
                    <xdr:colOff>247650</xdr:colOff>
                    <xdr:row>15</xdr:row>
                    <xdr:rowOff>0</xdr:rowOff>
                  </from>
                  <to>
                    <xdr:col>8</xdr:col>
                    <xdr:colOff>466725</xdr:colOff>
                    <xdr:row>16</xdr:row>
                    <xdr:rowOff>0</xdr:rowOff>
                  </to>
                </anchor>
              </controlPr>
            </control>
          </mc:Choice>
        </mc:AlternateContent>
        <mc:AlternateContent xmlns:mc="http://schemas.openxmlformats.org/markup-compatibility/2006">
          <mc:Choice Requires="x14">
            <control shapeId="2058" r:id="rId11" name="Option Button 10">
              <controlPr defaultSize="0" autoFill="0" autoLine="0" autoPict="0">
                <anchor moveWithCells="1">
                  <from>
                    <xdr:col>8</xdr:col>
                    <xdr:colOff>247650</xdr:colOff>
                    <xdr:row>15</xdr:row>
                    <xdr:rowOff>190500</xdr:rowOff>
                  </from>
                  <to>
                    <xdr:col>8</xdr:col>
                    <xdr:colOff>466725</xdr:colOff>
                    <xdr:row>16</xdr:row>
                    <xdr:rowOff>190500</xdr:rowOff>
                  </to>
                </anchor>
              </controlPr>
            </control>
          </mc:Choice>
        </mc:AlternateContent>
        <mc:AlternateContent xmlns:mc="http://schemas.openxmlformats.org/markup-compatibility/2006">
          <mc:Choice Requires="x14">
            <control shapeId="2059" r:id="rId12" name="Option Button 11">
              <controlPr defaultSize="0" autoFill="0" autoLine="0" autoPict="0">
                <anchor moveWithCells="1">
                  <from>
                    <xdr:col>8</xdr:col>
                    <xdr:colOff>247650</xdr:colOff>
                    <xdr:row>16</xdr:row>
                    <xdr:rowOff>180975</xdr:rowOff>
                  </from>
                  <to>
                    <xdr:col>8</xdr:col>
                    <xdr:colOff>466725</xdr:colOff>
                    <xdr:row>17</xdr:row>
                    <xdr:rowOff>180975</xdr:rowOff>
                  </to>
                </anchor>
              </controlPr>
            </control>
          </mc:Choice>
        </mc:AlternateContent>
        <mc:AlternateContent xmlns:mc="http://schemas.openxmlformats.org/markup-compatibility/2006">
          <mc:Choice Requires="x14">
            <control shapeId="2060" r:id="rId13" name="Option Button 12">
              <controlPr defaultSize="0" autoFill="0" autoLine="0" autoPict="0">
                <anchor moveWithCells="1">
                  <from>
                    <xdr:col>8</xdr:col>
                    <xdr:colOff>247650</xdr:colOff>
                    <xdr:row>17</xdr:row>
                    <xdr:rowOff>190500</xdr:rowOff>
                  </from>
                  <to>
                    <xdr:col>8</xdr:col>
                    <xdr:colOff>466725</xdr:colOff>
                    <xdr:row>18</xdr:row>
                    <xdr:rowOff>190500</xdr:rowOff>
                  </to>
                </anchor>
              </controlPr>
            </control>
          </mc:Choice>
        </mc:AlternateContent>
        <mc:AlternateContent xmlns:mc="http://schemas.openxmlformats.org/markup-compatibility/2006">
          <mc:Choice Requires="x14">
            <control shapeId="2061" r:id="rId14" name="Check Box 13">
              <controlPr defaultSize="0" autoFill="0" autoLine="0" autoPict="0">
                <anchor moveWithCells="1">
                  <from>
                    <xdr:col>11</xdr:col>
                    <xdr:colOff>0</xdr:colOff>
                    <xdr:row>25</xdr:row>
                    <xdr:rowOff>9525</xdr:rowOff>
                  </from>
                  <to>
                    <xdr:col>14</xdr:col>
                    <xdr:colOff>276225</xdr:colOff>
                    <xdr:row>26</xdr:row>
                    <xdr:rowOff>19050</xdr:rowOff>
                  </to>
                </anchor>
              </controlPr>
            </control>
          </mc:Choice>
        </mc:AlternateContent>
        <mc:AlternateContent xmlns:mc="http://schemas.openxmlformats.org/markup-compatibility/2006">
          <mc:Choice Requires="x14">
            <control shapeId="2063" r:id="rId15" name="Check Box 15">
              <controlPr defaultSize="0" autoFill="0" autoLine="0" autoPict="0">
                <anchor moveWithCells="1">
                  <from>
                    <xdr:col>11</xdr:col>
                    <xdr:colOff>0</xdr:colOff>
                    <xdr:row>26</xdr:row>
                    <xdr:rowOff>190500</xdr:rowOff>
                  </from>
                  <to>
                    <xdr:col>14</xdr:col>
                    <xdr:colOff>38100</xdr:colOff>
                    <xdr:row>28</xdr:row>
                    <xdr:rowOff>0</xdr:rowOff>
                  </to>
                </anchor>
              </controlPr>
            </control>
          </mc:Choice>
        </mc:AlternateContent>
        <mc:AlternateContent xmlns:mc="http://schemas.openxmlformats.org/markup-compatibility/2006">
          <mc:Choice Requires="x14">
            <control shapeId="2064" r:id="rId16" name="Check Box 16">
              <controlPr defaultSize="0" autoFill="0" autoLine="0" autoPict="0">
                <anchor moveWithCells="1">
                  <from>
                    <xdr:col>11</xdr:col>
                    <xdr:colOff>0</xdr:colOff>
                    <xdr:row>27</xdr:row>
                    <xdr:rowOff>190500</xdr:rowOff>
                  </from>
                  <to>
                    <xdr:col>14</xdr:col>
                    <xdr:colOff>38100</xdr:colOff>
                    <xdr:row>29</xdr:row>
                    <xdr:rowOff>0</xdr:rowOff>
                  </to>
                </anchor>
              </controlPr>
            </control>
          </mc:Choice>
        </mc:AlternateContent>
        <mc:AlternateContent xmlns:mc="http://schemas.openxmlformats.org/markup-compatibility/2006">
          <mc:Choice Requires="x14">
            <control shapeId="2065" r:id="rId17" name="Check Box 17">
              <controlPr defaultSize="0" autoFill="0" autoLine="0" autoPict="0">
                <anchor moveWithCells="1">
                  <from>
                    <xdr:col>11</xdr:col>
                    <xdr:colOff>9525</xdr:colOff>
                    <xdr:row>16</xdr:row>
                    <xdr:rowOff>104775</xdr:rowOff>
                  </from>
                  <to>
                    <xdr:col>14</xdr:col>
                    <xdr:colOff>285750</xdr:colOff>
                    <xdr:row>17</xdr:row>
                    <xdr:rowOff>114300</xdr:rowOff>
                  </to>
                </anchor>
              </controlPr>
            </control>
          </mc:Choice>
        </mc:AlternateContent>
        <mc:AlternateContent xmlns:mc="http://schemas.openxmlformats.org/markup-compatibility/2006">
          <mc:Choice Requires="x14">
            <control shapeId="2066" r:id="rId18" name="Check Box 18">
              <controlPr defaultSize="0" autoFill="0" autoLine="0" autoPict="0">
                <anchor moveWithCells="1">
                  <from>
                    <xdr:col>11</xdr:col>
                    <xdr:colOff>9525</xdr:colOff>
                    <xdr:row>15</xdr:row>
                    <xdr:rowOff>85725</xdr:rowOff>
                  </from>
                  <to>
                    <xdr:col>14</xdr:col>
                    <xdr:colOff>285750</xdr:colOff>
                    <xdr:row>16</xdr:row>
                    <xdr:rowOff>95250</xdr:rowOff>
                  </to>
                </anchor>
              </controlPr>
            </control>
          </mc:Choice>
        </mc:AlternateContent>
        <mc:AlternateContent xmlns:mc="http://schemas.openxmlformats.org/markup-compatibility/2006">
          <mc:Choice Requires="x14">
            <control shapeId="2067" r:id="rId19" name="Check Box 19">
              <controlPr defaultSize="0" autoFill="0" autoLine="0" autoPict="0">
                <anchor moveWithCells="1">
                  <from>
                    <xdr:col>15</xdr:col>
                    <xdr:colOff>9525</xdr:colOff>
                    <xdr:row>24</xdr:row>
                    <xdr:rowOff>180975</xdr:rowOff>
                  </from>
                  <to>
                    <xdr:col>17</xdr:col>
                    <xdr:colOff>581025</xdr:colOff>
                    <xdr:row>25</xdr:row>
                    <xdr:rowOff>180975</xdr:rowOff>
                  </to>
                </anchor>
              </controlPr>
            </control>
          </mc:Choice>
        </mc:AlternateContent>
        <mc:AlternateContent xmlns:mc="http://schemas.openxmlformats.org/markup-compatibility/2006">
          <mc:Choice Requires="x14">
            <control shapeId="2068" r:id="rId20" name="Option Button 20">
              <controlPr defaultSize="0" autoFill="0" autoLine="0" autoPict="0">
                <anchor moveWithCells="1" sizeWithCells="1">
                  <from>
                    <xdr:col>19</xdr:col>
                    <xdr:colOff>9525</xdr:colOff>
                    <xdr:row>35</xdr:row>
                    <xdr:rowOff>19050</xdr:rowOff>
                  </from>
                  <to>
                    <xdr:col>20</xdr:col>
                    <xdr:colOff>581025</xdr:colOff>
                    <xdr:row>35</xdr:row>
                    <xdr:rowOff>180975</xdr:rowOff>
                  </to>
                </anchor>
              </controlPr>
            </control>
          </mc:Choice>
        </mc:AlternateContent>
        <mc:AlternateContent xmlns:mc="http://schemas.openxmlformats.org/markup-compatibility/2006">
          <mc:Choice Requires="x14">
            <control shapeId="2069" r:id="rId21" name="Option Button 21">
              <controlPr defaultSize="0" autoFill="0" autoLine="0" autoPict="0">
                <anchor moveWithCells="1" sizeWithCells="1">
                  <from>
                    <xdr:col>19</xdr:col>
                    <xdr:colOff>9525</xdr:colOff>
                    <xdr:row>36</xdr:row>
                    <xdr:rowOff>19050</xdr:rowOff>
                  </from>
                  <to>
                    <xdr:col>20</xdr:col>
                    <xdr:colOff>600075</xdr:colOff>
                    <xdr:row>36</xdr:row>
                    <xdr:rowOff>171450</xdr:rowOff>
                  </to>
                </anchor>
              </controlPr>
            </control>
          </mc:Choice>
        </mc:AlternateContent>
        <mc:AlternateContent xmlns:mc="http://schemas.openxmlformats.org/markup-compatibility/2006">
          <mc:Choice Requires="x14">
            <control shapeId="2070" r:id="rId22" name="Check Box 22">
              <controlPr defaultSize="0" autoFill="0" autoLine="0" autoPict="0">
                <anchor moveWithCells="1" sizeWithCells="1">
                  <from>
                    <xdr:col>15</xdr:col>
                    <xdr:colOff>9525</xdr:colOff>
                    <xdr:row>35</xdr:row>
                    <xdr:rowOff>9525</xdr:rowOff>
                  </from>
                  <to>
                    <xdr:col>16</xdr:col>
                    <xdr:colOff>371475</xdr:colOff>
                    <xdr:row>35</xdr:row>
                    <xdr:rowOff>180975</xdr:rowOff>
                  </to>
                </anchor>
              </controlPr>
            </control>
          </mc:Choice>
        </mc:AlternateContent>
        <mc:AlternateContent xmlns:mc="http://schemas.openxmlformats.org/markup-compatibility/2006">
          <mc:Choice Requires="x14">
            <control shapeId="2071" r:id="rId23" name="Check Box 23">
              <controlPr defaultSize="0" autoFill="0" autoLine="0" autoPict="0">
                <anchor moveWithCells="1" sizeWithCells="1">
                  <from>
                    <xdr:col>15</xdr:col>
                    <xdr:colOff>9525</xdr:colOff>
                    <xdr:row>36</xdr:row>
                    <xdr:rowOff>9525</xdr:rowOff>
                  </from>
                  <to>
                    <xdr:col>16</xdr:col>
                    <xdr:colOff>371475</xdr:colOff>
                    <xdr:row>36</xdr:row>
                    <xdr:rowOff>180975</xdr:rowOff>
                  </to>
                </anchor>
              </controlPr>
            </control>
          </mc:Choice>
        </mc:AlternateContent>
        <mc:AlternateContent xmlns:mc="http://schemas.openxmlformats.org/markup-compatibility/2006">
          <mc:Choice Requires="x14">
            <control shapeId="2072" r:id="rId24" name="Check Box 24">
              <controlPr defaultSize="0" autoFill="0" autoLine="0" autoPict="0">
                <anchor moveWithCells="1" sizeWithCells="1">
                  <from>
                    <xdr:col>16</xdr:col>
                    <xdr:colOff>381000</xdr:colOff>
                    <xdr:row>35</xdr:row>
                    <xdr:rowOff>9525</xdr:rowOff>
                  </from>
                  <to>
                    <xdr:col>17</xdr:col>
                    <xdr:colOff>590550</xdr:colOff>
                    <xdr:row>35</xdr:row>
                    <xdr:rowOff>180975</xdr:rowOff>
                  </to>
                </anchor>
              </controlPr>
            </control>
          </mc:Choice>
        </mc:AlternateContent>
        <mc:AlternateContent xmlns:mc="http://schemas.openxmlformats.org/markup-compatibility/2006">
          <mc:Choice Requires="x14">
            <control shapeId="2073" r:id="rId25" name="Check Box 25">
              <controlPr defaultSize="0" autoFill="0" autoLine="0" autoPict="0">
                <anchor moveWithCells="1" sizeWithCells="1">
                  <from>
                    <xdr:col>16</xdr:col>
                    <xdr:colOff>381000</xdr:colOff>
                    <xdr:row>36</xdr:row>
                    <xdr:rowOff>9525</xdr:rowOff>
                  </from>
                  <to>
                    <xdr:col>17</xdr:col>
                    <xdr:colOff>590550</xdr:colOff>
                    <xdr:row>36</xdr:row>
                    <xdr:rowOff>171450</xdr:rowOff>
                  </to>
                </anchor>
              </controlPr>
            </control>
          </mc:Choice>
        </mc:AlternateContent>
        <mc:AlternateContent xmlns:mc="http://schemas.openxmlformats.org/markup-compatibility/2006">
          <mc:Choice Requires="x14">
            <control shapeId="2074" r:id="rId26" name="Group Box 26">
              <controlPr defaultSize="0" autoFill="0" autoPict="0">
                <anchor moveWithCells="1">
                  <from>
                    <xdr:col>18</xdr:col>
                    <xdr:colOff>600075</xdr:colOff>
                    <xdr:row>35</xdr:row>
                    <xdr:rowOff>0</xdr:rowOff>
                  </from>
                  <to>
                    <xdr:col>20</xdr:col>
                    <xdr:colOff>600075</xdr:colOff>
                    <xdr:row>36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xr:uid="{00000000-0002-0000-0700-000001000000}">
          <x14:formula1>
            <xm:f>Summary!$K$2:$K$29</xm:f>
          </x14:formula1>
          <xm:sqref>J22:K22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H227"/>
  <sheetViews>
    <sheetView workbookViewId="0"/>
  </sheetViews>
  <sheetFormatPr defaultRowHeight="15" x14ac:dyDescent="0.25"/>
  <sheetData>
    <row r="1" spans="1:8" x14ac:dyDescent="0.25">
      <c r="A1" t="s">
        <v>137</v>
      </c>
      <c r="B1">
        <v>1</v>
      </c>
      <c r="C1">
        <v>2</v>
      </c>
      <c r="D1">
        <v>3</v>
      </c>
      <c r="E1">
        <v>4</v>
      </c>
      <c r="F1">
        <v>5</v>
      </c>
      <c r="G1">
        <v>6</v>
      </c>
      <c r="H1">
        <v>7</v>
      </c>
    </row>
    <row r="2" spans="1:8" x14ac:dyDescent="0.25">
      <c r="A2">
        <v>190</v>
      </c>
      <c r="B2">
        <v>1.8592649999999999</v>
      </c>
      <c r="C2">
        <v>6.3350960000000001</v>
      </c>
      <c r="D2">
        <v>2.0987499999999999</v>
      </c>
      <c r="E2">
        <v>0.83504500000000004</v>
      </c>
      <c r="F2">
        <v>7.4056240000000004</v>
      </c>
      <c r="G2">
        <v>11.816077999999999</v>
      </c>
      <c r="H2">
        <v>58.431378000000002</v>
      </c>
    </row>
    <row r="3" spans="1:8" x14ac:dyDescent="0.25">
      <c r="A3">
        <v>192</v>
      </c>
      <c r="B3">
        <v>1.9749620000000001</v>
      </c>
      <c r="C3">
        <v>5.4417629999999999</v>
      </c>
      <c r="D3">
        <v>2.0655139999999999</v>
      </c>
      <c r="E3">
        <v>0.97047300000000003</v>
      </c>
      <c r="F3">
        <v>7.427308</v>
      </c>
      <c r="G3">
        <v>11.865657000000001</v>
      </c>
      <c r="H3">
        <v>50.719275000000003</v>
      </c>
    </row>
    <row r="4" spans="1:8" x14ac:dyDescent="0.25">
      <c r="A4">
        <v>194</v>
      </c>
      <c r="B4">
        <v>2.1249549999999999</v>
      </c>
      <c r="C4">
        <v>4.6372419999999996</v>
      </c>
      <c r="D4">
        <v>1.9393100000000001</v>
      </c>
      <c r="E4">
        <v>1.0142059999999999</v>
      </c>
      <c r="F4">
        <v>7.3047719999999998</v>
      </c>
      <c r="G4">
        <v>11.600612999999999</v>
      </c>
      <c r="H4">
        <v>42.513652999999998</v>
      </c>
    </row>
    <row r="5" spans="1:8" x14ac:dyDescent="0.25">
      <c r="A5">
        <v>196</v>
      </c>
      <c r="B5">
        <v>2.2866569999999999</v>
      </c>
      <c r="C5">
        <v>3.9720939999999998</v>
      </c>
      <c r="D5">
        <v>1.8236019999999999</v>
      </c>
      <c r="E5">
        <v>1.034332</v>
      </c>
      <c r="F5">
        <v>7.1140949999999998</v>
      </c>
      <c r="G5">
        <v>11.206818</v>
      </c>
      <c r="H5">
        <v>34.902242000000001</v>
      </c>
    </row>
    <row r="6" spans="1:8" x14ac:dyDescent="0.25">
      <c r="A6">
        <v>198</v>
      </c>
      <c r="B6">
        <v>2.434701</v>
      </c>
      <c r="C6">
        <v>3.4606669999999999</v>
      </c>
      <c r="D6">
        <v>1.719705</v>
      </c>
      <c r="E6">
        <v>1.0305789999999999</v>
      </c>
      <c r="F6">
        <v>6.8623469999999998</v>
      </c>
      <c r="G6">
        <v>10.718204</v>
      </c>
      <c r="H6">
        <v>28.404947</v>
      </c>
    </row>
    <row r="7" spans="1:8" x14ac:dyDescent="0.25">
      <c r="A7">
        <v>200</v>
      </c>
      <c r="B7">
        <v>2.5732810000000002</v>
      </c>
      <c r="C7">
        <v>3.0777909999999999</v>
      </c>
      <c r="D7">
        <v>1.6240349999999999</v>
      </c>
      <c r="E7">
        <v>1.0281629999999999</v>
      </c>
      <c r="F7">
        <v>6.5468669999999998</v>
      </c>
      <c r="G7">
        <v>10.104975</v>
      </c>
      <c r="H7">
        <v>22.925464999999999</v>
      </c>
    </row>
    <row r="8" spans="1:8" x14ac:dyDescent="0.25">
      <c r="A8">
        <v>202</v>
      </c>
      <c r="B8">
        <v>2.7089120000000002</v>
      </c>
      <c r="C8">
        <v>2.7617690000000001</v>
      </c>
      <c r="D8">
        <v>1.5317540000000001</v>
      </c>
      <c r="E8">
        <v>1.026154</v>
      </c>
      <c r="F8">
        <v>6.1654010000000001</v>
      </c>
      <c r="G8">
        <v>9.321377</v>
      </c>
      <c r="H8">
        <v>17.950033000000001</v>
      </c>
    </row>
    <row r="9" spans="1:8" x14ac:dyDescent="0.25">
      <c r="A9">
        <v>204</v>
      </c>
      <c r="B9">
        <v>2.8095240000000001</v>
      </c>
      <c r="C9">
        <v>2.510958</v>
      </c>
      <c r="D9">
        <v>1.459328</v>
      </c>
      <c r="E9">
        <v>1.0304770000000001</v>
      </c>
      <c r="F9">
        <v>5.7867699999999997</v>
      </c>
      <c r="G9">
        <v>8.5195690000000006</v>
      </c>
      <c r="H9">
        <v>13.786580000000001</v>
      </c>
    </row>
    <row r="10" spans="1:8" x14ac:dyDescent="0.25">
      <c r="A10">
        <v>206</v>
      </c>
      <c r="B10">
        <v>2.8625989999999999</v>
      </c>
      <c r="C10">
        <v>2.2965309999999999</v>
      </c>
      <c r="D10">
        <v>1.4116979999999999</v>
      </c>
      <c r="E10">
        <v>1.0260769999999999</v>
      </c>
      <c r="F10">
        <v>5.4812479999999999</v>
      </c>
      <c r="G10">
        <v>7.8417960000000004</v>
      </c>
      <c r="H10">
        <v>10.297617000000001</v>
      </c>
    </row>
    <row r="11" spans="1:8" x14ac:dyDescent="0.25">
      <c r="A11">
        <v>208</v>
      </c>
      <c r="B11">
        <v>2.8523309999999999</v>
      </c>
      <c r="C11">
        <v>2.0915590000000002</v>
      </c>
      <c r="D11">
        <v>1.3654459999999999</v>
      </c>
      <c r="E11">
        <v>1.027571</v>
      </c>
      <c r="F11">
        <v>5.2764179999999996</v>
      </c>
      <c r="G11">
        <v>7.3341219999999998</v>
      </c>
      <c r="H11">
        <v>7.1867760000000001</v>
      </c>
    </row>
    <row r="12" spans="1:8" x14ac:dyDescent="0.25">
      <c r="A12">
        <v>210</v>
      </c>
      <c r="B12">
        <v>2.7670119999999998</v>
      </c>
      <c r="C12">
        <v>1.9179310000000001</v>
      </c>
      <c r="D12">
        <v>1.3261320000000001</v>
      </c>
      <c r="E12">
        <v>1.038503</v>
      </c>
      <c r="F12">
        <v>5.1758030000000002</v>
      </c>
      <c r="G12">
        <v>7.0169750000000004</v>
      </c>
      <c r="H12">
        <v>4.7218090000000004</v>
      </c>
    </row>
    <row r="13" spans="1:8" x14ac:dyDescent="0.25">
      <c r="A13">
        <v>212</v>
      </c>
      <c r="B13">
        <v>2.624905</v>
      </c>
      <c r="C13">
        <v>1.7644470000000001</v>
      </c>
      <c r="D13">
        <v>1.2802770000000001</v>
      </c>
      <c r="E13">
        <v>1.0568839999999999</v>
      </c>
      <c r="F13">
        <v>5.1138519999999996</v>
      </c>
      <c r="G13">
        <v>6.8092220000000001</v>
      </c>
      <c r="H13">
        <v>2.913151</v>
      </c>
    </row>
    <row r="14" spans="1:8" x14ac:dyDescent="0.25">
      <c r="A14">
        <v>214</v>
      </c>
      <c r="B14">
        <v>2.437433</v>
      </c>
      <c r="C14">
        <v>1.628271</v>
      </c>
      <c r="D14">
        <v>1.2201820000000001</v>
      </c>
      <c r="E14">
        <v>1.11267</v>
      </c>
      <c r="F14">
        <v>5.0445840000000004</v>
      </c>
      <c r="G14">
        <v>6.6360270000000003</v>
      </c>
      <c r="H14">
        <v>1.689789</v>
      </c>
    </row>
    <row r="15" spans="1:8" x14ac:dyDescent="0.25">
      <c r="A15">
        <v>216</v>
      </c>
      <c r="B15">
        <v>2.213721</v>
      </c>
      <c r="C15">
        <v>1.506777</v>
      </c>
      <c r="D15">
        <v>1.165761</v>
      </c>
      <c r="E15">
        <v>1.2100409999999999</v>
      </c>
      <c r="F15">
        <v>4.9427919999999999</v>
      </c>
      <c r="G15">
        <v>6.4544829999999997</v>
      </c>
      <c r="H15">
        <v>0.882857</v>
      </c>
    </row>
    <row r="16" spans="1:8" x14ac:dyDescent="0.25">
      <c r="A16">
        <v>218</v>
      </c>
      <c r="B16">
        <v>1.9934369999999999</v>
      </c>
      <c r="C16">
        <v>1.3888450000000001</v>
      </c>
      <c r="D16">
        <v>1.1330009999999999</v>
      </c>
      <c r="E16">
        <v>1.3465050000000001</v>
      </c>
      <c r="F16">
        <v>4.7824179999999998</v>
      </c>
      <c r="G16">
        <v>6.234381</v>
      </c>
      <c r="H16">
        <v>0.38229000000000002</v>
      </c>
    </row>
    <row r="17" spans="1:8" x14ac:dyDescent="0.25">
      <c r="A17">
        <v>220</v>
      </c>
      <c r="B17">
        <v>1.8281719999999999</v>
      </c>
      <c r="C17">
        <v>1.271468</v>
      </c>
      <c r="D17">
        <v>1.1486590000000001</v>
      </c>
      <c r="E17">
        <v>1.497538</v>
      </c>
      <c r="F17">
        <v>4.5703370000000003</v>
      </c>
      <c r="G17">
        <v>5.9742519999999999</v>
      </c>
      <c r="H17">
        <v>7.1374999999999994E-2</v>
      </c>
    </row>
    <row r="18" spans="1:8" x14ac:dyDescent="0.25">
      <c r="A18">
        <v>222</v>
      </c>
      <c r="B18">
        <v>1.7634879999999999</v>
      </c>
      <c r="C18">
        <v>1.1705779999999999</v>
      </c>
      <c r="D18">
        <v>1.228361</v>
      </c>
      <c r="E18">
        <v>1.628865</v>
      </c>
      <c r="F18">
        <v>4.3429450000000003</v>
      </c>
      <c r="G18">
        <v>5.7133760000000002</v>
      </c>
      <c r="H18">
        <v>-9.8503999999999994E-2</v>
      </c>
    </row>
    <row r="19" spans="1:8" x14ac:dyDescent="0.25">
      <c r="A19">
        <v>224</v>
      </c>
      <c r="B19">
        <v>1.8242069999999999</v>
      </c>
      <c r="C19">
        <v>1.0779559999999999</v>
      </c>
      <c r="D19">
        <v>1.343167</v>
      </c>
      <c r="E19">
        <v>1.7132419999999999</v>
      </c>
      <c r="F19">
        <v>4.0852969999999997</v>
      </c>
      <c r="G19">
        <v>5.4667630000000003</v>
      </c>
      <c r="H19">
        <v>-0.18765000000000001</v>
      </c>
    </row>
    <row r="20" spans="1:8" x14ac:dyDescent="0.25">
      <c r="A20">
        <v>226</v>
      </c>
      <c r="B20">
        <v>2.0150790000000001</v>
      </c>
      <c r="C20">
        <v>0.99775700000000001</v>
      </c>
      <c r="D20">
        <v>1.4720500000000001</v>
      </c>
      <c r="E20">
        <v>1.7131609999999999</v>
      </c>
      <c r="F20">
        <v>3.8248329999999999</v>
      </c>
      <c r="G20">
        <v>5.2627230000000003</v>
      </c>
      <c r="H20">
        <v>-0.23586599999999999</v>
      </c>
    </row>
    <row r="21" spans="1:8" x14ac:dyDescent="0.25">
      <c r="A21">
        <v>228</v>
      </c>
      <c r="B21">
        <v>2.322079</v>
      </c>
      <c r="C21">
        <v>0.93067800000000001</v>
      </c>
      <c r="D21">
        <v>1.6065020000000001</v>
      </c>
      <c r="E21">
        <v>1.6329260000000001</v>
      </c>
      <c r="F21">
        <v>3.597235</v>
      </c>
      <c r="G21">
        <v>5.1146419999999999</v>
      </c>
      <c r="H21">
        <v>-0.248173</v>
      </c>
    </row>
    <row r="22" spans="1:8" x14ac:dyDescent="0.25">
      <c r="A22">
        <v>230</v>
      </c>
      <c r="B22">
        <v>2.706944</v>
      </c>
      <c r="C22">
        <v>0.88046000000000002</v>
      </c>
      <c r="D22">
        <v>1.714728</v>
      </c>
      <c r="E22">
        <v>1.481968</v>
      </c>
      <c r="F22">
        <v>3.449017</v>
      </c>
      <c r="G22">
        <v>5.0607519999999999</v>
      </c>
      <c r="H22">
        <v>-0.243615</v>
      </c>
    </row>
    <row r="23" spans="1:8" x14ac:dyDescent="0.25">
      <c r="A23">
        <v>232</v>
      </c>
      <c r="B23">
        <v>3.1528459999999998</v>
      </c>
      <c r="C23">
        <v>0.83812699999999996</v>
      </c>
      <c r="D23">
        <v>1.7731049999999999</v>
      </c>
      <c r="E23">
        <v>1.2915989999999999</v>
      </c>
      <c r="F23">
        <v>3.3911169999999999</v>
      </c>
      <c r="G23">
        <v>5.114592</v>
      </c>
      <c r="H23">
        <v>-0.231298</v>
      </c>
    </row>
    <row r="24" spans="1:8" x14ac:dyDescent="0.25">
      <c r="A24">
        <v>234</v>
      </c>
      <c r="B24">
        <v>3.6395749999999998</v>
      </c>
      <c r="C24">
        <v>0.79343799999999998</v>
      </c>
      <c r="D24">
        <v>1.771048</v>
      </c>
      <c r="E24">
        <v>1.094258</v>
      </c>
      <c r="F24">
        <v>3.4223919999999999</v>
      </c>
      <c r="G24">
        <v>5.2900720000000003</v>
      </c>
      <c r="H24">
        <v>-0.20907600000000001</v>
      </c>
    </row>
    <row r="25" spans="1:8" x14ac:dyDescent="0.25">
      <c r="A25">
        <v>236</v>
      </c>
      <c r="B25">
        <v>4.1084800000000001</v>
      </c>
      <c r="C25">
        <v>0.75424800000000003</v>
      </c>
      <c r="D25">
        <v>1.7099009999999999</v>
      </c>
      <c r="E25">
        <v>0.915157</v>
      </c>
      <c r="F25">
        <v>3.5446219999999999</v>
      </c>
      <c r="G25">
        <v>5.5897319999999997</v>
      </c>
      <c r="H25">
        <v>-0.18134400000000001</v>
      </c>
    </row>
    <row r="26" spans="1:8" x14ac:dyDescent="0.25">
      <c r="A26">
        <v>238</v>
      </c>
      <c r="B26">
        <v>4.539606</v>
      </c>
      <c r="C26">
        <v>0.71315399999999995</v>
      </c>
      <c r="D26">
        <v>1.607915</v>
      </c>
      <c r="E26">
        <v>0.76357699999999995</v>
      </c>
      <c r="F26">
        <v>3.7589090000000001</v>
      </c>
      <c r="G26">
        <v>6.0423330000000002</v>
      </c>
      <c r="H26">
        <v>-0.159189</v>
      </c>
    </row>
    <row r="27" spans="1:8" x14ac:dyDescent="0.25">
      <c r="A27">
        <v>240</v>
      </c>
      <c r="B27">
        <v>4.8613160000000004</v>
      </c>
      <c r="C27">
        <v>0.67043799999999998</v>
      </c>
      <c r="D27">
        <v>1.4976970000000001</v>
      </c>
      <c r="E27">
        <v>0.64680800000000005</v>
      </c>
      <c r="F27">
        <v>4.05823</v>
      </c>
      <c r="G27">
        <v>6.6334590000000002</v>
      </c>
      <c r="H27">
        <v>-0.13999300000000001</v>
      </c>
    </row>
    <row r="28" spans="1:8" x14ac:dyDescent="0.25">
      <c r="A28">
        <v>242</v>
      </c>
      <c r="B28">
        <v>5.0333769999999998</v>
      </c>
      <c r="C28">
        <v>0.61762799999999995</v>
      </c>
      <c r="D28">
        <v>1.3903289999999999</v>
      </c>
      <c r="E28">
        <v>0.55941799999999997</v>
      </c>
      <c r="F28">
        <v>4.4578990000000003</v>
      </c>
      <c r="G28">
        <v>7.383483</v>
      </c>
      <c r="H28">
        <v>-0.114581</v>
      </c>
    </row>
    <row r="29" spans="1:8" x14ac:dyDescent="0.25">
      <c r="A29">
        <v>244</v>
      </c>
      <c r="B29">
        <v>4.9893479999999997</v>
      </c>
      <c r="C29">
        <v>0.55759899999999996</v>
      </c>
      <c r="D29">
        <v>1.279236</v>
      </c>
      <c r="E29">
        <v>0.49901000000000001</v>
      </c>
      <c r="F29">
        <v>4.9332779999999996</v>
      </c>
      <c r="G29">
        <v>8.2382069999999992</v>
      </c>
      <c r="H29">
        <v>-8.8154999999999997E-2</v>
      </c>
    </row>
    <row r="30" spans="1:8" x14ac:dyDescent="0.25">
      <c r="A30">
        <v>246</v>
      </c>
      <c r="B30">
        <v>4.7352990000000004</v>
      </c>
      <c r="C30">
        <v>0.49112699999999998</v>
      </c>
      <c r="D30">
        <v>1.1395550000000001</v>
      </c>
      <c r="E30">
        <v>0.45522200000000002</v>
      </c>
      <c r="F30">
        <v>5.495749</v>
      </c>
      <c r="G30">
        <v>9.221368</v>
      </c>
      <c r="H30">
        <v>-7.1660000000000001E-2</v>
      </c>
    </row>
    <row r="31" spans="1:8" x14ac:dyDescent="0.25">
      <c r="A31">
        <v>248</v>
      </c>
      <c r="B31">
        <v>4.371499</v>
      </c>
      <c r="C31">
        <v>0.43608200000000003</v>
      </c>
      <c r="D31">
        <v>0.98880100000000004</v>
      </c>
      <c r="E31">
        <v>0.42894399999999999</v>
      </c>
      <c r="F31">
        <v>6.0943659999999999</v>
      </c>
      <c r="G31">
        <v>10.259392999999999</v>
      </c>
      <c r="H31">
        <v>-5.5570000000000001E-2</v>
      </c>
    </row>
    <row r="32" spans="1:8" x14ac:dyDescent="0.25">
      <c r="A32">
        <v>250</v>
      </c>
      <c r="B32">
        <v>3.9960399999999998</v>
      </c>
      <c r="C32">
        <v>0.39532299999999998</v>
      </c>
      <c r="D32">
        <v>0.83409500000000003</v>
      </c>
      <c r="E32">
        <v>0.405885</v>
      </c>
      <c r="F32">
        <v>6.7561580000000001</v>
      </c>
      <c r="G32">
        <v>11.389371000000001</v>
      </c>
      <c r="H32">
        <v>-4.3804000000000003E-2</v>
      </c>
    </row>
    <row r="33" spans="1:8" x14ac:dyDescent="0.25">
      <c r="A33">
        <v>252</v>
      </c>
      <c r="B33">
        <v>3.7095720000000001</v>
      </c>
      <c r="C33">
        <v>0.37007899999999999</v>
      </c>
      <c r="D33">
        <v>0.69663399999999998</v>
      </c>
      <c r="E33">
        <v>0.39042399999999999</v>
      </c>
      <c r="F33">
        <v>7.424544</v>
      </c>
      <c r="G33">
        <v>12.531179</v>
      </c>
      <c r="H33">
        <v>-3.7945E-2</v>
      </c>
    </row>
    <row r="34" spans="1:8" x14ac:dyDescent="0.25">
      <c r="A34">
        <v>254</v>
      </c>
      <c r="B34">
        <v>3.516343</v>
      </c>
      <c r="C34">
        <v>0.35624099999999997</v>
      </c>
      <c r="D34">
        <v>0.575573</v>
      </c>
      <c r="E34">
        <v>0.38176599999999999</v>
      </c>
      <c r="F34">
        <v>8.1246139999999993</v>
      </c>
      <c r="G34">
        <v>13.731161999999999</v>
      </c>
      <c r="H34">
        <v>-2.7387999999999999E-2</v>
      </c>
    </row>
    <row r="35" spans="1:8" x14ac:dyDescent="0.25">
      <c r="A35">
        <v>256</v>
      </c>
      <c r="B35">
        <v>3.3960400000000002</v>
      </c>
      <c r="C35">
        <v>0.34505599999999997</v>
      </c>
      <c r="D35">
        <v>0.48342600000000002</v>
      </c>
      <c r="E35">
        <v>0.37787700000000002</v>
      </c>
      <c r="F35">
        <v>8.8239000000000001</v>
      </c>
      <c r="G35">
        <v>14.940598</v>
      </c>
      <c r="H35">
        <v>-1.7838E-2</v>
      </c>
    </row>
    <row r="36" spans="1:8" x14ac:dyDescent="0.25">
      <c r="A36">
        <v>258</v>
      </c>
      <c r="B36">
        <v>3.3006709999999999</v>
      </c>
      <c r="C36">
        <v>0.343918</v>
      </c>
      <c r="D36">
        <v>0.41969800000000002</v>
      </c>
      <c r="E36">
        <v>0.38132500000000003</v>
      </c>
      <c r="F36">
        <v>9.4974000000000007</v>
      </c>
      <c r="G36">
        <v>16.101928999999998</v>
      </c>
      <c r="H36">
        <v>-1.6382000000000001E-2</v>
      </c>
    </row>
    <row r="37" spans="1:8" x14ac:dyDescent="0.25">
      <c r="A37">
        <v>260</v>
      </c>
      <c r="B37">
        <v>3.1830639999999999</v>
      </c>
      <c r="C37">
        <v>0.34029199999999998</v>
      </c>
      <c r="D37">
        <v>0.38107400000000002</v>
      </c>
      <c r="E37">
        <v>0.39150699999999999</v>
      </c>
      <c r="F37">
        <v>10.17177</v>
      </c>
      <c r="G37">
        <v>17.249146</v>
      </c>
      <c r="H37">
        <v>-1.9549E-2</v>
      </c>
    </row>
    <row r="38" spans="1:8" x14ac:dyDescent="0.25">
      <c r="A38">
        <v>262</v>
      </c>
      <c r="B38">
        <v>3.0258189999999998</v>
      </c>
      <c r="C38">
        <v>0.32835799999999998</v>
      </c>
      <c r="D38">
        <v>0.35867500000000002</v>
      </c>
      <c r="E38">
        <v>0.39888299999999999</v>
      </c>
      <c r="F38">
        <v>10.820690000000001</v>
      </c>
      <c r="G38">
        <v>18.343012000000002</v>
      </c>
      <c r="H38">
        <v>-2.2301999999999999E-2</v>
      </c>
    </row>
    <row r="39" spans="1:8" x14ac:dyDescent="0.25">
      <c r="A39">
        <v>264</v>
      </c>
      <c r="B39">
        <v>2.8094299999999999</v>
      </c>
      <c r="C39">
        <v>0.32105899999999998</v>
      </c>
      <c r="D39">
        <v>0.33760899999999999</v>
      </c>
      <c r="E39">
        <v>0.40912700000000002</v>
      </c>
      <c r="F39">
        <v>11.437485000000001</v>
      </c>
      <c r="G39">
        <v>19.374927</v>
      </c>
      <c r="H39">
        <v>-1.9307999999999999E-2</v>
      </c>
    </row>
    <row r="40" spans="1:8" x14ac:dyDescent="0.25">
      <c r="A40">
        <v>266</v>
      </c>
      <c r="B40">
        <v>2.5433080000000001</v>
      </c>
      <c r="C40">
        <v>0.31734800000000002</v>
      </c>
      <c r="D40">
        <v>0.32071499999999997</v>
      </c>
      <c r="E40">
        <v>0.429396</v>
      </c>
      <c r="F40">
        <v>11.994918999999999</v>
      </c>
      <c r="G40">
        <v>20.273655999999999</v>
      </c>
      <c r="H40">
        <v>-1.6233000000000001E-2</v>
      </c>
    </row>
    <row r="41" spans="1:8" x14ac:dyDescent="0.25">
      <c r="A41">
        <v>268</v>
      </c>
      <c r="B41">
        <v>2.2474289999999999</v>
      </c>
      <c r="C41">
        <v>0.31385400000000002</v>
      </c>
      <c r="D41">
        <v>0.30634600000000001</v>
      </c>
      <c r="E41">
        <v>0.44808999999999999</v>
      </c>
      <c r="F41">
        <v>12.508457</v>
      </c>
      <c r="G41">
        <v>21.070352</v>
      </c>
      <c r="H41">
        <v>-2.1569000000000001E-2</v>
      </c>
    </row>
    <row r="42" spans="1:8" x14ac:dyDescent="0.25">
      <c r="A42">
        <v>270</v>
      </c>
      <c r="B42">
        <v>1.96594</v>
      </c>
      <c r="C42">
        <v>0.30814399999999997</v>
      </c>
      <c r="D42">
        <v>0.298406</v>
      </c>
      <c r="E42">
        <v>0.46753699999999998</v>
      </c>
      <c r="F42">
        <v>12.951953</v>
      </c>
      <c r="G42">
        <v>21.702207999999999</v>
      </c>
      <c r="H42">
        <v>-2.2259000000000001E-2</v>
      </c>
    </row>
    <row r="43" spans="1:8" x14ac:dyDescent="0.25">
      <c r="A43">
        <v>272</v>
      </c>
      <c r="B43">
        <v>1.727284</v>
      </c>
      <c r="C43">
        <v>0.307834</v>
      </c>
      <c r="D43">
        <v>0.288854</v>
      </c>
      <c r="E43">
        <v>0.49281000000000003</v>
      </c>
      <c r="F43">
        <v>13.292889000000001</v>
      </c>
      <c r="G43">
        <v>22.133499</v>
      </c>
      <c r="H43">
        <v>-2.1999999999999999E-2</v>
      </c>
    </row>
    <row r="44" spans="1:8" x14ac:dyDescent="0.25">
      <c r="A44">
        <v>274</v>
      </c>
      <c r="B44">
        <v>1.554271</v>
      </c>
      <c r="C44">
        <v>0.31174800000000003</v>
      </c>
      <c r="D44">
        <v>0.27637899999999999</v>
      </c>
      <c r="E44">
        <v>0.52432199999999995</v>
      </c>
      <c r="F44">
        <v>13.506292999999999</v>
      </c>
      <c r="G44">
        <v>22.343502999999998</v>
      </c>
      <c r="H44">
        <v>-2.4081999999999999E-2</v>
      </c>
    </row>
    <row r="45" spans="1:8" x14ac:dyDescent="0.25">
      <c r="A45">
        <v>276</v>
      </c>
      <c r="B45">
        <v>1.441865</v>
      </c>
      <c r="C45">
        <v>0.31596800000000003</v>
      </c>
      <c r="D45">
        <v>0.27293200000000001</v>
      </c>
      <c r="E45">
        <v>0.55280700000000005</v>
      </c>
      <c r="F45">
        <v>13.581122000000001</v>
      </c>
      <c r="G45">
        <v>22.319583999999999</v>
      </c>
      <c r="H45">
        <v>-2.4868999999999999E-2</v>
      </c>
    </row>
    <row r="46" spans="1:8" x14ac:dyDescent="0.25">
      <c r="A46">
        <v>278</v>
      </c>
      <c r="B46">
        <v>1.381867</v>
      </c>
      <c r="C46">
        <v>0.32072200000000001</v>
      </c>
      <c r="D46">
        <v>0.26444699999999999</v>
      </c>
      <c r="E46">
        <v>0.58474800000000005</v>
      </c>
      <c r="F46">
        <v>13.522371</v>
      </c>
      <c r="G46">
        <v>22.052619</v>
      </c>
      <c r="H46">
        <v>-2.9513999999999999E-2</v>
      </c>
    </row>
    <row r="47" spans="1:8" x14ac:dyDescent="0.25">
      <c r="A47">
        <v>280</v>
      </c>
      <c r="B47">
        <v>1.36016</v>
      </c>
      <c r="C47">
        <v>0.32263599999999998</v>
      </c>
      <c r="D47">
        <v>0.25715500000000002</v>
      </c>
      <c r="E47">
        <v>0.62080800000000003</v>
      </c>
      <c r="F47">
        <v>13.328169000000001</v>
      </c>
      <c r="G47">
        <v>21.556293</v>
      </c>
      <c r="H47">
        <v>-2.7442000000000001E-2</v>
      </c>
    </row>
    <row r="48" spans="1:8" x14ac:dyDescent="0.25">
      <c r="A48">
        <v>282</v>
      </c>
      <c r="B48">
        <v>1.3516440000000001</v>
      </c>
      <c r="C48">
        <v>0.33118599999999998</v>
      </c>
      <c r="D48">
        <v>0.25918999999999998</v>
      </c>
      <c r="E48">
        <v>0.64978800000000003</v>
      </c>
      <c r="F48">
        <v>12.994377999999999</v>
      </c>
      <c r="G48">
        <v>20.847788999999999</v>
      </c>
      <c r="H48">
        <v>-2.5090999999999999E-2</v>
      </c>
    </row>
    <row r="49" spans="1:8" x14ac:dyDescent="0.25">
      <c r="A49">
        <v>284</v>
      </c>
      <c r="B49">
        <v>1.3527530000000001</v>
      </c>
      <c r="C49">
        <v>0.33965400000000001</v>
      </c>
      <c r="D49">
        <v>0.26645999999999997</v>
      </c>
      <c r="E49">
        <v>0.67839700000000003</v>
      </c>
      <c r="F49">
        <v>12.541641</v>
      </c>
      <c r="G49">
        <v>19.933107</v>
      </c>
      <c r="H49">
        <v>-2.6485000000000002E-2</v>
      </c>
    </row>
    <row r="50" spans="1:8" x14ac:dyDescent="0.25">
      <c r="A50">
        <v>286</v>
      </c>
      <c r="B50">
        <v>1.3507009999999999</v>
      </c>
      <c r="C50">
        <v>0.347138</v>
      </c>
      <c r="D50">
        <v>0.26823799999999998</v>
      </c>
      <c r="E50">
        <v>0.70405600000000002</v>
      </c>
      <c r="F50">
        <v>11.971235999999999</v>
      </c>
      <c r="G50">
        <v>18.847446000000001</v>
      </c>
      <c r="H50">
        <v>-2.7413E-2</v>
      </c>
    </row>
    <row r="51" spans="1:8" x14ac:dyDescent="0.25">
      <c r="A51">
        <v>288</v>
      </c>
      <c r="B51">
        <v>1.3332999999999999</v>
      </c>
      <c r="C51">
        <v>0.35581499999999999</v>
      </c>
      <c r="D51">
        <v>0.28053899999999998</v>
      </c>
      <c r="E51">
        <v>0.73367499999999997</v>
      </c>
      <c r="F51">
        <v>11.301364</v>
      </c>
      <c r="G51">
        <v>17.611744999999999</v>
      </c>
      <c r="H51">
        <v>-2.7784E-2</v>
      </c>
    </row>
    <row r="52" spans="1:8" x14ac:dyDescent="0.25">
      <c r="A52">
        <v>290</v>
      </c>
      <c r="B52">
        <v>1.296549</v>
      </c>
      <c r="C52">
        <v>0.36440800000000001</v>
      </c>
      <c r="D52">
        <v>0.30303200000000002</v>
      </c>
      <c r="E52">
        <v>0.755664</v>
      </c>
      <c r="F52">
        <v>10.537616</v>
      </c>
      <c r="G52">
        <v>16.254511999999998</v>
      </c>
      <c r="H52">
        <v>-2.4681000000000002E-2</v>
      </c>
    </row>
    <row r="53" spans="1:8" x14ac:dyDescent="0.25">
      <c r="A53">
        <v>292</v>
      </c>
      <c r="B53">
        <v>1.2417210000000001</v>
      </c>
      <c r="C53">
        <v>0.37486900000000001</v>
      </c>
      <c r="D53">
        <v>0.32813100000000001</v>
      </c>
      <c r="E53">
        <v>0.77077200000000001</v>
      </c>
      <c r="F53">
        <v>9.7052040000000002</v>
      </c>
      <c r="G53">
        <v>14.814572</v>
      </c>
      <c r="H53">
        <v>-2.3723999999999999E-2</v>
      </c>
    </row>
    <row r="54" spans="1:8" x14ac:dyDescent="0.25">
      <c r="A54">
        <v>294</v>
      </c>
      <c r="B54">
        <v>1.1721060000000001</v>
      </c>
      <c r="C54">
        <v>0.38183099999999998</v>
      </c>
      <c r="D54">
        <v>0.35606199999999999</v>
      </c>
      <c r="E54">
        <v>0.79208299999999998</v>
      </c>
      <c r="F54">
        <v>8.8315439999999992</v>
      </c>
      <c r="G54">
        <v>13.314031999999999</v>
      </c>
      <c r="H54">
        <v>-2.2393E-2</v>
      </c>
    </row>
    <row r="55" spans="1:8" x14ac:dyDescent="0.25">
      <c r="A55">
        <v>296</v>
      </c>
      <c r="B55">
        <v>1.0858289999999999</v>
      </c>
      <c r="C55">
        <v>0.39074799999999998</v>
      </c>
      <c r="D55">
        <v>0.38352000000000003</v>
      </c>
      <c r="E55">
        <v>0.80800300000000003</v>
      </c>
      <c r="F55">
        <v>7.9309510000000003</v>
      </c>
      <c r="G55">
        <v>11.795294999999999</v>
      </c>
      <c r="H55">
        <v>-2.1745E-2</v>
      </c>
    </row>
    <row r="56" spans="1:8" x14ac:dyDescent="0.25">
      <c r="A56">
        <v>298</v>
      </c>
      <c r="B56">
        <v>0.98200200000000004</v>
      </c>
      <c r="C56">
        <v>0.40444400000000003</v>
      </c>
      <c r="D56">
        <v>0.41788399999999998</v>
      </c>
      <c r="E56">
        <v>0.81347100000000006</v>
      </c>
      <c r="F56">
        <v>7.0003019999999996</v>
      </c>
      <c r="G56">
        <v>10.254378000000001</v>
      </c>
      <c r="H56">
        <v>-1.4670000000000001E-2</v>
      </c>
    </row>
    <row r="57" spans="1:8" x14ac:dyDescent="0.25">
      <c r="A57">
        <v>300</v>
      </c>
      <c r="B57">
        <v>0.87187899999999996</v>
      </c>
      <c r="C57">
        <v>0.41669099999999998</v>
      </c>
      <c r="D57">
        <v>0.45904899999999998</v>
      </c>
      <c r="E57">
        <v>0.81274000000000002</v>
      </c>
      <c r="F57">
        <v>6.1066710000000004</v>
      </c>
      <c r="G57">
        <v>8.7981870000000004</v>
      </c>
      <c r="H57">
        <v>-9.0639999999999991E-3</v>
      </c>
    </row>
    <row r="58" spans="1:8" x14ac:dyDescent="0.25">
      <c r="A58">
        <v>302</v>
      </c>
      <c r="B58">
        <v>0.76344199999999995</v>
      </c>
      <c r="C58">
        <v>0.42755500000000002</v>
      </c>
      <c r="D58">
        <v>0.50307800000000003</v>
      </c>
      <c r="E58">
        <v>0.80385200000000001</v>
      </c>
      <c r="F58">
        <v>5.2386030000000003</v>
      </c>
      <c r="G58">
        <v>7.4196289999999996</v>
      </c>
      <c r="H58">
        <v>-9.2350000000000002E-3</v>
      </c>
    </row>
    <row r="59" spans="1:8" x14ac:dyDescent="0.25">
      <c r="A59">
        <v>304</v>
      </c>
      <c r="B59">
        <v>0.66332100000000005</v>
      </c>
      <c r="C59">
        <v>0.43349599999999999</v>
      </c>
      <c r="D59">
        <v>0.54828200000000005</v>
      </c>
      <c r="E59">
        <v>0.78988899999999995</v>
      </c>
      <c r="F59">
        <v>4.4234689999999999</v>
      </c>
      <c r="G59">
        <v>6.1519329999999997</v>
      </c>
      <c r="H59">
        <v>-1.5076000000000001E-2</v>
      </c>
    </row>
    <row r="60" spans="1:8" x14ac:dyDescent="0.25">
      <c r="A60">
        <v>306</v>
      </c>
      <c r="B60">
        <v>0.57680900000000002</v>
      </c>
      <c r="C60">
        <v>0.44010199999999999</v>
      </c>
      <c r="D60">
        <v>0.59764399999999995</v>
      </c>
      <c r="E60">
        <v>0.76898500000000003</v>
      </c>
      <c r="F60">
        <v>3.65286</v>
      </c>
      <c r="G60">
        <v>4.988302</v>
      </c>
      <c r="H60">
        <v>-7.6290000000000004E-3</v>
      </c>
    </row>
    <row r="61" spans="1:8" x14ac:dyDescent="0.25">
      <c r="A61">
        <v>308</v>
      </c>
      <c r="B61">
        <v>0.51797400000000005</v>
      </c>
      <c r="C61">
        <v>0.447575</v>
      </c>
      <c r="D61">
        <v>0.64566299999999999</v>
      </c>
      <c r="E61">
        <v>0.74151</v>
      </c>
      <c r="F61">
        <v>2.9857939999999998</v>
      </c>
      <c r="G61">
        <v>3.985331</v>
      </c>
      <c r="H61">
        <v>1.55E-4</v>
      </c>
    </row>
    <row r="62" spans="1:8" x14ac:dyDescent="0.25">
      <c r="A62">
        <v>310</v>
      </c>
      <c r="B62">
        <v>0.47670899999999999</v>
      </c>
      <c r="C62">
        <v>0.45601999999999998</v>
      </c>
      <c r="D62">
        <v>0.68018100000000004</v>
      </c>
      <c r="E62">
        <v>0.70199500000000004</v>
      </c>
      <c r="F62">
        <v>2.406361</v>
      </c>
      <c r="G62">
        <v>3.1174550000000001</v>
      </c>
      <c r="H62">
        <v>5.3169999999999997E-3</v>
      </c>
    </row>
    <row r="63" spans="1:8" x14ac:dyDescent="0.25">
      <c r="A63">
        <v>312</v>
      </c>
      <c r="B63">
        <v>0.45410099999999998</v>
      </c>
      <c r="C63">
        <v>0.46131699999999998</v>
      </c>
      <c r="D63">
        <v>0.70695200000000002</v>
      </c>
      <c r="E63">
        <v>0.65060200000000001</v>
      </c>
      <c r="F63">
        <v>1.892325</v>
      </c>
      <c r="G63">
        <v>2.377643</v>
      </c>
      <c r="H63">
        <v>1.1486E-2</v>
      </c>
    </row>
    <row r="64" spans="1:8" x14ac:dyDescent="0.25">
      <c r="A64">
        <v>314</v>
      </c>
      <c r="B64">
        <v>0.46002399999999999</v>
      </c>
      <c r="C64">
        <v>0.472111</v>
      </c>
      <c r="D64">
        <v>0.72386899999999998</v>
      </c>
      <c r="E64">
        <v>0.60339799999999999</v>
      </c>
      <c r="F64">
        <v>1.479517</v>
      </c>
      <c r="G64">
        <v>1.7999510000000001</v>
      </c>
      <c r="H64">
        <v>9.0060000000000001E-3</v>
      </c>
    </row>
    <row r="65" spans="1:8" x14ac:dyDescent="0.25">
      <c r="A65">
        <v>316</v>
      </c>
      <c r="B65">
        <v>0.48517900000000003</v>
      </c>
      <c r="C65">
        <v>0.48203400000000002</v>
      </c>
      <c r="D65">
        <v>0.73669499999999999</v>
      </c>
      <c r="E65">
        <v>0.55590300000000004</v>
      </c>
      <c r="F65">
        <v>1.1259520000000001</v>
      </c>
      <c r="G65">
        <v>1.3268040000000001</v>
      </c>
      <c r="H65">
        <v>8.8920000000000006E-3</v>
      </c>
    </row>
    <row r="66" spans="1:8" x14ac:dyDescent="0.25">
      <c r="A66">
        <v>318</v>
      </c>
      <c r="B66">
        <v>0.51185099999999994</v>
      </c>
      <c r="C66">
        <v>0.48399500000000001</v>
      </c>
      <c r="D66">
        <v>0.73963900000000005</v>
      </c>
      <c r="E66">
        <v>0.51066800000000001</v>
      </c>
      <c r="F66">
        <v>0.83527399999999996</v>
      </c>
      <c r="G66">
        <v>0.96629600000000004</v>
      </c>
      <c r="H66">
        <v>5.6080000000000001E-3</v>
      </c>
    </row>
    <row r="67" spans="1:8" x14ac:dyDescent="0.25">
      <c r="A67">
        <v>320</v>
      </c>
      <c r="B67">
        <v>0.55026399999999998</v>
      </c>
      <c r="C67">
        <v>0.48321999999999998</v>
      </c>
      <c r="D67">
        <v>0.72888900000000001</v>
      </c>
      <c r="E67">
        <v>0.45871499999999998</v>
      </c>
      <c r="F67">
        <v>0.61187199999999997</v>
      </c>
      <c r="G67">
        <v>0.68920099999999995</v>
      </c>
      <c r="H67">
        <v>4.7980000000000002E-3</v>
      </c>
    </row>
    <row r="68" spans="1:8" x14ac:dyDescent="0.25">
      <c r="A68">
        <v>322</v>
      </c>
      <c r="B68">
        <v>0.604155</v>
      </c>
      <c r="C68">
        <v>0.48393399999999998</v>
      </c>
      <c r="D68">
        <v>0.70963100000000001</v>
      </c>
      <c r="E68">
        <v>0.40765499999999999</v>
      </c>
      <c r="F68">
        <v>0.455264</v>
      </c>
      <c r="G68">
        <v>0.48662300000000003</v>
      </c>
      <c r="H68">
        <v>1.0447E-2</v>
      </c>
    </row>
    <row r="69" spans="1:8" x14ac:dyDescent="0.25">
      <c r="A69">
        <v>324</v>
      </c>
      <c r="B69">
        <v>0.66107000000000005</v>
      </c>
      <c r="C69">
        <v>0.48524499999999998</v>
      </c>
      <c r="D69">
        <v>0.67159800000000003</v>
      </c>
      <c r="E69">
        <v>0.35490699999999997</v>
      </c>
      <c r="F69">
        <v>0.329905</v>
      </c>
      <c r="G69">
        <v>0.33475500000000002</v>
      </c>
      <c r="H69">
        <v>1.1113E-2</v>
      </c>
    </row>
    <row r="70" spans="1:8" x14ac:dyDescent="0.25">
      <c r="A70">
        <v>326</v>
      </c>
      <c r="B70">
        <v>0.73205399999999998</v>
      </c>
      <c r="C70">
        <v>0.48653800000000003</v>
      </c>
      <c r="D70">
        <v>0.62756199999999995</v>
      </c>
      <c r="E70">
        <v>0.30152099999999998</v>
      </c>
      <c r="F70">
        <v>0.245563</v>
      </c>
      <c r="G70">
        <v>0.22667899999999999</v>
      </c>
      <c r="H70">
        <v>1.8495000000000001E-2</v>
      </c>
    </row>
    <row r="71" spans="1:8" x14ac:dyDescent="0.25">
      <c r="A71">
        <v>328</v>
      </c>
      <c r="B71">
        <v>0.80990099999999998</v>
      </c>
      <c r="C71">
        <v>0.48545700000000003</v>
      </c>
      <c r="D71">
        <v>0.57455000000000001</v>
      </c>
      <c r="E71">
        <v>0.258913</v>
      </c>
      <c r="F71">
        <v>0.18876499999999999</v>
      </c>
      <c r="G71">
        <v>0.15068999999999999</v>
      </c>
      <c r="H71">
        <v>2.0405E-2</v>
      </c>
    </row>
    <row r="72" spans="1:8" x14ac:dyDescent="0.25">
      <c r="A72">
        <v>330</v>
      </c>
      <c r="B72">
        <v>0.88171200000000005</v>
      </c>
      <c r="C72">
        <v>0.47892099999999999</v>
      </c>
      <c r="D72">
        <v>0.52059900000000003</v>
      </c>
      <c r="E72">
        <v>0.22712099999999999</v>
      </c>
      <c r="F72">
        <v>0.139432</v>
      </c>
      <c r="G72">
        <v>0.10280499999999999</v>
      </c>
      <c r="H72">
        <v>1.2723999999999999E-2</v>
      </c>
    </row>
    <row r="73" spans="1:8" x14ac:dyDescent="0.25">
      <c r="A73">
        <v>332</v>
      </c>
      <c r="B73">
        <v>0.95044300000000004</v>
      </c>
      <c r="C73">
        <v>0.46689799999999998</v>
      </c>
      <c r="D73">
        <v>0.46868100000000001</v>
      </c>
      <c r="E73">
        <v>0.203066</v>
      </c>
      <c r="F73">
        <v>9.5215999999999995E-2</v>
      </c>
      <c r="G73">
        <v>6.9274000000000002E-2</v>
      </c>
      <c r="H73">
        <v>1.1245E-2</v>
      </c>
    </row>
    <row r="74" spans="1:8" x14ac:dyDescent="0.25">
      <c r="A74">
        <v>334</v>
      </c>
      <c r="B74">
        <v>1.0259240000000001</v>
      </c>
      <c r="C74">
        <v>0.45355899999999999</v>
      </c>
      <c r="D74">
        <v>0.41359600000000002</v>
      </c>
      <c r="E74">
        <v>0.17751400000000001</v>
      </c>
      <c r="F74">
        <v>6.9934999999999997E-2</v>
      </c>
      <c r="G74">
        <v>4.6297999999999999E-2</v>
      </c>
      <c r="H74">
        <v>1.0664999999999999E-2</v>
      </c>
    </row>
    <row r="75" spans="1:8" x14ac:dyDescent="0.25">
      <c r="A75">
        <v>336</v>
      </c>
      <c r="B75">
        <v>1.1089340000000001</v>
      </c>
      <c r="C75">
        <v>0.438948</v>
      </c>
      <c r="D75">
        <v>0.35426099999999999</v>
      </c>
      <c r="E75">
        <v>0.15642600000000001</v>
      </c>
      <c r="F75">
        <v>5.4679999999999999E-2</v>
      </c>
      <c r="G75">
        <v>2.7663E-2</v>
      </c>
      <c r="H75">
        <v>1.0024999999999999E-2</v>
      </c>
    </row>
    <row r="76" spans="1:8" x14ac:dyDescent="0.25">
      <c r="A76">
        <v>338</v>
      </c>
      <c r="B76">
        <v>1.184884</v>
      </c>
      <c r="C76">
        <v>0.43035099999999998</v>
      </c>
      <c r="D76">
        <v>0.30257499999999998</v>
      </c>
      <c r="E76">
        <v>0.14729</v>
      </c>
      <c r="F76">
        <v>4.1008000000000003E-2</v>
      </c>
      <c r="G76">
        <v>1.473E-2</v>
      </c>
      <c r="H76">
        <v>1.6448000000000001E-2</v>
      </c>
    </row>
    <row r="77" spans="1:8" x14ac:dyDescent="0.25">
      <c r="A77">
        <v>340</v>
      </c>
      <c r="B77">
        <v>1.2509079999999999</v>
      </c>
      <c r="C77">
        <v>0.423871</v>
      </c>
      <c r="D77">
        <v>0.25814900000000002</v>
      </c>
      <c r="E77">
        <v>0.13486200000000001</v>
      </c>
      <c r="F77">
        <v>3.7866999999999998E-2</v>
      </c>
      <c r="G77">
        <v>1.2206E-2</v>
      </c>
      <c r="H77">
        <v>1.6760000000000001E-2</v>
      </c>
    </row>
    <row r="78" spans="1:8" x14ac:dyDescent="0.25">
      <c r="A78">
        <v>342</v>
      </c>
      <c r="B78">
        <v>1.318268</v>
      </c>
      <c r="C78">
        <v>0.41206900000000002</v>
      </c>
      <c r="D78">
        <v>0.214033</v>
      </c>
      <c r="E78">
        <v>0.121629</v>
      </c>
      <c r="F78">
        <v>4.1063000000000002E-2</v>
      </c>
      <c r="G78">
        <v>8.1080000000000006E-3</v>
      </c>
      <c r="H78">
        <v>8.6499999999999997E-3</v>
      </c>
    </row>
    <row r="79" spans="1:8" x14ac:dyDescent="0.25">
      <c r="A79">
        <v>344</v>
      </c>
      <c r="B79">
        <v>1.378546</v>
      </c>
      <c r="C79">
        <v>0.39601199999999998</v>
      </c>
      <c r="D79">
        <v>0.174875</v>
      </c>
      <c r="E79">
        <v>0.108116</v>
      </c>
      <c r="F79">
        <v>3.3347000000000002E-2</v>
      </c>
      <c r="G79">
        <v>6.7669999999999996E-3</v>
      </c>
      <c r="H79">
        <v>3.8210000000000002E-3</v>
      </c>
    </row>
    <row r="80" spans="1:8" x14ac:dyDescent="0.25">
      <c r="A80">
        <v>346</v>
      </c>
      <c r="B80">
        <v>1.421799</v>
      </c>
      <c r="C80">
        <v>0.37817499999999998</v>
      </c>
      <c r="D80">
        <v>0.14727499999999999</v>
      </c>
      <c r="E80">
        <v>9.9552000000000002E-2</v>
      </c>
      <c r="F80">
        <v>1.7874000000000001E-2</v>
      </c>
      <c r="G80">
        <v>9.7900000000000001E-3</v>
      </c>
      <c r="H80">
        <v>1.4024999999999999E-2</v>
      </c>
    </row>
    <row r="81" spans="1:8" x14ac:dyDescent="0.25">
      <c r="A81">
        <v>348</v>
      </c>
      <c r="B81">
        <v>1.459195</v>
      </c>
      <c r="C81">
        <v>0.362624</v>
      </c>
      <c r="D81">
        <v>0.12826699999999999</v>
      </c>
      <c r="E81">
        <v>9.6813999999999997E-2</v>
      </c>
      <c r="F81">
        <v>1.5925999999999999E-2</v>
      </c>
      <c r="G81">
        <v>8.7320000000000002E-3</v>
      </c>
      <c r="H81">
        <v>1.7152000000000001E-2</v>
      </c>
    </row>
    <row r="82" spans="1:8" x14ac:dyDescent="0.25">
      <c r="A82">
        <v>350</v>
      </c>
      <c r="B82">
        <v>1.501595</v>
      </c>
      <c r="C82">
        <v>0.34681800000000002</v>
      </c>
      <c r="D82">
        <v>9.9099000000000007E-2</v>
      </c>
      <c r="E82">
        <v>8.3444000000000004E-2</v>
      </c>
      <c r="F82">
        <v>2.0066000000000001E-2</v>
      </c>
      <c r="G82">
        <v>6.0140000000000002E-3</v>
      </c>
      <c r="H82">
        <v>1.9583E-2</v>
      </c>
    </row>
    <row r="83" spans="1:8" x14ac:dyDescent="0.25">
      <c r="A83">
        <v>352</v>
      </c>
      <c r="B83">
        <v>1.536956</v>
      </c>
      <c r="C83">
        <v>0.326513</v>
      </c>
      <c r="D83">
        <v>8.0481999999999998E-2</v>
      </c>
      <c r="E83">
        <v>7.5064000000000006E-2</v>
      </c>
      <c r="F83">
        <v>1.7749000000000001E-2</v>
      </c>
      <c r="G83">
        <v>8.5590000000000006E-3</v>
      </c>
      <c r="H83">
        <v>2.4204E-2</v>
      </c>
    </row>
    <row r="84" spans="1:8" x14ac:dyDescent="0.25">
      <c r="A84">
        <v>354</v>
      </c>
      <c r="B84">
        <v>1.556065</v>
      </c>
      <c r="C84">
        <v>0.29702099999999998</v>
      </c>
      <c r="D84">
        <v>8.0302999999999999E-2</v>
      </c>
      <c r="E84">
        <v>6.898E-2</v>
      </c>
      <c r="F84">
        <v>1.1285E-2</v>
      </c>
      <c r="G84">
        <v>7.9629999999999996E-3</v>
      </c>
      <c r="H84">
        <v>1.7687000000000001E-2</v>
      </c>
    </row>
    <row r="85" spans="1:8" x14ac:dyDescent="0.25">
      <c r="A85">
        <v>356</v>
      </c>
      <c r="B85">
        <v>1.554594</v>
      </c>
      <c r="C85">
        <v>0.27432899999999999</v>
      </c>
      <c r="D85">
        <v>7.7827999999999994E-2</v>
      </c>
      <c r="E85">
        <v>6.0113E-2</v>
      </c>
      <c r="F85">
        <v>1.2529E-2</v>
      </c>
      <c r="G85">
        <v>1.319E-2</v>
      </c>
      <c r="H85">
        <v>7.1570000000000002E-3</v>
      </c>
    </row>
    <row r="86" spans="1:8" x14ac:dyDescent="0.25">
      <c r="A86">
        <v>358</v>
      </c>
      <c r="B86">
        <v>1.5423340000000001</v>
      </c>
      <c r="C86">
        <v>0.27007300000000001</v>
      </c>
      <c r="D86">
        <v>7.1744000000000002E-2</v>
      </c>
      <c r="E86">
        <v>6.0432E-2</v>
      </c>
      <c r="F86">
        <v>1.8171E-2</v>
      </c>
      <c r="G86">
        <v>1.6861999999999999E-2</v>
      </c>
      <c r="H86">
        <v>6.9699999999999996E-3</v>
      </c>
    </row>
    <row r="87" spans="1:8" x14ac:dyDescent="0.25">
      <c r="A87">
        <v>360</v>
      </c>
      <c r="B87">
        <v>1.5237670000000001</v>
      </c>
      <c r="C87">
        <v>0.26134400000000002</v>
      </c>
      <c r="D87">
        <v>7.1638999999999994E-2</v>
      </c>
      <c r="E87">
        <v>6.3480999999999996E-2</v>
      </c>
      <c r="F87">
        <v>1.494E-2</v>
      </c>
      <c r="G87">
        <v>1.3442000000000001E-2</v>
      </c>
      <c r="H87">
        <v>1.2286E-2</v>
      </c>
    </row>
    <row r="88" spans="1:8" x14ac:dyDescent="0.25">
      <c r="A88">
        <v>362</v>
      </c>
      <c r="B88">
        <v>1.4948129999999999</v>
      </c>
      <c r="C88">
        <v>0.25280000000000002</v>
      </c>
      <c r="D88">
        <v>7.0996000000000004E-2</v>
      </c>
      <c r="E88">
        <v>6.0922999999999998E-2</v>
      </c>
      <c r="F88">
        <v>-1.931E-3</v>
      </c>
      <c r="G88">
        <v>1.2883E-2</v>
      </c>
      <c r="H88">
        <v>9.5560000000000003E-3</v>
      </c>
    </row>
    <row r="89" spans="1:8" x14ac:dyDescent="0.25">
      <c r="A89">
        <v>364</v>
      </c>
      <c r="B89">
        <v>1.454305</v>
      </c>
      <c r="C89">
        <v>0.239234</v>
      </c>
      <c r="D89">
        <v>6.9136000000000003E-2</v>
      </c>
      <c r="E89">
        <v>5.6494999999999997E-2</v>
      </c>
      <c r="F89">
        <v>-9.1999999999999998E-3</v>
      </c>
      <c r="G89">
        <v>2.5933999999999999E-2</v>
      </c>
      <c r="H89">
        <v>8.3230000000000005E-3</v>
      </c>
    </row>
    <row r="90" spans="1:8" x14ac:dyDescent="0.25">
      <c r="A90">
        <v>366</v>
      </c>
      <c r="B90">
        <v>1.398223</v>
      </c>
      <c r="C90">
        <v>0.209366</v>
      </c>
      <c r="D90">
        <v>7.5354000000000004E-2</v>
      </c>
      <c r="E90">
        <v>4.4408999999999997E-2</v>
      </c>
      <c r="F90">
        <v>-5.1599999999999997E-3</v>
      </c>
      <c r="G90">
        <v>2.7254E-2</v>
      </c>
      <c r="H90">
        <v>1.1475000000000001E-2</v>
      </c>
    </row>
    <row r="91" spans="1:8" x14ac:dyDescent="0.25">
      <c r="A91">
        <v>368</v>
      </c>
      <c r="B91">
        <v>1.3477440000000001</v>
      </c>
      <c r="C91">
        <v>0.18504699999999999</v>
      </c>
      <c r="D91">
        <v>8.6427000000000004E-2</v>
      </c>
      <c r="E91">
        <v>4.0596E-2</v>
      </c>
      <c r="F91">
        <v>4.2709999999999996E-3</v>
      </c>
      <c r="G91">
        <v>1.5672999999999999E-2</v>
      </c>
      <c r="H91">
        <v>9.0659999999999994E-3</v>
      </c>
    </row>
    <row r="92" spans="1:8" x14ac:dyDescent="0.25">
      <c r="A92">
        <v>370</v>
      </c>
      <c r="B92">
        <v>1.2826379999999999</v>
      </c>
      <c r="C92">
        <v>0.18135599999999999</v>
      </c>
      <c r="D92">
        <v>8.5979E-2</v>
      </c>
      <c r="E92">
        <v>3.9446000000000002E-2</v>
      </c>
      <c r="F92">
        <v>1.4067E-2</v>
      </c>
      <c r="G92">
        <v>1.3724E-2</v>
      </c>
      <c r="H92">
        <v>1.6149999999999999E-3</v>
      </c>
    </row>
    <row r="93" spans="1:8" x14ac:dyDescent="0.25">
      <c r="A93">
        <v>372</v>
      </c>
      <c r="B93">
        <v>1.206418</v>
      </c>
      <c r="C93">
        <v>0.187444</v>
      </c>
      <c r="D93">
        <v>7.9533999999999994E-2</v>
      </c>
      <c r="E93">
        <v>3.9162000000000002E-2</v>
      </c>
      <c r="F93">
        <v>3.9020000000000001E-3</v>
      </c>
      <c r="G93">
        <v>1.4557E-2</v>
      </c>
      <c r="H93">
        <v>5.8929999999999998E-3</v>
      </c>
    </row>
    <row r="94" spans="1:8" x14ac:dyDescent="0.25">
      <c r="A94">
        <v>374</v>
      </c>
      <c r="B94">
        <v>1.136711</v>
      </c>
      <c r="C94">
        <v>0.181254</v>
      </c>
      <c r="D94">
        <v>9.3437000000000006E-2</v>
      </c>
      <c r="E94">
        <v>3.2999000000000001E-2</v>
      </c>
      <c r="F94">
        <v>-6.0169999999999998E-3</v>
      </c>
      <c r="G94">
        <v>9.221E-3</v>
      </c>
      <c r="H94">
        <v>1.0791E-2</v>
      </c>
    </row>
    <row r="95" spans="1:8" x14ac:dyDescent="0.25">
      <c r="A95">
        <v>376</v>
      </c>
      <c r="B95">
        <v>1.044503</v>
      </c>
      <c r="C95">
        <v>0.171462</v>
      </c>
      <c r="D95">
        <v>0.102503</v>
      </c>
      <c r="E95">
        <v>3.5160999999999998E-2</v>
      </c>
      <c r="F95">
        <v>-9.0880000000000006E-3</v>
      </c>
      <c r="G95">
        <v>6.9490000000000003E-3</v>
      </c>
      <c r="H95">
        <v>6.5430000000000002E-3</v>
      </c>
    </row>
    <row r="96" spans="1:8" x14ac:dyDescent="0.25">
      <c r="A96">
        <v>378</v>
      </c>
      <c r="B96">
        <v>0.95705600000000002</v>
      </c>
      <c r="C96">
        <v>0.154499</v>
      </c>
      <c r="D96">
        <v>9.4053999999999999E-2</v>
      </c>
      <c r="E96">
        <v>4.0780999999999998E-2</v>
      </c>
      <c r="F96">
        <v>2.676E-3</v>
      </c>
      <c r="G96" s="117">
        <v>-7.4505799999999997E-6</v>
      </c>
      <c r="H96">
        <v>-9.8400000000000007E-4</v>
      </c>
    </row>
    <row r="97" spans="1:8" x14ac:dyDescent="0.25">
      <c r="A97">
        <v>380</v>
      </c>
      <c r="B97">
        <v>0.88362099999999999</v>
      </c>
      <c r="C97">
        <v>0.14321999999999999</v>
      </c>
      <c r="D97">
        <v>9.9784999999999999E-2</v>
      </c>
      <c r="E97">
        <v>4.2762000000000001E-2</v>
      </c>
      <c r="F97">
        <v>5.5149999999999999E-3</v>
      </c>
      <c r="G97">
        <v>3.3960000000000001E-3</v>
      </c>
      <c r="H97">
        <v>5.9900000000000003E-4</v>
      </c>
    </row>
    <row r="98" spans="1:8" x14ac:dyDescent="0.25">
      <c r="A98">
        <v>382</v>
      </c>
      <c r="B98">
        <v>0.79701200000000005</v>
      </c>
      <c r="C98">
        <v>0.146922</v>
      </c>
      <c r="D98">
        <v>0.10834000000000001</v>
      </c>
      <c r="E98">
        <v>4.6537000000000002E-2</v>
      </c>
      <c r="F98">
        <v>-1.1802999999999999E-2</v>
      </c>
      <c r="G98">
        <v>4.6420000000000003E-3</v>
      </c>
      <c r="H98">
        <v>9.3550000000000005E-3</v>
      </c>
    </row>
    <row r="99" spans="1:8" x14ac:dyDescent="0.25">
      <c r="A99">
        <v>384</v>
      </c>
      <c r="B99">
        <v>0.70510399999999995</v>
      </c>
      <c r="C99">
        <v>0.15743499999999999</v>
      </c>
      <c r="D99">
        <v>0.108986</v>
      </c>
      <c r="E99">
        <v>5.4801999999999997E-2</v>
      </c>
      <c r="F99">
        <v>-1.6116999999999999E-2</v>
      </c>
      <c r="G99">
        <v>4.6480000000000002E-3</v>
      </c>
      <c r="H99">
        <v>1.192E-2</v>
      </c>
    </row>
    <row r="100" spans="1:8" x14ac:dyDescent="0.25">
      <c r="A100">
        <v>386</v>
      </c>
      <c r="B100">
        <v>0.61725300000000005</v>
      </c>
      <c r="C100">
        <v>0.15218799999999999</v>
      </c>
      <c r="D100">
        <v>0.112721</v>
      </c>
      <c r="E100">
        <v>5.5019999999999999E-2</v>
      </c>
      <c r="F100">
        <v>-1.3572000000000001E-2</v>
      </c>
      <c r="G100">
        <v>9.1750000000000009E-3</v>
      </c>
      <c r="H100">
        <v>6.45E-3</v>
      </c>
    </row>
    <row r="101" spans="1:8" x14ac:dyDescent="0.25">
      <c r="A101">
        <v>388</v>
      </c>
      <c r="B101">
        <v>0.54432800000000003</v>
      </c>
      <c r="C101">
        <v>0.13899500000000001</v>
      </c>
      <c r="D101">
        <v>0.11956</v>
      </c>
      <c r="E101">
        <v>6.0144000000000003E-2</v>
      </c>
      <c r="F101">
        <v>-1.3828E-2</v>
      </c>
      <c r="G101">
        <v>7.5040000000000003E-3</v>
      </c>
      <c r="H101">
        <v>5.2899999999999996E-4</v>
      </c>
    </row>
    <row r="102" spans="1:8" x14ac:dyDescent="0.25">
      <c r="A102">
        <v>390</v>
      </c>
      <c r="B102">
        <v>0.47117199999999998</v>
      </c>
      <c r="C102">
        <v>0.13372999999999999</v>
      </c>
      <c r="D102">
        <v>0.132522</v>
      </c>
      <c r="E102">
        <v>6.7223000000000005E-2</v>
      </c>
      <c r="F102">
        <v>-7.672E-3</v>
      </c>
      <c r="G102">
        <v>2.2820000000000002E-3</v>
      </c>
      <c r="H102">
        <v>7.8480000000000008E-3</v>
      </c>
    </row>
    <row r="103" spans="1:8" x14ac:dyDescent="0.25">
      <c r="A103">
        <v>392</v>
      </c>
      <c r="B103">
        <v>0.40649999999999997</v>
      </c>
      <c r="C103">
        <v>0.138874</v>
      </c>
      <c r="D103">
        <v>0.13902600000000001</v>
      </c>
      <c r="E103">
        <v>6.2498999999999999E-2</v>
      </c>
      <c r="F103">
        <v>-8.1410000000000007E-3</v>
      </c>
      <c r="G103">
        <v>3.3660000000000001E-3</v>
      </c>
      <c r="H103">
        <v>8.0940000000000005E-3</v>
      </c>
    </row>
    <row r="104" spans="1:8" x14ac:dyDescent="0.25">
      <c r="A104">
        <v>394</v>
      </c>
      <c r="B104">
        <v>0.34737000000000001</v>
      </c>
      <c r="C104">
        <v>0.145567</v>
      </c>
      <c r="D104">
        <v>0.14652200000000001</v>
      </c>
      <c r="E104">
        <v>6.4139000000000002E-2</v>
      </c>
      <c r="F104">
        <v>-8.8210000000000007E-3</v>
      </c>
      <c r="G104">
        <v>7.084E-3</v>
      </c>
      <c r="H104">
        <v>3.5070000000000001E-3</v>
      </c>
    </row>
    <row r="105" spans="1:8" x14ac:dyDescent="0.25">
      <c r="A105">
        <v>396</v>
      </c>
      <c r="B105">
        <v>0.28878900000000002</v>
      </c>
      <c r="C105">
        <v>0.13494999999999999</v>
      </c>
      <c r="D105">
        <v>0.15793399999999999</v>
      </c>
      <c r="E105">
        <v>5.8805000000000003E-2</v>
      </c>
      <c r="F105">
        <v>-2.1419999999999998E-3</v>
      </c>
      <c r="G105">
        <v>7.6449999999999999E-3</v>
      </c>
      <c r="H105">
        <v>2.3609999999999998E-3</v>
      </c>
    </row>
    <row r="106" spans="1:8" x14ac:dyDescent="0.25">
      <c r="A106">
        <v>398</v>
      </c>
      <c r="B106">
        <v>0.24358399999999999</v>
      </c>
      <c r="C106">
        <v>0.125587</v>
      </c>
      <c r="D106">
        <v>0.15273800000000001</v>
      </c>
      <c r="E106">
        <v>6.0545000000000002E-2</v>
      </c>
      <c r="F106">
        <v>-4.6129999999999999E-3</v>
      </c>
      <c r="G106">
        <v>1.4605999999999999E-2</v>
      </c>
      <c r="H106">
        <v>-5.5760000000000002E-3</v>
      </c>
    </row>
    <row r="107" spans="1:8" x14ac:dyDescent="0.25">
      <c r="A107">
        <v>400</v>
      </c>
      <c r="B107">
        <v>0.20355799999999999</v>
      </c>
      <c r="C107">
        <v>0.13170899999999999</v>
      </c>
      <c r="D107">
        <v>0.16200200000000001</v>
      </c>
      <c r="E107">
        <v>6.9917000000000007E-2</v>
      </c>
      <c r="F107">
        <v>-6.3359999999999996E-3</v>
      </c>
      <c r="G107">
        <v>1.4893999999999999E-2</v>
      </c>
      <c r="H107">
        <v>-5.5729999999999998E-3</v>
      </c>
    </row>
    <row r="108" spans="1:8" x14ac:dyDescent="0.25">
      <c r="A108">
        <v>402</v>
      </c>
      <c r="B108">
        <v>0.16239600000000001</v>
      </c>
      <c r="C108">
        <v>0.13356699999999999</v>
      </c>
      <c r="D108">
        <v>0.17591499999999999</v>
      </c>
      <c r="E108">
        <v>6.9646E-2</v>
      </c>
      <c r="F108">
        <v>-5.0900000000000001E-4</v>
      </c>
      <c r="G108">
        <v>7.2449999999999997E-3</v>
      </c>
      <c r="H108">
        <v>7.5600000000000005E-4</v>
      </c>
    </row>
    <row r="109" spans="1:8" x14ac:dyDescent="0.25">
      <c r="A109">
        <v>404</v>
      </c>
      <c r="B109">
        <v>0.128243</v>
      </c>
      <c r="C109">
        <v>0.13342999999999999</v>
      </c>
      <c r="D109">
        <v>0.17779200000000001</v>
      </c>
      <c r="E109">
        <v>8.0948000000000006E-2</v>
      </c>
      <c r="F109">
        <v>-1.5200000000000001E-3</v>
      </c>
      <c r="G109">
        <v>1.2719999999999999E-3</v>
      </c>
      <c r="H109">
        <v>5.1520000000000003E-3</v>
      </c>
    </row>
    <row r="110" spans="1:8" x14ac:dyDescent="0.25">
      <c r="A110">
        <v>406</v>
      </c>
      <c r="B110">
        <v>0.10538699999999999</v>
      </c>
      <c r="C110">
        <v>0.132964</v>
      </c>
      <c r="D110">
        <v>0.18993299999999999</v>
      </c>
      <c r="E110">
        <v>8.9272000000000004E-2</v>
      </c>
      <c r="F110">
        <v>2.5639999999999999E-3</v>
      </c>
      <c r="G110">
        <v>-3.9029999999999998E-3</v>
      </c>
      <c r="H110">
        <v>3.545E-3</v>
      </c>
    </row>
    <row r="111" spans="1:8" x14ac:dyDescent="0.25">
      <c r="A111">
        <v>408</v>
      </c>
      <c r="B111">
        <v>8.0621999999999999E-2</v>
      </c>
      <c r="C111">
        <v>0.131435</v>
      </c>
      <c r="D111">
        <v>0.192745</v>
      </c>
      <c r="E111">
        <v>8.7454000000000004E-2</v>
      </c>
      <c r="F111">
        <v>4.8250000000000003E-3</v>
      </c>
      <c r="G111">
        <v>-2.4239999999999999E-3</v>
      </c>
      <c r="H111">
        <v>1.0292000000000001E-2</v>
      </c>
    </row>
    <row r="112" spans="1:8" x14ac:dyDescent="0.25">
      <c r="A112">
        <v>410</v>
      </c>
      <c r="B112">
        <v>6.1309000000000002E-2</v>
      </c>
      <c r="C112">
        <v>0.136324</v>
      </c>
      <c r="D112">
        <v>0.201851</v>
      </c>
      <c r="E112">
        <v>0.10230599999999999</v>
      </c>
      <c r="F112">
        <v>1.8710000000000001E-3</v>
      </c>
      <c r="G112">
        <v>-6.7320000000000001E-3</v>
      </c>
      <c r="H112">
        <v>1.9047999999999999E-2</v>
      </c>
    </row>
    <row r="113" spans="1:8" x14ac:dyDescent="0.25">
      <c r="A113">
        <v>412</v>
      </c>
      <c r="B113">
        <v>5.6474999999999997E-2</v>
      </c>
      <c r="C113">
        <v>0.13814299999999999</v>
      </c>
      <c r="D113">
        <v>0.219914</v>
      </c>
      <c r="E113">
        <v>0.115298</v>
      </c>
      <c r="F113">
        <v>3.473E-3</v>
      </c>
      <c r="G113">
        <v>-8.3540000000000003E-3</v>
      </c>
      <c r="H113">
        <v>5.3610000000000003E-3</v>
      </c>
    </row>
    <row r="114" spans="1:8" x14ac:dyDescent="0.25">
      <c r="A114">
        <v>414</v>
      </c>
      <c r="B114">
        <v>4.3445999999999999E-2</v>
      </c>
      <c r="C114">
        <v>0.13672999999999999</v>
      </c>
      <c r="D114">
        <v>0.22417500000000001</v>
      </c>
      <c r="E114">
        <v>0.11212999999999999</v>
      </c>
      <c r="F114">
        <v>-1.967E-3</v>
      </c>
      <c r="G114">
        <v>-3.6970000000000002E-3</v>
      </c>
      <c r="H114">
        <v>-6.0850000000000001E-3</v>
      </c>
    </row>
    <row r="115" spans="1:8" x14ac:dyDescent="0.25">
      <c r="A115">
        <v>416</v>
      </c>
      <c r="B115">
        <v>2.8646999999999999E-2</v>
      </c>
      <c r="C115">
        <v>0.13269700000000001</v>
      </c>
      <c r="D115">
        <v>0.23138300000000001</v>
      </c>
      <c r="E115">
        <v>0.115366</v>
      </c>
      <c r="F115">
        <v>-1.0229E-2</v>
      </c>
      <c r="G115">
        <v>4.4759999999999999E-3</v>
      </c>
      <c r="H115">
        <v>1.1479999999999999E-3</v>
      </c>
    </row>
    <row r="116" spans="1:8" x14ac:dyDescent="0.25">
      <c r="A116">
        <v>418</v>
      </c>
      <c r="B116">
        <v>2.2412999999999999E-2</v>
      </c>
      <c r="C116">
        <v>0.12781000000000001</v>
      </c>
      <c r="D116">
        <v>0.23539499999999999</v>
      </c>
      <c r="E116">
        <v>0.12177399999999999</v>
      </c>
      <c r="F116">
        <v>-1.5639E-2</v>
      </c>
      <c r="G116">
        <v>9.3620000000000005E-3</v>
      </c>
      <c r="H116">
        <v>1.0647E-2</v>
      </c>
    </row>
    <row r="117" spans="1:8" x14ac:dyDescent="0.25">
      <c r="A117">
        <v>420</v>
      </c>
      <c r="B117">
        <v>1.3205E-2</v>
      </c>
      <c r="C117">
        <v>0.123347</v>
      </c>
      <c r="D117">
        <v>0.24215700000000001</v>
      </c>
      <c r="E117">
        <v>0.12762799999999999</v>
      </c>
      <c r="F117">
        <v>-2.3091E-2</v>
      </c>
      <c r="G117">
        <v>5.5710000000000004E-3</v>
      </c>
      <c r="H117">
        <v>1.2015E-2</v>
      </c>
    </row>
    <row r="118" spans="1:8" x14ac:dyDescent="0.25">
      <c r="A118">
        <v>422</v>
      </c>
      <c r="B118">
        <v>5.3819999999999996E-3</v>
      </c>
      <c r="C118">
        <v>0.11819399999999999</v>
      </c>
      <c r="D118">
        <v>0.252639</v>
      </c>
      <c r="E118">
        <v>0.13730999999999999</v>
      </c>
      <c r="F118">
        <v>-1.3363999999999999E-2</v>
      </c>
      <c r="G118">
        <v>7.058E-3</v>
      </c>
      <c r="H118">
        <v>1.0714E-2</v>
      </c>
    </row>
    <row r="119" spans="1:8" x14ac:dyDescent="0.25">
      <c r="A119">
        <v>424</v>
      </c>
      <c r="B119">
        <v>5.6350000000000003E-3</v>
      </c>
      <c r="C119">
        <v>0.11200300000000001</v>
      </c>
      <c r="D119">
        <v>0.259266</v>
      </c>
      <c r="E119">
        <v>0.143564</v>
      </c>
      <c r="F119">
        <v>-4.3740000000000003E-3</v>
      </c>
      <c r="G119">
        <v>6.2570000000000004E-3</v>
      </c>
      <c r="H119">
        <v>1.3213000000000001E-2</v>
      </c>
    </row>
    <row r="120" spans="1:8" x14ac:dyDescent="0.25">
      <c r="A120">
        <v>426</v>
      </c>
      <c r="B120">
        <v>7.5030000000000001E-3</v>
      </c>
      <c r="C120">
        <v>0.11157599999999999</v>
      </c>
      <c r="D120">
        <v>0.27727800000000002</v>
      </c>
      <c r="E120">
        <v>0.153642</v>
      </c>
      <c r="F120">
        <v>-1.0710000000000001E-2</v>
      </c>
      <c r="G120">
        <v>1.8029999999999999E-3</v>
      </c>
      <c r="H120">
        <v>2.1881999999999999E-2</v>
      </c>
    </row>
    <row r="121" spans="1:8" x14ac:dyDescent="0.25">
      <c r="A121">
        <v>428</v>
      </c>
      <c r="B121">
        <v>4.0229999999999997E-3</v>
      </c>
      <c r="C121">
        <v>0.114189</v>
      </c>
      <c r="D121">
        <v>0.30171300000000001</v>
      </c>
      <c r="E121">
        <v>0.165737</v>
      </c>
      <c r="F121">
        <v>6.87E-4</v>
      </c>
      <c r="G121">
        <v>-5.888E-3</v>
      </c>
      <c r="H121">
        <v>1.6480999999999999E-2</v>
      </c>
    </row>
    <row r="122" spans="1:8" x14ac:dyDescent="0.25">
      <c r="A122">
        <v>430</v>
      </c>
      <c r="B122">
        <v>-7.7289999999999998E-3</v>
      </c>
      <c r="C122">
        <v>0.112633</v>
      </c>
      <c r="D122">
        <v>0.316718</v>
      </c>
      <c r="E122">
        <v>0.17066100000000001</v>
      </c>
      <c r="F122">
        <v>2.3059999999999999E-3</v>
      </c>
      <c r="G122">
        <v>-9.8289999999999992E-3</v>
      </c>
      <c r="H122">
        <v>7.182E-3</v>
      </c>
    </row>
    <row r="123" spans="1:8" x14ac:dyDescent="0.25">
      <c r="A123">
        <v>432</v>
      </c>
      <c r="B123">
        <v>-9.4420000000000007E-3</v>
      </c>
      <c r="C123">
        <v>0.109015</v>
      </c>
      <c r="D123">
        <v>0.331152</v>
      </c>
      <c r="E123">
        <v>0.18279599999999999</v>
      </c>
      <c r="F123">
        <v>-1.5594999999999999E-2</v>
      </c>
      <c r="G123">
        <v>-1.9729999999999999E-3</v>
      </c>
      <c r="H123">
        <v>5.7990000000000003E-3</v>
      </c>
    </row>
    <row r="124" spans="1:8" x14ac:dyDescent="0.25">
      <c r="A124">
        <v>434</v>
      </c>
      <c r="B124">
        <v>-1.049E-3</v>
      </c>
      <c r="C124">
        <v>0.12088500000000001</v>
      </c>
      <c r="D124">
        <v>0.34079100000000001</v>
      </c>
      <c r="E124">
        <v>0.193081</v>
      </c>
      <c r="F124">
        <v>-1.3483999999999999E-2</v>
      </c>
      <c r="G124">
        <v>-2.3699999999999999E-4</v>
      </c>
      <c r="H124">
        <v>4.1450000000000002E-3</v>
      </c>
    </row>
    <row r="125" spans="1:8" x14ac:dyDescent="0.25">
      <c r="A125">
        <v>436</v>
      </c>
      <c r="B125">
        <v>2.8900000000000002E-3</v>
      </c>
      <c r="C125">
        <v>0.132905</v>
      </c>
      <c r="D125">
        <v>0.34563500000000003</v>
      </c>
      <c r="E125">
        <v>0.19828699999999999</v>
      </c>
      <c r="F125">
        <v>-1.3044E-2</v>
      </c>
      <c r="G125">
        <v>4.2630000000000003E-3</v>
      </c>
      <c r="H125">
        <v>1.6832E-2</v>
      </c>
    </row>
    <row r="126" spans="1:8" x14ac:dyDescent="0.25">
      <c r="A126">
        <v>438</v>
      </c>
      <c r="B126">
        <v>5.5199999999999997E-4</v>
      </c>
      <c r="C126">
        <v>0.12689500000000001</v>
      </c>
      <c r="D126">
        <v>0.35688399999999998</v>
      </c>
      <c r="E126">
        <v>0.21054200000000001</v>
      </c>
      <c r="F126">
        <v>-1.4422000000000001E-2</v>
      </c>
      <c r="G126">
        <v>2.604E-3</v>
      </c>
      <c r="H126">
        <v>1.4253E-2</v>
      </c>
    </row>
    <row r="127" spans="1:8" x14ac:dyDescent="0.25">
      <c r="A127">
        <v>440</v>
      </c>
      <c r="B127">
        <v>-6.9189999999999998E-3</v>
      </c>
      <c r="C127">
        <v>0.13456899999999999</v>
      </c>
      <c r="D127">
        <v>0.37190000000000001</v>
      </c>
      <c r="E127">
        <v>0.226969</v>
      </c>
      <c r="F127">
        <v>6.5399999999999996E-4</v>
      </c>
      <c r="G127">
        <v>-4.0340000000000003E-3</v>
      </c>
      <c r="H127">
        <v>2.5929999999999998E-3</v>
      </c>
    </row>
    <row r="128" spans="1:8" x14ac:dyDescent="0.25">
      <c r="A128">
        <v>442</v>
      </c>
      <c r="B128">
        <v>-1.5330000000000001E-3</v>
      </c>
      <c r="C128">
        <v>0.12697900000000001</v>
      </c>
      <c r="D128">
        <v>0.38529000000000002</v>
      </c>
      <c r="E128">
        <v>0.23504</v>
      </c>
      <c r="F128">
        <v>8.8970000000000004E-3</v>
      </c>
      <c r="G128">
        <v>-1.1056E-2</v>
      </c>
      <c r="H128">
        <v>1.874E-3</v>
      </c>
    </row>
    <row r="129" spans="1:8" x14ac:dyDescent="0.25">
      <c r="A129">
        <v>444</v>
      </c>
      <c r="B129">
        <v>1.2368000000000001E-2</v>
      </c>
      <c r="C129">
        <v>0.12377299999999999</v>
      </c>
      <c r="D129">
        <v>0.40649999999999997</v>
      </c>
      <c r="E129">
        <v>0.24496299999999999</v>
      </c>
      <c r="F129">
        <v>4.3080000000000002E-3</v>
      </c>
      <c r="G129">
        <v>-1.6833999999999998E-2</v>
      </c>
      <c r="H129">
        <v>-4.0730000000000002E-3</v>
      </c>
    </row>
    <row r="130" spans="1:8" x14ac:dyDescent="0.25">
      <c r="A130">
        <v>446</v>
      </c>
      <c r="B130">
        <v>1.5401E-2</v>
      </c>
      <c r="C130">
        <v>0.13358300000000001</v>
      </c>
      <c r="D130">
        <v>0.42363899999999999</v>
      </c>
      <c r="E130">
        <v>0.25890299999999999</v>
      </c>
      <c r="F130">
        <v>-1.2397999999999999E-2</v>
      </c>
      <c r="G130">
        <v>-1.5069000000000001E-2</v>
      </c>
      <c r="H130">
        <v>-1.09E-3</v>
      </c>
    </row>
    <row r="131" spans="1:8" x14ac:dyDescent="0.25">
      <c r="A131">
        <v>448</v>
      </c>
      <c r="B131">
        <v>6.4819999999999999E-3</v>
      </c>
      <c r="C131">
        <v>0.12343800000000001</v>
      </c>
      <c r="D131">
        <v>0.44843300000000003</v>
      </c>
      <c r="E131">
        <v>0.27578599999999998</v>
      </c>
      <c r="F131">
        <v>-2.7498999999999999E-2</v>
      </c>
      <c r="G131">
        <v>-6.5839999999999996E-3</v>
      </c>
      <c r="H131">
        <v>1.3894999999999999E-2</v>
      </c>
    </row>
    <row r="132" spans="1:8" x14ac:dyDescent="0.25">
      <c r="A132">
        <v>450</v>
      </c>
      <c r="B132">
        <v>2.3640000000000002E-3</v>
      </c>
      <c r="C132">
        <v>0.108446</v>
      </c>
      <c r="D132">
        <v>0.47229900000000002</v>
      </c>
      <c r="E132">
        <v>0.28653000000000001</v>
      </c>
      <c r="F132">
        <v>-1.5720000000000001E-2</v>
      </c>
      <c r="G132">
        <v>-5.7330000000000002E-3</v>
      </c>
      <c r="H132">
        <v>1.0385999999999999E-2</v>
      </c>
    </row>
    <row r="133" spans="1:8" x14ac:dyDescent="0.25">
      <c r="A133">
        <v>452</v>
      </c>
      <c r="B133">
        <v>3.6960000000000001E-3</v>
      </c>
      <c r="C133">
        <v>8.9080000000000006E-2</v>
      </c>
      <c r="D133">
        <v>0.47837499999999999</v>
      </c>
      <c r="E133">
        <v>0.276592</v>
      </c>
      <c r="F133">
        <v>-8.6390000000000008E-3</v>
      </c>
      <c r="G133">
        <v>-2.0951000000000001E-2</v>
      </c>
      <c r="H133">
        <v>8.3699999999999996E-4</v>
      </c>
    </row>
    <row r="134" spans="1:8" x14ac:dyDescent="0.25">
      <c r="A134">
        <v>454</v>
      </c>
      <c r="B134">
        <v>6.1260000000000004E-3</v>
      </c>
      <c r="C134">
        <v>9.2844999999999997E-2</v>
      </c>
      <c r="D134">
        <v>0.49229800000000001</v>
      </c>
      <c r="E134">
        <v>0.27321699999999999</v>
      </c>
      <c r="F134">
        <v>-1.2969E-2</v>
      </c>
      <c r="G134">
        <v>-1.1341E-2</v>
      </c>
      <c r="H134">
        <v>-7.0850000000000002E-3</v>
      </c>
    </row>
    <row r="135" spans="1:8" x14ac:dyDescent="0.25">
      <c r="A135">
        <v>456</v>
      </c>
      <c r="B135">
        <v>1.2253E-2</v>
      </c>
      <c r="C135">
        <v>0.110918</v>
      </c>
      <c r="D135">
        <v>0.52231300000000003</v>
      </c>
      <c r="E135">
        <v>0.30428500000000003</v>
      </c>
      <c r="F135">
        <v>-1.2166E-2</v>
      </c>
      <c r="G135">
        <v>-1.124E-3</v>
      </c>
      <c r="H135">
        <v>-9.5969999999999996E-3</v>
      </c>
    </row>
    <row r="136" spans="1:8" x14ac:dyDescent="0.25">
      <c r="A136">
        <v>458</v>
      </c>
      <c r="B136">
        <v>1.1292999999999999E-2</v>
      </c>
      <c r="C136">
        <v>0.13270199999999999</v>
      </c>
      <c r="D136">
        <v>0.52522400000000002</v>
      </c>
      <c r="E136">
        <v>0.31934800000000002</v>
      </c>
      <c r="F136">
        <v>-7.9710000000000007E-3</v>
      </c>
      <c r="G136">
        <v>3.4499999999999999E-3</v>
      </c>
      <c r="H136">
        <v>1.0730999999999999E-2</v>
      </c>
    </row>
    <row r="137" spans="1:8" x14ac:dyDescent="0.25">
      <c r="A137">
        <v>460</v>
      </c>
      <c r="B137">
        <v>6.9519999999999998E-3</v>
      </c>
      <c r="C137">
        <v>0.12748999999999999</v>
      </c>
      <c r="D137">
        <v>0.53534099999999996</v>
      </c>
      <c r="E137">
        <v>0.30762600000000001</v>
      </c>
      <c r="F137">
        <v>-4.6740000000000002E-3</v>
      </c>
      <c r="G137">
        <v>1.1198E-2</v>
      </c>
      <c r="H137">
        <v>3.1837999999999998E-2</v>
      </c>
    </row>
    <row r="138" spans="1:8" x14ac:dyDescent="0.25">
      <c r="A138">
        <v>462</v>
      </c>
      <c r="B138">
        <v>6.9871000000000003E-2</v>
      </c>
      <c r="C138">
        <v>-0.12016499999999999</v>
      </c>
      <c r="D138">
        <v>0.67876800000000004</v>
      </c>
      <c r="E138">
        <v>0.45418799999999998</v>
      </c>
      <c r="F138">
        <v>-8.3700000000000007E-3</v>
      </c>
      <c r="G138">
        <v>-2.8646999999999999E-2</v>
      </c>
      <c r="H138">
        <v>0.141373</v>
      </c>
    </row>
    <row r="139" spans="1:8" x14ac:dyDescent="0.25">
      <c r="A139">
        <v>464</v>
      </c>
      <c r="B139">
        <v>0.104129</v>
      </c>
      <c r="C139">
        <v>-0.25074200000000002</v>
      </c>
      <c r="D139">
        <v>0.741892</v>
      </c>
      <c r="E139">
        <v>0.554253</v>
      </c>
      <c r="F139">
        <v>-1.6379999999999999E-3</v>
      </c>
      <c r="G139">
        <v>-4.8452000000000002E-2</v>
      </c>
      <c r="H139">
        <v>0.189855</v>
      </c>
    </row>
    <row r="140" spans="1:8" x14ac:dyDescent="0.25">
      <c r="A140">
        <v>466</v>
      </c>
      <c r="B140">
        <v>3.9897000000000002E-2</v>
      </c>
      <c r="C140">
        <v>-3.5045E-2</v>
      </c>
      <c r="D140">
        <v>0.62461500000000003</v>
      </c>
      <c r="E140">
        <v>0.433645</v>
      </c>
      <c r="F140">
        <v>-9.6279999999999994E-3</v>
      </c>
      <c r="G140">
        <v>-1.9585999999999999E-2</v>
      </c>
      <c r="H140">
        <v>8.2791000000000003E-2</v>
      </c>
    </row>
    <row r="141" spans="1:8" x14ac:dyDescent="0.25">
      <c r="A141">
        <v>468</v>
      </c>
      <c r="B141">
        <v>-7.4999999999999993E-5</v>
      </c>
      <c r="C141">
        <v>8.7041999999999994E-2</v>
      </c>
      <c r="D141">
        <v>0.54542299999999999</v>
      </c>
      <c r="E141">
        <v>0.35436299999999998</v>
      </c>
      <c r="F141">
        <v>-2.7282000000000001E-2</v>
      </c>
      <c r="G141">
        <v>-7.234E-3</v>
      </c>
      <c r="H141">
        <v>7.0320000000000001E-3</v>
      </c>
    </row>
    <row r="142" spans="1:8" x14ac:dyDescent="0.25">
      <c r="A142">
        <v>470</v>
      </c>
      <c r="B142">
        <v>3.0839999999999999E-3</v>
      </c>
      <c r="C142">
        <v>8.1804000000000002E-2</v>
      </c>
      <c r="D142">
        <v>0.546041</v>
      </c>
      <c r="E142">
        <v>0.36552400000000002</v>
      </c>
      <c r="F142">
        <v>-2.9243999999999999E-2</v>
      </c>
      <c r="G142">
        <v>-1.291E-2</v>
      </c>
      <c r="H142">
        <v>-1.1627E-2</v>
      </c>
    </row>
    <row r="143" spans="1:8" x14ac:dyDescent="0.25">
      <c r="A143">
        <v>472</v>
      </c>
      <c r="B143">
        <v>-2.8349999999999998E-3</v>
      </c>
      <c r="C143">
        <v>0.134272</v>
      </c>
      <c r="D143">
        <v>0.53193299999999999</v>
      </c>
      <c r="E143">
        <v>0.38399499999999998</v>
      </c>
      <c r="F143">
        <v>-3.3550999999999997E-2</v>
      </c>
      <c r="G143">
        <v>5.9299999999999999E-4</v>
      </c>
      <c r="H143">
        <v>1.1889E-2</v>
      </c>
    </row>
    <row r="144" spans="1:8" x14ac:dyDescent="0.25">
      <c r="A144">
        <v>474</v>
      </c>
      <c r="B144">
        <v>4.653E-3</v>
      </c>
      <c r="C144">
        <v>0.15754499999999999</v>
      </c>
      <c r="D144">
        <v>0.53488800000000003</v>
      </c>
      <c r="E144">
        <v>0.38267099999999998</v>
      </c>
      <c r="F144">
        <v>-2.7019000000000001E-2</v>
      </c>
      <c r="G144">
        <v>-5.2899999999999996E-4</v>
      </c>
      <c r="H144">
        <v>2.9309999999999999E-2</v>
      </c>
    </row>
    <row r="145" spans="1:8" x14ac:dyDescent="0.25">
      <c r="A145">
        <v>476</v>
      </c>
      <c r="B145">
        <v>1.6913000000000001E-2</v>
      </c>
      <c r="C145">
        <v>0.11554</v>
      </c>
      <c r="D145">
        <v>0.58321500000000004</v>
      </c>
      <c r="E145">
        <v>0.37804399999999999</v>
      </c>
      <c r="F145">
        <v>-1.0486000000000001E-2</v>
      </c>
      <c r="G145">
        <v>3.7190000000000001E-3</v>
      </c>
      <c r="H145">
        <v>-3.1159999999999998E-3</v>
      </c>
    </row>
    <row r="146" spans="1:8" x14ac:dyDescent="0.25">
      <c r="A146">
        <v>478</v>
      </c>
      <c r="B146">
        <v>1.85E-4</v>
      </c>
      <c r="C146">
        <v>0.102228</v>
      </c>
      <c r="D146">
        <v>0.60802199999999995</v>
      </c>
      <c r="E146">
        <v>0.39014300000000002</v>
      </c>
      <c r="F146">
        <v>-1.7830000000000001E-3</v>
      </c>
      <c r="G146">
        <v>1.2935E-2</v>
      </c>
      <c r="H146">
        <v>-3.6510000000000002E-3</v>
      </c>
    </row>
    <row r="147" spans="1:8" x14ac:dyDescent="0.25">
      <c r="A147">
        <v>480</v>
      </c>
      <c r="B147">
        <v>-8.1659999999999996E-3</v>
      </c>
      <c r="C147">
        <v>0.14086599999999999</v>
      </c>
      <c r="D147">
        <v>0.59336500000000003</v>
      </c>
      <c r="E147">
        <v>0.38602999999999998</v>
      </c>
      <c r="F147">
        <v>-1.0014E-2</v>
      </c>
      <c r="G147">
        <v>2.545E-3</v>
      </c>
      <c r="H147">
        <v>1.0843E-2</v>
      </c>
    </row>
    <row r="148" spans="1:8" x14ac:dyDescent="0.25">
      <c r="A148">
        <v>482</v>
      </c>
      <c r="B148">
        <v>8.6940000000000003E-3</v>
      </c>
      <c r="C148">
        <v>3.0023000000000001E-2</v>
      </c>
      <c r="D148">
        <v>0.64140200000000003</v>
      </c>
      <c r="E148">
        <v>0.38054199999999999</v>
      </c>
      <c r="F148">
        <v>6.0460000000000002E-3</v>
      </c>
      <c r="G148">
        <v>-1.444E-3</v>
      </c>
      <c r="H148">
        <v>2.944E-3</v>
      </c>
    </row>
    <row r="149" spans="1:8" x14ac:dyDescent="0.25">
      <c r="A149">
        <v>484</v>
      </c>
      <c r="B149">
        <v>1.6694000000000001E-2</v>
      </c>
      <c r="C149">
        <v>-6.9753999999999997E-2</v>
      </c>
      <c r="D149">
        <v>0.65358499999999997</v>
      </c>
      <c r="E149">
        <v>0.39043899999999998</v>
      </c>
      <c r="F149">
        <v>-7.9459999999999999E-3</v>
      </c>
      <c r="G149">
        <v>-6.4819999999999999E-3</v>
      </c>
      <c r="H149">
        <v>2.8518000000000002E-2</v>
      </c>
    </row>
    <row r="150" spans="1:8" x14ac:dyDescent="0.25">
      <c r="A150">
        <v>486</v>
      </c>
      <c r="B150">
        <v>5.3429999999999997E-3</v>
      </c>
      <c r="C150">
        <v>8.5570999999999994E-2</v>
      </c>
      <c r="D150">
        <v>0.61210500000000001</v>
      </c>
      <c r="E150">
        <v>0.39410699999999999</v>
      </c>
      <c r="F150">
        <v>-2.3608000000000001E-2</v>
      </c>
      <c r="G150">
        <v>-8.0239999999999999E-3</v>
      </c>
      <c r="H150">
        <v>7.1360999999999994E-2</v>
      </c>
    </row>
    <row r="151" spans="1:8" x14ac:dyDescent="0.25">
      <c r="A151">
        <v>488</v>
      </c>
      <c r="B151">
        <v>3.8499999999999998E-4</v>
      </c>
      <c r="C151">
        <v>0.19430800000000001</v>
      </c>
      <c r="D151">
        <v>0.61431599999999997</v>
      </c>
      <c r="E151">
        <v>0.399279</v>
      </c>
      <c r="F151">
        <v>-1.8995000000000001E-2</v>
      </c>
      <c r="G151">
        <v>-2.7000000000000001E-3</v>
      </c>
      <c r="H151">
        <v>5.8153999999999997E-2</v>
      </c>
    </row>
    <row r="152" spans="1:8" x14ac:dyDescent="0.25">
      <c r="A152">
        <v>490</v>
      </c>
      <c r="B152">
        <v>8.0809999999999996E-3</v>
      </c>
      <c r="C152">
        <v>9.9954000000000001E-2</v>
      </c>
      <c r="D152">
        <v>0.65192000000000005</v>
      </c>
      <c r="E152">
        <v>0.40971299999999999</v>
      </c>
      <c r="F152">
        <v>-2.7753E-2</v>
      </c>
      <c r="G152">
        <v>-1.85E-4</v>
      </c>
      <c r="H152">
        <v>-1.1729E-2</v>
      </c>
    </row>
    <row r="153" spans="1:8" x14ac:dyDescent="0.25">
      <c r="A153">
        <v>492</v>
      </c>
      <c r="B153">
        <v>-3.3500000000000001E-3</v>
      </c>
      <c r="C153">
        <v>0.12285699999999999</v>
      </c>
      <c r="D153">
        <v>0.64951000000000003</v>
      </c>
      <c r="E153">
        <v>0.39669399999999999</v>
      </c>
      <c r="F153">
        <v>-2.8254000000000001E-2</v>
      </c>
      <c r="G153">
        <v>2.545E-3</v>
      </c>
      <c r="H153">
        <v>-4.2830000000000003E-3</v>
      </c>
    </row>
    <row r="154" spans="1:8" x14ac:dyDescent="0.25">
      <c r="A154">
        <v>494</v>
      </c>
      <c r="B154">
        <v>-5.4590000000000003E-3</v>
      </c>
      <c r="C154">
        <v>0.137124</v>
      </c>
      <c r="D154">
        <v>0.63428799999999996</v>
      </c>
      <c r="E154">
        <v>0.401447</v>
      </c>
      <c r="F154">
        <v>-2.8181000000000001E-2</v>
      </c>
      <c r="G154">
        <v>9.9649999999999999E-3</v>
      </c>
      <c r="H154">
        <v>6.581E-3</v>
      </c>
    </row>
    <row r="155" spans="1:8" x14ac:dyDescent="0.25">
      <c r="A155">
        <v>496</v>
      </c>
      <c r="B155">
        <v>-6.7679999999999997E-3</v>
      </c>
      <c r="C155">
        <v>0.125637</v>
      </c>
      <c r="D155">
        <v>0.60097599999999995</v>
      </c>
      <c r="E155">
        <v>0.42848900000000001</v>
      </c>
      <c r="F155">
        <v>-1.5558000000000001E-2</v>
      </c>
      <c r="G155">
        <v>1.0460000000000001E-3</v>
      </c>
      <c r="H155">
        <v>1.835E-3</v>
      </c>
    </row>
    <row r="156" spans="1:8" x14ac:dyDescent="0.25">
      <c r="A156">
        <v>498</v>
      </c>
      <c r="B156">
        <v>5.6129999999999999E-3</v>
      </c>
      <c r="C156">
        <v>0.10718900000000001</v>
      </c>
      <c r="D156">
        <v>0.58352700000000002</v>
      </c>
      <c r="E156">
        <v>0.42752400000000002</v>
      </c>
      <c r="F156">
        <v>-9.0819999999999998E-3</v>
      </c>
      <c r="G156">
        <v>-5.1919999999999996E-3</v>
      </c>
      <c r="H156">
        <v>1.814E-2</v>
      </c>
    </row>
    <row r="157" spans="1:8" x14ac:dyDescent="0.25">
      <c r="A157">
        <v>500</v>
      </c>
      <c r="B157">
        <v>2.4205999999999998E-2</v>
      </c>
      <c r="C157">
        <v>0.11328199999999999</v>
      </c>
      <c r="D157">
        <v>0.555257</v>
      </c>
      <c r="E157">
        <v>0.40891499999999997</v>
      </c>
      <c r="F157">
        <v>-1.3701E-2</v>
      </c>
      <c r="G157">
        <v>-4.7499999999999999E-3</v>
      </c>
      <c r="H157">
        <v>1.8779000000000001E-2</v>
      </c>
    </row>
    <row r="158" spans="1:8" x14ac:dyDescent="0.25">
      <c r="A158">
        <v>502</v>
      </c>
      <c r="B158">
        <v>1.1355000000000001E-2</v>
      </c>
      <c r="C158">
        <v>9.1106999999999994E-2</v>
      </c>
      <c r="D158">
        <v>0.50745399999999996</v>
      </c>
      <c r="E158">
        <v>0.40819699999999998</v>
      </c>
      <c r="F158">
        <v>-3.0360999999999999E-2</v>
      </c>
      <c r="G158">
        <v>-8.1999999999999998E-4</v>
      </c>
      <c r="H158">
        <v>7.5100000000000004E-4</v>
      </c>
    </row>
    <row r="159" spans="1:8" x14ac:dyDescent="0.25">
      <c r="A159">
        <v>504</v>
      </c>
      <c r="B159">
        <v>4.823E-3</v>
      </c>
      <c r="C159">
        <v>8.7496000000000004E-2</v>
      </c>
      <c r="D159">
        <v>0.48551699999999998</v>
      </c>
      <c r="E159">
        <v>0.39263399999999998</v>
      </c>
      <c r="F159">
        <v>-3.4332000000000001E-2</v>
      </c>
      <c r="G159">
        <v>-5.7419999999999997E-3</v>
      </c>
      <c r="H159">
        <v>1.4232E-2</v>
      </c>
    </row>
    <row r="160" spans="1:8" x14ac:dyDescent="0.25">
      <c r="A160">
        <v>506</v>
      </c>
      <c r="B160">
        <v>4.738E-3</v>
      </c>
      <c r="C160">
        <v>0.103729</v>
      </c>
      <c r="D160">
        <v>0.487867</v>
      </c>
      <c r="E160">
        <v>0.37259700000000001</v>
      </c>
      <c r="F160">
        <v>-2.4643000000000002E-2</v>
      </c>
      <c r="G160">
        <v>-4.1419999999999998E-3</v>
      </c>
      <c r="H160">
        <v>1.1349E-2</v>
      </c>
    </row>
    <row r="161" spans="1:8" x14ac:dyDescent="0.25">
      <c r="A161">
        <v>508</v>
      </c>
      <c r="B161">
        <v>-7.5810000000000001E-3</v>
      </c>
      <c r="C161">
        <v>6.9907999999999998E-2</v>
      </c>
      <c r="D161">
        <v>0.46198600000000001</v>
      </c>
      <c r="E161">
        <v>0.37373200000000001</v>
      </c>
      <c r="F161">
        <v>-3.6294E-2</v>
      </c>
      <c r="G161">
        <v>6.8050000000000003E-3</v>
      </c>
      <c r="H161">
        <v>-6.8469999999999998E-3</v>
      </c>
    </row>
    <row r="162" spans="1:8" x14ac:dyDescent="0.25">
      <c r="A162">
        <v>510</v>
      </c>
      <c r="B162">
        <v>4.4299999999999998E-4</v>
      </c>
      <c r="C162">
        <v>9.7320000000000004E-2</v>
      </c>
      <c r="D162">
        <v>0.43203599999999998</v>
      </c>
      <c r="E162">
        <v>0.35786699999999999</v>
      </c>
      <c r="F162">
        <v>-3.7676000000000001E-2</v>
      </c>
      <c r="G162">
        <v>-6.6299999999999996E-4</v>
      </c>
      <c r="H162">
        <v>1.1029000000000001E-2</v>
      </c>
    </row>
    <row r="163" spans="1:8" x14ac:dyDescent="0.25">
      <c r="A163">
        <v>512</v>
      </c>
      <c r="B163">
        <v>3.4989999999999999E-3</v>
      </c>
      <c r="C163">
        <v>0.10515099999999999</v>
      </c>
      <c r="D163">
        <v>0.44323099999999999</v>
      </c>
      <c r="E163">
        <v>0.33071499999999998</v>
      </c>
      <c r="F163">
        <v>-2.4990999999999999E-2</v>
      </c>
      <c r="G163">
        <v>8.7250000000000001E-3</v>
      </c>
      <c r="H163">
        <v>1.8758E-2</v>
      </c>
    </row>
    <row r="164" spans="1:8" x14ac:dyDescent="0.25">
      <c r="A164">
        <v>514</v>
      </c>
      <c r="B164">
        <v>-9.4590000000000004E-3</v>
      </c>
      <c r="C164">
        <v>5.5872999999999999E-2</v>
      </c>
      <c r="D164">
        <v>0.44566</v>
      </c>
      <c r="E164">
        <v>0.30726799999999999</v>
      </c>
      <c r="F164">
        <v>-1.4208E-2</v>
      </c>
      <c r="G164">
        <v>3.4710000000000001E-3</v>
      </c>
      <c r="H164">
        <v>1.95E-2</v>
      </c>
    </row>
    <row r="165" spans="1:8" x14ac:dyDescent="0.25">
      <c r="A165">
        <v>516</v>
      </c>
      <c r="B165">
        <v>-7.5119999999999996E-3</v>
      </c>
      <c r="C165">
        <v>0.116379</v>
      </c>
      <c r="D165">
        <v>0.42202400000000001</v>
      </c>
      <c r="E165">
        <v>0.29391499999999998</v>
      </c>
      <c r="F165">
        <v>-1.7555999999999999E-2</v>
      </c>
      <c r="G165">
        <v>-1.2988E-2</v>
      </c>
      <c r="H165">
        <v>2.6141999999999999E-2</v>
      </c>
    </row>
    <row r="166" spans="1:8" x14ac:dyDescent="0.25">
      <c r="A166">
        <v>518</v>
      </c>
      <c r="B166">
        <v>-2.3709999999999998E-3</v>
      </c>
      <c r="C166">
        <v>9.7422999999999996E-2</v>
      </c>
      <c r="D166">
        <v>0.43032799999999999</v>
      </c>
      <c r="E166">
        <v>0.30087999999999998</v>
      </c>
      <c r="F166">
        <v>-2.0670000000000001E-2</v>
      </c>
      <c r="G166">
        <v>-6.0769999999999999E-3</v>
      </c>
      <c r="H166">
        <v>7.5529999999999998E-3</v>
      </c>
    </row>
    <row r="167" spans="1:8" x14ac:dyDescent="0.25">
      <c r="A167">
        <v>520</v>
      </c>
      <c r="B167">
        <v>-1.0932000000000001E-2</v>
      </c>
      <c r="C167">
        <v>7.4836E-2</v>
      </c>
      <c r="D167">
        <v>0.44715899999999997</v>
      </c>
      <c r="E167">
        <v>0.272675</v>
      </c>
      <c r="F167">
        <v>-1.3158E-2</v>
      </c>
      <c r="G167">
        <v>1.714E-3</v>
      </c>
      <c r="H167">
        <v>-1.936E-3</v>
      </c>
    </row>
    <row r="168" spans="1:8" x14ac:dyDescent="0.25">
      <c r="A168">
        <v>522</v>
      </c>
      <c r="B168">
        <v>-9.2180000000000005E-3</v>
      </c>
      <c r="C168">
        <v>9.9506999999999998E-2</v>
      </c>
      <c r="D168">
        <v>0.43561699999999998</v>
      </c>
      <c r="E168">
        <v>0.23719399999999999</v>
      </c>
      <c r="F168">
        <v>-2.6370999999999999E-2</v>
      </c>
      <c r="G168">
        <v>-6.9259999999999999E-3</v>
      </c>
      <c r="H168">
        <v>1.5928000000000001E-2</v>
      </c>
    </row>
    <row r="169" spans="1:8" x14ac:dyDescent="0.25">
      <c r="A169">
        <v>524</v>
      </c>
      <c r="B169">
        <v>-2.1380000000000001E-3</v>
      </c>
      <c r="C169">
        <v>4.9415000000000001E-2</v>
      </c>
      <c r="D169">
        <v>0.45629199999999998</v>
      </c>
      <c r="E169">
        <v>0.25502599999999997</v>
      </c>
      <c r="F169">
        <v>-3.1262999999999999E-2</v>
      </c>
      <c r="G169">
        <v>-1.3058E-2</v>
      </c>
      <c r="H169">
        <v>2.1663000000000002E-2</v>
      </c>
    </row>
    <row r="170" spans="1:8" x14ac:dyDescent="0.25">
      <c r="A170">
        <v>526</v>
      </c>
      <c r="B170">
        <v>6.8199999999999999E-4</v>
      </c>
      <c r="C170">
        <v>0.128108</v>
      </c>
      <c r="D170">
        <v>0.470694</v>
      </c>
      <c r="E170">
        <v>0.26623999999999998</v>
      </c>
      <c r="F170">
        <v>-9.8119999999999995E-3</v>
      </c>
      <c r="G170">
        <v>-7.1130000000000004E-3</v>
      </c>
      <c r="H170">
        <v>2.2179999999999998E-2</v>
      </c>
    </row>
    <row r="171" spans="1:8" x14ac:dyDescent="0.25">
      <c r="A171">
        <v>528</v>
      </c>
      <c r="B171">
        <v>1.7163000000000001E-2</v>
      </c>
      <c r="C171">
        <v>0.109268</v>
      </c>
      <c r="D171">
        <v>0.47469899999999998</v>
      </c>
      <c r="E171">
        <v>0.27896300000000002</v>
      </c>
      <c r="F171">
        <v>-1.7021999999999999E-2</v>
      </c>
      <c r="G171">
        <v>2.297E-3</v>
      </c>
      <c r="H171">
        <v>2.643E-3</v>
      </c>
    </row>
    <row r="172" spans="1:8" x14ac:dyDescent="0.25">
      <c r="A172">
        <v>530</v>
      </c>
      <c r="B172">
        <v>2.1607999999999999E-2</v>
      </c>
      <c r="C172">
        <v>6.2677999999999998E-2</v>
      </c>
      <c r="D172">
        <v>0.44585900000000001</v>
      </c>
      <c r="E172">
        <v>0.26741900000000002</v>
      </c>
      <c r="F172">
        <v>-2.6301000000000001E-2</v>
      </c>
      <c r="G172">
        <v>1.9043999999999998E-2</v>
      </c>
      <c r="H172">
        <v>2.0739999999999999E-3</v>
      </c>
    </row>
    <row r="173" spans="1:8" x14ac:dyDescent="0.25">
      <c r="A173">
        <v>532</v>
      </c>
      <c r="B173">
        <v>1.3154000000000001E-2</v>
      </c>
      <c r="C173">
        <v>0.118354</v>
      </c>
      <c r="D173">
        <v>0.41109800000000002</v>
      </c>
      <c r="E173">
        <v>0.24374599999999999</v>
      </c>
      <c r="F173">
        <v>-4.1391999999999998E-2</v>
      </c>
      <c r="G173">
        <v>8.8800000000000007E-3</v>
      </c>
      <c r="H173">
        <v>1.4381E-2</v>
      </c>
    </row>
    <row r="174" spans="1:8" x14ac:dyDescent="0.25">
      <c r="A174">
        <v>534</v>
      </c>
      <c r="B174">
        <v>7.2890000000000003E-3</v>
      </c>
      <c r="C174">
        <v>0.11008800000000001</v>
      </c>
      <c r="D174">
        <v>0.38266299999999998</v>
      </c>
      <c r="E174">
        <v>0.24779999999999999</v>
      </c>
      <c r="F174">
        <v>-4.5102000000000003E-2</v>
      </c>
      <c r="G174">
        <v>1.1527000000000001E-2</v>
      </c>
      <c r="H174">
        <v>-2.4810000000000001E-3</v>
      </c>
    </row>
    <row r="175" spans="1:8" x14ac:dyDescent="0.25">
      <c r="A175">
        <v>536</v>
      </c>
      <c r="B175">
        <v>8.0780000000000001E-3</v>
      </c>
      <c r="C175">
        <v>0.121021</v>
      </c>
      <c r="D175">
        <v>0.328237</v>
      </c>
      <c r="E175">
        <v>0.246472</v>
      </c>
      <c r="F175">
        <v>-2.691E-2</v>
      </c>
      <c r="G175">
        <v>1.4175E-2</v>
      </c>
      <c r="H175">
        <v>8.4770000000000002E-3</v>
      </c>
    </row>
    <row r="176" spans="1:8" x14ac:dyDescent="0.25">
      <c r="A176">
        <v>538</v>
      </c>
      <c r="B176">
        <v>-4.9899999999999996E-3</v>
      </c>
      <c r="C176">
        <v>8.8114999999999999E-2</v>
      </c>
      <c r="D176">
        <v>0.27204400000000001</v>
      </c>
      <c r="E176">
        <v>0.23138500000000001</v>
      </c>
      <c r="F176">
        <v>-2.4544E-2</v>
      </c>
      <c r="G176">
        <v>5.6080000000000001E-3</v>
      </c>
      <c r="H176">
        <v>2.1489999999999999E-2</v>
      </c>
    </row>
    <row r="177" spans="1:8" x14ac:dyDescent="0.25">
      <c r="A177">
        <v>540</v>
      </c>
      <c r="B177">
        <v>-1.4729000000000001E-2</v>
      </c>
      <c r="C177">
        <v>9.5637E-2</v>
      </c>
      <c r="D177">
        <v>0.195997</v>
      </c>
      <c r="E177">
        <v>0.217031</v>
      </c>
      <c r="F177">
        <v>-3.3152000000000001E-2</v>
      </c>
      <c r="G177">
        <v>-2.0170000000000001E-3</v>
      </c>
      <c r="H177">
        <v>1.0626E-2</v>
      </c>
    </row>
    <row r="178" spans="1:8" x14ac:dyDescent="0.25">
      <c r="A178">
        <v>542</v>
      </c>
      <c r="B178">
        <v>-1.8943999999999999E-2</v>
      </c>
      <c r="C178">
        <v>5.6994000000000003E-2</v>
      </c>
      <c r="D178">
        <v>0.155885</v>
      </c>
      <c r="E178">
        <v>0.211174</v>
      </c>
      <c r="F178">
        <v>-2.2766000000000002E-2</v>
      </c>
      <c r="G178">
        <v>1.0557E-2</v>
      </c>
      <c r="H178">
        <v>1.2328E-2</v>
      </c>
    </row>
    <row r="179" spans="1:8" x14ac:dyDescent="0.25">
      <c r="A179">
        <v>544</v>
      </c>
      <c r="B179">
        <v>-2.9009999999999999E-3</v>
      </c>
      <c r="C179">
        <v>7.2270000000000001E-2</v>
      </c>
      <c r="D179">
        <v>0.13019800000000001</v>
      </c>
      <c r="E179">
        <v>0.19706199999999999</v>
      </c>
      <c r="F179">
        <v>-1.7440000000000001E-3</v>
      </c>
      <c r="G179">
        <v>1.2813E-2</v>
      </c>
      <c r="H179">
        <v>9.7070000000000004E-3</v>
      </c>
    </row>
    <row r="180" spans="1:8" x14ac:dyDescent="0.25">
      <c r="A180">
        <v>546</v>
      </c>
      <c r="B180">
        <v>1.3554999999999999E-2</v>
      </c>
      <c r="C180">
        <v>0.121861</v>
      </c>
      <c r="D180">
        <v>8.4447999999999995E-2</v>
      </c>
      <c r="E180">
        <v>0.17200399999999999</v>
      </c>
      <c r="F180">
        <v>-2.3133000000000001E-2</v>
      </c>
      <c r="G180">
        <v>1.4599999999999999E-3</v>
      </c>
      <c r="H180">
        <v>7.4400000000000004E-3</v>
      </c>
    </row>
    <row r="181" spans="1:8" x14ac:dyDescent="0.25">
      <c r="A181">
        <v>548</v>
      </c>
      <c r="B181">
        <v>6.404E-3</v>
      </c>
      <c r="C181">
        <v>0.110512</v>
      </c>
      <c r="D181">
        <v>6.5058000000000005E-2</v>
      </c>
      <c r="E181">
        <v>0.14774699999999999</v>
      </c>
      <c r="F181">
        <v>-3.0422000000000001E-2</v>
      </c>
      <c r="G181">
        <v>1.289E-3</v>
      </c>
      <c r="H181">
        <v>-4.3940000000000003E-3</v>
      </c>
    </row>
    <row r="182" spans="1:8" x14ac:dyDescent="0.25">
      <c r="A182">
        <v>550</v>
      </c>
      <c r="B182">
        <v>9.8790000000000006E-3</v>
      </c>
      <c r="C182">
        <v>0.12403400000000001</v>
      </c>
      <c r="D182">
        <v>5.5116999999999999E-2</v>
      </c>
      <c r="E182">
        <v>0.108899</v>
      </c>
      <c r="F182">
        <v>-2.9371000000000001E-2</v>
      </c>
      <c r="G182">
        <v>2.7420000000000001E-3</v>
      </c>
      <c r="H182">
        <v>-1.4296E-2</v>
      </c>
    </row>
    <row r="183" spans="1:8" x14ac:dyDescent="0.25">
      <c r="A183">
        <v>552</v>
      </c>
      <c r="B183">
        <v>1.1363E-2</v>
      </c>
      <c r="C183">
        <v>0.10287499999999999</v>
      </c>
      <c r="D183">
        <v>3.4806999999999998E-2</v>
      </c>
      <c r="E183">
        <v>9.0277999999999997E-2</v>
      </c>
      <c r="F183">
        <v>-3.6218E-2</v>
      </c>
      <c r="G183">
        <v>1.3164E-2</v>
      </c>
      <c r="H183">
        <v>-1.4239E-2</v>
      </c>
    </row>
    <row r="184" spans="1:8" x14ac:dyDescent="0.25">
      <c r="A184">
        <v>554</v>
      </c>
      <c r="B184">
        <v>1.933E-3</v>
      </c>
      <c r="C184">
        <v>7.6314999999999994E-2</v>
      </c>
      <c r="D184">
        <v>2.7962999999999998E-2</v>
      </c>
      <c r="E184">
        <v>9.3826999999999994E-2</v>
      </c>
      <c r="F184">
        <v>-2.6263000000000002E-2</v>
      </c>
      <c r="G184">
        <v>1.4753E-2</v>
      </c>
      <c r="H184">
        <v>-9.9620000000000004E-3</v>
      </c>
    </row>
    <row r="185" spans="1:8" x14ac:dyDescent="0.25">
      <c r="A185">
        <v>556</v>
      </c>
      <c r="B185">
        <v>9.5729999999999999E-3</v>
      </c>
      <c r="C185">
        <v>8.5934999999999997E-2</v>
      </c>
      <c r="D185">
        <v>3.4361000000000003E-2</v>
      </c>
      <c r="E185">
        <v>7.2078000000000003E-2</v>
      </c>
      <c r="F185">
        <v>-3.4927E-2</v>
      </c>
      <c r="G185">
        <v>2.7669999999999999E-3</v>
      </c>
      <c r="H185">
        <v>-9.5569999999999995E-3</v>
      </c>
    </row>
    <row r="186" spans="1:8" x14ac:dyDescent="0.25">
      <c r="A186">
        <v>558</v>
      </c>
      <c r="B186">
        <v>2.3380999999999999E-2</v>
      </c>
      <c r="C186">
        <v>8.8442000000000007E-2</v>
      </c>
      <c r="D186">
        <v>1.6945999999999999E-2</v>
      </c>
      <c r="E186">
        <v>5.0210999999999999E-2</v>
      </c>
      <c r="F186">
        <v>-4.0249E-2</v>
      </c>
      <c r="G186">
        <v>1.6778999999999999E-2</v>
      </c>
      <c r="H186">
        <v>1.219E-3</v>
      </c>
    </row>
    <row r="187" spans="1:8" x14ac:dyDescent="0.25">
      <c r="A187">
        <v>560</v>
      </c>
      <c r="B187">
        <v>1.5112E-2</v>
      </c>
      <c r="C187">
        <v>8.9932999999999999E-2</v>
      </c>
      <c r="D187">
        <v>-5.7829999999999999E-3</v>
      </c>
      <c r="E187">
        <v>3.0616000000000001E-2</v>
      </c>
      <c r="F187">
        <v>-3.0164E-2</v>
      </c>
      <c r="G187">
        <v>6.1989999999999996E-3</v>
      </c>
      <c r="H187">
        <v>-1.3818E-2</v>
      </c>
    </row>
    <row r="188" spans="1:8" x14ac:dyDescent="0.25">
      <c r="A188">
        <v>562</v>
      </c>
      <c r="B188">
        <v>1.7177000000000001E-2</v>
      </c>
      <c r="C188">
        <v>7.9501000000000002E-2</v>
      </c>
      <c r="D188">
        <v>-9.0659999999999994E-3</v>
      </c>
      <c r="E188">
        <v>3.0426000000000002E-2</v>
      </c>
      <c r="F188">
        <v>-1.4303E-2</v>
      </c>
      <c r="G188">
        <v>-4.3340000000000002E-3</v>
      </c>
      <c r="H188">
        <v>-1.4959E-2</v>
      </c>
    </row>
    <row r="189" spans="1:8" x14ac:dyDescent="0.25">
      <c r="A189">
        <v>564</v>
      </c>
      <c r="B189">
        <v>5.6140000000000001E-3</v>
      </c>
      <c r="C189">
        <v>9.0756000000000003E-2</v>
      </c>
      <c r="D189">
        <v>-3.3530000000000001E-3</v>
      </c>
      <c r="E189">
        <v>2.5770999999999999E-2</v>
      </c>
      <c r="F189">
        <v>1.779E-3</v>
      </c>
      <c r="G189">
        <v>3.9150000000000001E-3</v>
      </c>
      <c r="H189">
        <v>-1.2083E-2</v>
      </c>
    </row>
    <row r="190" spans="1:8" x14ac:dyDescent="0.25">
      <c r="A190">
        <v>566</v>
      </c>
      <c r="B190">
        <v>8.8000000000000005E-3</v>
      </c>
      <c r="C190">
        <v>0.10516200000000001</v>
      </c>
      <c r="D190">
        <v>2.1693E-2</v>
      </c>
      <c r="E190">
        <v>1.3291000000000001E-2</v>
      </c>
      <c r="F190">
        <v>-2.1857000000000001E-2</v>
      </c>
      <c r="G190">
        <v>-4.6769999999999997E-3</v>
      </c>
      <c r="H190">
        <v>-2.2252999999999998E-2</v>
      </c>
    </row>
    <row r="191" spans="1:8" x14ac:dyDescent="0.25">
      <c r="A191">
        <v>568</v>
      </c>
      <c r="B191">
        <v>2.2882E-2</v>
      </c>
      <c r="C191">
        <v>0.11000500000000001</v>
      </c>
      <c r="D191">
        <v>1.6752E-2</v>
      </c>
      <c r="E191">
        <v>6.6480000000000003E-3</v>
      </c>
      <c r="F191">
        <v>-2.2148000000000001E-2</v>
      </c>
      <c r="G191">
        <v>-4.3449999999999999E-3</v>
      </c>
      <c r="H191">
        <v>1.6274E-2</v>
      </c>
    </row>
    <row r="192" spans="1:8" x14ac:dyDescent="0.25">
      <c r="A192">
        <v>570</v>
      </c>
      <c r="B192">
        <v>1.7514999999999999E-2</v>
      </c>
      <c r="C192">
        <v>5.5780000000000003E-2</v>
      </c>
      <c r="D192">
        <v>1.8270000000000002E-2</v>
      </c>
      <c r="E192">
        <v>5.4190000000000002E-3</v>
      </c>
      <c r="F192">
        <v>-1.4057E-2</v>
      </c>
      <c r="G192">
        <v>8.8629999999999994E-3</v>
      </c>
      <c r="H192">
        <v>1.7566999999999999E-2</v>
      </c>
    </row>
    <row r="193" spans="1:8" x14ac:dyDescent="0.25">
      <c r="A193">
        <v>572</v>
      </c>
      <c r="B193">
        <v>1.2248999999999999E-2</v>
      </c>
      <c r="C193">
        <v>0.152835</v>
      </c>
      <c r="D193">
        <v>2.6488000000000001E-2</v>
      </c>
      <c r="E193">
        <v>9.9200000000000004E-4</v>
      </c>
      <c r="F193">
        <v>-1.2186000000000001E-2</v>
      </c>
      <c r="G193">
        <v>1.9120000000000001E-3</v>
      </c>
      <c r="H193">
        <v>-1.0007E-2</v>
      </c>
    </row>
    <row r="194" spans="1:8" x14ac:dyDescent="0.25">
      <c r="A194">
        <v>574</v>
      </c>
      <c r="B194">
        <v>1.5538E-2</v>
      </c>
      <c r="C194">
        <v>8.1377000000000005E-2</v>
      </c>
      <c r="D194">
        <v>2.4813999999999999E-2</v>
      </c>
      <c r="E194">
        <v>-1.4940000000000001E-3</v>
      </c>
      <c r="F194">
        <v>-1.5778E-2</v>
      </c>
      <c r="G194">
        <v>-6.2560000000000003E-3</v>
      </c>
      <c r="H194">
        <v>-6.6379999999999998E-3</v>
      </c>
    </row>
    <row r="195" spans="1:8" x14ac:dyDescent="0.25">
      <c r="A195">
        <v>576</v>
      </c>
      <c r="B195">
        <v>9.1870000000000007E-3</v>
      </c>
      <c r="C195">
        <v>8.3079E-2</v>
      </c>
      <c r="D195">
        <v>2.6499000000000002E-2</v>
      </c>
      <c r="E195">
        <v>-7.1459999999999996E-3</v>
      </c>
      <c r="F195">
        <v>-1.5890999999999999E-2</v>
      </c>
      <c r="G195">
        <v>-2.6450000000000002E-3</v>
      </c>
      <c r="H195">
        <v>-9.6539999999999994E-3</v>
      </c>
    </row>
    <row r="196" spans="1:8" x14ac:dyDescent="0.25">
      <c r="A196">
        <v>578</v>
      </c>
      <c r="B196">
        <v>6.7190000000000001E-3</v>
      </c>
      <c r="C196">
        <v>-6.476E-3</v>
      </c>
      <c r="D196">
        <v>1.7846000000000001E-2</v>
      </c>
      <c r="E196">
        <v>-7.27E-4</v>
      </c>
      <c r="F196">
        <v>-1.4751999999999999E-2</v>
      </c>
      <c r="G196">
        <v>-2.6979999999999999E-3</v>
      </c>
      <c r="H196">
        <v>1.2807000000000001E-2</v>
      </c>
    </row>
    <row r="197" spans="1:8" x14ac:dyDescent="0.25">
      <c r="A197">
        <v>580</v>
      </c>
      <c r="B197">
        <v>1.6620000000000001E-3</v>
      </c>
      <c r="C197">
        <v>-1.1539000000000001E-2</v>
      </c>
      <c r="D197">
        <v>2.9685E-2</v>
      </c>
      <c r="E197">
        <v>6.3229999999999996E-3</v>
      </c>
      <c r="F197">
        <v>-2.2841E-2</v>
      </c>
      <c r="G197">
        <v>3.4940000000000001E-3</v>
      </c>
      <c r="H197">
        <v>1.9002000000000002E-2</v>
      </c>
    </row>
    <row r="198" spans="1:8" x14ac:dyDescent="0.25">
      <c r="A198">
        <v>582</v>
      </c>
      <c r="B198">
        <v>-2.4759999999999999E-3</v>
      </c>
      <c r="C198">
        <v>-1.3254E-2</v>
      </c>
      <c r="D198">
        <v>1.0527E-2</v>
      </c>
      <c r="E198">
        <v>-5.3930000000000002E-3</v>
      </c>
      <c r="F198">
        <v>9.6000000000000002E-4</v>
      </c>
      <c r="G198">
        <v>-6.9170000000000004E-3</v>
      </c>
      <c r="H198">
        <v>3.1861E-2</v>
      </c>
    </row>
    <row r="199" spans="1:8" x14ac:dyDescent="0.25">
      <c r="A199">
        <v>584</v>
      </c>
      <c r="B199">
        <v>1.464E-3</v>
      </c>
      <c r="C199">
        <v>2.0757999999999999E-2</v>
      </c>
      <c r="D199">
        <v>2.9599999999999998E-4</v>
      </c>
      <c r="E199">
        <v>-1.1474E-2</v>
      </c>
      <c r="F199">
        <v>-6.862E-3</v>
      </c>
      <c r="G199">
        <v>-1.6195999999999999E-2</v>
      </c>
      <c r="H199">
        <v>1.8037999999999998E-2</v>
      </c>
    </row>
    <row r="200" spans="1:8" x14ac:dyDescent="0.25">
      <c r="A200">
        <v>586</v>
      </c>
      <c r="B200">
        <v>7.8120000000000004E-3</v>
      </c>
      <c r="C200">
        <v>0.20948700000000001</v>
      </c>
      <c r="D200">
        <v>4.1050000000000001E-3</v>
      </c>
      <c r="E200">
        <v>-1.2688E-2</v>
      </c>
      <c r="F200">
        <v>-1.8917E-2</v>
      </c>
      <c r="G200">
        <v>-1.1084999999999999E-2</v>
      </c>
      <c r="H200">
        <v>1.1183999999999999E-2</v>
      </c>
    </row>
    <row r="201" spans="1:8" x14ac:dyDescent="0.25">
      <c r="A201">
        <v>588</v>
      </c>
      <c r="B201">
        <v>8.8489999999999992E-3</v>
      </c>
      <c r="C201">
        <v>0.11864</v>
      </c>
      <c r="D201">
        <v>1.5893000000000001E-2</v>
      </c>
      <c r="E201">
        <v>-3.8319999999999999E-3</v>
      </c>
      <c r="F201">
        <v>-1.2455000000000001E-2</v>
      </c>
      <c r="G201">
        <v>-3.6159999999999999E-3</v>
      </c>
      <c r="H201">
        <v>2.009E-2</v>
      </c>
    </row>
    <row r="202" spans="1:8" x14ac:dyDescent="0.25">
      <c r="A202">
        <v>590</v>
      </c>
      <c r="B202">
        <v>3.28E-4</v>
      </c>
      <c r="C202">
        <v>8.5134000000000001E-2</v>
      </c>
      <c r="D202">
        <v>1.0423E-2</v>
      </c>
      <c r="E202">
        <v>6.1139999999999996E-3</v>
      </c>
      <c r="F202">
        <v>-1.2441000000000001E-2</v>
      </c>
      <c r="G202">
        <v>-8.5100000000000002E-3</v>
      </c>
      <c r="H202">
        <v>2.7862999999999999E-2</v>
      </c>
    </row>
    <row r="203" spans="1:8" x14ac:dyDescent="0.25">
      <c r="A203">
        <v>592</v>
      </c>
      <c r="B203">
        <v>2.9949999999999998E-3</v>
      </c>
      <c r="C203">
        <v>2.496E-2</v>
      </c>
      <c r="D203">
        <v>2.0903999999999999E-2</v>
      </c>
      <c r="E203">
        <v>4.46E-4</v>
      </c>
      <c r="F203">
        <v>-6.8900000000000003E-3</v>
      </c>
      <c r="G203">
        <v>-1.524E-3</v>
      </c>
      <c r="H203">
        <v>1.7739999999999999E-2</v>
      </c>
    </row>
    <row r="204" spans="1:8" x14ac:dyDescent="0.25">
      <c r="A204">
        <v>594</v>
      </c>
      <c r="B204">
        <v>-9.9579999999999998E-3</v>
      </c>
      <c r="C204">
        <v>0.13745299999999999</v>
      </c>
      <c r="D204">
        <v>3.2132000000000001E-2</v>
      </c>
      <c r="E204">
        <v>-8.0490000000000006E-3</v>
      </c>
      <c r="F204">
        <v>-1.6393999999999999E-2</v>
      </c>
      <c r="G204">
        <v>7.4159999999999998E-3</v>
      </c>
      <c r="H204">
        <v>-1.3553000000000001E-2</v>
      </c>
    </row>
    <row r="205" spans="1:8" x14ac:dyDescent="0.25">
      <c r="A205">
        <v>596</v>
      </c>
      <c r="B205">
        <v>3.4120000000000001E-3</v>
      </c>
      <c r="C205">
        <v>9.7590000000000003E-3</v>
      </c>
      <c r="D205">
        <v>3.0509999999999999E-3</v>
      </c>
      <c r="E205">
        <v>3.2560000000000002E-3</v>
      </c>
      <c r="F205">
        <v>-5.9560000000000004E-3</v>
      </c>
      <c r="G205">
        <v>7.9389999999999999E-3</v>
      </c>
      <c r="H205">
        <v>2.6363000000000001E-2</v>
      </c>
    </row>
    <row r="206" spans="1:8" x14ac:dyDescent="0.25">
      <c r="A206">
        <v>598</v>
      </c>
      <c r="B206">
        <v>3.0509999999999999E-3</v>
      </c>
      <c r="C206">
        <v>0.115009</v>
      </c>
      <c r="D206">
        <v>4.8739999999999999E-3</v>
      </c>
      <c r="E206">
        <v>-5.9699999999999996E-3</v>
      </c>
      <c r="F206">
        <v>-1.0645E-2</v>
      </c>
      <c r="G206">
        <v>1.941E-3</v>
      </c>
      <c r="H206">
        <v>1.9736E-2</v>
      </c>
    </row>
    <row r="207" spans="1:8" x14ac:dyDescent="0.25">
      <c r="A207">
        <v>600</v>
      </c>
      <c r="B207">
        <v>4.3000000000000002E-5</v>
      </c>
      <c r="C207">
        <v>2.085E-2</v>
      </c>
      <c r="D207">
        <v>-4.4640000000000001E-3</v>
      </c>
      <c r="E207">
        <v>-1.0616E-2</v>
      </c>
      <c r="F207">
        <v>-3.7330000000000002E-3</v>
      </c>
      <c r="G207">
        <v>-6.8490000000000001E-3</v>
      </c>
      <c r="H207">
        <v>2.9843999999999999E-2</v>
      </c>
    </row>
    <row r="208" spans="1:8" x14ac:dyDescent="0.25">
      <c r="A208">
        <v>602</v>
      </c>
      <c r="B208">
        <v>5.5999999999999995E-4</v>
      </c>
      <c r="C208">
        <v>7.2144E-2</v>
      </c>
      <c r="D208">
        <v>9.4529999999999996E-3</v>
      </c>
      <c r="E208">
        <v>-2.313E-3</v>
      </c>
      <c r="F208">
        <v>-1.3493E-2</v>
      </c>
      <c r="G208">
        <v>-7.9410000000000001E-3</v>
      </c>
      <c r="H208">
        <v>7.783E-3</v>
      </c>
    </row>
    <row r="209" spans="1:8" x14ac:dyDescent="0.25">
      <c r="A209">
        <v>604</v>
      </c>
      <c r="B209">
        <v>-4.6E-5</v>
      </c>
      <c r="C209">
        <v>0.12418899999999999</v>
      </c>
      <c r="D209">
        <v>-2.1450000000000002E-3</v>
      </c>
      <c r="E209">
        <v>-1.1095000000000001E-2</v>
      </c>
      <c r="F209">
        <v>-9.0340000000000004E-3</v>
      </c>
      <c r="G209">
        <v>-1.4600999999999999E-2</v>
      </c>
      <c r="H209">
        <v>9.0010000000000003E-3</v>
      </c>
    </row>
    <row r="210" spans="1:8" x14ac:dyDescent="0.25">
      <c r="A210">
        <v>606</v>
      </c>
      <c r="B210">
        <v>-8.5719999999999998E-3</v>
      </c>
      <c r="C210">
        <v>0.11253100000000001</v>
      </c>
      <c r="D210">
        <v>4.3410000000000002E-3</v>
      </c>
      <c r="E210">
        <v>-9.0559999999999998E-3</v>
      </c>
      <c r="F210">
        <v>-1.2994E-2</v>
      </c>
      <c r="G210">
        <v>-8.1399999999999997E-3</v>
      </c>
      <c r="H210">
        <v>-4.3810000000000003E-3</v>
      </c>
    </row>
    <row r="211" spans="1:8" x14ac:dyDescent="0.25">
      <c r="A211">
        <v>608</v>
      </c>
      <c r="B211">
        <v>-9.724E-3</v>
      </c>
      <c r="C211">
        <v>0.17718900000000001</v>
      </c>
      <c r="D211">
        <v>-5.7990000000000003E-3</v>
      </c>
      <c r="E211">
        <v>-1.4404E-2</v>
      </c>
      <c r="F211">
        <v>-1.065E-3</v>
      </c>
      <c r="G211">
        <v>-6.43E-3</v>
      </c>
      <c r="H211">
        <v>-1.4688E-2</v>
      </c>
    </row>
    <row r="212" spans="1:8" x14ac:dyDescent="0.25">
      <c r="A212">
        <v>610</v>
      </c>
      <c r="B212">
        <v>3.3370000000000001E-3</v>
      </c>
      <c r="C212">
        <v>3.0372E-2</v>
      </c>
      <c r="D212">
        <v>4.2589999999999998E-3</v>
      </c>
      <c r="E212">
        <v>-7.4190000000000002E-3</v>
      </c>
      <c r="F212">
        <v>2.0479999999999999E-3</v>
      </c>
      <c r="G212">
        <v>6.4180000000000001E-3</v>
      </c>
      <c r="H212">
        <v>-1.2246999999999999E-2</v>
      </c>
    </row>
    <row r="213" spans="1:8" x14ac:dyDescent="0.25">
      <c r="A213">
        <v>612</v>
      </c>
      <c r="B213">
        <v>-1.689E-3</v>
      </c>
      <c r="C213">
        <v>0.16089100000000001</v>
      </c>
      <c r="D213">
        <v>3.8308000000000002E-2</v>
      </c>
      <c r="E213">
        <v>-1.0057999999999999E-2</v>
      </c>
      <c r="F213">
        <v>-1.8113000000000001E-2</v>
      </c>
      <c r="G213">
        <v>1.2338E-2</v>
      </c>
      <c r="H213">
        <v>-1.7038999999999999E-2</v>
      </c>
    </row>
    <row r="214" spans="1:8" x14ac:dyDescent="0.25">
      <c r="A214">
        <v>614</v>
      </c>
      <c r="B214">
        <v>-5.5009999999999998E-3</v>
      </c>
      <c r="C214">
        <v>4.1055000000000001E-2</v>
      </c>
      <c r="D214">
        <v>1.4004000000000001E-2</v>
      </c>
      <c r="E214">
        <v>-7.4679999999999998E-3</v>
      </c>
      <c r="F214">
        <v>-2.2945E-2</v>
      </c>
      <c r="G214">
        <v>-6.953E-3</v>
      </c>
      <c r="H214">
        <v>1.7631999999999998E-2</v>
      </c>
    </row>
    <row r="215" spans="1:8" x14ac:dyDescent="0.25">
      <c r="A215">
        <v>616</v>
      </c>
      <c r="B215">
        <v>-1.2991000000000001E-2</v>
      </c>
      <c r="C215">
        <v>0.10653899999999999</v>
      </c>
      <c r="D215">
        <v>8.3100000000000003E-4</v>
      </c>
      <c r="E215">
        <v>-1.0371E-2</v>
      </c>
      <c r="F215">
        <v>-2.3550999999999999E-2</v>
      </c>
      <c r="G215">
        <v>-3.9940000000000002E-3</v>
      </c>
      <c r="H215">
        <v>-6.8770000000000003E-3</v>
      </c>
    </row>
    <row r="216" spans="1:8" x14ac:dyDescent="0.25">
      <c r="A216">
        <v>618</v>
      </c>
      <c r="B216">
        <v>-1.6329999999999999E-3</v>
      </c>
      <c r="C216">
        <v>3.7171999999999997E-2</v>
      </c>
      <c r="D216">
        <v>-1.9313E-2</v>
      </c>
      <c r="E216">
        <v>-1.6480999999999999E-2</v>
      </c>
      <c r="F216">
        <v>-1.7368999999999999E-2</v>
      </c>
      <c r="G216">
        <v>-7.0569999999999999E-3</v>
      </c>
      <c r="H216">
        <v>3.8411000000000001E-2</v>
      </c>
    </row>
    <row r="217" spans="1:8" x14ac:dyDescent="0.25">
      <c r="A217">
        <v>620</v>
      </c>
      <c r="B217">
        <v>5.5400000000000002E-4</v>
      </c>
      <c r="C217">
        <v>4.3950999999999997E-2</v>
      </c>
      <c r="D217">
        <v>-1.3937E-2</v>
      </c>
      <c r="E217">
        <v>-6.718E-3</v>
      </c>
      <c r="F217">
        <v>-3.9904000000000002E-2</v>
      </c>
      <c r="G217" s="117">
        <v>-3.9213600000000001E-7</v>
      </c>
      <c r="H217">
        <v>1.3657000000000001E-2</v>
      </c>
    </row>
    <row r="218" spans="1:8" x14ac:dyDescent="0.25">
      <c r="A218">
        <v>622</v>
      </c>
      <c r="B218">
        <v>-7.9539999999999993E-3</v>
      </c>
      <c r="C218">
        <v>0.124392</v>
      </c>
      <c r="D218">
        <v>-1.4357999999999999E-2</v>
      </c>
      <c r="E218">
        <v>-1.4064999999999999E-2</v>
      </c>
      <c r="F218">
        <v>-1.5608E-2</v>
      </c>
      <c r="G218">
        <v>7.0600000000000003E-3</v>
      </c>
      <c r="H218">
        <v>-8.907E-3</v>
      </c>
    </row>
    <row r="219" spans="1:8" x14ac:dyDescent="0.25">
      <c r="A219">
        <v>624</v>
      </c>
      <c r="B219">
        <v>-9.8410000000000008E-3</v>
      </c>
      <c r="C219">
        <v>5.1727000000000002E-2</v>
      </c>
      <c r="D219">
        <v>-3.6229999999999999E-3</v>
      </c>
      <c r="E219">
        <v>-1.6899999999999998E-2</v>
      </c>
      <c r="F219">
        <v>-1.3650000000000001E-2</v>
      </c>
      <c r="G219">
        <v>5.2220000000000001E-3</v>
      </c>
      <c r="H219">
        <v>3.2789999999999998E-3</v>
      </c>
    </row>
    <row r="220" spans="1:8" x14ac:dyDescent="0.25">
      <c r="A220">
        <v>626</v>
      </c>
      <c r="B220">
        <v>-8.4010000000000005E-3</v>
      </c>
      <c r="C220">
        <v>0.18860499999999999</v>
      </c>
      <c r="D220">
        <v>5.5100000000000001E-3</v>
      </c>
      <c r="E220">
        <v>-2.4303000000000002E-2</v>
      </c>
      <c r="F220">
        <v>-3.4516999999999999E-2</v>
      </c>
      <c r="G220">
        <v>-5.9979999999999999E-3</v>
      </c>
      <c r="H220">
        <v>-2.5017999999999999E-2</v>
      </c>
    </row>
    <row r="221" spans="1:8" x14ac:dyDescent="0.25">
      <c r="A221">
        <v>628</v>
      </c>
      <c r="B221">
        <v>-1.7930000000000001E-3</v>
      </c>
      <c r="C221">
        <v>1.6548E-2</v>
      </c>
      <c r="D221">
        <v>-1.0496999999999999E-2</v>
      </c>
      <c r="E221">
        <v>-2.6155000000000001E-2</v>
      </c>
      <c r="F221">
        <v>-1.4435999999999999E-2</v>
      </c>
      <c r="G221">
        <v>4.1409999999999997E-3</v>
      </c>
      <c r="H221">
        <v>-7.5449999999999996E-3</v>
      </c>
    </row>
    <row r="222" spans="1:8" x14ac:dyDescent="0.25">
      <c r="A222">
        <v>630</v>
      </c>
      <c r="B222">
        <v>3.7529999999999998E-3</v>
      </c>
      <c r="C222">
        <v>7.6444999999999999E-2</v>
      </c>
      <c r="D222">
        <v>6.0060000000000001E-3</v>
      </c>
      <c r="E222">
        <v>-1.6596E-2</v>
      </c>
      <c r="F222">
        <v>-1.5757E-2</v>
      </c>
      <c r="G222">
        <v>2.7517E-2</v>
      </c>
      <c r="H222">
        <v>-1.9032E-2</v>
      </c>
    </row>
    <row r="223" spans="1:8" x14ac:dyDescent="0.25">
      <c r="A223">
        <v>632</v>
      </c>
      <c r="B223">
        <v>2.5384E-2</v>
      </c>
      <c r="C223">
        <v>0.123365</v>
      </c>
      <c r="D223">
        <v>1.9564000000000002E-2</v>
      </c>
      <c r="E223">
        <v>-2.6223E-2</v>
      </c>
      <c r="F223">
        <v>-8.0099999999999995E-4</v>
      </c>
      <c r="G223">
        <v>-1.6299999999999999E-3</v>
      </c>
      <c r="H223">
        <v>2.4268000000000001E-2</v>
      </c>
    </row>
    <row r="224" spans="1:8" x14ac:dyDescent="0.25">
      <c r="A224">
        <v>634</v>
      </c>
      <c r="B224">
        <v>3.483E-2</v>
      </c>
      <c r="C224">
        <v>-1.5029000000000001E-2</v>
      </c>
      <c r="D224">
        <v>5.5128999999999997E-2</v>
      </c>
      <c r="E224">
        <v>-4.862E-3</v>
      </c>
      <c r="F224">
        <v>9.5999999999999992E-3</v>
      </c>
      <c r="G224">
        <v>-1.9706000000000001E-2</v>
      </c>
      <c r="H224">
        <v>7.8571000000000002E-2</v>
      </c>
    </row>
    <row r="225" spans="1:8" x14ac:dyDescent="0.25">
      <c r="A225">
        <v>636</v>
      </c>
      <c r="B225">
        <v>3.3418000000000003E-2</v>
      </c>
      <c r="C225">
        <v>0.22961799999999999</v>
      </c>
      <c r="D225">
        <v>3.1306E-2</v>
      </c>
      <c r="E225">
        <v>-8.2159999999999993E-3</v>
      </c>
      <c r="F225">
        <v>3.5739999999999999E-3</v>
      </c>
      <c r="G225">
        <v>6.5360000000000001E-3</v>
      </c>
      <c r="H225">
        <v>2.5500000000000002E-4</v>
      </c>
    </row>
    <row r="226" spans="1:8" x14ac:dyDescent="0.25">
      <c r="A226">
        <v>638</v>
      </c>
      <c r="B226">
        <v>1.6899000000000001E-2</v>
      </c>
      <c r="C226">
        <v>-6.1749999999999999E-3</v>
      </c>
      <c r="D226">
        <v>-4.3573000000000001E-2</v>
      </c>
      <c r="E226">
        <v>8.3000000000000001E-4</v>
      </c>
      <c r="F226">
        <v>1.1717E-2</v>
      </c>
      <c r="G226">
        <v>8.0730000000000003E-3</v>
      </c>
      <c r="H226">
        <v>3.9147000000000001E-2</v>
      </c>
    </row>
    <row r="227" spans="1:8" x14ac:dyDescent="0.25">
      <c r="A227">
        <v>640</v>
      </c>
      <c r="B227">
        <v>-1.6868999999999999E-2</v>
      </c>
      <c r="C227">
        <v>0.11887</v>
      </c>
      <c r="D227">
        <v>1.5517E-2</v>
      </c>
      <c r="E227">
        <v>4.5238E-2</v>
      </c>
      <c r="F227">
        <v>-3.0092000000000001E-2</v>
      </c>
      <c r="G227">
        <v>1.0161E-2</v>
      </c>
      <c r="H227">
        <v>-2.6523000000000001E-2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H227"/>
  <sheetViews>
    <sheetView topLeftCell="A2" workbookViewId="0"/>
  </sheetViews>
  <sheetFormatPr defaultRowHeight="15" x14ac:dyDescent="0.25"/>
  <sheetData>
    <row r="1" spans="1:8" x14ac:dyDescent="0.25">
      <c r="A1" t="s">
        <v>5</v>
      </c>
      <c r="B1">
        <v>1</v>
      </c>
      <c r="C1">
        <v>2</v>
      </c>
      <c r="D1">
        <v>3</v>
      </c>
      <c r="E1">
        <v>4</v>
      </c>
      <c r="F1">
        <v>5</v>
      </c>
      <c r="G1">
        <v>6</v>
      </c>
      <c r="H1">
        <v>7</v>
      </c>
    </row>
    <row r="2" spans="1:8" x14ac:dyDescent="0.25">
      <c r="A2">
        <v>190</v>
      </c>
      <c r="B2">
        <v>38.431667327880859</v>
      </c>
      <c r="C2">
        <v>100</v>
      </c>
      <c r="D2">
        <v>100</v>
      </c>
      <c r="E2">
        <v>50.523117065429688</v>
      </c>
      <c r="F2">
        <v>55.585727691650391</v>
      </c>
      <c r="G2">
        <v>53.92596435546875</v>
      </c>
      <c r="H2">
        <v>100</v>
      </c>
    </row>
    <row r="3" spans="1:8" x14ac:dyDescent="0.25">
      <c r="A3">
        <v>192</v>
      </c>
      <c r="B3">
        <v>40.675846099853516</v>
      </c>
      <c r="C3">
        <v>86.706832885742188</v>
      </c>
      <c r="D3">
        <v>98.479629516601563</v>
      </c>
      <c r="E3">
        <v>58.153018951416016</v>
      </c>
      <c r="F3">
        <v>55.741680145263672</v>
      </c>
      <c r="G3">
        <v>54.142951965332031</v>
      </c>
      <c r="H3">
        <v>87.120109558105469</v>
      </c>
    </row>
    <row r="4" spans="1:8" x14ac:dyDescent="0.25">
      <c r="A4">
        <v>194</v>
      </c>
      <c r="B4">
        <v>43.58526611328125</v>
      </c>
      <c r="C4">
        <v>74.7352294921875</v>
      </c>
      <c r="D4">
        <v>92.706459045410156</v>
      </c>
      <c r="E4">
        <v>60.616897583007813</v>
      </c>
      <c r="F4">
        <v>54.860397338867188</v>
      </c>
      <c r="G4">
        <v>52.982967376708984</v>
      </c>
      <c r="H4">
        <v>73.416000366210938</v>
      </c>
    </row>
    <row r="5" spans="1:8" x14ac:dyDescent="0.25">
      <c r="A5">
        <v>196</v>
      </c>
      <c r="B5">
        <v>46.7218017578125</v>
      </c>
      <c r="C5">
        <v>64.837554931640625</v>
      </c>
      <c r="D5">
        <v>87.413429260253906</v>
      </c>
      <c r="E5">
        <v>61.750778198242188</v>
      </c>
      <c r="F5">
        <v>53.489048004150391</v>
      </c>
      <c r="G5">
        <v>51.259494781494141</v>
      </c>
      <c r="H5">
        <v>60.704277038574219</v>
      </c>
    </row>
    <row r="6" spans="1:8" x14ac:dyDescent="0.25">
      <c r="A6">
        <v>198</v>
      </c>
      <c r="B6">
        <v>49.593414306640625</v>
      </c>
      <c r="C6">
        <v>57.227306365966797</v>
      </c>
      <c r="D6">
        <v>82.660682678222656</v>
      </c>
      <c r="E6">
        <v>61.539337158203125</v>
      </c>
      <c r="F6">
        <v>51.678470611572266</v>
      </c>
      <c r="G6">
        <v>49.121040344238281</v>
      </c>
      <c r="H6">
        <v>49.853225708007813</v>
      </c>
    </row>
    <row r="7" spans="1:8" x14ac:dyDescent="0.25">
      <c r="A7">
        <v>200</v>
      </c>
      <c r="B7">
        <v>52.281455993652344</v>
      </c>
      <c r="C7">
        <v>51.529953002929688</v>
      </c>
      <c r="D7">
        <v>78.284286499023438</v>
      </c>
      <c r="E7">
        <v>61.403224945068359</v>
      </c>
      <c r="F7">
        <v>49.409534454345703</v>
      </c>
      <c r="G7">
        <v>46.437198638916016</v>
      </c>
      <c r="H7">
        <v>40.702011108398438</v>
      </c>
    </row>
    <row r="8" spans="1:8" x14ac:dyDescent="0.25">
      <c r="A8">
        <v>202</v>
      </c>
      <c r="B8">
        <v>54.91229248046875</v>
      </c>
      <c r="C8">
        <v>46.827415466308594</v>
      </c>
      <c r="D8">
        <v>74.062919616699219</v>
      </c>
      <c r="E8">
        <v>61.2900390625</v>
      </c>
      <c r="F8">
        <v>46.666027069091797</v>
      </c>
      <c r="G8">
        <v>43.007728576660156</v>
      </c>
      <c r="H8">
        <v>32.392601013183594</v>
      </c>
    </row>
    <row r="9" spans="1:8" x14ac:dyDescent="0.25">
      <c r="A9">
        <v>204</v>
      </c>
      <c r="B9">
        <v>56.863868713378906</v>
      </c>
      <c r="C9">
        <v>43.095241546630859</v>
      </c>
      <c r="D9">
        <v>70.749809265136719</v>
      </c>
      <c r="E9">
        <v>61.533592224121094</v>
      </c>
      <c r="F9">
        <v>43.942905426025391</v>
      </c>
      <c r="G9">
        <v>39.498558044433594</v>
      </c>
      <c r="H9">
        <v>25.43927001953125</v>
      </c>
    </row>
    <row r="10" spans="1:8" x14ac:dyDescent="0.25">
      <c r="A10">
        <v>206</v>
      </c>
      <c r="B10">
        <v>57.893363952636719</v>
      </c>
      <c r="C10">
        <v>39.90447998046875</v>
      </c>
      <c r="D10">
        <v>68.57098388671875</v>
      </c>
      <c r="E10">
        <v>61.285701751708984</v>
      </c>
      <c r="F10">
        <v>41.745586395263672</v>
      </c>
      <c r="G10">
        <v>36.532234191894531</v>
      </c>
      <c r="H10">
        <v>19.612394332885742</v>
      </c>
    </row>
    <row r="11" spans="1:8" x14ac:dyDescent="0.25">
      <c r="A11">
        <v>208</v>
      </c>
      <c r="B11">
        <v>57.694194793701172</v>
      </c>
      <c r="C11">
        <v>36.854412078857422</v>
      </c>
      <c r="D11">
        <v>66.4552001953125</v>
      </c>
      <c r="E11">
        <v>61.369869232177734</v>
      </c>
      <c r="F11">
        <v>40.272445678710938</v>
      </c>
      <c r="G11">
        <v>34.31036376953125</v>
      </c>
      <c r="H11">
        <v>14.417017936706543</v>
      </c>
    </row>
    <row r="12" spans="1:8" x14ac:dyDescent="0.25">
      <c r="A12">
        <v>210</v>
      </c>
      <c r="B12">
        <v>56.039260864257813</v>
      </c>
      <c r="C12">
        <v>34.270755767822266</v>
      </c>
      <c r="D12">
        <v>64.656791687011719</v>
      </c>
      <c r="E12">
        <v>61.985771179199219</v>
      </c>
      <c r="F12">
        <v>39.548824310302734</v>
      </c>
      <c r="G12">
        <v>32.922348022460938</v>
      </c>
      <c r="H12">
        <v>10.30030632019043</v>
      </c>
    </row>
    <row r="13" spans="1:8" x14ac:dyDescent="0.25">
      <c r="A13">
        <v>212</v>
      </c>
      <c r="B13">
        <v>53.282806396484375</v>
      </c>
      <c r="C13">
        <v>31.986848831176758</v>
      </c>
      <c r="D13">
        <v>62.559169769287109</v>
      </c>
      <c r="E13">
        <v>63.021339416503906</v>
      </c>
      <c r="F13">
        <v>39.103271484375</v>
      </c>
      <c r="G13">
        <v>32.013099670410156</v>
      </c>
      <c r="H13">
        <v>7.2796883583068848</v>
      </c>
    </row>
    <row r="14" spans="1:8" x14ac:dyDescent="0.25">
      <c r="A14">
        <v>214</v>
      </c>
      <c r="B14">
        <v>49.646408081054688</v>
      </c>
      <c r="C14">
        <v>29.960493087768555</v>
      </c>
      <c r="D14">
        <v>59.810138702392578</v>
      </c>
      <c r="E14">
        <v>66.164276123046875</v>
      </c>
      <c r="F14">
        <v>38.605094909667969</v>
      </c>
      <c r="G14">
        <v>31.255100250244141</v>
      </c>
      <c r="H14">
        <v>5.2365665435791016</v>
      </c>
    </row>
    <row r="15" spans="1:8" x14ac:dyDescent="0.25">
      <c r="A15">
        <v>216</v>
      </c>
      <c r="B15">
        <v>45.307060241699219</v>
      </c>
      <c r="C15">
        <v>28.152612686157227</v>
      </c>
      <c r="D15">
        <v>57.320663452148438</v>
      </c>
      <c r="E15">
        <v>71.650077819824219</v>
      </c>
      <c r="F15">
        <v>37.873004913330078</v>
      </c>
      <c r="G15">
        <v>30.460559844970703</v>
      </c>
      <c r="H15">
        <v>3.8889193534851074</v>
      </c>
    </row>
    <row r="16" spans="1:8" x14ac:dyDescent="0.25">
      <c r="A16">
        <v>218</v>
      </c>
      <c r="B16">
        <v>41.034206390380859</v>
      </c>
      <c r="C16">
        <v>26.397735595703125</v>
      </c>
      <c r="D16">
        <v>55.822067260742188</v>
      </c>
      <c r="E16">
        <v>79.338348388671875</v>
      </c>
      <c r="F16">
        <v>36.719593048095703</v>
      </c>
      <c r="G16">
        <v>29.497268676757813</v>
      </c>
      <c r="H16">
        <v>3.0529284477233887</v>
      </c>
    </row>
    <row r="17" spans="1:8" x14ac:dyDescent="0.25">
      <c r="A17">
        <v>220</v>
      </c>
      <c r="B17">
        <v>37.828556060791016</v>
      </c>
      <c r="C17">
        <v>24.651115417480469</v>
      </c>
      <c r="D17">
        <v>56.538337707519531</v>
      </c>
      <c r="E17">
        <v>87.847419738769531</v>
      </c>
      <c r="F17">
        <v>35.194301605224609</v>
      </c>
      <c r="G17">
        <v>28.358795166015625</v>
      </c>
      <c r="H17">
        <v>2.5336732864379883</v>
      </c>
    </row>
    <row r="18" spans="1:8" x14ac:dyDescent="0.25">
      <c r="A18">
        <v>222</v>
      </c>
      <c r="B18">
        <v>36.573879241943359</v>
      </c>
      <c r="C18">
        <v>23.149831771850586</v>
      </c>
      <c r="D18">
        <v>60.184284210205078</v>
      </c>
      <c r="E18">
        <v>95.246269226074219</v>
      </c>
      <c r="F18">
        <v>33.558895111083984</v>
      </c>
      <c r="G18">
        <v>27.217052459716797</v>
      </c>
      <c r="H18">
        <v>2.2499604225158691</v>
      </c>
    </row>
    <row r="19" spans="1:8" x14ac:dyDescent="0.25">
      <c r="A19">
        <v>224</v>
      </c>
      <c r="B19">
        <v>37.75164794921875</v>
      </c>
      <c r="C19">
        <v>21.771577835083008</v>
      </c>
      <c r="D19">
        <v>65.436058044433594</v>
      </c>
      <c r="E19">
        <v>100</v>
      </c>
      <c r="F19">
        <v>31.705888748168945</v>
      </c>
      <c r="G19">
        <v>26.137733459472656</v>
      </c>
      <c r="H19">
        <v>2.1010787487030029</v>
      </c>
    </row>
    <row r="20" spans="1:8" x14ac:dyDescent="0.25">
      <c r="A20">
        <v>226</v>
      </c>
      <c r="B20">
        <v>41.453994750976563</v>
      </c>
      <c r="C20">
        <v>20.578182220458984</v>
      </c>
      <c r="D20">
        <v>71.331771850585938</v>
      </c>
      <c r="E20">
        <v>99.995437622070313</v>
      </c>
      <c r="F20">
        <v>29.83262825012207</v>
      </c>
      <c r="G20">
        <v>25.24473762512207</v>
      </c>
      <c r="H20">
        <v>2.0205538272857666</v>
      </c>
    </row>
    <row r="21" spans="1:8" x14ac:dyDescent="0.25">
      <c r="A21">
        <v>228</v>
      </c>
      <c r="B21">
        <v>47.408882141113281</v>
      </c>
      <c r="C21">
        <v>19.580018997192383</v>
      </c>
      <c r="D21">
        <v>77.482246398925781</v>
      </c>
      <c r="E21">
        <v>95.475067138671875</v>
      </c>
      <c r="F21">
        <v>28.19573974609375</v>
      </c>
      <c r="G21">
        <v>24.596651077270508</v>
      </c>
      <c r="H21">
        <v>2</v>
      </c>
    </row>
    <row r="22" spans="1:8" x14ac:dyDescent="0.25">
      <c r="A22">
        <v>230</v>
      </c>
      <c r="B22">
        <v>54.874118804931641</v>
      </c>
      <c r="C22">
        <v>18.832754135131836</v>
      </c>
      <c r="D22">
        <v>82.433013916015625</v>
      </c>
      <c r="E22">
        <v>86.97021484375</v>
      </c>
      <c r="F22">
        <v>27.129753112792969</v>
      </c>
      <c r="G22">
        <v>24.360797882080078</v>
      </c>
      <c r="H22">
        <v>2.0076122283935547</v>
      </c>
    </row>
    <row r="23" spans="1:8" x14ac:dyDescent="0.25">
      <c r="A23">
        <v>232</v>
      </c>
      <c r="B23">
        <v>63.523292541503906</v>
      </c>
      <c r="C23">
        <v>18.202821731567383</v>
      </c>
      <c r="D23">
        <v>85.10345458984375</v>
      </c>
      <c r="E23">
        <v>76.244987487792969</v>
      </c>
      <c r="F23">
        <v>26.713335037231445</v>
      </c>
      <c r="G23">
        <v>24.596431732177734</v>
      </c>
      <c r="H23">
        <v>2.0281827449798584</v>
      </c>
    </row>
    <row r="24" spans="1:8" x14ac:dyDescent="0.25">
      <c r="A24">
        <v>234</v>
      </c>
      <c r="B24">
        <v>72.964385986328125</v>
      </c>
      <c r="C24">
        <v>17.537832260131836</v>
      </c>
      <c r="D24">
        <v>85.009361267089844</v>
      </c>
      <c r="E24">
        <v>65.126960754394531</v>
      </c>
      <c r="F24">
        <v>26.938266754150391</v>
      </c>
      <c r="G24">
        <v>25.364433288574219</v>
      </c>
      <c r="H24">
        <v>2.0652954578399658</v>
      </c>
    </row>
    <row r="25" spans="1:8" x14ac:dyDescent="0.25">
      <c r="A25">
        <v>236</v>
      </c>
      <c r="B25">
        <v>82.05975341796875</v>
      </c>
      <c r="C25">
        <v>16.954668045043945</v>
      </c>
      <c r="D25">
        <v>82.212203979492188</v>
      </c>
      <c r="E25">
        <v>55.03656005859375</v>
      </c>
      <c r="F25">
        <v>27.817346572875977</v>
      </c>
      <c r="G25">
        <v>26.67591667175293</v>
      </c>
      <c r="H25">
        <v>2.1116104125976563</v>
      </c>
    </row>
    <row r="26" spans="1:8" x14ac:dyDescent="0.25">
      <c r="A26">
        <v>238</v>
      </c>
      <c r="B26">
        <v>90.422309875488281</v>
      </c>
      <c r="C26">
        <v>16.343172073364258</v>
      </c>
      <c r="D26">
        <v>77.546882629394531</v>
      </c>
      <c r="E26">
        <v>46.496669769287109</v>
      </c>
      <c r="F26">
        <v>29.358501434326172</v>
      </c>
      <c r="G26">
        <v>28.656757354736328</v>
      </c>
      <c r="H26">
        <v>2.1486110687255859</v>
      </c>
    </row>
    <row r="27" spans="1:8" x14ac:dyDescent="0.25">
      <c r="A27">
        <v>240</v>
      </c>
      <c r="B27">
        <v>96.662528991699219</v>
      </c>
      <c r="C27">
        <v>15.707540512084961</v>
      </c>
      <c r="D27">
        <v>72.504989624023438</v>
      </c>
      <c r="E27">
        <v>39.918003082275391</v>
      </c>
      <c r="F27">
        <v>31.511222839355469</v>
      </c>
      <c r="G27">
        <v>31.243862152099609</v>
      </c>
      <c r="H27">
        <v>2.1806700229644775</v>
      </c>
    </row>
    <row r="28" spans="1:8" x14ac:dyDescent="0.25">
      <c r="A28">
        <v>242</v>
      </c>
      <c r="B28">
        <v>100</v>
      </c>
      <c r="C28">
        <v>14.921706199645996</v>
      </c>
      <c r="D28">
        <v>67.593467712402344</v>
      </c>
      <c r="E28">
        <v>34.994522094726563</v>
      </c>
      <c r="F28">
        <v>34.385646820068359</v>
      </c>
      <c r="G28">
        <v>34.526393890380859</v>
      </c>
      <c r="H28">
        <v>2.2231104373931885</v>
      </c>
    </row>
    <row r="29" spans="1:8" x14ac:dyDescent="0.25">
      <c r="A29">
        <v>244</v>
      </c>
      <c r="B29">
        <v>99.145965576171875</v>
      </c>
      <c r="C29">
        <v>14.028449058532715</v>
      </c>
      <c r="D29">
        <v>62.511547088623047</v>
      </c>
      <c r="E29">
        <v>31.5911865234375</v>
      </c>
      <c r="F29">
        <v>37.804580688476563</v>
      </c>
      <c r="G29">
        <v>38.267154693603516</v>
      </c>
      <c r="H29">
        <v>2.2672441005706787</v>
      </c>
    </row>
    <row r="30" spans="1:8" x14ac:dyDescent="0.25">
      <c r="A30">
        <v>246</v>
      </c>
      <c r="B30">
        <v>94.218177795410156</v>
      </c>
      <c r="C30">
        <v>13.039318084716797</v>
      </c>
      <c r="D30">
        <v>56.121875762939453</v>
      </c>
      <c r="E30">
        <v>29.124208450317383</v>
      </c>
      <c r="F30">
        <v>41.849880218505859</v>
      </c>
      <c r="G30">
        <v>42.570030212402344</v>
      </c>
      <c r="H30">
        <v>2.2947921752929688</v>
      </c>
    </row>
    <row r="31" spans="1:8" x14ac:dyDescent="0.25">
      <c r="A31">
        <v>248</v>
      </c>
      <c r="B31">
        <v>87.161537170410156</v>
      </c>
      <c r="C31">
        <v>12.220226287841797</v>
      </c>
      <c r="D31">
        <v>49.225677490234375</v>
      </c>
      <c r="E31">
        <v>27.643726348876953</v>
      </c>
      <c r="F31">
        <v>46.155139923095703</v>
      </c>
      <c r="G31">
        <v>47.113021850585938</v>
      </c>
      <c r="H31">
        <v>2.3216638565063477</v>
      </c>
    </row>
    <row r="32" spans="1:8" x14ac:dyDescent="0.25">
      <c r="A32">
        <v>250</v>
      </c>
      <c r="B32">
        <v>79.878746032714844</v>
      </c>
      <c r="C32">
        <v>11.613715171813965</v>
      </c>
      <c r="D32">
        <v>42.148689270019531</v>
      </c>
      <c r="E32">
        <v>26.344602584838867</v>
      </c>
      <c r="F32">
        <v>50.914756774902344</v>
      </c>
      <c r="G32">
        <v>52.058452606201172</v>
      </c>
      <c r="H32">
        <v>2.3413140773773193</v>
      </c>
    </row>
    <row r="33" spans="1:8" x14ac:dyDescent="0.25">
      <c r="A33">
        <v>252</v>
      </c>
      <c r="B33">
        <v>74.322120666503906</v>
      </c>
      <c r="C33">
        <v>11.23807430267334</v>
      </c>
      <c r="D33">
        <v>35.860572814941406</v>
      </c>
      <c r="E33">
        <v>25.473543167114258</v>
      </c>
      <c r="F33">
        <v>55.7218017578125</v>
      </c>
      <c r="G33">
        <v>57.055656433105469</v>
      </c>
      <c r="H33">
        <v>2.3510992527008057</v>
      </c>
    </row>
    <row r="34" spans="1:8" x14ac:dyDescent="0.25">
      <c r="A34">
        <v>254</v>
      </c>
      <c r="B34">
        <v>70.574050903320313</v>
      </c>
      <c r="C34">
        <v>11.032158851623535</v>
      </c>
      <c r="D34">
        <v>30.322669982910156</v>
      </c>
      <c r="E34">
        <v>24.985757827758789</v>
      </c>
      <c r="F34">
        <v>60.7567138671875</v>
      </c>
      <c r="G34">
        <v>62.307468414306641</v>
      </c>
      <c r="H34">
        <v>2.3687303066253662</v>
      </c>
    </row>
    <row r="35" spans="1:8" x14ac:dyDescent="0.25">
      <c r="A35">
        <v>256</v>
      </c>
      <c r="B35">
        <v>68.240531921386719</v>
      </c>
      <c r="C35">
        <v>10.865721702575684</v>
      </c>
      <c r="D35">
        <v>26.107429504394531</v>
      </c>
      <c r="E35">
        <v>24.766654968261719</v>
      </c>
      <c r="F35">
        <v>65.785987854003906</v>
      </c>
      <c r="G35">
        <v>67.60064697265625</v>
      </c>
      <c r="H35">
        <v>2.3846795558929443</v>
      </c>
    </row>
    <row r="36" spans="1:8" x14ac:dyDescent="0.25">
      <c r="A36">
        <v>258</v>
      </c>
      <c r="B36">
        <v>66.390655517578125</v>
      </c>
      <c r="C36">
        <v>10.848787307739258</v>
      </c>
      <c r="D36">
        <v>23.192209243774414</v>
      </c>
      <c r="E36">
        <v>24.960912704467773</v>
      </c>
      <c r="F36">
        <v>70.629806518554688</v>
      </c>
      <c r="G36">
        <v>72.683296203613281</v>
      </c>
      <c r="H36">
        <v>2.3871114253997803</v>
      </c>
    </row>
    <row r="37" spans="1:8" x14ac:dyDescent="0.25">
      <c r="A37">
        <v>260</v>
      </c>
      <c r="B37">
        <v>64.109428405761719</v>
      </c>
      <c r="C37">
        <v>10.794831275939941</v>
      </c>
      <c r="D37">
        <v>21.425365447998047</v>
      </c>
      <c r="E37">
        <v>25.534557342529297</v>
      </c>
      <c r="F37">
        <v>75.479888916015625</v>
      </c>
      <c r="G37">
        <v>77.704177856445313</v>
      </c>
      <c r="H37">
        <v>2.3818221092224121</v>
      </c>
    </row>
    <row r="38" spans="1:8" x14ac:dyDescent="0.25">
      <c r="A38">
        <v>262</v>
      </c>
      <c r="B38">
        <v>61.059345245361328</v>
      </c>
      <c r="C38">
        <v>10.61724853515625</v>
      </c>
      <c r="D38">
        <v>20.400728225708008</v>
      </c>
      <c r="E38">
        <v>25.950115203857422</v>
      </c>
      <c r="F38">
        <v>80.146926879882813</v>
      </c>
      <c r="G38">
        <v>82.491561889648438</v>
      </c>
      <c r="H38">
        <v>2.3772244453430176</v>
      </c>
    </row>
    <row r="39" spans="1:8" x14ac:dyDescent="0.25">
      <c r="A39">
        <v>264</v>
      </c>
      <c r="B39">
        <v>56.862045288085938</v>
      </c>
      <c r="C39">
        <v>10.508635520935059</v>
      </c>
      <c r="D39">
        <v>19.437068939208984</v>
      </c>
      <c r="E39">
        <v>26.527254104614258</v>
      </c>
      <c r="F39">
        <v>84.582931518554688</v>
      </c>
      <c r="G39">
        <v>87.0078125</v>
      </c>
      <c r="H39">
        <v>2.3822245597839355</v>
      </c>
    </row>
    <row r="40" spans="1:8" x14ac:dyDescent="0.25">
      <c r="A40">
        <v>266</v>
      </c>
      <c r="B40">
        <v>51.700069427490234</v>
      </c>
      <c r="C40">
        <v>10.453414916992188</v>
      </c>
      <c r="D40">
        <v>18.66425895690918</v>
      </c>
      <c r="E40">
        <v>27.669193267822266</v>
      </c>
      <c r="F40">
        <v>88.592002868652344</v>
      </c>
      <c r="G40">
        <v>90.941162109375</v>
      </c>
      <c r="H40">
        <v>2.3873600959777832</v>
      </c>
    </row>
    <row r="41" spans="1:8" x14ac:dyDescent="0.25">
      <c r="A41">
        <v>268</v>
      </c>
      <c r="B41">
        <v>45.960895538330078</v>
      </c>
      <c r="C41">
        <v>10.401422500610352</v>
      </c>
      <c r="D41">
        <v>18.006952285766602</v>
      </c>
      <c r="E41">
        <v>28.722396850585938</v>
      </c>
      <c r="F41">
        <v>92.285377502441406</v>
      </c>
      <c r="G41">
        <v>94.427955627441406</v>
      </c>
      <c r="H41">
        <v>2.378448486328125</v>
      </c>
    </row>
    <row r="42" spans="1:8" x14ac:dyDescent="0.25">
      <c r="A42">
        <v>270</v>
      </c>
      <c r="B42">
        <v>40.500846862792969</v>
      </c>
      <c r="C42">
        <v>10.316455841064453</v>
      </c>
      <c r="D42">
        <v>17.643739700317383</v>
      </c>
      <c r="E42">
        <v>29.818023681640625</v>
      </c>
      <c r="F42">
        <v>95.475006103515625</v>
      </c>
      <c r="G42">
        <v>97.193321228027344</v>
      </c>
      <c r="H42">
        <v>2.3772962093353271</v>
      </c>
    </row>
    <row r="43" spans="1:8" x14ac:dyDescent="0.25">
      <c r="A43">
        <v>272</v>
      </c>
      <c r="B43">
        <v>35.871627807617188</v>
      </c>
      <c r="C43">
        <v>10.311842918395996</v>
      </c>
      <c r="D43">
        <v>17.206785202026367</v>
      </c>
      <c r="E43">
        <v>31.241884231567383</v>
      </c>
      <c r="F43">
        <v>97.927017211914063</v>
      </c>
      <c r="G43">
        <v>99.080894470214844</v>
      </c>
      <c r="H43">
        <v>2.3777287006378174</v>
      </c>
    </row>
    <row r="44" spans="1:8" x14ac:dyDescent="0.25">
      <c r="A44">
        <v>274</v>
      </c>
      <c r="B44">
        <v>32.515693664550781</v>
      </c>
      <c r="C44">
        <v>10.370084762573242</v>
      </c>
      <c r="D44">
        <v>16.636119842529297</v>
      </c>
      <c r="E44">
        <v>33.017242431640625</v>
      </c>
      <c r="F44">
        <v>99.461822509765625</v>
      </c>
      <c r="G44">
        <v>99.999992370605469</v>
      </c>
      <c r="H44">
        <v>2.3742516040802002</v>
      </c>
    </row>
    <row r="45" spans="1:8" x14ac:dyDescent="0.25">
      <c r="A45">
        <v>276</v>
      </c>
      <c r="B45">
        <v>30.335350036621094</v>
      </c>
      <c r="C45">
        <v>10.432879447937012</v>
      </c>
      <c r="D45">
        <v>16.478437423706055</v>
      </c>
      <c r="E45">
        <v>34.622066497802734</v>
      </c>
      <c r="F45">
        <v>100</v>
      </c>
      <c r="G45">
        <v>99.895309448242188</v>
      </c>
      <c r="H45">
        <v>2.3729372024536133</v>
      </c>
    </row>
    <row r="46" spans="1:8" x14ac:dyDescent="0.25">
      <c r="A46">
        <v>278</v>
      </c>
      <c r="B46">
        <v>29.171567916870117</v>
      </c>
      <c r="C46">
        <v>10.503621101379395</v>
      </c>
      <c r="D46">
        <v>16.090293884277344</v>
      </c>
      <c r="E46">
        <v>36.421592712402344</v>
      </c>
      <c r="F46">
        <v>99.577461242675781</v>
      </c>
      <c r="G46">
        <v>98.726921081542969</v>
      </c>
      <c r="H46">
        <v>2.3651797771453857</v>
      </c>
    </row>
    <row r="47" spans="1:8" x14ac:dyDescent="0.25">
      <c r="A47">
        <v>280</v>
      </c>
      <c r="B47">
        <v>28.750514984130859</v>
      </c>
      <c r="C47">
        <v>10.532102584838867</v>
      </c>
      <c r="D47">
        <v>15.756722450256348</v>
      </c>
      <c r="E47">
        <v>38.45318603515625</v>
      </c>
      <c r="F47">
        <v>98.180755615234375</v>
      </c>
      <c r="G47">
        <v>96.554710388183594</v>
      </c>
      <c r="H47">
        <v>2.3686401844024658</v>
      </c>
    </row>
    <row r="48" spans="1:8" x14ac:dyDescent="0.25">
      <c r="A48">
        <v>282</v>
      </c>
      <c r="B48">
        <v>28.585330963134766</v>
      </c>
      <c r="C48">
        <v>10.659330368041992</v>
      </c>
      <c r="D48">
        <v>15.849813461303711</v>
      </c>
      <c r="E48">
        <v>40.085891723632813</v>
      </c>
      <c r="F48">
        <v>95.780128479003906</v>
      </c>
      <c r="G48">
        <v>93.453895568847656</v>
      </c>
      <c r="H48">
        <v>2.3725664615631104</v>
      </c>
    </row>
    <row r="49" spans="1:8" x14ac:dyDescent="0.25">
      <c r="A49">
        <v>284</v>
      </c>
      <c r="B49">
        <v>28.606842041015625</v>
      </c>
      <c r="C49">
        <v>10.785337448120117</v>
      </c>
      <c r="D49">
        <v>16.182376861572266</v>
      </c>
      <c r="E49">
        <v>41.697700500488281</v>
      </c>
      <c r="F49">
        <v>92.524032592773438</v>
      </c>
      <c r="G49">
        <v>89.450721740722656</v>
      </c>
      <c r="H49">
        <v>2.3702383041381836</v>
      </c>
    </row>
    <row r="50" spans="1:8" x14ac:dyDescent="0.25">
      <c r="A50">
        <v>286</v>
      </c>
      <c r="B50">
        <v>28.567039489746094</v>
      </c>
      <c r="C50">
        <v>10.896702766418457</v>
      </c>
      <c r="D50">
        <v>16.263711929321289</v>
      </c>
      <c r="E50">
        <v>43.143306732177734</v>
      </c>
      <c r="F50">
        <v>88.421676635742188</v>
      </c>
      <c r="G50">
        <v>84.699249267578125</v>
      </c>
      <c r="H50">
        <v>2.3686885833740234</v>
      </c>
    </row>
    <row r="51" spans="1:8" x14ac:dyDescent="0.25">
      <c r="A51">
        <v>288</v>
      </c>
      <c r="B51">
        <v>28.229511260986328</v>
      </c>
      <c r="C51">
        <v>11.025819778442383</v>
      </c>
      <c r="D51">
        <v>16.826417922973633</v>
      </c>
      <c r="E51">
        <v>44.812015533447266</v>
      </c>
      <c r="F51">
        <v>83.60394287109375</v>
      </c>
      <c r="G51">
        <v>79.291114807128906</v>
      </c>
      <c r="H51">
        <v>2.3680689334869385</v>
      </c>
    </row>
    <row r="52" spans="1:8" x14ac:dyDescent="0.25">
      <c r="A52">
        <v>290</v>
      </c>
      <c r="B52">
        <v>27.516651153564453</v>
      </c>
      <c r="C52">
        <v>11.153687477111816</v>
      </c>
      <c r="D52">
        <v>17.855354309082031</v>
      </c>
      <c r="E52">
        <v>46.050857543945313</v>
      </c>
      <c r="F52">
        <v>78.111061096191406</v>
      </c>
      <c r="G52">
        <v>73.351089477539063</v>
      </c>
      <c r="H52">
        <v>2.37325119972229</v>
      </c>
    </row>
    <row r="53" spans="1:8" x14ac:dyDescent="0.25">
      <c r="A53">
        <v>292</v>
      </c>
      <c r="B53">
        <v>26.453151702880859</v>
      </c>
      <c r="C53">
        <v>11.309350967407227</v>
      </c>
      <c r="D53">
        <v>19.003501892089844</v>
      </c>
      <c r="E53">
        <v>46.902030944824219</v>
      </c>
      <c r="F53">
        <v>72.124336242675781</v>
      </c>
      <c r="G53">
        <v>67.049087524414063</v>
      </c>
      <c r="H53">
        <v>2.3748495578765869</v>
      </c>
    </row>
    <row r="54" spans="1:8" x14ac:dyDescent="0.25">
      <c r="A54">
        <v>294</v>
      </c>
      <c r="B54">
        <v>25.102827072143555</v>
      </c>
      <c r="C54">
        <v>11.412948608398438</v>
      </c>
      <c r="D54">
        <v>20.281196594238281</v>
      </c>
      <c r="E54">
        <v>48.102672576904297</v>
      </c>
      <c r="F54">
        <v>65.840965270996094</v>
      </c>
      <c r="G54">
        <v>60.481868743896484</v>
      </c>
      <c r="H54">
        <v>2.3770723342895508</v>
      </c>
    </row>
    <row r="55" spans="1:8" x14ac:dyDescent="0.25">
      <c r="A55">
        <v>296</v>
      </c>
      <c r="B55">
        <v>23.429309844970703</v>
      </c>
      <c r="C55">
        <v>11.545637130737305</v>
      </c>
      <c r="D55">
        <v>21.537256240844727</v>
      </c>
      <c r="E55">
        <v>48.999591827392578</v>
      </c>
      <c r="F55">
        <v>59.363887786865234</v>
      </c>
      <c r="G55">
        <v>53.835006713867188</v>
      </c>
      <c r="H55">
        <v>2.3781545162200928</v>
      </c>
    </row>
    <row r="56" spans="1:8" x14ac:dyDescent="0.25">
      <c r="A56">
        <v>298</v>
      </c>
      <c r="B56">
        <v>21.415374755859375</v>
      </c>
      <c r="C56">
        <v>11.749439239501953</v>
      </c>
      <c r="D56">
        <v>23.109228134155273</v>
      </c>
      <c r="E56">
        <v>49.307655334472656</v>
      </c>
      <c r="F56">
        <v>52.670646667480469</v>
      </c>
      <c r="G56">
        <v>47.091072082519531</v>
      </c>
      <c r="H56">
        <v>2.3899705410003662</v>
      </c>
    </row>
    <row r="57" spans="1:8" x14ac:dyDescent="0.25">
      <c r="A57">
        <v>300</v>
      </c>
      <c r="B57">
        <v>19.279315948486328</v>
      </c>
      <c r="C57">
        <v>11.931679725646973</v>
      </c>
      <c r="D57">
        <v>24.9923095703125</v>
      </c>
      <c r="E57">
        <v>49.266471862792969</v>
      </c>
      <c r="F57">
        <v>46.243637084960938</v>
      </c>
      <c r="G57">
        <v>40.717948913574219</v>
      </c>
      <c r="H57">
        <v>2.3993330001831055</v>
      </c>
    </row>
    <row r="58" spans="1:8" x14ac:dyDescent="0.25">
      <c r="A58">
        <v>302</v>
      </c>
      <c r="B58">
        <v>17.175960540771484</v>
      </c>
      <c r="C58">
        <v>12.093340873718262</v>
      </c>
      <c r="D58">
        <v>27.006404876708984</v>
      </c>
      <c r="E58">
        <v>48.765727996826172</v>
      </c>
      <c r="F58">
        <v>40.000480651855469</v>
      </c>
      <c r="G58">
        <v>34.684589385986328</v>
      </c>
      <c r="H58">
        <v>2.3990473747253418</v>
      </c>
    </row>
    <row r="59" spans="1:8" x14ac:dyDescent="0.25">
      <c r="A59">
        <v>304</v>
      </c>
      <c r="B59">
        <v>15.233911514282227</v>
      </c>
      <c r="C59">
        <v>12.181745529174805</v>
      </c>
      <c r="D59">
        <v>29.074251174926758</v>
      </c>
      <c r="E59">
        <v>47.97906494140625</v>
      </c>
      <c r="F59">
        <v>34.138027191162109</v>
      </c>
      <c r="G59">
        <v>29.136428833007813</v>
      </c>
      <c r="H59">
        <v>2.3892924785614014</v>
      </c>
    </row>
    <row r="60" spans="1:8" x14ac:dyDescent="0.25">
      <c r="A60">
        <v>306</v>
      </c>
      <c r="B60">
        <v>13.55583667755127</v>
      </c>
      <c r="C60">
        <v>12.280045509338379</v>
      </c>
      <c r="D60">
        <v>31.332302093505859</v>
      </c>
      <c r="E60">
        <v>46.801353454589844</v>
      </c>
      <c r="F60">
        <v>28.595794677734375</v>
      </c>
      <c r="G60">
        <v>24.04371452331543</v>
      </c>
      <c r="H60">
        <v>2.4017295837402344</v>
      </c>
    </row>
    <row r="61" spans="1:8" x14ac:dyDescent="0.25">
      <c r="A61">
        <v>308</v>
      </c>
      <c r="B61">
        <v>12.414612770080566</v>
      </c>
      <c r="C61">
        <v>12.391246795654297</v>
      </c>
      <c r="D61">
        <v>33.528919219970703</v>
      </c>
      <c r="E61">
        <v>45.253433227539063</v>
      </c>
      <c r="F61">
        <v>23.798246383666992</v>
      </c>
      <c r="G61">
        <v>19.654140472412109</v>
      </c>
      <c r="H61">
        <v>2.4147295951843262</v>
      </c>
    </row>
    <row r="62" spans="1:8" x14ac:dyDescent="0.25">
      <c r="A62">
        <v>310</v>
      </c>
      <c r="B62">
        <v>11.614193916320801</v>
      </c>
      <c r="C62">
        <v>12.516911506652832</v>
      </c>
      <c r="D62">
        <v>35.107936859130859</v>
      </c>
      <c r="E62">
        <v>43.027191162109375</v>
      </c>
      <c r="F62">
        <v>19.630956649780273</v>
      </c>
      <c r="G62">
        <v>15.855818748474121</v>
      </c>
      <c r="H62">
        <v>2.4233505725860596</v>
      </c>
    </row>
    <row r="63" spans="1:8" x14ac:dyDescent="0.25">
      <c r="A63">
        <v>312</v>
      </c>
      <c r="B63">
        <v>11.175665855407715</v>
      </c>
      <c r="C63">
        <v>12.595733642578125</v>
      </c>
      <c r="D63">
        <v>36.332569122314453</v>
      </c>
      <c r="E63">
        <v>40.131752014160156</v>
      </c>
      <c r="F63">
        <v>15.934002876281738</v>
      </c>
      <c r="G63">
        <v>12.617978096008301</v>
      </c>
      <c r="H63">
        <v>2.4336533546447754</v>
      </c>
    </row>
    <row r="64" spans="1:8" x14ac:dyDescent="0.25">
      <c r="A64">
        <v>314</v>
      </c>
      <c r="B64">
        <v>11.290555000305176</v>
      </c>
      <c r="C64">
        <v>12.756352424621582</v>
      </c>
      <c r="D64">
        <v>37.106430053710938</v>
      </c>
      <c r="E64">
        <v>37.472320556640625</v>
      </c>
      <c r="F64">
        <v>12.965081214904785</v>
      </c>
      <c r="G64">
        <v>10.089668273925781</v>
      </c>
      <c r="H64">
        <v>2.429511547088623</v>
      </c>
    </row>
    <row r="65" spans="1:8" x14ac:dyDescent="0.25">
      <c r="A65">
        <v>316</v>
      </c>
      <c r="B65">
        <v>11.778487205505371</v>
      </c>
      <c r="C65">
        <v>12.904010772705078</v>
      </c>
      <c r="D65">
        <v>37.693153381347656</v>
      </c>
      <c r="E65">
        <v>34.796489715576172</v>
      </c>
      <c r="F65">
        <v>10.422237396240234</v>
      </c>
      <c r="G65">
        <v>8.0189065933227539</v>
      </c>
      <c r="H65">
        <v>2.4293210506439209</v>
      </c>
    </row>
    <row r="66" spans="1:8" x14ac:dyDescent="0.25">
      <c r="A66">
        <v>318</v>
      </c>
      <c r="B66">
        <v>12.295844078063965</v>
      </c>
      <c r="C66">
        <v>12.933191299438477</v>
      </c>
      <c r="D66">
        <v>37.827827453613281</v>
      </c>
      <c r="E66">
        <v>32.247989654541016</v>
      </c>
      <c r="F66">
        <v>8.3316764831542969</v>
      </c>
      <c r="G66">
        <v>6.4411172866821289</v>
      </c>
      <c r="H66">
        <v>2.4238364696502686</v>
      </c>
    </row>
    <row r="67" spans="1:8" x14ac:dyDescent="0.25">
      <c r="A67">
        <v>320</v>
      </c>
      <c r="B67">
        <v>13.040942192077637</v>
      </c>
      <c r="C67">
        <v>12.921658515930176</v>
      </c>
      <c r="D67">
        <v>37.336071014404297</v>
      </c>
      <c r="E67">
        <v>29.321001052856445</v>
      </c>
      <c r="F67">
        <v>6.7249665260314941</v>
      </c>
      <c r="G67">
        <v>5.228391170501709</v>
      </c>
      <c r="H67">
        <v>2.4224836826324463</v>
      </c>
    </row>
    <row r="68" spans="1:8" x14ac:dyDescent="0.25">
      <c r="A68">
        <v>322</v>
      </c>
      <c r="B68">
        <v>14.086267471313477</v>
      </c>
      <c r="C68">
        <v>12.932283401489258</v>
      </c>
      <c r="D68">
        <v>36.455116271972656</v>
      </c>
      <c r="E68">
        <v>26.44432258605957</v>
      </c>
      <c r="F68">
        <v>5.5986394882202148</v>
      </c>
      <c r="G68">
        <v>4.3417940139770508</v>
      </c>
      <c r="H68">
        <v>2.4319181442260742</v>
      </c>
    </row>
    <row r="69" spans="1:8" x14ac:dyDescent="0.25">
      <c r="A69">
        <v>324</v>
      </c>
      <c r="B69">
        <v>15.190249443054199</v>
      </c>
      <c r="C69">
        <v>12.951791763305664</v>
      </c>
      <c r="D69">
        <v>34.715309143066406</v>
      </c>
      <c r="E69">
        <v>23.472545623779297</v>
      </c>
      <c r="F69">
        <v>4.6970558166503906</v>
      </c>
      <c r="G69">
        <v>3.6771328449249268</v>
      </c>
      <c r="H69">
        <v>2.433030366897583</v>
      </c>
    </row>
    <row r="70" spans="1:8" x14ac:dyDescent="0.25">
      <c r="A70">
        <v>326</v>
      </c>
      <c r="B70">
        <v>16.567127227783203</v>
      </c>
      <c r="C70">
        <v>12.97103214263916</v>
      </c>
      <c r="D70">
        <v>32.700893402099609</v>
      </c>
      <c r="E70">
        <v>20.464822769165039</v>
      </c>
      <c r="F70">
        <v>4.0904669761657715</v>
      </c>
      <c r="G70">
        <v>3.2041304111480713</v>
      </c>
      <c r="H70">
        <v>2.4453589916229248</v>
      </c>
    </row>
    <row r="71" spans="1:8" x14ac:dyDescent="0.25">
      <c r="A71">
        <v>328</v>
      </c>
      <c r="B71">
        <v>18.077127456665039</v>
      </c>
      <c r="C71">
        <v>12.954946517944336</v>
      </c>
      <c r="D71">
        <v>30.275873184204102</v>
      </c>
      <c r="E71">
        <v>18.064323425292969</v>
      </c>
      <c r="F71">
        <v>3.6819748878479004</v>
      </c>
      <c r="G71">
        <v>2.8715591430664063</v>
      </c>
      <c r="H71">
        <v>2.4485487937927246</v>
      </c>
    </row>
    <row r="72" spans="1:8" x14ac:dyDescent="0.25">
      <c r="A72">
        <v>330</v>
      </c>
      <c r="B72">
        <v>19.470046997070313</v>
      </c>
      <c r="C72">
        <v>12.857687950134277</v>
      </c>
      <c r="D72">
        <v>27.807899475097656</v>
      </c>
      <c r="E72">
        <v>16.273189544677734</v>
      </c>
      <c r="F72">
        <v>3.3271710872650146</v>
      </c>
      <c r="G72">
        <v>2.6619870662689209</v>
      </c>
      <c r="H72">
        <v>2.4357209205627441</v>
      </c>
    </row>
    <row r="73" spans="1:8" x14ac:dyDescent="0.25">
      <c r="A73">
        <v>332</v>
      </c>
      <c r="B73">
        <v>20.803224563598633</v>
      </c>
      <c r="C73">
        <v>12.678780555725098</v>
      </c>
      <c r="D73">
        <v>25.432924270629883</v>
      </c>
      <c r="E73">
        <v>14.917949676513672</v>
      </c>
      <c r="F73">
        <v>3.0091691017150879</v>
      </c>
      <c r="G73">
        <v>2.5152363777160645</v>
      </c>
      <c r="H73">
        <v>2.433250904083252</v>
      </c>
    </row>
    <row r="74" spans="1:8" x14ac:dyDescent="0.25">
      <c r="A74">
        <v>334</v>
      </c>
      <c r="B74">
        <v>22.267332077026367</v>
      </c>
      <c r="C74">
        <v>12.480291366577148</v>
      </c>
      <c r="D74">
        <v>22.913074493408203</v>
      </c>
      <c r="E74">
        <v>13.478371620178223</v>
      </c>
      <c r="F74">
        <v>2.8273477554321289</v>
      </c>
      <c r="G74">
        <v>2.4146802425384521</v>
      </c>
      <c r="H74">
        <v>2.4322822093963623</v>
      </c>
    </row>
    <row r="75" spans="1:8" x14ac:dyDescent="0.25">
      <c r="A75">
        <v>336</v>
      </c>
      <c r="B75">
        <v>23.877479553222656</v>
      </c>
      <c r="C75">
        <v>12.262873649597168</v>
      </c>
      <c r="D75">
        <v>20.198810577392578</v>
      </c>
      <c r="E75">
        <v>12.290291786193848</v>
      </c>
      <c r="F75">
        <v>2.7176334857940674</v>
      </c>
      <c r="G75">
        <v>2.333122730255127</v>
      </c>
      <c r="H75">
        <v>2.43121337890625</v>
      </c>
    </row>
    <row r="76" spans="1:8" x14ac:dyDescent="0.25">
      <c r="A76">
        <v>338</v>
      </c>
      <c r="B76">
        <v>25.350683212280273</v>
      </c>
      <c r="C76">
        <v>12.134945869445801</v>
      </c>
      <c r="D76">
        <v>17.834447860717773</v>
      </c>
      <c r="E76">
        <v>11.775576591491699</v>
      </c>
      <c r="F76">
        <v>2.6193044185638428</v>
      </c>
      <c r="G76">
        <v>2.2765204906463623</v>
      </c>
      <c r="H76">
        <v>2.4419403076171875</v>
      </c>
    </row>
    <row r="77" spans="1:8" x14ac:dyDescent="0.25">
      <c r="A77">
        <v>340</v>
      </c>
      <c r="B77">
        <v>26.631351470947266</v>
      </c>
      <c r="C77">
        <v>12.038520812988281</v>
      </c>
      <c r="D77">
        <v>15.802192687988281</v>
      </c>
      <c r="E77">
        <v>11.075393676757813</v>
      </c>
      <c r="F77">
        <v>2.5967142581939697</v>
      </c>
      <c r="G77">
        <v>2.2654740810394287</v>
      </c>
      <c r="H77">
        <v>2.4424612522125244</v>
      </c>
    </row>
    <row r="78" spans="1:8" x14ac:dyDescent="0.25">
      <c r="A78">
        <v>342</v>
      </c>
      <c r="B78">
        <v>27.937934875488281</v>
      </c>
      <c r="C78">
        <v>11.862902641296387</v>
      </c>
      <c r="D78">
        <v>13.78411865234375</v>
      </c>
      <c r="E78">
        <v>10.32985782623291</v>
      </c>
      <c r="F78">
        <v>2.6196999549865723</v>
      </c>
      <c r="G78">
        <v>2.2475388050079346</v>
      </c>
      <c r="H78">
        <v>2.4289169311523438</v>
      </c>
    </row>
    <row r="79" spans="1:8" x14ac:dyDescent="0.25">
      <c r="A79">
        <v>344</v>
      </c>
      <c r="B79">
        <v>29.107149124145508</v>
      </c>
      <c r="C79">
        <v>11.623968124389648</v>
      </c>
      <c r="D79">
        <v>11.99284553527832</v>
      </c>
      <c r="E79">
        <v>9.5685462951660156</v>
      </c>
      <c r="F79">
        <v>2.5642063617706299</v>
      </c>
      <c r="G79">
        <v>2.2416698932647705</v>
      </c>
      <c r="H79">
        <v>2.4208521842956543</v>
      </c>
    </row>
    <row r="80" spans="1:8" x14ac:dyDescent="0.25">
      <c r="A80">
        <v>346</v>
      </c>
      <c r="B80">
        <v>29.946128845214844</v>
      </c>
      <c r="C80">
        <v>11.358545303344727</v>
      </c>
      <c r="D80">
        <v>10.730291366577148</v>
      </c>
      <c r="E80">
        <v>9.0860576629638672</v>
      </c>
      <c r="F80">
        <v>2.4529242515563965</v>
      </c>
      <c r="G80">
        <v>2.2549002170562744</v>
      </c>
      <c r="H80">
        <v>2.4378936290740967</v>
      </c>
    </row>
    <row r="81" spans="1:8" x14ac:dyDescent="0.25">
      <c r="A81">
        <v>348</v>
      </c>
      <c r="B81">
        <v>30.671501159667969</v>
      </c>
      <c r="C81">
        <v>11.127140045166016</v>
      </c>
      <c r="D81">
        <v>9.8607749938964844</v>
      </c>
      <c r="E81">
        <v>8.9318017959594727</v>
      </c>
      <c r="F81">
        <v>2.4389142990112305</v>
      </c>
      <c r="G81">
        <v>2.250269889831543</v>
      </c>
      <c r="H81">
        <v>2.4431159496307373</v>
      </c>
    </row>
    <row r="82" spans="1:8" x14ac:dyDescent="0.25">
      <c r="A82">
        <v>350</v>
      </c>
      <c r="B82">
        <v>31.493934631347656</v>
      </c>
      <c r="C82">
        <v>10.891941070556641</v>
      </c>
      <c r="D82">
        <v>8.5264930725097656</v>
      </c>
      <c r="E82">
        <v>8.1785469055175781</v>
      </c>
      <c r="F82">
        <v>2.4686892032623291</v>
      </c>
      <c r="G82">
        <v>2.2383744716644287</v>
      </c>
      <c r="H82">
        <v>2.4471759796142578</v>
      </c>
    </row>
    <row r="83" spans="1:8" x14ac:dyDescent="0.25">
      <c r="A83">
        <v>352</v>
      </c>
      <c r="B83">
        <v>32.179832458496094</v>
      </c>
      <c r="C83">
        <v>10.589794158935547</v>
      </c>
      <c r="D83">
        <v>7.674863338470459</v>
      </c>
      <c r="E83">
        <v>7.7064247131347656</v>
      </c>
      <c r="F83">
        <v>2.4520251750946045</v>
      </c>
      <c r="G83">
        <v>2.2495126724243164</v>
      </c>
      <c r="H83">
        <v>2.4548935890197754</v>
      </c>
    </row>
    <row r="84" spans="1:8" x14ac:dyDescent="0.25">
      <c r="A84">
        <v>354</v>
      </c>
      <c r="B84">
        <v>32.550491333007813</v>
      </c>
      <c r="C84">
        <v>10.150940895080566</v>
      </c>
      <c r="D84">
        <v>7.6666746139526367</v>
      </c>
      <c r="E84">
        <v>7.3636569976806641</v>
      </c>
      <c r="F84">
        <v>2.4055361747741699</v>
      </c>
      <c r="G84">
        <v>2.2469043731689453</v>
      </c>
      <c r="H84">
        <v>2.44400954246521</v>
      </c>
    </row>
    <row r="85" spans="1:8" x14ac:dyDescent="0.25">
      <c r="A85">
        <v>356</v>
      </c>
      <c r="B85">
        <v>32.521957397460938</v>
      </c>
      <c r="C85">
        <v>9.8132743835449219</v>
      </c>
      <c r="D85">
        <v>7.5534567832946777</v>
      </c>
      <c r="E85">
        <v>6.864098072052002</v>
      </c>
      <c r="F85">
        <v>2.4144830703735352</v>
      </c>
      <c r="G85">
        <v>2.2697806358337402</v>
      </c>
      <c r="H85">
        <v>2.4264235496520996</v>
      </c>
    </row>
    <row r="86" spans="1:8" x14ac:dyDescent="0.25">
      <c r="A86">
        <v>358</v>
      </c>
      <c r="B86">
        <v>32.284149169921875</v>
      </c>
      <c r="C86">
        <v>9.7499427795410156</v>
      </c>
      <c r="D86">
        <v>7.2751455307006836</v>
      </c>
      <c r="E86">
        <v>6.8820700645446777</v>
      </c>
      <c r="F86">
        <v>2.4550602436065674</v>
      </c>
      <c r="G86">
        <v>2.2858514785766602</v>
      </c>
      <c r="H86">
        <v>2.4261112213134766</v>
      </c>
    </row>
    <row r="87" spans="1:8" x14ac:dyDescent="0.25">
      <c r="A87">
        <v>360</v>
      </c>
      <c r="B87">
        <v>31.924005508422852</v>
      </c>
      <c r="C87">
        <v>9.6200523376464844</v>
      </c>
      <c r="D87">
        <v>7.2703423500061035</v>
      </c>
      <c r="E87">
        <v>7.0538482666015625</v>
      </c>
      <c r="F87">
        <v>2.4318230152130127</v>
      </c>
      <c r="G87">
        <v>2.2708835601806641</v>
      </c>
      <c r="H87">
        <v>2.4349894523620605</v>
      </c>
    </row>
    <row r="88" spans="1:8" x14ac:dyDescent="0.25">
      <c r="A88">
        <v>362</v>
      </c>
      <c r="B88">
        <v>31.362382888793945</v>
      </c>
      <c r="C88">
        <v>9.4929141998291016</v>
      </c>
      <c r="D88">
        <v>7.2409286499023438</v>
      </c>
      <c r="E88">
        <v>6.9097328186035156</v>
      </c>
      <c r="F88">
        <v>2.3104865550994873</v>
      </c>
      <c r="G88">
        <v>2.2684369087219238</v>
      </c>
      <c r="H88">
        <v>2.4304299354553223</v>
      </c>
    </row>
    <row r="89" spans="1:8" x14ac:dyDescent="0.25">
      <c r="A89">
        <v>364</v>
      </c>
      <c r="B89">
        <v>30.576648712158203</v>
      </c>
      <c r="C89">
        <v>9.291046142578125</v>
      </c>
      <c r="D89">
        <v>7.1558432579040527</v>
      </c>
      <c r="E89">
        <v>6.6602625846862793</v>
      </c>
      <c r="F89">
        <v>2.2582077980041504</v>
      </c>
      <c r="G89">
        <v>2.3255555629730225</v>
      </c>
      <c r="H89">
        <v>2.4283709526062012</v>
      </c>
    </row>
    <row r="90" spans="1:8" x14ac:dyDescent="0.25">
      <c r="A90">
        <v>366</v>
      </c>
      <c r="B90">
        <v>29.488824844360352</v>
      </c>
      <c r="C90">
        <v>8.8465976715087891</v>
      </c>
      <c r="D90">
        <v>7.440284252166748</v>
      </c>
      <c r="E90">
        <v>5.9793477058410645</v>
      </c>
      <c r="F90">
        <v>2.2872633934020996</v>
      </c>
      <c r="G90">
        <v>2.3313326835632324</v>
      </c>
      <c r="H90">
        <v>2.4336349964141846</v>
      </c>
    </row>
    <row r="91" spans="1:8" x14ac:dyDescent="0.25">
      <c r="A91">
        <v>368</v>
      </c>
      <c r="B91">
        <v>28.509681701660156</v>
      </c>
      <c r="C91">
        <v>8.4847211837768555</v>
      </c>
      <c r="D91">
        <v>7.9468154907226563</v>
      </c>
      <c r="E91">
        <v>5.7645263671875</v>
      </c>
      <c r="F91">
        <v>2.3550913333892822</v>
      </c>
      <c r="G91">
        <v>2.2806477546691895</v>
      </c>
      <c r="H91">
        <v>2.4296116828918457</v>
      </c>
    </row>
    <row r="92" spans="1:8" x14ac:dyDescent="0.25">
      <c r="A92">
        <v>370</v>
      </c>
      <c r="B92">
        <v>27.246820449829102</v>
      </c>
      <c r="C92">
        <v>8.4297971725463867</v>
      </c>
      <c r="D92">
        <v>7.9263219833374023</v>
      </c>
      <c r="E92">
        <v>5.6997365951538086</v>
      </c>
      <c r="F92">
        <v>2.425544261932373</v>
      </c>
      <c r="G92">
        <v>2.2721176147460938</v>
      </c>
      <c r="H92">
        <v>2.4171679019927979</v>
      </c>
    </row>
    <row r="93" spans="1:8" x14ac:dyDescent="0.25">
      <c r="A93">
        <v>372</v>
      </c>
      <c r="B93">
        <v>25.768379211425781</v>
      </c>
      <c r="C93">
        <v>8.5203895568847656</v>
      </c>
      <c r="D93">
        <v>7.6314973831176758</v>
      </c>
      <c r="E93">
        <v>5.6837363243103027</v>
      </c>
      <c r="F93">
        <v>2.3524374961853027</v>
      </c>
      <c r="G93">
        <v>2.2757635116577148</v>
      </c>
      <c r="H93">
        <v>2.4243125915527344</v>
      </c>
    </row>
    <row r="94" spans="1:8" x14ac:dyDescent="0.25">
      <c r="A94">
        <v>374</v>
      </c>
      <c r="B94">
        <v>24.416269302368164</v>
      </c>
      <c r="C94">
        <v>8.4282798767089844</v>
      </c>
      <c r="D94">
        <v>8.267486572265625</v>
      </c>
      <c r="E94">
        <v>5.3365178108215332</v>
      </c>
      <c r="F94">
        <v>2.281099796295166</v>
      </c>
      <c r="G94">
        <v>2.2524099349975586</v>
      </c>
      <c r="H94">
        <v>2.4324924945831299</v>
      </c>
    </row>
    <row r="95" spans="1:8" x14ac:dyDescent="0.25">
      <c r="A95">
        <v>376</v>
      </c>
      <c r="B95">
        <v>22.627708435058594</v>
      </c>
      <c r="C95">
        <v>8.2825708389282227</v>
      </c>
      <c r="D95">
        <v>8.6822080612182617</v>
      </c>
      <c r="E95">
        <v>5.4583230018615723</v>
      </c>
      <c r="F95">
        <v>2.2590131759643555</v>
      </c>
      <c r="G95">
        <v>2.2424664497375488</v>
      </c>
      <c r="H95">
        <v>2.4253981113433838</v>
      </c>
    </row>
    <row r="96" spans="1:8" x14ac:dyDescent="0.25">
      <c r="A96">
        <v>378</v>
      </c>
      <c r="B96">
        <v>20.931497573852539</v>
      </c>
      <c r="C96">
        <v>8.0301542282104492</v>
      </c>
      <c r="D96">
        <v>8.295710563659668</v>
      </c>
      <c r="E96">
        <v>5.7749490737915039</v>
      </c>
      <c r="F96">
        <v>2.3436200618743896</v>
      </c>
      <c r="G96">
        <v>2.2120211124420166</v>
      </c>
      <c r="H96">
        <v>2.4128272533416748</v>
      </c>
    </row>
    <row r="97" spans="1:8" x14ac:dyDescent="0.25">
      <c r="A97">
        <v>380</v>
      </c>
      <c r="B97">
        <v>19.507076263427734</v>
      </c>
      <c r="C97">
        <v>7.8623180389404297</v>
      </c>
      <c r="D97">
        <v>8.5578737258911133</v>
      </c>
      <c r="E97">
        <v>5.8865571022033691</v>
      </c>
      <c r="F97">
        <v>2.3640382289886475</v>
      </c>
      <c r="G97">
        <v>2.2269165515899658</v>
      </c>
      <c r="H97">
        <v>2.415471076965332</v>
      </c>
    </row>
    <row r="98" spans="1:8" x14ac:dyDescent="0.25">
      <c r="A98">
        <v>382</v>
      </c>
      <c r="B98">
        <v>17.827119827270508</v>
      </c>
      <c r="C98">
        <v>7.9174051284790039</v>
      </c>
      <c r="D98">
        <v>8.9492197036743164</v>
      </c>
      <c r="E98">
        <v>6.0992374420166016</v>
      </c>
      <c r="F98">
        <v>2.2394869327545166</v>
      </c>
      <c r="G98">
        <v>2.2323696613311768</v>
      </c>
      <c r="H98">
        <v>2.4300944805145264</v>
      </c>
    </row>
    <row r="99" spans="1:8" x14ac:dyDescent="0.25">
      <c r="A99">
        <v>384</v>
      </c>
      <c r="B99">
        <v>16.044378280639648</v>
      </c>
      <c r="C99">
        <v>8.0738430023193359</v>
      </c>
      <c r="D99">
        <v>8.9787712097167969</v>
      </c>
      <c r="E99">
        <v>6.56488037109375</v>
      </c>
      <c r="F99">
        <v>2.2084605693817139</v>
      </c>
      <c r="G99">
        <v>2.2323958873748779</v>
      </c>
      <c r="H99">
        <v>2.4343781471252441</v>
      </c>
    </row>
    <row r="100" spans="1:8" x14ac:dyDescent="0.25">
      <c r="A100">
        <v>386</v>
      </c>
      <c r="B100">
        <v>14.340329170227051</v>
      </c>
      <c r="C100">
        <v>7.995765209197998</v>
      </c>
      <c r="D100">
        <v>9.149627685546875</v>
      </c>
      <c r="E100">
        <v>6.5771627426147461</v>
      </c>
      <c r="F100">
        <v>2.2267642021179199</v>
      </c>
      <c r="G100">
        <v>2.2522087097167969</v>
      </c>
      <c r="H100">
        <v>2.4252426624298096</v>
      </c>
    </row>
    <row r="101" spans="1:8" x14ac:dyDescent="0.25">
      <c r="A101">
        <v>388</v>
      </c>
      <c r="B101">
        <v>12.925801277160645</v>
      </c>
      <c r="C101">
        <v>7.7994480133056641</v>
      </c>
      <c r="D101">
        <v>9.4624757766723633</v>
      </c>
      <c r="E101">
        <v>6.8658442497253418</v>
      </c>
      <c r="F101">
        <v>2.2249231338500977</v>
      </c>
      <c r="G101">
        <v>2.2448954582214355</v>
      </c>
      <c r="H101">
        <v>2.4153542518615723</v>
      </c>
    </row>
    <row r="102" spans="1:8" x14ac:dyDescent="0.25">
      <c r="A102">
        <v>390</v>
      </c>
      <c r="B102">
        <v>11.506793022155762</v>
      </c>
      <c r="C102">
        <v>7.7211027145385742</v>
      </c>
      <c r="D102">
        <v>10.055418968200684</v>
      </c>
      <c r="E102">
        <v>7.2646694183349609</v>
      </c>
      <c r="F102">
        <v>2.2691969871520996</v>
      </c>
      <c r="G102">
        <v>2.2220408916473389</v>
      </c>
      <c r="H102">
        <v>2.4275774955749512</v>
      </c>
    </row>
    <row r="103" spans="1:8" x14ac:dyDescent="0.25">
      <c r="A103">
        <v>392</v>
      </c>
      <c r="B103">
        <v>10.252347946166992</v>
      </c>
      <c r="C103">
        <v>7.7976474761962891</v>
      </c>
      <c r="D103">
        <v>10.352943420410156</v>
      </c>
      <c r="E103">
        <v>6.9985232353210449</v>
      </c>
      <c r="F103">
        <v>2.2658240795135498</v>
      </c>
      <c r="G103">
        <v>2.2267851829528809</v>
      </c>
      <c r="H103">
        <v>2.4279882907867432</v>
      </c>
    </row>
    <row r="104" spans="1:8" x14ac:dyDescent="0.25">
      <c r="A104">
        <v>394</v>
      </c>
      <c r="B104">
        <v>9.1054019927978516</v>
      </c>
      <c r="C104">
        <v>7.8972420692443848</v>
      </c>
      <c r="D104">
        <v>10.695845603942871</v>
      </c>
      <c r="E104">
        <v>7.0909194946289063</v>
      </c>
      <c r="F104">
        <v>2.2609333992004395</v>
      </c>
      <c r="G104">
        <v>2.2430572509765625</v>
      </c>
      <c r="H104">
        <v>2.4203276634216309</v>
      </c>
    </row>
    <row r="105" spans="1:8" x14ac:dyDescent="0.25">
      <c r="A105">
        <v>396</v>
      </c>
      <c r="B105">
        <v>7.9691047668457031</v>
      </c>
      <c r="C105">
        <v>7.7392568588256836</v>
      </c>
      <c r="D105">
        <v>11.217884063720703</v>
      </c>
      <c r="E105">
        <v>6.7904062271118164</v>
      </c>
      <c r="F105">
        <v>2.3089690208435059</v>
      </c>
      <c r="G105">
        <v>2.2455124855041504</v>
      </c>
      <c r="H105">
        <v>2.4184138774871826</v>
      </c>
    </row>
    <row r="106" spans="1:8" x14ac:dyDescent="0.25">
      <c r="A106">
        <v>398</v>
      </c>
      <c r="B106">
        <v>7.0922622680664063</v>
      </c>
      <c r="C106">
        <v>7.5999317169189453</v>
      </c>
      <c r="D106">
        <v>10.980195045471191</v>
      </c>
      <c r="E106">
        <v>6.8884363174438477</v>
      </c>
      <c r="F106">
        <v>2.2911975383758545</v>
      </c>
      <c r="G106">
        <v>2.2759778499603271</v>
      </c>
      <c r="H106">
        <v>2.4051582813262939</v>
      </c>
    </row>
    <row r="107" spans="1:8" x14ac:dyDescent="0.25">
      <c r="A107">
        <v>400</v>
      </c>
      <c r="B107">
        <v>6.3158769607543945</v>
      </c>
      <c r="C107">
        <v>7.6910295486450195</v>
      </c>
      <c r="D107">
        <v>11.403973579406738</v>
      </c>
      <c r="E107">
        <v>7.4164471626281738</v>
      </c>
      <c r="F107">
        <v>2.2788057327270508</v>
      </c>
      <c r="G107">
        <v>2.2772383689880371</v>
      </c>
      <c r="H107">
        <v>2.4051632881164551</v>
      </c>
    </row>
    <row r="108" spans="1:8" x14ac:dyDescent="0.25">
      <c r="A108">
        <v>402</v>
      </c>
      <c r="B108">
        <v>5.5174565315246582</v>
      </c>
      <c r="C108">
        <v>7.7186770439147949</v>
      </c>
      <c r="D108">
        <v>12.040420532226563</v>
      </c>
      <c r="E108">
        <v>7.401179313659668</v>
      </c>
      <c r="F108">
        <v>2.3207135200500488</v>
      </c>
      <c r="G108">
        <v>2.2437620162963867</v>
      </c>
      <c r="H108">
        <v>2.4157333374023438</v>
      </c>
    </row>
    <row r="109" spans="1:8" x14ac:dyDescent="0.25">
      <c r="A109">
        <v>404</v>
      </c>
      <c r="B109">
        <v>4.8549900054931641</v>
      </c>
      <c r="C109">
        <v>7.7166385650634766</v>
      </c>
      <c r="D109">
        <v>12.126283645629883</v>
      </c>
      <c r="E109">
        <v>8.0379247665405273</v>
      </c>
      <c r="F109">
        <v>2.3134424686431885</v>
      </c>
      <c r="G109">
        <v>2.2176206111907959</v>
      </c>
      <c r="H109">
        <v>2.4230749607086182</v>
      </c>
    </row>
    <row r="110" spans="1:8" x14ac:dyDescent="0.25">
      <c r="A110">
        <v>406</v>
      </c>
      <c r="B110">
        <v>4.411651611328125</v>
      </c>
      <c r="C110">
        <v>7.7097043991088867</v>
      </c>
      <c r="D110">
        <v>12.681670188903809</v>
      </c>
      <c r="E110">
        <v>8.5068912506103516</v>
      </c>
      <c r="F110">
        <v>2.3428144454956055</v>
      </c>
      <c r="G110">
        <v>2.1949717998504639</v>
      </c>
      <c r="H110">
        <v>2.4203910827636719</v>
      </c>
    </row>
    <row r="111" spans="1:8" x14ac:dyDescent="0.25">
      <c r="A111">
        <v>408</v>
      </c>
      <c r="B111">
        <v>3.9312841892242432</v>
      </c>
      <c r="C111">
        <v>7.6869521141052246</v>
      </c>
      <c r="D111">
        <v>12.810304641723633</v>
      </c>
      <c r="E111">
        <v>8.4044666290283203</v>
      </c>
      <c r="F111">
        <v>2.3590757846832275</v>
      </c>
      <c r="G111">
        <v>2.2014448642730713</v>
      </c>
      <c r="H111">
        <v>2.4316592216491699</v>
      </c>
    </row>
    <row r="112" spans="1:8" x14ac:dyDescent="0.25">
      <c r="A112">
        <v>410</v>
      </c>
      <c r="B112">
        <v>3.5566694736480713</v>
      </c>
      <c r="C112">
        <v>7.7597026824951172</v>
      </c>
      <c r="D112">
        <v>13.226856231689453</v>
      </c>
      <c r="E112">
        <v>9.241215705871582</v>
      </c>
      <c r="F112">
        <v>2.3378305435180664</v>
      </c>
      <c r="G112">
        <v>2.1825904846191406</v>
      </c>
      <c r="H112">
        <v>2.4462826251983643</v>
      </c>
    </row>
    <row r="113" spans="1:8" x14ac:dyDescent="0.25">
      <c r="A113">
        <v>412</v>
      </c>
      <c r="B113">
        <v>3.4629042148590088</v>
      </c>
      <c r="C113">
        <v>7.7867698669433594</v>
      </c>
      <c r="D113">
        <v>14.053143501281738</v>
      </c>
      <c r="E113">
        <v>9.9731740951538086</v>
      </c>
      <c r="F113">
        <v>2.3493521213531494</v>
      </c>
      <c r="G113">
        <v>2.1754918098449707</v>
      </c>
      <c r="H113">
        <v>2.4234240055084229</v>
      </c>
    </row>
    <row r="114" spans="1:8" x14ac:dyDescent="0.25">
      <c r="A114">
        <v>414</v>
      </c>
      <c r="B114">
        <v>3.2101805210113525</v>
      </c>
      <c r="C114">
        <v>7.7657442092895508</v>
      </c>
      <c r="D114">
        <v>14.248061180114746</v>
      </c>
      <c r="E114">
        <v>9.7946920394897461</v>
      </c>
      <c r="F114">
        <v>2.310227632522583</v>
      </c>
      <c r="G114">
        <v>2.195873498916626</v>
      </c>
      <c r="H114">
        <v>2.4043083190917969</v>
      </c>
    </row>
    <row r="115" spans="1:8" x14ac:dyDescent="0.25">
      <c r="A115">
        <v>416</v>
      </c>
      <c r="B115">
        <v>2.923123836517334</v>
      </c>
      <c r="C115">
        <v>7.7057313919067383</v>
      </c>
      <c r="D115">
        <v>14.577789306640625</v>
      </c>
      <c r="E115">
        <v>9.9770059585571289</v>
      </c>
      <c r="F115">
        <v>2.2508070468902588</v>
      </c>
      <c r="G115">
        <v>2.2316431999206543</v>
      </c>
      <c r="H115">
        <v>2.4163880348205566</v>
      </c>
    </row>
    <row r="116" spans="1:8" x14ac:dyDescent="0.25">
      <c r="A116">
        <v>418</v>
      </c>
      <c r="B116">
        <v>2.8022027015686035</v>
      </c>
      <c r="C116">
        <v>7.6330108642578125</v>
      </c>
      <c r="D116">
        <v>14.761317253112793</v>
      </c>
      <c r="E116">
        <v>10.338027000427246</v>
      </c>
      <c r="F116">
        <v>2.2118983268737793</v>
      </c>
      <c r="G116">
        <v>2.2530272006988525</v>
      </c>
      <c r="H116">
        <v>2.4322521686553955</v>
      </c>
    </row>
    <row r="117" spans="1:8" x14ac:dyDescent="0.25">
      <c r="A117">
        <v>420</v>
      </c>
      <c r="B117">
        <v>2.6235949993133545</v>
      </c>
      <c r="C117">
        <v>7.5665993690490723</v>
      </c>
      <c r="D117">
        <v>15.070643424987793</v>
      </c>
      <c r="E117">
        <v>10.66783618927002</v>
      </c>
      <c r="F117">
        <v>2.1583034992218018</v>
      </c>
      <c r="G117">
        <v>2.2364354133605957</v>
      </c>
      <c r="H117">
        <v>2.4345366954803467</v>
      </c>
    </row>
    <row r="118" spans="1:8" x14ac:dyDescent="0.25">
      <c r="A118">
        <v>422</v>
      </c>
      <c r="B118">
        <v>2.4718520641326904</v>
      </c>
      <c r="C118">
        <v>7.4899206161499023</v>
      </c>
      <c r="D118">
        <v>15.550139427185059</v>
      </c>
      <c r="E118">
        <v>11.213312149047852</v>
      </c>
      <c r="F118">
        <v>2.2282600402832031</v>
      </c>
      <c r="G118">
        <v>2.2429435253143311</v>
      </c>
      <c r="H118">
        <v>2.4323639869689941</v>
      </c>
    </row>
    <row r="119" spans="1:8" x14ac:dyDescent="0.25">
      <c r="A119">
        <v>424</v>
      </c>
      <c r="B119">
        <v>2.4767594337463379</v>
      </c>
      <c r="C119">
        <v>7.3977961540222168</v>
      </c>
      <c r="D119">
        <v>15.853289604187012</v>
      </c>
      <c r="E119">
        <v>11.565657615661621</v>
      </c>
      <c r="F119">
        <v>2.2929162979125977</v>
      </c>
      <c r="G119">
        <v>2.2394378185272217</v>
      </c>
      <c r="H119">
        <v>2.436537504196167</v>
      </c>
    </row>
    <row r="120" spans="1:8" x14ac:dyDescent="0.25">
      <c r="A120">
        <v>426</v>
      </c>
      <c r="B120">
        <v>2.5129930973052979</v>
      </c>
      <c r="C120">
        <v>7.391441822052002</v>
      </c>
      <c r="D120">
        <v>16.677244186401367</v>
      </c>
      <c r="E120">
        <v>12.133442878723145</v>
      </c>
      <c r="F120">
        <v>2.2473478317260742</v>
      </c>
      <c r="G120">
        <v>2.2199447154998779</v>
      </c>
      <c r="H120">
        <v>2.4510154724121094</v>
      </c>
    </row>
    <row r="121" spans="1:8" x14ac:dyDescent="0.25">
      <c r="A121">
        <v>428</v>
      </c>
      <c r="B121">
        <v>2.4454915523529053</v>
      </c>
      <c r="C121">
        <v>7.4303245544433594</v>
      </c>
      <c r="D121">
        <v>17.795017242431641</v>
      </c>
      <c r="E121">
        <v>12.814865112304688</v>
      </c>
      <c r="F121">
        <v>2.329315185546875</v>
      </c>
      <c r="G121">
        <v>2.1862843036651611</v>
      </c>
      <c r="H121">
        <v>2.44199538230896</v>
      </c>
    </row>
    <row r="122" spans="1:8" x14ac:dyDescent="0.25">
      <c r="A122">
        <v>430</v>
      </c>
      <c r="B122">
        <v>2.2175376415252686</v>
      </c>
      <c r="C122">
        <v>7.4071707725524902</v>
      </c>
      <c r="D122">
        <v>18.481416702270508</v>
      </c>
      <c r="E122">
        <v>13.092279434204102</v>
      </c>
      <c r="F122">
        <v>2.3409590721130371</v>
      </c>
      <c r="G122">
        <v>2.1690363883972168</v>
      </c>
      <c r="H122">
        <v>2.4264652729034424</v>
      </c>
    </row>
    <row r="123" spans="1:8" x14ac:dyDescent="0.25">
      <c r="A123">
        <v>432</v>
      </c>
      <c r="B123">
        <v>2.1843104362487793</v>
      </c>
      <c r="C123">
        <v>7.3533334732055664</v>
      </c>
      <c r="D123">
        <v>19.141696929931641</v>
      </c>
      <c r="E123">
        <v>13.775955200195313</v>
      </c>
      <c r="F123">
        <v>2.2122147083282471</v>
      </c>
      <c r="G123">
        <v>2.2034187316894531</v>
      </c>
      <c r="H123">
        <v>2.4241554737091064</v>
      </c>
    </row>
    <row r="124" spans="1:8" x14ac:dyDescent="0.25">
      <c r="A124">
        <v>434</v>
      </c>
      <c r="B124">
        <v>2.3471097946166992</v>
      </c>
      <c r="C124">
        <v>7.5299639701843262</v>
      </c>
      <c r="D124">
        <v>19.582630157470703</v>
      </c>
      <c r="E124">
        <v>14.355403900146484</v>
      </c>
      <c r="F124">
        <v>2.2273972034454346</v>
      </c>
      <c r="G124">
        <v>2.2110164165496826</v>
      </c>
      <c r="H124">
        <v>2.4213931560516357</v>
      </c>
    </row>
    <row r="125" spans="1:8" x14ac:dyDescent="0.25">
      <c r="A125">
        <v>436</v>
      </c>
      <c r="B125">
        <v>2.4235146045684814</v>
      </c>
      <c r="C125">
        <v>7.7088265419006348</v>
      </c>
      <c r="D125">
        <v>19.804216384887695</v>
      </c>
      <c r="E125">
        <v>14.64870548248291</v>
      </c>
      <c r="F125">
        <v>2.2305614948272705</v>
      </c>
      <c r="G125">
        <v>2.2307109832763672</v>
      </c>
      <c r="H125">
        <v>2.4425816535949707</v>
      </c>
    </row>
    <row r="126" spans="1:8" x14ac:dyDescent="0.25">
      <c r="A126">
        <v>438</v>
      </c>
      <c r="B126">
        <v>2.378164529800415</v>
      </c>
      <c r="C126">
        <v>7.6193952560424805</v>
      </c>
      <c r="D126">
        <v>20.31879997253418</v>
      </c>
      <c r="E126">
        <v>15.339141845703125</v>
      </c>
      <c r="F126">
        <v>2.2206509113311768</v>
      </c>
      <c r="G126">
        <v>2.2234501838684082</v>
      </c>
      <c r="H126">
        <v>2.4382743835449219</v>
      </c>
    </row>
    <row r="127" spans="1:8" x14ac:dyDescent="0.25">
      <c r="A127">
        <v>440</v>
      </c>
      <c r="B127">
        <v>2.2332491874694824</v>
      </c>
      <c r="C127">
        <v>7.7335872650146484</v>
      </c>
      <c r="D127">
        <v>21.005702972412109</v>
      </c>
      <c r="E127">
        <v>16.264625549316406</v>
      </c>
      <c r="F127">
        <v>2.3290777206420898</v>
      </c>
      <c r="G127">
        <v>2.1943986415863037</v>
      </c>
      <c r="H127">
        <v>2.4188013076782227</v>
      </c>
    </row>
    <row r="128" spans="1:8" x14ac:dyDescent="0.25">
      <c r="A128">
        <v>442</v>
      </c>
      <c r="B128">
        <v>2.337721586227417</v>
      </c>
      <c r="C128">
        <v>7.6206450462341309</v>
      </c>
      <c r="D128">
        <v>21.61822509765625</v>
      </c>
      <c r="E128">
        <v>16.719339370727539</v>
      </c>
      <c r="F128">
        <v>2.3883616924285889</v>
      </c>
      <c r="G128">
        <v>2.1636662483215332</v>
      </c>
      <c r="H128">
        <v>2.4176003932952881</v>
      </c>
    </row>
    <row r="129" spans="1:8" x14ac:dyDescent="0.25">
      <c r="A129">
        <v>444</v>
      </c>
      <c r="B129">
        <v>2.6073596477508545</v>
      </c>
      <c r="C129">
        <v>7.5729384422302246</v>
      </c>
      <c r="D129">
        <v>22.588470458984375</v>
      </c>
      <c r="E129">
        <v>17.278392791748047</v>
      </c>
      <c r="F129">
        <v>2.3553574085235596</v>
      </c>
      <c r="G129">
        <v>2.138378381729126</v>
      </c>
      <c r="H129">
        <v>2.4076683521270752</v>
      </c>
    </row>
    <row r="130" spans="1:8" x14ac:dyDescent="0.25">
      <c r="A130">
        <v>446</v>
      </c>
      <c r="B130">
        <v>2.6661908626556396</v>
      </c>
      <c r="C130">
        <v>7.7189154624938965</v>
      </c>
      <c r="D130">
        <v>23.372489929199219</v>
      </c>
      <c r="E130">
        <v>18.063760757446289</v>
      </c>
      <c r="F130">
        <v>2.2352075576782227</v>
      </c>
      <c r="G130">
        <v>2.1461031436920166</v>
      </c>
      <c r="H130">
        <v>2.4126503467559814</v>
      </c>
    </row>
    <row r="131" spans="1:8" x14ac:dyDescent="0.25">
      <c r="A131">
        <v>448</v>
      </c>
      <c r="B131">
        <v>2.4931888580322266</v>
      </c>
      <c r="C131">
        <v>7.5679535865783691</v>
      </c>
      <c r="D131">
        <v>24.506685256958008</v>
      </c>
      <c r="E131">
        <v>19.014934539794922</v>
      </c>
      <c r="F131">
        <v>2.126600980758667</v>
      </c>
      <c r="G131">
        <v>2.1832382678985596</v>
      </c>
      <c r="H131">
        <v>2.4376766681671143</v>
      </c>
    </row>
    <row r="132" spans="1:8" x14ac:dyDescent="0.25">
      <c r="A132">
        <v>450</v>
      </c>
      <c r="B132">
        <v>2.4133119583129883</v>
      </c>
      <c r="C132">
        <v>7.3448662757873535</v>
      </c>
      <c r="D132">
        <v>25.598428726196289</v>
      </c>
      <c r="E132">
        <v>19.620241165161133</v>
      </c>
      <c r="F132">
        <v>2.2113158702850342</v>
      </c>
      <c r="G132">
        <v>2.1869628429412842</v>
      </c>
      <c r="H132">
        <v>2.4318163394927979</v>
      </c>
    </row>
    <row r="133" spans="1:8" x14ac:dyDescent="0.25">
      <c r="A133">
        <v>452</v>
      </c>
      <c r="B133">
        <v>2.4391486644744873</v>
      </c>
      <c r="C133">
        <v>7.0566921234130859</v>
      </c>
      <c r="D133">
        <v>25.876373291015625</v>
      </c>
      <c r="E133">
        <v>19.060342788696289</v>
      </c>
      <c r="F133">
        <v>2.262242317199707</v>
      </c>
      <c r="G133">
        <v>2.1203601360321045</v>
      </c>
      <c r="H133">
        <v>2.4158685207366943</v>
      </c>
    </row>
    <row r="134" spans="1:8" x14ac:dyDescent="0.25">
      <c r="A134">
        <v>454</v>
      </c>
      <c r="B134">
        <v>2.486283540725708</v>
      </c>
      <c r="C134">
        <v>7.1127171516418457</v>
      </c>
      <c r="D134">
        <v>26.513277053833008</v>
      </c>
      <c r="E134">
        <v>18.870199203491211</v>
      </c>
      <c r="F134">
        <v>2.2311010360717773</v>
      </c>
      <c r="G134">
        <v>2.1624188423156738</v>
      </c>
      <c r="H134">
        <v>2.4026381969451904</v>
      </c>
    </row>
    <row r="135" spans="1:8" x14ac:dyDescent="0.25">
      <c r="A135">
        <v>456</v>
      </c>
      <c r="B135">
        <v>2.6051290035247803</v>
      </c>
      <c r="C135">
        <v>7.3816509246826172</v>
      </c>
      <c r="D135">
        <v>27.88630485534668</v>
      </c>
      <c r="E135">
        <v>20.62054443359375</v>
      </c>
      <c r="F135">
        <v>2.2368762493133545</v>
      </c>
      <c r="G135">
        <v>2.207134485244751</v>
      </c>
      <c r="H135">
        <v>2.3984427452087402</v>
      </c>
    </row>
    <row r="136" spans="1:8" x14ac:dyDescent="0.25">
      <c r="A136">
        <v>458</v>
      </c>
      <c r="B136">
        <v>2.5865077972412109</v>
      </c>
      <c r="C136">
        <v>7.705805778503418</v>
      </c>
      <c r="D136">
        <v>28.019468307495117</v>
      </c>
      <c r="E136">
        <v>21.469181060791016</v>
      </c>
      <c r="F136">
        <v>2.2670466899871826</v>
      </c>
      <c r="G136">
        <v>2.2271528244018555</v>
      </c>
      <c r="H136">
        <v>2.4323923587799072</v>
      </c>
    </row>
    <row r="137" spans="1:8" x14ac:dyDescent="0.25">
      <c r="A137">
        <v>460</v>
      </c>
      <c r="B137">
        <v>2.5023055076599121</v>
      </c>
      <c r="C137">
        <v>7.6282491683959961</v>
      </c>
      <c r="D137">
        <v>28.482267379760742</v>
      </c>
      <c r="E137">
        <v>20.808773040771484</v>
      </c>
      <c r="F137">
        <v>2.2907588481903076</v>
      </c>
      <c r="G137">
        <v>2.2610623836517334</v>
      </c>
      <c r="H137">
        <v>2.4676430225372314</v>
      </c>
    </row>
    <row r="138" spans="1:8" x14ac:dyDescent="0.25">
      <c r="A138">
        <v>462</v>
      </c>
      <c r="B138">
        <v>3.7227468490600586</v>
      </c>
      <c r="C138">
        <v>3.9430396556854248</v>
      </c>
      <c r="D138">
        <v>35.043296813964844</v>
      </c>
      <c r="E138">
        <v>29.065952301025391</v>
      </c>
      <c r="F138">
        <v>2.2641770839691162</v>
      </c>
      <c r="G138">
        <v>2.0866780281066895</v>
      </c>
      <c r="H138">
        <v>2.650576114654541</v>
      </c>
    </row>
    <row r="139" spans="1:8" x14ac:dyDescent="0.25">
      <c r="A139">
        <v>464</v>
      </c>
      <c r="B139">
        <v>4.3872499465942383</v>
      </c>
      <c r="C139">
        <v>1.9999998807907104</v>
      </c>
      <c r="D139">
        <v>37.930889129638672</v>
      </c>
      <c r="E139">
        <v>34.703533172607422</v>
      </c>
      <c r="F139">
        <v>2.3125936985015869</v>
      </c>
      <c r="G139">
        <v>2</v>
      </c>
      <c r="H139">
        <v>2.7315452098846436</v>
      </c>
    </row>
    <row r="140" spans="1:8" x14ac:dyDescent="0.25">
      <c r="A140">
        <v>466</v>
      </c>
      <c r="B140">
        <v>3.1413404941558838</v>
      </c>
      <c r="C140">
        <v>5.209660530090332</v>
      </c>
      <c r="D140">
        <v>32.566082000732422</v>
      </c>
      <c r="E140">
        <v>27.908576965332031</v>
      </c>
      <c r="F140">
        <v>2.2551295757293701</v>
      </c>
      <c r="G140">
        <v>2.1263341903686523</v>
      </c>
      <c r="H140">
        <v>2.5527389049530029</v>
      </c>
    </row>
    <row r="141" spans="1:8" x14ac:dyDescent="0.25">
      <c r="A141">
        <v>468</v>
      </c>
      <c r="B141">
        <v>2.3660025596618652</v>
      </c>
      <c r="C141">
        <v>7.0263657569885254</v>
      </c>
      <c r="D141">
        <v>28.943466186523438</v>
      </c>
      <c r="E141">
        <v>23.441896438598633</v>
      </c>
      <c r="F141">
        <v>2.1281616687774658</v>
      </c>
      <c r="G141">
        <v>2.1803934574127197</v>
      </c>
      <c r="H141">
        <v>2.4262146949768066</v>
      </c>
    </row>
    <row r="142" spans="1:8" x14ac:dyDescent="0.25">
      <c r="A142">
        <v>470</v>
      </c>
      <c r="B142">
        <v>2.4272778034210205</v>
      </c>
      <c r="C142">
        <v>6.9484224319458008</v>
      </c>
      <c r="D142">
        <v>28.971736907958984</v>
      </c>
      <c r="E142">
        <v>24.070697784423828</v>
      </c>
      <c r="F142">
        <v>2.1140508651733398</v>
      </c>
      <c r="G142">
        <v>2.1555521488189697</v>
      </c>
      <c r="H142">
        <v>2.3950526714324951</v>
      </c>
    </row>
    <row r="143" spans="1:8" x14ac:dyDescent="0.25">
      <c r="A143">
        <v>472</v>
      </c>
      <c r="B143">
        <v>2.3124666213989258</v>
      </c>
      <c r="C143">
        <v>7.7291679382324219</v>
      </c>
      <c r="D143">
        <v>28.326370239257813</v>
      </c>
      <c r="E143">
        <v>25.111337661743164</v>
      </c>
      <c r="F143">
        <v>2.0830750465393066</v>
      </c>
      <c r="G143">
        <v>2.214648962020874</v>
      </c>
      <c r="H143">
        <v>2.4343264102935791</v>
      </c>
    </row>
    <row r="144" spans="1:8" x14ac:dyDescent="0.25">
      <c r="A144">
        <v>474</v>
      </c>
      <c r="B144">
        <v>2.4577116966247559</v>
      </c>
      <c r="C144">
        <v>8.0754795074462891</v>
      </c>
      <c r="D144">
        <v>28.461545944213867</v>
      </c>
      <c r="E144">
        <v>25.036745071411133</v>
      </c>
      <c r="F144">
        <v>2.1300532817840576</v>
      </c>
      <c r="G144">
        <v>2.2097384929656982</v>
      </c>
      <c r="H144">
        <v>2.4634208679199219</v>
      </c>
    </row>
    <row r="145" spans="1:8" x14ac:dyDescent="0.25">
      <c r="A145">
        <v>476</v>
      </c>
      <c r="B145">
        <v>2.6955192089080811</v>
      </c>
      <c r="C145">
        <v>7.4504280090332031</v>
      </c>
      <c r="D145">
        <v>30.672250747680664</v>
      </c>
      <c r="E145">
        <v>24.776063919067383</v>
      </c>
      <c r="F145">
        <v>2.2489588260650635</v>
      </c>
      <c r="G145">
        <v>2.228330135345459</v>
      </c>
      <c r="H145">
        <v>2.4092667102813721</v>
      </c>
    </row>
    <row r="146" spans="1:8" x14ac:dyDescent="0.25">
      <c r="A146">
        <v>478</v>
      </c>
      <c r="B146">
        <v>2.3710458278656006</v>
      </c>
      <c r="C146">
        <v>7.2523398399353027</v>
      </c>
      <c r="D146">
        <v>31.807041168212891</v>
      </c>
      <c r="E146">
        <v>25.457712173461914</v>
      </c>
      <c r="F146">
        <v>2.3115508556365967</v>
      </c>
      <c r="G146">
        <v>2.2686645984649658</v>
      </c>
      <c r="H146">
        <v>2.4083731174468994</v>
      </c>
    </row>
    <row r="147" spans="1:8" x14ac:dyDescent="0.25">
      <c r="A147">
        <v>480</v>
      </c>
      <c r="B147">
        <v>2.2090611457824707</v>
      </c>
      <c r="C147">
        <v>7.8272895812988281</v>
      </c>
      <c r="D147">
        <v>31.136560440063477</v>
      </c>
      <c r="E147">
        <v>25.225988388061523</v>
      </c>
      <c r="F147">
        <v>2.2523534297943115</v>
      </c>
      <c r="G147">
        <v>2.2231919765472412</v>
      </c>
      <c r="H147">
        <v>2.432579517364502</v>
      </c>
    </row>
    <row r="148" spans="1:8" x14ac:dyDescent="0.25">
      <c r="A148">
        <v>482</v>
      </c>
      <c r="B148">
        <v>2.5360949039459229</v>
      </c>
      <c r="C148">
        <v>6.1778993606567383</v>
      </c>
      <c r="D148">
        <v>33.333999633789063</v>
      </c>
      <c r="E148">
        <v>24.916799545288086</v>
      </c>
      <c r="F148">
        <v>2.3678572177886963</v>
      </c>
      <c r="G148">
        <v>2.2057337760925293</v>
      </c>
      <c r="H148">
        <v>2.4193873405456543</v>
      </c>
    </row>
    <row r="149" spans="1:8" x14ac:dyDescent="0.25">
      <c r="A149">
        <v>484</v>
      </c>
      <c r="B149">
        <v>2.6912713050842285</v>
      </c>
      <c r="C149">
        <v>4.69317626953125</v>
      </c>
      <c r="D149">
        <v>33.891307830810547</v>
      </c>
      <c r="E149">
        <v>25.474388122558594</v>
      </c>
      <c r="F149">
        <v>2.2672264575958252</v>
      </c>
      <c r="G149">
        <v>2.1836848258972168</v>
      </c>
      <c r="H149">
        <v>2.4620983600616455</v>
      </c>
    </row>
    <row r="150" spans="1:8" x14ac:dyDescent="0.25">
      <c r="A150">
        <v>486</v>
      </c>
      <c r="B150">
        <v>2.4710955619812012</v>
      </c>
      <c r="C150">
        <v>7.0044770240783691</v>
      </c>
      <c r="D150">
        <v>31.993816375732422</v>
      </c>
      <c r="E150">
        <v>25.681039810180664</v>
      </c>
      <c r="F150">
        <v>2.1545851230621338</v>
      </c>
      <c r="G150">
        <v>2.176936149597168</v>
      </c>
      <c r="H150">
        <v>2.5336499214172363</v>
      </c>
    </row>
    <row r="151" spans="1:8" x14ac:dyDescent="0.25">
      <c r="A151">
        <v>488</v>
      </c>
      <c r="B151">
        <v>2.3749251365661621</v>
      </c>
      <c r="C151">
        <v>8.622528076171875</v>
      </c>
      <c r="D151">
        <v>32.094959259033203</v>
      </c>
      <c r="E151">
        <v>25.97242546081543</v>
      </c>
      <c r="F151">
        <v>2.1877620220184326</v>
      </c>
      <c r="G151">
        <v>2.2002367973327637</v>
      </c>
      <c r="H151">
        <v>2.5115928649902344</v>
      </c>
    </row>
    <row r="152" spans="1:8" x14ac:dyDescent="0.25">
      <c r="A152">
        <v>490</v>
      </c>
      <c r="B152">
        <v>2.5242047309875488</v>
      </c>
      <c r="C152">
        <v>7.2185020446777344</v>
      </c>
      <c r="D152">
        <v>33.815143585205078</v>
      </c>
      <c r="E152">
        <v>26.560268402099609</v>
      </c>
      <c r="F152">
        <v>2.1247742176055908</v>
      </c>
      <c r="G152">
        <v>2.2112438678741455</v>
      </c>
      <c r="H152">
        <v>2.3948822021484375</v>
      </c>
    </row>
    <row r="153" spans="1:8" x14ac:dyDescent="0.25">
      <c r="A153">
        <v>492</v>
      </c>
      <c r="B153">
        <v>2.3024771213531494</v>
      </c>
      <c r="C153">
        <v>7.5593080520629883</v>
      </c>
      <c r="D153">
        <v>33.704898834228516</v>
      </c>
      <c r="E153">
        <v>25.826789855957031</v>
      </c>
      <c r="F153">
        <v>2.1211709976196289</v>
      </c>
      <c r="G153">
        <v>2.2231919765472412</v>
      </c>
      <c r="H153">
        <v>2.4073176383972168</v>
      </c>
    </row>
    <row r="154" spans="1:8" x14ac:dyDescent="0.25">
      <c r="A154">
        <v>494</v>
      </c>
      <c r="B154">
        <v>2.2615690231323242</v>
      </c>
      <c r="C154">
        <v>7.7716069221496582</v>
      </c>
      <c r="D154">
        <v>33.008571624755859</v>
      </c>
      <c r="E154">
        <v>26.094570159912109</v>
      </c>
      <c r="F154">
        <v>2.1216959953308105</v>
      </c>
      <c r="G154">
        <v>2.2556662559509277</v>
      </c>
      <c r="H154">
        <v>2.4254615306854248</v>
      </c>
    </row>
    <row r="155" spans="1:8" x14ac:dyDescent="0.25">
      <c r="A155">
        <v>496</v>
      </c>
      <c r="B155">
        <v>2.2361781597137451</v>
      </c>
      <c r="C155">
        <v>7.6006755828857422</v>
      </c>
      <c r="D155">
        <v>31.484724044799805</v>
      </c>
      <c r="E155">
        <v>27.618093490600586</v>
      </c>
      <c r="F155">
        <v>2.2124807834625244</v>
      </c>
      <c r="G155">
        <v>2.2166316509246826</v>
      </c>
      <c r="H155">
        <v>2.4175353050231934</v>
      </c>
    </row>
    <row r="156" spans="1:8" x14ac:dyDescent="0.25">
      <c r="A156">
        <v>498</v>
      </c>
      <c r="B156">
        <v>2.4763326644897461</v>
      </c>
      <c r="C156">
        <v>7.3261618614196777</v>
      </c>
      <c r="D156">
        <v>30.6865234375</v>
      </c>
      <c r="E156">
        <v>27.563726425170898</v>
      </c>
      <c r="F156">
        <v>2.2590563297271729</v>
      </c>
      <c r="G156">
        <v>2.1893305778503418</v>
      </c>
      <c r="H156">
        <v>2.4447660446166992</v>
      </c>
    </row>
    <row r="157" spans="1:8" x14ac:dyDescent="0.25">
      <c r="A157">
        <v>500</v>
      </c>
      <c r="B157">
        <v>2.8369817733764648</v>
      </c>
      <c r="C157">
        <v>7.4168281555175781</v>
      </c>
      <c r="D157">
        <v>29.393320083618164</v>
      </c>
      <c r="E157">
        <v>26.515310287475586</v>
      </c>
      <c r="F157">
        <v>2.2258365154266357</v>
      </c>
      <c r="G157">
        <v>2.1912648677825928</v>
      </c>
      <c r="H157">
        <v>2.4458332061767578</v>
      </c>
    </row>
    <row r="158" spans="1:8" x14ac:dyDescent="0.25">
      <c r="A158">
        <v>502</v>
      </c>
      <c r="B158">
        <v>2.5877106189727783</v>
      </c>
      <c r="C158">
        <v>7.0868549346923828</v>
      </c>
      <c r="D158">
        <v>27.206584930419922</v>
      </c>
      <c r="E158">
        <v>26.474859237670898</v>
      </c>
      <c r="F158">
        <v>2.1060175895690918</v>
      </c>
      <c r="G158">
        <v>2.2084648609161377</v>
      </c>
      <c r="H158">
        <v>2.4157249927520752</v>
      </c>
    </row>
    <row r="159" spans="1:8" x14ac:dyDescent="0.25">
      <c r="A159">
        <v>504</v>
      </c>
      <c r="B159">
        <v>2.4610090255737305</v>
      </c>
      <c r="C159">
        <v>7.0331215858459473</v>
      </c>
      <c r="D159">
        <v>26.203083038330078</v>
      </c>
      <c r="E159">
        <v>25.598052978515625</v>
      </c>
      <c r="F159">
        <v>2.0774579048156738</v>
      </c>
      <c r="G159">
        <v>2.1869232654571533</v>
      </c>
      <c r="H159">
        <v>2.4382393360137939</v>
      </c>
    </row>
    <row r="160" spans="1:8" x14ac:dyDescent="0.25">
      <c r="A160">
        <v>506</v>
      </c>
      <c r="B160">
        <v>2.4593603610992432</v>
      </c>
      <c r="C160">
        <v>7.2746753692626953</v>
      </c>
      <c r="D160">
        <v>26.310583114624023</v>
      </c>
      <c r="E160">
        <v>24.469184875488281</v>
      </c>
      <c r="F160">
        <v>2.1471414566040039</v>
      </c>
      <c r="G160">
        <v>2.1939258575439453</v>
      </c>
      <c r="H160">
        <v>2.4334244728088379</v>
      </c>
    </row>
    <row r="161" spans="1:8" x14ac:dyDescent="0.25">
      <c r="A161">
        <v>508</v>
      </c>
      <c r="B161">
        <v>2.2204084396362305</v>
      </c>
      <c r="C161">
        <v>6.7714047431945801</v>
      </c>
      <c r="D161">
        <v>25.126663208007813</v>
      </c>
      <c r="E161">
        <v>24.53312873840332</v>
      </c>
      <c r="F161">
        <v>2.063347339630127</v>
      </c>
      <c r="G161">
        <v>2.2418363094329834</v>
      </c>
      <c r="H161">
        <v>2.4030356407165527</v>
      </c>
    </row>
    <row r="162" spans="1:8" x14ac:dyDescent="0.25">
      <c r="A162">
        <v>510</v>
      </c>
      <c r="B162">
        <v>2.3760502338409424</v>
      </c>
      <c r="C162">
        <v>7.1793069839477539</v>
      </c>
      <c r="D162">
        <v>23.756607055664063</v>
      </c>
      <c r="E162">
        <v>23.639308929443359</v>
      </c>
      <c r="F162">
        <v>2.0534079074859619</v>
      </c>
      <c r="G162">
        <v>2.2091519832611084</v>
      </c>
      <c r="H162">
        <v>2.4328901767730713</v>
      </c>
    </row>
    <row r="163" spans="1:8" x14ac:dyDescent="0.25">
      <c r="A163">
        <v>512</v>
      </c>
      <c r="B163">
        <v>2.4353275299072266</v>
      </c>
      <c r="C163">
        <v>7.2958354949951172</v>
      </c>
      <c r="D163">
        <v>24.268720626831055</v>
      </c>
      <c r="E163">
        <v>22.109588623046875</v>
      </c>
      <c r="F163">
        <v>2.1446385383605957</v>
      </c>
      <c r="G163">
        <v>2.2502391338348389</v>
      </c>
      <c r="H163">
        <v>2.4457981586456299</v>
      </c>
    </row>
    <row r="164" spans="1:8" x14ac:dyDescent="0.25">
      <c r="A164">
        <v>514</v>
      </c>
      <c r="B164">
        <v>2.1839807033538818</v>
      </c>
      <c r="C164">
        <v>6.5625581741333008</v>
      </c>
      <c r="D164">
        <v>24.37983512878418</v>
      </c>
      <c r="E164">
        <v>20.788602828979492</v>
      </c>
      <c r="F164">
        <v>2.2221901416778564</v>
      </c>
      <c r="G164">
        <v>2.2272446155548096</v>
      </c>
      <c r="H164">
        <v>2.4470374584197998</v>
      </c>
    </row>
    <row r="165" spans="1:8" x14ac:dyDescent="0.25">
      <c r="A165">
        <v>516</v>
      </c>
      <c r="B165">
        <v>2.2217469215393066</v>
      </c>
      <c r="C165">
        <v>7.4629125595092773</v>
      </c>
      <c r="D165">
        <v>23.298612594604492</v>
      </c>
      <c r="E165">
        <v>20.036306381225586</v>
      </c>
      <c r="F165">
        <v>2.1981112957000732</v>
      </c>
      <c r="G165">
        <v>2.1552107334136963</v>
      </c>
      <c r="H165">
        <v>2.4581301212310791</v>
      </c>
    </row>
    <row r="166" spans="1:8" x14ac:dyDescent="0.25">
      <c r="A166">
        <v>518</v>
      </c>
      <c r="B166">
        <v>2.3214669227600098</v>
      </c>
      <c r="C166">
        <v>7.1808395385742188</v>
      </c>
      <c r="D166">
        <v>23.678476333618164</v>
      </c>
      <c r="E166">
        <v>20.428709030151367</v>
      </c>
      <c r="F166">
        <v>2.1757152080535889</v>
      </c>
      <c r="G166">
        <v>2.1854572296142578</v>
      </c>
      <c r="H166">
        <v>2.4270849227905273</v>
      </c>
    </row>
    <row r="167" spans="1:8" x14ac:dyDescent="0.25">
      <c r="A167">
        <v>520</v>
      </c>
      <c r="B167">
        <v>2.1554090976715088</v>
      </c>
      <c r="C167">
        <v>6.8447356224060059</v>
      </c>
      <c r="D167">
        <v>24.448406219482422</v>
      </c>
      <c r="E167">
        <v>18.839662551879883</v>
      </c>
      <c r="F167">
        <v>2.2297418117523193</v>
      </c>
      <c r="G167">
        <v>2.219555139541626</v>
      </c>
      <c r="H167">
        <v>2.4112374782562256</v>
      </c>
    </row>
    <row r="168" spans="1:8" x14ac:dyDescent="0.25">
      <c r="A168">
        <v>522</v>
      </c>
      <c r="B168">
        <v>2.1886553764343262</v>
      </c>
      <c r="C168">
        <v>7.2118501663208008</v>
      </c>
      <c r="D168">
        <v>23.920419692993164</v>
      </c>
      <c r="E168">
        <v>16.840692520141602</v>
      </c>
      <c r="F168">
        <v>2.1347136497497559</v>
      </c>
      <c r="G168">
        <v>2.18174147605896</v>
      </c>
      <c r="H168">
        <v>2.4410717487335205</v>
      </c>
    </row>
    <row r="169" spans="1:8" x14ac:dyDescent="0.25">
      <c r="A169">
        <v>524</v>
      </c>
      <c r="B169">
        <v>2.325986385345459</v>
      </c>
      <c r="C169">
        <v>6.4664607048034668</v>
      </c>
      <c r="D169">
        <v>24.866191864013672</v>
      </c>
      <c r="E169">
        <v>17.845333099365234</v>
      </c>
      <c r="F169">
        <v>2.0995302200317383</v>
      </c>
      <c r="G169">
        <v>2.1549043655395508</v>
      </c>
      <c r="H169">
        <v>2.4506497383117676</v>
      </c>
    </row>
    <row r="170" spans="1:8" x14ac:dyDescent="0.25">
      <c r="A170">
        <v>526</v>
      </c>
      <c r="B170">
        <v>2.3806860446929932</v>
      </c>
      <c r="C170">
        <v>7.6374449729919434</v>
      </c>
      <c r="D170">
        <v>25.525007247924805</v>
      </c>
      <c r="E170">
        <v>18.477119445800781</v>
      </c>
      <c r="F170">
        <v>2.2538061141967773</v>
      </c>
      <c r="G170">
        <v>2.1809229850769043</v>
      </c>
      <c r="H170">
        <v>2.4515132904052734</v>
      </c>
    </row>
    <row r="171" spans="1:8" x14ac:dyDescent="0.25">
      <c r="A171">
        <v>528</v>
      </c>
      <c r="B171">
        <v>2.7003684043884277</v>
      </c>
      <c r="C171">
        <v>7.3570981025695801</v>
      </c>
      <c r="D171">
        <v>25.708215713500977</v>
      </c>
      <c r="E171">
        <v>19.193923950195313</v>
      </c>
      <c r="F171">
        <v>2.2019517421722412</v>
      </c>
      <c r="G171">
        <v>2.2221066951751709</v>
      </c>
      <c r="H171">
        <v>2.4188847541809082</v>
      </c>
    </row>
    <row r="172" spans="1:8" x14ac:dyDescent="0.25">
      <c r="A172">
        <v>530</v>
      </c>
      <c r="B172">
        <v>2.786588191986084</v>
      </c>
      <c r="C172">
        <v>6.6638193130493164</v>
      </c>
      <c r="D172">
        <v>24.388936996459961</v>
      </c>
      <c r="E172">
        <v>18.543544769287109</v>
      </c>
      <c r="F172">
        <v>2.1352169513702393</v>
      </c>
      <c r="G172">
        <v>2.2954010963439941</v>
      </c>
      <c r="H172">
        <v>2.4179344177246094</v>
      </c>
    </row>
    <row r="173" spans="1:8" x14ac:dyDescent="0.25">
      <c r="A173">
        <v>532</v>
      </c>
      <c r="B173">
        <v>2.6226058006286621</v>
      </c>
      <c r="C173">
        <v>7.4923014640808105</v>
      </c>
      <c r="D173">
        <v>22.798805236816406</v>
      </c>
      <c r="E173">
        <v>17.209827423095703</v>
      </c>
      <c r="F173">
        <v>2.0266823768615723</v>
      </c>
      <c r="G173">
        <v>2.2509176731109619</v>
      </c>
      <c r="H173">
        <v>2.438488245010376</v>
      </c>
    </row>
    <row r="174" spans="1:8" x14ac:dyDescent="0.25">
      <c r="A174">
        <v>534</v>
      </c>
      <c r="B174">
        <v>2.5088422298431396</v>
      </c>
      <c r="C174">
        <v>7.3692998886108398</v>
      </c>
      <c r="D174">
        <v>21.498052597045898</v>
      </c>
      <c r="E174">
        <v>17.438226699829102</v>
      </c>
      <c r="F174">
        <v>2</v>
      </c>
      <c r="G174">
        <v>2.2625024318695068</v>
      </c>
      <c r="H174">
        <v>2.4103271961212158</v>
      </c>
    </row>
    <row r="175" spans="1:8" x14ac:dyDescent="0.25">
      <c r="A175">
        <v>536</v>
      </c>
      <c r="B175">
        <v>2.524146556854248</v>
      </c>
      <c r="C175">
        <v>7.5319876670837402</v>
      </c>
      <c r="D175">
        <v>19.008350372314453</v>
      </c>
      <c r="E175">
        <v>17.363407135009766</v>
      </c>
      <c r="F175">
        <v>2.1308372020721436</v>
      </c>
      <c r="G175">
        <v>2.2740914821624756</v>
      </c>
      <c r="H175">
        <v>2.4286279678344727</v>
      </c>
    </row>
    <row r="176" spans="1:8" x14ac:dyDescent="0.25">
      <c r="A176">
        <v>538</v>
      </c>
      <c r="B176">
        <v>2.2706661224365234</v>
      </c>
      <c r="C176">
        <v>7.042332649230957</v>
      </c>
      <c r="D176">
        <v>16.437816619873047</v>
      </c>
      <c r="E176">
        <v>16.513418197631836</v>
      </c>
      <c r="F176">
        <v>2.1478533744812012</v>
      </c>
      <c r="G176">
        <v>2.2365975379943848</v>
      </c>
      <c r="H176">
        <v>2.4503607749938965</v>
      </c>
    </row>
    <row r="177" spans="1:8" x14ac:dyDescent="0.25">
      <c r="A177">
        <v>540</v>
      </c>
      <c r="B177">
        <v>2.0817584991455078</v>
      </c>
      <c r="C177">
        <v>7.1542630195617676</v>
      </c>
      <c r="D177">
        <v>12.959066390991211</v>
      </c>
      <c r="E177">
        <v>15.704726219177246</v>
      </c>
      <c r="F177">
        <v>2.085944652557373</v>
      </c>
      <c r="G177">
        <v>2.2032260894775391</v>
      </c>
      <c r="H177">
        <v>2.4322171211242676</v>
      </c>
    </row>
    <row r="178" spans="1:8" x14ac:dyDescent="0.25">
      <c r="A178">
        <v>542</v>
      </c>
      <c r="B178">
        <v>2</v>
      </c>
      <c r="C178">
        <v>6.5792393684387207</v>
      </c>
      <c r="D178">
        <v>11.124153137207031</v>
      </c>
      <c r="E178">
        <v>15.374748229980469</v>
      </c>
      <c r="F178">
        <v>2.1606407165527344</v>
      </c>
      <c r="G178">
        <v>2.2582571506500244</v>
      </c>
      <c r="H178">
        <v>2.4350595474243164</v>
      </c>
    </row>
    <row r="179" spans="1:8" x14ac:dyDescent="0.25">
      <c r="A179">
        <v>544</v>
      </c>
      <c r="B179">
        <v>2.3111865520477295</v>
      </c>
      <c r="C179">
        <v>6.8065524101257324</v>
      </c>
      <c r="D179">
        <v>9.9491081237792969</v>
      </c>
      <c r="E179">
        <v>14.579689979553223</v>
      </c>
      <c r="F179">
        <v>2.3118312358856201</v>
      </c>
      <c r="G179">
        <v>2.2681307792663574</v>
      </c>
      <c r="H179">
        <v>2.4306821823120117</v>
      </c>
    </row>
    <row r="180" spans="1:8" x14ac:dyDescent="0.25">
      <c r="A180">
        <v>546</v>
      </c>
      <c r="B180">
        <v>2.6303839683532715</v>
      </c>
      <c r="C180">
        <v>7.5444869995117188</v>
      </c>
      <c r="D180">
        <v>7.8562870025634766</v>
      </c>
      <c r="E180">
        <v>13.167943000793457</v>
      </c>
      <c r="F180">
        <v>2.1580014228820801</v>
      </c>
      <c r="G180">
        <v>2.2184433937072754</v>
      </c>
      <c r="H180">
        <v>2.4268960952758789</v>
      </c>
    </row>
    <row r="181" spans="1:8" x14ac:dyDescent="0.25">
      <c r="A181">
        <v>548</v>
      </c>
      <c r="B181">
        <v>2.491675853729248</v>
      </c>
      <c r="C181">
        <v>7.3756093978881836</v>
      </c>
      <c r="D181">
        <v>6.9692964553833008</v>
      </c>
      <c r="E181">
        <v>11.801323890686035</v>
      </c>
      <c r="F181">
        <v>2.1055786609649658</v>
      </c>
      <c r="G181">
        <v>2.2176949977874756</v>
      </c>
      <c r="H181">
        <v>2.4071323871612549</v>
      </c>
    </row>
    <row r="182" spans="1:8" x14ac:dyDescent="0.25">
      <c r="A182">
        <v>550</v>
      </c>
      <c r="B182">
        <v>2.5590806007385254</v>
      </c>
      <c r="C182">
        <v>7.5768222808837891</v>
      </c>
      <c r="D182">
        <v>6.5145478248596191</v>
      </c>
      <c r="E182">
        <v>9.6126604080200195</v>
      </c>
      <c r="F182">
        <v>2.1131374835968018</v>
      </c>
      <c r="G182">
        <v>2.2240540981292725</v>
      </c>
      <c r="H182">
        <v>2.3905951976776123</v>
      </c>
    </row>
    <row r="183" spans="1:8" x14ac:dyDescent="0.25">
      <c r="A183">
        <v>552</v>
      </c>
      <c r="B183">
        <v>2.5878655910491943</v>
      </c>
      <c r="C183">
        <v>7.261967658996582</v>
      </c>
      <c r="D183">
        <v>5.585472583770752</v>
      </c>
      <c r="E183">
        <v>8.5635690689086914</v>
      </c>
      <c r="F183">
        <v>2.0638937950134277</v>
      </c>
      <c r="G183">
        <v>2.2696669101715088</v>
      </c>
      <c r="H183">
        <v>2.3906903266906738</v>
      </c>
    </row>
    <row r="184" spans="1:8" x14ac:dyDescent="0.25">
      <c r="A184">
        <v>554</v>
      </c>
      <c r="B184">
        <v>2.404951810836792</v>
      </c>
      <c r="C184">
        <v>6.8667435646057129</v>
      </c>
      <c r="D184">
        <v>5.2723956108093262</v>
      </c>
      <c r="E184">
        <v>8.7635164260864258</v>
      </c>
      <c r="F184">
        <v>2.1354904174804688</v>
      </c>
      <c r="G184">
        <v>2.2766211032867432</v>
      </c>
      <c r="H184">
        <v>2.3978333473205566</v>
      </c>
    </row>
    <row r="185" spans="1:8" x14ac:dyDescent="0.25">
      <c r="A185">
        <v>556</v>
      </c>
      <c r="B185">
        <v>2.5531449317932129</v>
      </c>
      <c r="C185">
        <v>7.0098934173583984</v>
      </c>
      <c r="D185">
        <v>5.5650701522827148</v>
      </c>
      <c r="E185">
        <v>7.5381960868835449</v>
      </c>
      <c r="F185">
        <v>2.073178768157959</v>
      </c>
      <c r="G185">
        <v>2.2241635322570801</v>
      </c>
      <c r="H185">
        <v>2.3985097408294678</v>
      </c>
    </row>
    <row r="186" spans="1:8" x14ac:dyDescent="0.25">
      <c r="A186">
        <v>558</v>
      </c>
      <c r="B186">
        <v>2.820979118347168</v>
      </c>
      <c r="C186">
        <v>7.0471982955932617</v>
      </c>
      <c r="D186">
        <v>4.768425464630127</v>
      </c>
      <c r="E186">
        <v>6.3062276840209961</v>
      </c>
      <c r="F186">
        <v>2.034902811050415</v>
      </c>
      <c r="G186">
        <v>2.2854881286621094</v>
      </c>
      <c r="H186">
        <v>2.4165065288543701</v>
      </c>
    </row>
    <row r="187" spans="1:8" x14ac:dyDescent="0.25">
      <c r="A187">
        <v>560</v>
      </c>
      <c r="B187">
        <v>2.6605851650238037</v>
      </c>
      <c r="C187">
        <v>7.0693850517272949</v>
      </c>
      <c r="D187">
        <v>3.7286934852600098</v>
      </c>
      <c r="E187">
        <v>5.2022614479064941</v>
      </c>
      <c r="F187">
        <v>2.1074342727661133</v>
      </c>
      <c r="G187">
        <v>2.2391839027404785</v>
      </c>
      <c r="H187">
        <v>2.3913934230804443</v>
      </c>
    </row>
    <row r="188" spans="1:8" x14ac:dyDescent="0.25">
      <c r="A188">
        <v>562</v>
      </c>
      <c r="B188">
        <v>2.7006399631500244</v>
      </c>
      <c r="C188">
        <v>6.9141526222229004</v>
      </c>
      <c r="D188">
        <v>3.5785136222839355</v>
      </c>
      <c r="E188">
        <v>5.1915574073791504</v>
      </c>
      <c r="F188">
        <v>2.2215068340301514</v>
      </c>
      <c r="G188">
        <v>2.1930856704711914</v>
      </c>
      <c r="H188">
        <v>2.3894877433776855</v>
      </c>
    </row>
    <row r="189" spans="1:8" x14ac:dyDescent="0.25">
      <c r="A189">
        <v>564</v>
      </c>
      <c r="B189">
        <v>2.4763522148132324</v>
      </c>
      <c r="C189">
        <v>7.0816316604614258</v>
      </c>
      <c r="D189">
        <v>3.8398532867431641</v>
      </c>
      <c r="E189">
        <v>4.9292984008789063</v>
      </c>
      <c r="F189">
        <v>2.3371689319610596</v>
      </c>
      <c r="G189">
        <v>2.2291879653930664</v>
      </c>
      <c r="H189">
        <v>2.3942909240722656</v>
      </c>
    </row>
    <row r="190" spans="1:8" x14ac:dyDescent="0.25">
      <c r="A190">
        <v>566</v>
      </c>
      <c r="B190">
        <v>2.5381510257720947</v>
      </c>
      <c r="C190">
        <v>7.2959990501403809</v>
      </c>
      <c r="D190">
        <v>4.9855756759643555</v>
      </c>
      <c r="E190">
        <v>4.2261857986450195</v>
      </c>
      <c r="F190">
        <v>2.1671783924102783</v>
      </c>
      <c r="G190">
        <v>2.1915843486785889</v>
      </c>
      <c r="H190">
        <v>2.3773062229156494</v>
      </c>
    </row>
    <row r="191" spans="1:8" x14ac:dyDescent="0.25">
      <c r="A191">
        <v>568</v>
      </c>
      <c r="B191">
        <v>2.8113000392913818</v>
      </c>
      <c r="C191">
        <v>7.3680648803710938</v>
      </c>
      <c r="D191">
        <v>4.7595510482788086</v>
      </c>
      <c r="E191">
        <v>3.8519246578216553</v>
      </c>
      <c r="F191">
        <v>2.1650855541229248</v>
      </c>
      <c r="G191">
        <v>2.1930375099182129</v>
      </c>
      <c r="H191">
        <v>2.4416496753692627</v>
      </c>
    </row>
    <row r="192" spans="1:8" x14ac:dyDescent="0.25">
      <c r="A192">
        <v>570</v>
      </c>
      <c r="B192">
        <v>2.7071962356567383</v>
      </c>
      <c r="C192">
        <v>6.5611743927001953</v>
      </c>
      <c r="D192">
        <v>4.8289918899536133</v>
      </c>
      <c r="E192">
        <v>3.7826838493347168</v>
      </c>
      <c r="F192">
        <v>2.2232761383056641</v>
      </c>
      <c r="G192">
        <v>2.2508432865142822</v>
      </c>
      <c r="H192">
        <v>2.4438090324401855</v>
      </c>
    </row>
    <row r="193" spans="1:8" x14ac:dyDescent="0.25">
      <c r="A193">
        <v>572</v>
      </c>
      <c r="B193">
        <v>2.6050515174865723</v>
      </c>
      <c r="C193">
        <v>8.0053930282592773</v>
      </c>
      <c r="D193">
        <v>5.2049217224121094</v>
      </c>
      <c r="E193">
        <v>3.5332703590393066</v>
      </c>
      <c r="F193">
        <v>2.2367322444915771</v>
      </c>
      <c r="G193">
        <v>2.2204215526580811</v>
      </c>
      <c r="H193">
        <v>2.3977580070495605</v>
      </c>
    </row>
    <row r="194" spans="1:8" x14ac:dyDescent="0.25">
      <c r="A194">
        <v>574</v>
      </c>
      <c r="B194">
        <v>2.6688482761383057</v>
      </c>
      <c r="C194">
        <v>6.9420685768127441</v>
      </c>
      <c r="D194">
        <v>5.1283450126647949</v>
      </c>
      <c r="E194">
        <v>3.3932111263275146</v>
      </c>
      <c r="F194">
        <v>2.2108986377716064</v>
      </c>
      <c r="G194">
        <v>2.1846737861633301</v>
      </c>
      <c r="H194">
        <v>2.4033846855163574</v>
      </c>
    </row>
    <row r="195" spans="1:8" x14ac:dyDescent="0.25">
      <c r="A195">
        <v>576</v>
      </c>
      <c r="B195">
        <v>2.5456576347351074</v>
      </c>
      <c r="C195">
        <v>6.9673948287963867</v>
      </c>
      <c r="D195">
        <v>5.2054252624511719</v>
      </c>
      <c r="E195">
        <v>3.074782133102417</v>
      </c>
      <c r="F195">
        <v>2.2100858688354492</v>
      </c>
      <c r="G195">
        <v>2.2004776000976563</v>
      </c>
      <c r="H195">
        <v>2.3983476161956787</v>
      </c>
    </row>
    <row r="196" spans="1:8" x14ac:dyDescent="0.25">
      <c r="A196">
        <v>578</v>
      </c>
      <c r="B196">
        <v>2.4977858066558838</v>
      </c>
      <c r="C196">
        <v>5.6347794532775879</v>
      </c>
      <c r="D196">
        <v>4.809596061706543</v>
      </c>
      <c r="E196">
        <v>3.4364233016967773</v>
      </c>
      <c r="F196">
        <v>2.2182776927947998</v>
      </c>
      <c r="G196">
        <v>2.2002456188201904</v>
      </c>
      <c r="H196">
        <v>2.4358594417572021</v>
      </c>
    </row>
    <row r="197" spans="1:8" x14ac:dyDescent="0.25">
      <c r="A197">
        <v>580</v>
      </c>
      <c r="B197">
        <v>2.3996951580047607</v>
      </c>
      <c r="C197">
        <v>5.5594396591186523</v>
      </c>
      <c r="D197">
        <v>5.3511676788330078</v>
      </c>
      <c r="E197">
        <v>3.8336143493652344</v>
      </c>
      <c r="F197">
        <v>2.1601014137268066</v>
      </c>
      <c r="G197">
        <v>2.2273454666137695</v>
      </c>
      <c r="H197">
        <v>2.4462056159973145</v>
      </c>
    </row>
    <row r="198" spans="1:8" x14ac:dyDescent="0.25">
      <c r="A198">
        <v>582</v>
      </c>
      <c r="B198">
        <v>2.3194303512573242</v>
      </c>
      <c r="C198">
        <v>5.5339198112487793</v>
      </c>
      <c r="D198">
        <v>4.474790096282959</v>
      </c>
      <c r="E198">
        <v>3.1735446453094482</v>
      </c>
      <c r="F198">
        <v>2.3312785625457764</v>
      </c>
      <c r="G198">
        <v>2.1817808151245117</v>
      </c>
      <c r="H198">
        <v>2.4676814079284668</v>
      </c>
    </row>
    <row r="199" spans="1:8" x14ac:dyDescent="0.25">
      <c r="A199">
        <v>584</v>
      </c>
      <c r="B199">
        <v>2.3958544731140137</v>
      </c>
      <c r="C199">
        <v>6.0400323867797852</v>
      </c>
      <c r="D199">
        <v>4.0067758560180664</v>
      </c>
      <c r="E199">
        <v>2.8309462070465088</v>
      </c>
      <c r="F199">
        <v>2.2750225067138672</v>
      </c>
      <c r="G199">
        <v>2.1411707401275635</v>
      </c>
      <c r="H199">
        <v>2.4445958137512207</v>
      </c>
    </row>
    <row r="200" spans="1:8" x14ac:dyDescent="0.25">
      <c r="A200">
        <v>586</v>
      </c>
      <c r="B200">
        <v>2.5189869403839111</v>
      </c>
      <c r="C200">
        <v>8.8483982086181641</v>
      </c>
      <c r="D200">
        <v>4.1810173988342285</v>
      </c>
      <c r="E200">
        <v>2.7625505924224854</v>
      </c>
      <c r="F200">
        <v>2.1883227825164795</v>
      </c>
      <c r="G200">
        <v>2.1635394096374512</v>
      </c>
      <c r="H200">
        <v>2.4331488609313965</v>
      </c>
    </row>
    <row r="201" spans="1:8" x14ac:dyDescent="0.25">
      <c r="A201">
        <v>588</v>
      </c>
      <c r="B201">
        <v>2.5391016006469727</v>
      </c>
      <c r="C201">
        <v>7.4965572357177734</v>
      </c>
      <c r="D201">
        <v>4.7202563285827637</v>
      </c>
      <c r="E201">
        <v>3.2614901065826416</v>
      </c>
      <c r="F201">
        <v>2.2347977161407471</v>
      </c>
      <c r="G201">
        <v>2.19622802734375</v>
      </c>
      <c r="H201">
        <v>2.4480228424072266</v>
      </c>
    </row>
    <row r="202" spans="1:8" x14ac:dyDescent="0.25">
      <c r="A202">
        <v>590</v>
      </c>
      <c r="B202">
        <v>2.3738195896148682</v>
      </c>
      <c r="C202">
        <v>6.9979739189147949</v>
      </c>
      <c r="D202">
        <v>4.4700326919555664</v>
      </c>
      <c r="E202">
        <v>3.8218395709991455</v>
      </c>
      <c r="F202">
        <v>2.2348983287811279</v>
      </c>
      <c r="G202">
        <v>2.1748089790344238</v>
      </c>
      <c r="H202">
        <v>2.4610042572021484</v>
      </c>
    </row>
    <row r="203" spans="1:8" x14ac:dyDescent="0.25">
      <c r="A203">
        <v>592</v>
      </c>
      <c r="B203">
        <v>2.4255514144897461</v>
      </c>
      <c r="C203">
        <v>6.1025600433349609</v>
      </c>
      <c r="D203">
        <v>4.9494833946228027</v>
      </c>
      <c r="E203">
        <v>3.5025091171264648</v>
      </c>
      <c r="F203">
        <v>2.2748212814331055</v>
      </c>
      <c r="G203">
        <v>2.2053837776184082</v>
      </c>
      <c r="H203">
        <v>2.4440979957580566</v>
      </c>
    </row>
    <row r="204" spans="1:8" x14ac:dyDescent="0.25">
      <c r="A204">
        <v>594</v>
      </c>
      <c r="B204">
        <v>2.1743016242980957</v>
      </c>
      <c r="C204">
        <v>7.7765026092529297</v>
      </c>
      <c r="D204">
        <v>5.4631052017211914</v>
      </c>
      <c r="E204">
        <v>3.0239078998565674</v>
      </c>
      <c r="F204">
        <v>2.2064683437347412</v>
      </c>
      <c r="G204">
        <v>2.2445104122161865</v>
      </c>
      <c r="H204">
        <v>2.3918359279632568</v>
      </c>
    </row>
    <row r="205" spans="1:8" x14ac:dyDescent="0.25">
      <c r="A205">
        <v>596</v>
      </c>
      <c r="B205">
        <v>2.4336400032043457</v>
      </c>
      <c r="C205">
        <v>5.8763628005981445</v>
      </c>
      <c r="D205">
        <v>4.1328024864196777</v>
      </c>
      <c r="E205">
        <v>3.6608221530914307</v>
      </c>
      <c r="F205">
        <v>2.2815384864807129</v>
      </c>
      <c r="G205">
        <v>2.2467992305755615</v>
      </c>
      <c r="H205">
        <v>2.4584991931915283</v>
      </c>
    </row>
    <row r="206" spans="1:8" x14ac:dyDescent="0.25">
      <c r="A206">
        <v>598</v>
      </c>
      <c r="B206">
        <v>2.4266376495361328</v>
      </c>
      <c r="C206">
        <v>7.4425263404846191</v>
      </c>
      <c r="D206">
        <v>4.2161951065063477</v>
      </c>
      <c r="E206">
        <v>3.1410369873046875</v>
      </c>
      <c r="F206">
        <v>2.2478151321411133</v>
      </c>
      <c r="G206">
        <v>2.2205486297607422</v>
      </c>
      <c r="H206">
        <v>2.4474315643310547</v>
      </c>
    </row>
    <row r="207" spans="1:8" x14ac:dyDescent="0.25">
      <c r="A207">
        <v>600</v>
      </c>
      <c r="B207">
        <v>2.3682913780212402</v>
      </c>
      <c r="C207">
        <v>6.0414013862609863</v>
      </c>
      <c r="D207">
        <v>3.7890307903289795</v>
      </c>
      <c r="E207">
        <v>2.8792853355407715</v>
      </c>
      <c r="F207">
        <v>2.2975263595581055</v>
      </c>
      <c r="G207">
        <v>2.1820785999298096</v>
      </c>
      <c r="H207">
        <v>2.4643127918243408</v>
      </c>
    </row>
    <row r="208" spans="1:8" x14ac:dyDescent="0.25">
      <c r="A208">
        <v>602</v>
      </c>
      <c r="B208">
        <v>2.3783195018768311</v>
      </c>
      <c r="C208">
        <v>6.8046774864196777</v>
      </c>
      <c r="D208">
        <v>4.4256601333618164</v>
      </c>
      <c r="E208">
        <v>3.347069263458252</v>
      </c>
      <c r="F208">
        <v>2.2273323535919189</v>
      </c>
      <c r="G208">
        <v>2.1772992610931396</v>
      </c>
      <c r="H208">
        <v>2.42746901512146</v>
      </c>
    </row>
    <row r="209" spans="1:8" x14ac:dyDescent="0.25">
      <c r="A209">
        <v>604</v>
      </c>
      <c r="B209">
        <v>2.3665649890899658</v>
      </c>
      <c r="C209">
        <v>7.5791287422180176</v>
      </c>
      <c r="D209">
        <v>3.8951129913330078</v>
      </c>
      <c r="E209">
        <v>2.8522987365722656</v>
      </c>
      <c r="F209">
        <v>2.2594015598297119</v>
      </c>
      <c r="G209">
        <v>2.1481513977050781</v>
      </c>
      <c r="H209">
        <v>2.4295032024383545</v>
      </c>
    </row>
    <row r="210" spans="1:8" x14ac:dyDescent="0.25">
      <c r="A210">
        <v>606</v>
      </c>
      <c r="B210">
        <v>2.201185941696167</v>
      </c>
      <c r="C210">
        <v>7.4056529998779297</v>
      </c>
      <c r="D210">
        <v>4.1918134689331055</v>
      </c>
      <c r="E210">
        <v>2.9671742916107178</v>
      </c>
      <c r="F210">
        <v>2.2309212684631348</v>
      </c>
      <c r="G210">
        <v>2.1764283180236816</v>
      </c>
      <c r="H210">
        <v>2.4071540832519531</v>
      </c>
    </row>
    <row r="211" spans="1:8" x14ac:dyDescent="0.25">
      <c r="A211">
        <v>608</v>
      </c>
      <c r="B211">
        <v>2.1788406372070313</v>
      </c>
      <c r="C211">
        <v>8.3677902221679688</v>
      </c>
      <c r="D211">
        <v>3.727961540222168</v>
      </c>
      <c r="E211">
        <v>2.6658725738525391</v>
      </c>
      <c r="F211">
        <v>2.3167147636413574</v>
      </c>
      <c r="G211">
        <v>2.1839122772216797</v>
      </c>
      <c r="H211">
        <v>2.3899405002593994</v>
      </c>
    </row>
    <row r="212" spans="1:8" x14ac:dyDescent="0.25">
      <c r="A212">
        <v>610</v>
      </c>
      <c r="B212">
        <v>2.432185173034668</v>
      </c>
      <c r="C212">
        <v>6.1830925941467285</v>
      </c>
      <c r="D212">
        <v>4.1880621910095215</v>
      </c>
      <c r="E212">
        <v>3.0594015121459961</v>
      </c>
      <c r="F212">
        <v>2.3391034603118896</v>
      </c>
      <c r="G212">
        <v>2.2401425838470459</v>
      </c>
      <c r="H212">
        <v>2.394017219543457</v>
      </c>
    </row>
    <row r="213" spans="1:8" x14ac:dyDescent="0.25">
      <c r="A213">
        <v>612</v>
      </c>
      <c r="B213">
        <v>2.33469557762146</v>
      </c>
      <c r="C213">
        <v>8.125269889831543</v>
      </c>
      <c r="D213">
        <v>5.7456245422363281</v>
      </c>
      <c r="E213">
        <v>2.9107224941253662</v>
      </c>
      <c r="F213">
        <v>2.1941053867340088</v>
      </c>
      <c r="G213">
        <v>2.2660517692565918</v>
      </c>
      <c r="H213">
        <v>2.3860139846801758</v>
      </c>
    </row>
    <row r="214" spans="1:8" x14ac:dyDescent="0.25">
      <c r="A214">
        <v>614</v>
      </c>
      <c r="B214">
        <v>2.2607543468475342</v>
      </c>
      <c r="C214">
        <v>6.3420600891113281</v>
      </c>
      <c r="D214">
        <v>4.6338448524475098</v>
      </c>
      <c r="E214">
        <v>3.0566411018371582</v>
      </c>
      <c r="F214">
        <v>2.159353494644165</v>
      </c>
      <c r="G214">
        <v>2.1816234588623047</v>
      </c>
      <c r="H214">
        <v>2.4439177513122559</v>
      </c>
    </row>
    <row r="215" spans="1:8" x14ac:dyDescent="0.25">
      <c r="A215">
        <v>616</v>
      </c>
      <c r="B215">
        <v>2.1154704093933105</v>
      </c>
      <c r="C215">
        <v>7.3164892196655273</v>
      </c>
      <c r="D215">
        <v>4.0312490463256836</v>
      </c>
      <c r="E215">
        <v>2.8930883407592773</v>
      </c>
      <c r="F215">
        <v>2.1549952030181885</v>
      </c>
      <c r="G215">
        <v>2.1945736408233643</v>
      </c>
      <c r="H215">
        <v>2.4029855728149414</v>
      </c>
    </row>
    <row r="216" spans="1:8" x14ac:dyDescent="0.25">
      <c r="A216">
        <v>618</v>
      </c>
      <c r="B216">
        <v>2.3357818126678467</v>
      </c>
      <c r="C216">
        <v>6.2842798233032227</v>
      </c>
      <c r="D216">
        <v>3.1097671985626221</v>
      </c>
      <c r="E216">
        <v>2.5488560199737549</v>
      </c>
      <c r="F216">
        <v>2.1994562149047852</v>
      </c>
      <c r="G216">
        <v>2.1811680793762207</v>
      </c>
      <c r="H216">
        <v>2.4786205291748047</v>
      </c>
    </row>
    <row r="217" spans="1:8" x14ac:dyDescent="0.25">
      <c r="A217">
        <v>620</v>
      </c>
      <c r="B217">
        <v>2.3782031536102295</v>
      </c>
      <c r="C217">
        <v>6.3851537704467773</v>
      </c>
      <c r="D217">
        <v>3.3556909561157227</v>
      </c>
      <c r="E217">
        <v>3.0988953113555908</v>
      </c>
      <c r="F217">
        <v>2.037384033203125</v>
      </c>
      <c r="G217">
        <v>2.2120518684387207</v>
      </c>
      <c r="H217">
        <v>2.4372789859771729</v>
      </c>
    </row>
    <row r="218" spans="1:8" x14ac:dyDescent="0.25">
      <c r="A218">
        <v>622</v>
      </c>
      <c r="B218">
        <v>2.2131733894348145</v>
      </c>
      <c r="C218">
        <v>7.5821495056152344</v>
      </c>
      <c r="D218">
        <v>3.3364324569702148</v>
      </c>
      <c r="E218">
        <v>2.6849715709686279</v>
      </c>
      <c r="F218">
        <v>2.2121212482452393</v>
      </c>
      <c r="G218">
        <v>2.2429523468017578</v>
      </c>
      <c r="H218">
        <v>2.3995952606201172</v>
      </c>
    </row>
    <row r="219" spans="1:8" x14ac:dyDescent="0.25">
      <c r="A219">
        <v>624</v>
      </c>
      <c r="B219">
        <v>2.1765711307525635</v>
      </c>
      <c r="C219">
        <v>6.5008640289306641</v>
      </c>
      <c r="D219">
        <v>3.8275022506713867</v>
      </c>
      <c r="E219">
        <v>2.5252499580383301</v>
      </c>
      <c r="F219">
        <v>2.2262032032012939</v>
      </c>
      <c r="G219">
        <v>2.2349081039428711</v>
      </c>
      <c r="H219">
        <v>2.4199469089508057</v>
      </c>
    </row>
    <row r="220" spans="1:8" x14ac:dyDescent="0.25">
      <c r="A220">
        <v>626</v>
      </c>
      <c r="B220">
        <v>2.2045028209686279</v>
      </c>
      <c r="C220">
        <v>8.5376653671264648</v>
      </c>
      <c r="D220">
        <v>4.2452888488769531</v>
      </c>
      <c r="E220">
        <v>2.1081712245941162</v>
      </c>
      <c r="F220">
        <v>2.0761275291442871</v>
      </c>
      <c r="G220">
        <v>2.1858029365539551</v>
      </c>
      <c r="H220">
        <v>2.3726885318756104</v>
      </c>
    </row>
    <row r="221" spans="1:8" x14ac:dyDescent="0.25">
      <c r="A221">
        <v>628</v>
      </c>
      <c r="B221">
        <v>2.3326783180236816</v>
      </c>
      <c r="C221">
        <v>5.9773859977722168</v>
      </c>
      <c r="D221">
        <v>3.5130529403686523</v>
      </c>
      <c r="E221">
        <v>2.003831148147583</v>
      </c>
      <c r="F221">
        <v>2.2205502986907959</v>
      </c>
      <c r="G221">
        <v>2.2301769256591797</v>
      </c>
      <c r="H221">
        <v>2.4018697738647461</v>
      </c>
    </row>
    <row r="222" spans="1:8" x14ac:dyDescent="0.25">
      <c r="A222">
        <v>630</v>
      </c>
      <c r="B222">
        <v>2.4402542114257813</v>
      </c>
      <c r="C222">
        <v>6.868678092956543</v>
      </c>
      <c r="D222">
        <v>4.2679781913757324</v>
      </c>
      <c r="E222">
        <v>2.542377233505249</v>
      </c>
      <c r="F222">
        <v>2.2110495567321777</v>
      </c>
      <c r="G222">
        <v>2.3324837684631348</v>
      </c>
      <c r="H222">
        <v>2.382685661315918</v>
      </c>
    </row>
    <row r="223" spans="1:8" x14ac:dyDescent="0.25">
      <c r="A223">
        <v>632</v>
      </c>
      <c r="B223">
        <v>2.8598313331604004</v>
      </c>
      <c r="C223">
        <v>7.5668673515319824</v>
      </c>
      <c r="D223">
        <v>4.8881855010986328</v>
      </c>
      <c r="E223">
        <v>2</v>
      </c>
      <c r="F223">
        <v>2.3186135292053223</v>
      </c>
      <c r="G223">
        <v>2.2049198150634766</v>
      </c>
      <c r="H223">
        <v>2.4550004005432129</v>
      </c>
    </row>
    <row r="224" spans="1:8" x14ac:dyDescent="0.25">
      <c r="A224">
        <v>634</v>
      </c>
      <c r="B224">
        <v>3.0430557727813721</v>
      </c>
      <c r="C224">
        <v>5.5075068473815918</v>
      </c>
      <c r="D224">
        <v>6.5150966644287109</v>
      </c>
      <c r="E224">
        <v>3.2034609317779541</v>
      </c>
      <c r="F224">
        <v>2.3934175968170166</v>
      </c>
      <c r="G224">
        <v>2.1258089542388916</v>
      </c>
      <c r="H224">
        <v>2.5456912517547607</v>
      </c>
    </row>
    <row r="225" spans="1:8" x14ac:dyDescent="0.25">
      <c r="A225">
        <v>636</v>
      </c>
      <c r="B225">
        <v>3.015667200088501</v>
      </c>
      <c r="C225">
        <v>9.1479558944702148</v>
      </c>
      <c r="D225">
        <v>5.4253201484680176</v>
      </c>
      <c r="E225">
        <v>3.0144991874694824</v>
      </c>
      <c r="F225">
        <v>2.3500785827636719</v>
      </c>
      <c r="G225">
        <v>2.2406589984893799</v>
      </c>
      <c r="H225">
        <v>2.4148964881896973</v>
      </c>
    </row>
    <row r="226" spans="1:8" x14ac:dyDescent="0.25">
      <c r="A226">
        <v>638</v>
      </c>
      <c r="B226">
        <v>2.6952476501464844</v>
      </c>
      <c r="C226">
        <v>5.6392583847045898</v>
      </c>
      <c r="D226">
        <v>2</v>
      </c>
      <c r="E226">
        <v>3.5241434574127197</v>
      </c>
      <c r="F226">
        <v>2.4086430072784424</v>
      </c>
      <c r="G226">
        <v>2.2473857402801514</v>
      </c>
      <c r="H226">
        <v>2.4798495769500732</v>
      </c>
    </row>
    <row r="227" spans="1:8" x14ac:dyDescent="0.25">
      <c r="A227">
        <v>640</v>
      </c>
      <c r="B227">
        <v>2.0402488708496094</v>
      </c>
      <c r="C227">
        <v>7.4999799728393555</v>
      </c>
      <c r="D227">
        <v>4.7030563354492188</v>
      </c>
      <c r="E227">
        <v>6.0260529518127441</v>
      </c>
      <c r="F227">
        <v>2.1079521179199219</v>
      </c>
      <c r="G227">
        <v>2.2565240859985352</v>
      </c>
      <c r="H227">
        <v>2.3701748847961426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CZ227"/>
  <sheetViews>
    <sheetView workbookViewId="0"/>
  </sheetViews>
  <sheetFormatPr defaultColWidth="9.140625" defaultRowHeight="15" x14ac:dyDescent="0.25"/>
  <cols>
    <col min="102" max="16384" width="9.140625" style="24"/>
  </cols>
  <sheetData>
    <row r="1" spans="1:104" x14ac:dyDescent="0.25">
      <c r="B1">
        <v>1</v>
      </c>
      <c r="C1">
        <v>2</v>
      </c>
      <c r="D1">
        <v>3</v>
      </c>
      <c r="E1">
        <v>4</v>
      </c>
      <c r="F1">
        <v>5</v>
      </c>
      <c r="G1">
        <v>6</v>
      </c>
      <c r="H1">
        <v>7</v>
      </c>
    </row>
    <row r="2" spans="1:104" x14ac:dyDescent="0.25">
      <c r="A2">
        <v>190</v>
      </c>
      <c r="CY2" s="24">
        <v>200</v>
      </c>
      <c r="CZ2" s="24">
        <v>0</v>
      </c>
    </row>
    <row r="3" spans="1:104" x14ac:dyDescent="0.25">
      <c r="A3">
        <v>192</v>
      </c>
      <c r="F3">
        <v>192</v>
      </c>
      <c r="G3">
        <v>192</v>
      </c>
      <c r="CY3" s="24">
        <v>300</v>
      </c>
      <c r="CZ3" s="24">
        <v>0</v>
      </c>
    </row>
    <row r="4" spans="1:104" x14ac:dyDescent="0.25">
      <c r="A4">
        <v>194</v>
      </c>
      <c r="CY4" s="24">
        <v>400</v>
      </c>
      <c r="CZ4" s="24">
        <v>0</v>
      </c>
    </row>
    <row r="5" spans="1:104" x14ac:dyDescent="0.25">
      <c r="A5">
        <v>196</v>
      </c>
      <c r="E5">
        <v>196</v>
      </c>
      <c r="CY5" s="24">
        <v>500</v>
      </c>
      <c r="CZ5" s="24">
        <v>0</v>
      </c>
    </row>
    <row r="6" spans="1:104" x14ac:dyDescent="0.25">
      <c r="A6">
        <v>198</v>
      </c>
      <c r="CY6" s="24">
        <v>600</v>
      </c>
      <c r="CZ6" s="24">
        <v>0</v>
      </c>
    </row>
    <row r="7" spans="1:104" x14ac:dyDescent="0.25">
      <c r="A7">
        <v>200</v>
      </c>
    </row>
    <row r="8" spans="1:104" x14ac:dyDescent="0.25">
      <c r="A8">
        <v>202</v>
      </c>
    </row>
    <row r="9" spans="1:104" x14ac:dyDescent="0.25">
      <c r="A9">
        <v>204</v>
      </c>
    </row>
    <row r="10" spans="1:104" x14ac:dyDescent="0.25">
      <c r="A10">
        <v>206</v>
      </c>
      <c r="B10">
        <v>206</v>
      </c>
    </row>
    <row r="11" spans="1:104" x14ac:dyDescent="0.25">
      <c r="A11">
        <v>208</v>
      </c>
    </row>
    <row r="12" spans="1:104" x14ac:dyDescent="0.25">
      <c r="A12">
        <v>210</v>
      </c>
    </row>
    <row r="13" spans="1:104" x14ac:dyDescent="0.25">
      <c r="A13">
        <v>212</v>
      </c>
    </row>
    <row r="14" spans="1:104" x14ac:dyDescent="0.25">
      <c r="A14">
        <v>214</v>
      </c>
    </row>
    <row r="15" spans="1:104" x14ac:dyDescent="0.25">
      <c r="A15">
        <v>216</v>
      </c>
    </row>
    <row r="16" spans="1:104" x14ac:dyDescent="0.25">
      <c r="A16">
        <v>218</v>
      </c>
    </row>
    <row r="17" spans="1:5" x14ac:dyDescent="0.25">
      <c r="A17">
        <v>220</v>
      </c>
    </row>
    <row r="18" spans="1:5" x14ac:dyDescent="0.25">
      <c r="A18">
        <v>222</v>
      </c>
    </row>
    <row r="19" spans="1:5" x14ac:dyDescent="0.25">
      <c r="A19">
        <v>224</v>
      </c>
      <c r="E19">
        <v>224</v>
      </c>
    </row>
    <row r="20" spans="1:5" x14ac:dyDescent="0.25">
      <c r="A20">
        <v>226</v>
      </c>
    </row>
    <row r="21" spans="1:5" x14ac:dyDescent="0.25">
      <c r="A21">
        <v>228</v>
      </c>
    </row>
    <row r="22" spans="1:5" x14ac:dyDescent="0.25">
      <c r="A22">
        <v>230</v>
      </c>
    </row>
    <row r="23" spans="1:5" x14ac:dyDescent="0.25">
      <c r="A23">
        <v>232</v>
      </c>
      <c r="D23">
        <v>232</v>
      </c>
    </row>
    <row r="24" spans="1:5" x14ac:dyDescent="0.25">
      <c r="A24">
        <v>234</v>
      </c>
    </row>
    <row r="25" spans="1:5" x14ac:dyDescent="0.25">
      <c r="A25">
        <v>236</v>
      </c>
    </row>
    <row r="26" spans="1:5" x14ac:dyDescent="0.25">
      <c r="A26">
        <v>238</v>
      </c>
    </row>
    <row r="27" spans="1:5" x14ac:dyDescent="0.25">
      <c r="A27">
        <v>240</v>
      </c>
    </row>
    <row r="28" spans="1:5" x14ac:dyDescent="0.25">
      <c r="A28">
        <v>242</v>
      </c>
      <c r="B28">
        <v>242</v>
      </c>
    </row>
    <row r="29" spans="1:5" x14ac:dyDescent="0.25">
      <c r="A29">
        <v>244</v>
      </c>
      <c r="C29" t="s">
        <v>138</v>
      </c>
    </row>
    <row r="30" spans="1:5" x14ac:dyDescent="0.25">
      <c r="A30">
        <v>246</v>
      </c>
    </row>
    <row r="31" spans="1:5" x14ac:dyDescent="0.25">
      <c r="A31">
        <v>248</v>
      </c>
    </row>
    <row r="32" spans="1:5" x14ac:dyDescent="0.25">
      <c r="A32">
        <v>250</v>
      </c>
    </row>
    <row r="33" spans="1:7" x14ac:dyDescent="0.25">
      <c r="A33">
        <v>252</v>
      </c>
    </row>
    <row r="34" spans="1:7" x14ac:dyDescent="0.25">
      <c r="A34">
        <v>254</v>
      </c>
    </row>
    <row r="35" spans="1:7" x14ac:dyDescent="0.25">
      <c r="A35">
        <v>256</v>
      </c>
    </row>
    <row r="36" spans="1:7" x14ac:dyDescent="0.25">
      <c r="A36">
        <v>258</v>
      </c>
    </row>
    <row r="37" spans="1:7" x14ac:dyDescent="0.25">
      <c r="A37">
        <v>260</v>
      </c>
    </row>
    <row r="38" spans="1:7" x14ac:dyDescent="0.25">
      <c r="A38">
        <v>262</v>
      </c>
    </row>
    <row r="39" spans="1:7" x14ac:dyDescent="0.25">
      <c r="A39">
        <v>264</v>
      </c>
    </row>
    <row r="40" spans="1:7" x14ac:dyDescent="0.25">
      <c r="A40">
        <v>266</v>
      </c>
    </row>
    <row r="41" spans="1:7" x14ac:dyDescent="0.25">
      <c r="A41">
        <v>268</v>
      </c>
    </row>
    <row r="42" spans="1:7" x14ac:dyDescent="0.25">
      <c r="A42">
        <v>270</v>
      </c>
    </row>
    <row r="43" spans="1:7" x14ac:dyDescent="0.25">
      <c r="A43">
        <v>272</v>
      </c>
    </row>
    <row r="44" spans="1:7" x14ac:dyDescent="0.25">
      <c r="A44">
        <v>274</v>
      </c>
      <c r="G44">
        <v>274</v>
      </c>
    </row>
    <row r="45" spans="1:7" x14ac:dyDescent="0.25">
      <c r="A45">
        <v>276</v>
      </c>
      <c r="F45">
        <v>276</v>
      </c>
    </row>
    <row r="46" spans="1:7" x14ac:dyDescent="0.25">
      <c r="A46">
        <v>278</v>
      </c>
    </row>
    <row r="47" spans="1:7" x14ac:dyDescent="0.25">
      <c r="A47">
        <v>280</v>
      </c>
    </row>
    <row r="48" spans="1:7" x14ac:dyDescent="0.25">
      <c r="A48">
        <v>282</v>
      </c>
    </row>
    <row r="49" spans="1:5" x14ac:dyDescent="0.25">
      <c r="A49">
        <v>284</v>
      </c>
      <c r="B49">
        <v>284</v>
      </c>
    </row>
    <row r="50" spans="1:5" x14ac:dyDescent="0.25">
      <c r="A50">
        <v>286</v>
      </c>
    </row>
    <row r="51" spans="1:5" x14ac:dyDescent="0.25">
      <c r="A51">
        <v>288</v>
      </c>
    </row>
    <row r="52" spans="1:5" x14ac:dyDescent="0.25">
      <c r="A52">
        <v>290</v>
      </c>
    </row>
    <row r="53" spans="1:5" x14ac:dyDescent="0.25">
      <c r="A53">
        <v>292</v>
      </c>
    </row>
    <row r="54" spans="1:5" x14ac:dyDescent="0.25">
      <c r="A54">
        <v>294</v>
      </c>
    </row>
    <row r="55" spans="1:5" x14ac:dyDescent="0.25">
      <c r="A55">
        <v>296</v>
      </c>
    </row>
    <row r="56" spans="1:5" x14ac:dyDescent="0.25">
      <c r="A56">
        <v>298</v>
      </c>
      <c r="E56">
        <v>298</v>
      </c>
    </row>
    <row r="57" spans="1:5" x14ac:dyDescent="0.25">
      <c r="A57">
        <v>300</v>
      </c>
    </row>
    <row r="58" spans="1:5" x14ac:dyDescent="0.25">
      <c r="A58">
        <v>302</v>
      </c>
      <c r="C58" t="s">
        <v>139</v>
      </c>
    </row>
    <row r="59" spans="1:5" x14ac:dyDescent="0.25">
      <c r="A59">
        <v>304</v>
      </c>
    </row>
    <row r="60" spans="1:5" x14ac:dyDescent="0.25">
      <c r="A60">
        <v>306</v>
      </c>
    </row>
    <row r="61" spans="1:5" x14ac:dyDescent="0.25">
      <c r="A61">
        <v>308</v>
      </c>
    </row>
    <row r="62" spans="1:5" x14ac:dyDescent="0.25">
      <c r="A62">
        <v>310</v>
      </c>
    </row>
    <row r="63" spans="1:5" x14ac:dyDescent="0.25">
      <c r="A63">
        <v>312</v>
      </c>
    </row>
    <row r="64" spans="1:5" x14ac:dyDescent="0.25">
      <c r="A64">
        <v>314</v>
      </c>
    </row>
    <row r="65" spans="1:5" x14ac:dyDescent="0.25">
      <c r="A65">
        <v>316</v>
      </c>
    </row>
    <row r="66" spans="1:5" x14ac:dyDescent="0.25">
      <c r="A66">
        <v>318</v>
      </c>
      <c r="D66">
        <v>318</v>
      </c>
    </row>
    <row r="67" spans="1:5" x14ac:dyDescent="0.25">
      <c r="A67">
        <v>320</v>
      </c>
    </row>
    <row r="68" spans="1:5" x14ac:dyDescent="0.25">
      <c r="A68">
        <v>322</v>
      </c>
    </row>
    <row r="69" spans="1:5" x14ac:dyDescent="0.25">
      <c r="A69">
        <v>324</v>
      </c>
    </row>
    <row r="70" spans="1:5" x14ac:dyDescent="0.25">
      <c r="A70">
        <v>326</v>
      </c>
      <c r="C70">
        <v>326</v>
      </c>
    </row>
    <row r="71" spans="1:5" x14ac:dyDescent="0.25">
      <c r="A71">
        <v>328</v>
      </c>
    </row>
    <row r="72" spans="1:5" x14ac:dyDescent="0.25">
      <c r="A72">
        <v>330</v>
      </c>
    </row>
    <row r="73" spans="1:5" x14ac:dyDescent="0.25">
      <c r="A73">
        <v>332</v>
      </c>
    </row>
    <row r="74" spans="1:5" x14ac:dyDescent="0.25">
      <c r="A74">
        <v>334</v>
      </c>
    </row>
    <row r="75" spans="1:5" x14ac:dyDescent="0.25">
      <c r="A75">
        <v>336</v>
      </c>
    </row>
    <row r="76" spans="1:5" x14ac:dyDescent="0.25">
      <c r="A76">
        <v>338</v>
      </c>
      <c r="C76" t="s">
        <v>140</v>
      </c>
    </row>
    <row r="77" spans="1:5" x14ac:dyDescent="0.25">
      <c r="A77">
        <v>340</v>
      </c>
    </row>
    <row r="78" spans="1:5" x14ac:dyDescent="0.25">
      <c r="A78">
        <v>342</v>
      </c>
      <c r="E78" t="s">
        <v>141</v>
      </c>
    </row>
    <row r="79" spans="1:5" x14ac:dyDescent="0.25">
      <c r="A79">
        <v>344</v>
      </c>
    </row>
    <row r="80" spans="1:5" x14ac:dyDescent="0.25">
      <c r="A80">
        <v>346</v>
      </c>
    </row>
    <row r="81" spans="1:4" x14ac:dyDescent="0.25">
      <c r="A81">
        <v>348</v>
      </c>
    </row>
    <row r="82" spans="1:4" x14ac:dyDescent="0.25">
      <c r="A82">
        <v>350</v>
      </c>
    </row>
    <row r="83" spans="1:4" x14ac:dyDescent="0.25">
      <c r="A83">
        <v>352</v>
      </c>
    </row>
    <row r="84" spans="1:4" x14ac:dyDescent="0.25">
      <c r="A84">
        <v>354</v>
      </c>
      <c r="B84">
        <v>354</v>
      </c>
    </row>
    <row r="85" spans="1:4" x14ac:dyDescent="0.25">
      <c r="A85">
        <v>356</v>
      </c>
    </row>
    <row r="86" spans="1:4" x14ac:dyDescent="0.25">
      <c r="A86">
        <v>358</v>
      </c>
    </row>
    <row r="87" spans="1:4" x14ac:dyDescent="0.25">
      <c r="A87">
        <v>360</v>
      </c>
    </row>
    <row r="88" spans="1:4" x14ac:dyDescent="0.25">
      <c r="A88">
        <v>362</v>
      </c>
    </row>
    <row r="89" spans="1:4" x14ac:dyDescent="0.25">
      <c r="A89">
        <v>364</v>
      </c>
    </row>
    <row r="90" spans="1:4" x14ac:dyDescent="0.25">
      <c r="A90">
        <v>366</v>
      </c>
    </row>
    <row r="91" spans="1:4" x14ac:dyDescent="0.25">
      <c r="A91">
        <v>368</v>
      </c>
    </row>
    <row r="92" spans="1:4" x14ac:dyDescent="0.25">
      <c r="A92">
        <v>370</v>
      </c>
    </row>
    <row r="93" spans="1:4" x14ac:dyDescent="0.25">
      <c r="A93">
        <v>372</v>
      </c>
      <c r="C93">
        <v>372</v>
      </c>
    </row>
    <row r="94" spans="1:4" x14ac:dyDescent="0.25">
      <c r="A94">
        <v>374</v>
      </c>
    </row>
    <row r="95" spans="1:4" x14ac:dyDescent="0.25">
      <c r="A95">
        <v>376</v>
      </c>
      <c r="D95">
        <v>376</v>
      </c>
    </row>
    <row r="96" spans="1:4" x14ac:dyDescent="0.25">
      <c r="A96">
        <v>378</v>
      </c>
    </row>
    <row r="97" spans="1:4" x14ac:dyDescent="0.25">
      <c r="A97">
        <v>380</v>
      </c>
    </row>
    <row r="98" spans="1:4" x14ac:dyDescent="0.25">
      <c r="A98">
        <v>382</v>
      </c>
    </row>
    <row r="99" spans="1:4" x14ac:dyDescent="0.25">
      <c r="A99">
        <v>384</v>
      </c>
      <c r="C99">
        <v>384</v>
      </c>
    </row>
    <row r="100" spans="1:4" x14ac:dyDescent="0.25">
      <c r="A100">
        <v>386</v>
      </c>
    </row>
    <row r="101" spans="1:4" x14ac:dyDescent="0.25">
      <c r="A101">
        <v>388</v>
      </c>
    </row>
    <row r="102" spans="1:4" x14ac:dyDescent="0.25">
      <c r="A102">
        <v>390</v>
      </c>
    </row>
    <row r="103" spans="1:4" x14ac:dyDescent="0.25">
      <c r="A103">
        <v>392</v>
      </c>
    </row>
    <row r="104" spans="1:4" x14ac:dyDescent="0.25">
      <c r="A104">
        <v>394</v>
      </c>
    </row>
    <row r="105" spans="1:4" x14ac:dyDescent="0.25">
      <c r="A105">
        <v>396</v>
      </c>
      <c r="D105">
        <v>396</v>
      </c>
    </row>
    <row r="106" spans="1:4" x14ac:dyDescent="0.25">
      <c r="A106">
        <v>398</v>
      </c>
    </row>
    <row r="107" spans="1:4" x14ac:dyDescent="0.25">
      <c r="A107">
        <v>400</v>
      </c>
    </row>
    <row r="108" spans="1:4" x14ac:dyDescent="0.25">
      <c r="A108">
        <v>402</v>
      </c>
    </row>
    <row r="109" spans="1:4" x14ac:dyDescent="0.25">
      <c r="A109">
        <v>404</v>
      </c>
    </row>
    <row r="110" spans="1:4" x14ac:dyDescent="0.25">
      <c r="A110">
        <v>406</v>
      </c>
    </row>
    <row r="111" spans="1:4" x14ac:dyDescent="0.25">
      <c r="A111">
        <v>408</v>
      </c>
    </row>
    <row r="112" spans="1:4" x14ac:dyDescent="0.25">
      <c r="A112">
        <v>410</v>
      </c>
    </row>
    <row r="113" spans="1:5" x14ac:dyDescent="0.25">
      <c r="A113">
        <v>412</v>
      </c>
      <c r="C113">
        <v>412</v>
      </c>
      <c r="E113">
        <v>412</v>
      </c>
    </row>
    <row r="114" spans="1:5" x14ac:dyDescent="0.25">
      <c r="A114">
        <v>414</v>
      </c>
    </row>
    <row r="115" spans="1:5" x14ac:dyDescent="0.25">
      <c r="A115">
        <v>416</v>
      </c>
    </row>
    <row r="116" spans="1:5" x14ac:dyDescent="0.25">
      <c r="A116">
        <v>418</v>
      </c>
    </row>
    <row r="117" spans="1:5" x14ac:dyDescent="0.25">
      <c r="A117">
        <v>420</v>
      </c>
    </row>
    <row r="118" spans="1:5" x14ac:dyDescent="0.25">
      <c r="A118">
        <v>422</v>
      </c>
    </row>
    <row r="119" spans="1:5" x14ac:dyDescent="0.25">
      <c r="A119">
        <v>424</v>
      </c>
    </row>
    <row r="120" spans="1:5" x14ac:dyDescent="0.25">
      <c r="A120">
        <v>426</v>
      </c>
    </row>
    <row r="121" spans="1:5" x14ac:dyDescent="0.25">
      <c r="A121">
        <v>428</v>
      </c>
    </row>
    <row r="122" spans="1:5" x14ac:dyDescent="0.25">
      <c r="A122">
        <v>430</v>
      </c>
    </row>
    <row r="123" spans="1:5" x14ac:dyDescent="0.25">
      <c r="A123">
        <v>432</v>
      </c>
    </row>
    <row r="124" spans="1:5" x14ac:dyDescent="0.25">
      <c r="A124">
        <v>434</v>
      </c>
    </row>
    <row r="125" spans="1:5" x14ac:dyDescent="0.25">
      <c r="A125">
        <v>436</v>
      </c>
    </row>
    <row r="126" spans="1:5" x14ac:dyDescent="0.25">
      <c r="A126">
        <v>438</v>
      </c>
    </row>
    <row r="127" spans="1:5" x14ac:dyDescent="0.25">
      <c r="A127">
        <v>440</v>
      </c>
      <c r="C127">
        <v>440</v>
      </c>
    </row>
    <row r="128" spans="1:5" x14ac:dyDescent="0.25">
      <c r="A128">
        <v>442</v>
      </c>
    </row>
    <row r="129" spans="1:5" x14ac:dyDescent="0.25">
      <c r="A129">
        <v>444</v>
      </c>
    </row>
    <row r="130" spans="1:5" x14ac:dyDescent="0.25">
      <c r="A130">
        <v>446</v>
      </c>
    </row>
    <row r="131" spans="1:5" x14ac:dyDescent="0.25">
      <c r="A131">
        <v>448</v>
      </c>
    </row>
    <row r="132" spans="1:5" x14ac:dyDescent="0.25">
      <c r="A132">
        <v>450</v>
      </c>
    </row>
    <row r="133" spans="1:5" x14ac:dyDescent="0.25">
      <c r="A133">
        <v>452</v>
      </c>
    </row>
    <row r="134" spans="1:5" x14ac:dyDescent="0.25">
      <c r="A134">
        <v>454</v>
      </c>
    </row>
    <row r="135" spans="1:5" x14ac:dyDescent="0.25">
      <c r="A135">
        <v>456</v>
      </c>
    </row>
    <row r="136" spans="1:5" x14ac:dyDescent="0.25">
      <c r="A136">
        <v>458</v>
      </c>
      <c r="C136">
        <v>458</v>
      </c>
    </row>
    <row r="137" spans="1:5" x14ac:dyDescent="0.25">
      <c r="A137">
        <v>460</v>
      </c>
    </row>
    <row r="138" spans="1:5" x14ac:dyDescent="0.25">
      <c r="A138">
        <v>462</v>
      </c>
    </row>
    <row r="139" spans="1:5" x14ac:dyDescent="0.25">
      <c r="A139">
        <v>464</v>
      </c>
      <c r="D139">
        <v>464</v>
      </c>
      <c r="E139">
        <v>464</v>
      </c>
    </row>
    <row r="140" spans="1:5" x14ac:dyDescent="0.25">
      <c r="A140">
        <v>466</v>
      </c>
    </row>
    <row r="141" spans="1:5" x14ac:dyDescent="0.25">
      <c r="A141">
        <v>468</v>
      </c>
    </row>
    <row r="142" spans="1:5" x14ac:dyDescent="0.25">
      <c r="A142">
        <v>470</v>
      </c>
    </row>
    <row r="143" spans="1:5" x14ac:dyDescent="0.25">
      <c r="A143">
        <v>472</v>
      </c>
    </row>
    <row r="144" spans="1:5" x14ac:dyDescent="0.25">
      <c r="A144">
        <v>474</v>
      </c>
      <c r="C144">
        <v>474</v>
      </c>
    </row>
    <row r="145" spans="1:5" x14ac:dyDescent="0.25">
      <c r="A145">
        <v>476</v>
      </c>
    </row>
    <row r="146" spans="1:5" x14ac:dyDescent="0.25">
      <c r="A146">
        <v>478</v>
      </c>
      <c r="E146">
        <v>478</v>
      </c>
    </row>
    <row r="147" spans="1:5" x14ac:dyDescent="0.25">
      <c r="A147">
        <v>480</v>
      </c>
    </row>
    <row r="148" spans="1:5" x14ac:dyDescent="0.25">
      <c r="A148">
        <v>482</v>
      </c>
    </row>
    <row r="149" spans="1:5" x14ac:dyDescent="0.25">
      <c r="A149">
        <v>484</v>
      </c>
      <c r="D149">
        <v>484</v>
      </c>
    </row>
    <row r="150" spans="1:5" x14ac:dyDescent="0.25">
      <c r="A150">
        <v>486</v>
      </c>
    </row>
    <row r="151" spans="1:5" x14ac:dyDescent="0.25">
      <c r="A151">
        <v>488</v>
      </c>
      <c r="C151">
        <v>488</v>
      </c>
    </row>
    <row r="152" spans="1:5" x14ac:dyDescent="0.25">
      <c r="A152">
        <v>490</v>
      </c>
    </row>
    <row r="153" spans="1:5" x14ac:dyDescent="0.25">
      <c r="A153">
        <v>492</v>
      </c>
    </row>
    <row r="154" spans="1:5" x14ac:dyDescent="0.25">
      <c r="A154">
        <v>494</v>
      </c>
    </row>
    <row r="155" spans="1:5" x14ac:dyDescent="0.25">
      <c r="A155">
        <v>496</v>
      </c>
      <c r="E155">
        <v>496</v>
      </c>
    </row>
    <row r="156" spans="1:5" x14ac:dyDescent="0.25">
      <c r="A156">
        <v>498</v>
      </c>
    </row>
    <row r="157" spans="1:5" x14ac:dyDescent="0.25">
      <c r="A157">
        <v>500</v>
      </c>
      <c r="C157">
        <v>500</v>
      </c>
    </row>
    <row r="158" spans="1:5" x14ac:dyDescent="0.25">
      <c r="A158">
        <v>502</v>
      </c>
    </row>
    <row r="159" spans="1:5" x14ac:dyDescent="0.25">
      <c r="A159">
        <v>504</v>
      </c>
    </row>
    <row r="160" spans="1:5" x14ac:dyDescent="0.25">
      <c r="A160">
        <v>506</v>
      </c>
      <c r="D160">
        <v>506</v>
      </c>
    </row>
    <row r="161" spans="1:5" x14ac:dyDescent="0.25">
      <c r="A161">
        <v>508</v>
      </c>
      <c r="E161">
        <v>508</v>
      </c>
    </row>
    <row r="162" spans="1:5" x14ac:dyDescent="0.25">
      <c r="A162">
        <v>510</v>
      </c>
    </row>
    <row r="163" spans="1:5" x14ac:dyDescent="0.25">
      <c r="A163">
        <v>512</v>
      </c>
    </row>
    <row r="164" spans="1:5" x14ac:dyDescent="0.25">
      <c r="A164">
        <v>514</v>
      </c>
    </row>
    <row r="165" spans="1:5" x14ac:dyDescent="0.25">
      <c r="A165">
        <v>516</v>
      </c>
    </row>
    <row r="166" spans="1:5" x14ac:dyDescent="0.25">
      <c r="A166">
        <v>518</v>
      </c>
    </row>
    <row r="167" spans="1:5" x14ac:dyDescent="0.25">
      <c r="A167">
        <v>520</v>
      </c>
    </row>
    <row r="168" spans="1:5" x14ac:dyDescent="0.25">
      <c r="A168">
        <v>522</v>
      </c>
    </row>
    <row r="169" spans="1:5" x14ac:dyDescent="0.25">
      <c r="A169">
        <v>524</v>
      </c>
    </row>
    <row r="170" spans="1:5" x14ac:dyDescent="0.25">
      <c r="A170">
        <v>526</v>
      </c>
      <c r="C170">
        <v>526</v>
      </c>
    </row>
    <row r="171" spans="1:5" x14ac:dyDescent="0.25">
      <c r="A171">
        <v>528</v>
      </c>
      <c r="D171">
        <v>528</v>
      </c>
      <c r="E171">
        <v>528</v>
      </c>
    </row>
    <row r="172" spans="1:5" x14ac:dyDescent="0.25">
      <c r="A172">
        <v>530</v>
      </c>
    </row>
    <row r="173" spans="1:5" x14ac:dyDescent="0.25">
      <c r="A173">
        <v>532</v>
      </c>
    </row>
    <row r="174" spans="1:5" x14ac:dyDescent="0.25">
      <c r="A174">
        <v>534</v>
      </c>
    </row>
    <row r="175" spans="1:5" x14ac:dyDescent="0.25">
      <c r="A175">
        <v>536</v>
      </c>
    </row>
    <row r="176" spans="1:5" x14ac:dyDescent="0.25">
      <c r="A176">
        <v>538</v>
      </c>
    </row>
    <row r="177" spans="1:3" x14ac:dyDescent="0.25">
      <c r="A177">
        <v>540</v>
      </c>
    </row>
    <row r="178" spans="1:3" x14ac:dyDescent="0.25">
      <c r="A178">
        <v>542</v>
      </c>
    </row>
    <row r="179" spans="1:3" x14ac:dyDescent="0.25">
      <c r="A179">
        <v>544</v>
      </c>
    </row>
    <row r="180" spans="1:3" x14ac:dyDescent="0.25">
      <c r="A180">
        <v>546</v>
      </c>
    </row>
    <row r="181" spans="1:3" x14ac:dyDescent="0.25">
      <c r="A181">
        <v>548</v>
      </c>
    </row>
    <row r="182" spans="1:3" x14ac:dyDescent="0.25">
      <c r="A182">
        <v>550</v>
      </c>
      <c r="C182">
        <v>550</v>
      </c>
    </row>
    <row r="183" spans="1:3" x14ac:dyDescent="0.25">
      <c r="A183">
        <v>552</v>
      </c>
    </row>
    <row r="184" spans="1:3" x14ac:dyDescent="0.25">
      <c r="A184">
        <v>554</v>
      </c>
    </row>
    <row r="185" spans="1:3" x14ac:dyDescent="0.25">
      <c r="A185">
        <v>556</v>
      </c>
    </row>
    <row r="186" spans="1:3" x14ac:dyDescent="0.25">
      <c r="A186">
        <v>558</v>
      </c>
    </row>
    <row r="187" spans="1:3" x14ac:dyDescent="0.25">
      <c r="A187">
        <v>560</v>
      </c>
    </row>
    <row r="188" spans="1:3" x14ac:dyDescent="0.25">
      <c r="A188">
        <v>562</v>
      </c>
    </row>
    <row r="189" spans="1:3" x14ac:dyDescent="0.25">
      <c r="A189">
        <v>564</v>
      </c>
    </row>
    <row r="190" spans="1:3" x14ac:dyDescent="0.25">
      <c r="A190">
        <v>566</v>
      </c>
    </row>
    <row r="191" spans="1:3" x14ac:dyDescent="0.25">
      <c r="A191">
        <v>568</v>
      </c>
    </row>
    <row r="192" spans="1:3" x14ac:dyDescent="0.25">
      <c r="A192">
        <v>570</v>
      </c>
    </row>
    <row r="193" spans="1:3" x14ac:dyDescent="0.25">
      <c r="A193">
        <v>572</v>
      </c>
      <c r="C193">
        <v>572</v>
      </c>
    </row>
    <row r="194" spans="1:3" x14ac:dyDescent="0.25">
      <c r="A194">
        <v>574</v>
      </c>
    </row>
    <row r="195" spans="1:3" x14ac:dyDescent="0.25">
      <c r="A195">
        <v>576</v>
      </c>
    </row>
    <row r="196" spans="1:3" x14ac:dyDescent="0.25">
      <c r="A196">
        <v>578</v>
      </c>
    </row>
    <row r="197" spans="1:3" x14ac:dyDescent="0.25">
      <c r="A197">
        <v>580</v>
      </c>
    </row>
    <row r="198" spans="1:3" x14ac:dyDescent="0.25">
      <c r="A198">
        <v>582</v>
      </c>
    </row>
    <row r="199" spans="1:3" x14ac:dyDescent="0.25">
      <c r="A199">
        <v>584</v>
      </c>
    </row>
    <row r="200" spans="1:3" x14ac:dyDescent="0.25">
      <c r="A200">
        <v>586</v>
      </c>
      <c r="C200">
        <v>586</v>
      </c>
    </row>
    <row r="201" spans="1:3" x14ac:dyDescent="0.25">
      <c r="A201">
        <v>588</v>
      </c>
    </row>
    <row r="202" spans="1:3" x14ac:dyDescent="0.25">
      <c r="A202">
        <v>590</v>
      </c>
    </row>
    <row r="203" spans="1:3" x14ac:dyDescent="0.25">
      <c r="A203">
        <v>592</v>
      </c>
    </row>
    <row r="204" spans="1:3" x14ac:dyDescent="0.25">
      <c r="A204">
        <v>594</v>
      </c>
    </row>
    <row r="205" spans="1:3" x14ac:dyDescent="0.25">
      <c r="A205">
        <v>596</v>
      </c>
    </row>
    <row r="206" spans="1:3" x14ac:dyDescent="0.25">
      <c r="A206">
        <v>598</v>
      </c>
    </row>
    <row r="207" spans="1:3" x14ac:dyDescent="0.25">
      <c r="A207">
        <v>600</v>
      </c>
    </row>
    <row r="208" spans="1:3" x14ac:dyDescent="0.25">
      <c r="A208">
        <v>602</v>
      </c>
    </row>
    <row r="209" spans="1:3" x14ac:dyDescent="0.25">
      <c r="A209">
        <v>604</v>
      </c>
    </row>
    <row r="210" spans="1:3" x14ac:dyDescent="0.25">
      <c r="A210">
        <v>606</v>
      </c>
    </row>
    <row r="211" spans="1:3" x14ac:dyDescent="0.25">
      <c r="A211">
        <v>608</v>
      </c>
      <c r="C211">
        <v>608</v>
      </c>
    </row>
    <row r="212" spans="1:3" x14ac:dyDescent="0.25">
      <c r="A212">
        <v>610</v>
      </c>
    </row>
    <row r="213" spans="1:3" x14ac:dyDescent="0.25">
      <c r="A213">
        <v>612</v>
      </c>
    </row>
    <row r="214" spans="1:3" x14ac:dyDescent="0.25">
      <c r="A214">
        <v>614</v>
      </c>
    </row>
    <row r="215" spans="1:3" x14ac:dyDescent="0.25">
      <c r="A215">
        <v>616</v>
      </c>
    </row>
    <row r="216" spans="1:3" x14ac:dyDescent="0.25">
      <c r="A216">
        <v>618</v>
      </c>
    </row>
    <row r="217" spans="1:3" x14ac:dyDescent="0.25">
      <c r="A217">
        <v>620</v>
      </c>
    </row>
    <row r="218" spans="1:3" x14ac:dyDescent="0.25">
      <c r="A218">
        <v>622</v>
      </c>
    </row>
    <row r="219" spans="1:3" x14ac:dyDescent="0.25">
      <c r="A219">
        <v>624</v>
      </c>
    </row>
    <row r="220" spans="1:3" x14ac:dyDescent="0.25">
      <c r="A220">
        <v>626</v>
      </c>
    </row>
    <row r="221" spans="1:3" x14ac:dyDescent="0.25">
      <c r="A221">
        <v>628</v>
      </c>
    </row>
    <row r="222" spans="1:3" x14ac:dyDescent="0.25">
      <c r="A222">
        <v>630</v>
      </c>
    </row>
    <row r="223" spans="1:3" x14ac:dyDescent="0.25">
      <c r="A223">
        <v>632</v>
      </c>
    </row>
    <row r="224" spans="1:3" x14ac:dyDescent="0.25">
      <c r="A224">
        <v>634</v>
      </c>
    </row>
    <row r="225" spans="1:3" x14ac:dyDescent="0.25">
      <c r="A225">
        <v>636</v>
      </c>
      <c r="C225">
        <v>636</v>
      </c>
    </row>
    <row r="226" spans="1:3" x14ac:dyDescent="0.25">
      <c r="A226">
        <v>638</v>
      </c>
    </row>
    <row r="227" spans="1:3" x14ac:dyDescent="0.25">
      <c r="A227">
        <v>640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workbookViewId="0"/>
  </sheetViews>
  <sheetFormatPr defaultColWidth="9.140625" defaultRowHeight="15" x14ac:dyDescent="0.25"/>
  <cols>
    <col min="1" max="16384" width="9.140625" style="3"/>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2:A902"/>
  <sheetViews>
    <sheetView workbookViewId="0"/>
  </sheetViews>
  <sheetFormatPr defaultRowHeight="15" x14ac:dyDescent="0.25"/>
  <sheetData>
    <row r="2" spans="1:1" x14ac:dyDescent="0.25">
      <c r="A2">
        <v>100</v>
      </c>
    </row>
    <row r="3" spans="1:1" x14ac:dyDescent="0.25">
      <c r="A3">
        <v>101</v>
      </c>
    </row>
    <row r="4" spans="1:1" x14ac:dyDescent="0.25">
      <c r="A4">
        <v>102</v>
      </c>
    </row>
    <row r="5" spans="1:1" x14ac:dyDescent="0.25">
      <c r="A5">
        <v>103</v>
      </c>
    </row>
    <row r="6" spans="1:1" x14ac:dyDescent="0.25">
      <c r="A6">
        <v>104</v>
      </c>
    </row>
    <row r="7" spans="1:1" x14ac:dyDescent="0.25">
      <c r="A7">
        <v>105</v>
      </c>
    </row>
    <row r="8" spans="1:1" x14ac:dyDescent="0.25">
      <c r="A8">
        <v>106</v>
      </c>
    </row>
    <row r="9" spans="1:1" x14ac:dyDescent="0.25">
      <c r="A9">
        <v>107</v>
      </c>
    </row>
    <row r="10" spans="1:1" x14ac:dyDescent="0.25">
      <c r="A10">
        <v>108</v>
      </c>
    </row>
    <row r="11" spans="1:1" x14ac:dyDescent="0.25">
      <c r="A11">
        <v>109</v>
      </c>
    </row>
    <row r="12" spans="1:1" x14ac:dyDescent="0.25">
      <c r="A12">
        <v>110</v>
      </c>
    </row>
    <row r="13" spans="1:1" x14ac:dyDescent="0.25">
      <c r="A13">
        <v>111</v>
      </c>
    </row>
    <row r="14" spans="1:1" x14ac:dyDescent="0.25">
      <c r="A14">
        <v>112</v>
      </c>
    </row>
    <row r="15" spans="1:1" x14ac:dyDescent="0.25">
      <c r="A15">
        <v>113</v>
      </c>
    </row>
    <row r="16" spans="1:1" x14ac:dyDescent="0.25">
      <c r="A16">
        <v>114</v>
      </c>
    </row>
    <row r="17" spans="1:1" x14ac:dyDescent="0.25">
      <c r="A17">
        <v>115</v>
      </c>
    </row>
    <row r="18" spans="1:1" x14ac:dyDescent="0.25">
      <c r="A18">
        <v>116</v>
      </c>
    </row>
    <row r="19" spans="1:1" x14ac:dyDescent="0.25">
      <c r="A19">
        <v>117</v>
      </c>
    </row>
    <row r="20" spans="1:1" x14ac:dyDescent="0.25">
      <c r="A20">
        <v>118</v>
      </c>
    </row>
    <row r="21" spans="1:1" x14ac:dyDescent="0.25">
      <c r="A21">
        <v>119</v>
      </c>
    </row>
    <row r="22" spans="1:1" x14ac:dyDescent="0.25">
      <c r="A22">
        <v>120</v>
      </c>
    </row>
    <row r="23" spans="1:1" x14ac:dyDescent="0.25">
      <c r="A23">
        <v>121</v>
      </c>
    </row>
    <row r="24" spans="1:1" x14ac:dyDescent="0.25">
      <c r="A24">
        <v>122</v>
      </c>
    </row>
    <row r="25" spans="1:1" x14ac:dyDescent="0.25">
      <c r="A25">
        <v>123</v>
      </c>
    </row>
    <row r="26" spans="1:1" x14ac:dyDescent="0.25">
      <c r="A26">
        <v>124</v>
      </c>
    </row>
    <row r="27" spans="1:1" x14ac:dyDescent="0.25">
      <c r="A27">
        <v>125</v>
      </c>
    </row>
    <row r="28" spans="1:1" x14ac:dyDescent="0.25">
      <c r="A28">
        <v>126</v>
      </c>
    </row>
    <row r="29" spans="1:1" x14ac:dyDescent="0.25">
      <c r="A29">
        <v>127</v>
      </c>
    </row>
    <row r="30" spans="1:1" x14ac:dyDescent="0.25">
      <c r="A30">
        <v>128</v>
      </c>
    </row>
    <row r="31" spans="1:1" x14ac:dyDescent="0.25">
      <c r="A31">
        <v>129</v>
      </c>
    </row>
    <row r="32" spans="1:1" x14ac:dyDescent="0.25">
      <c r="A32">
        <v>130</v>
      </c>
    </row>
    <row r="33" spans="1:1" x14ac:dyDescent="0.25">
      <c r="A33">
        <v>131</v>
      </c>
    </row>
    <row r="34" spans="1:1" x14ac:dyDescent="0.25">
      <c r="A34">
        <v>132</v>
      </c>
    </row>
    <row r="35" spans="1:1" x14ac:dyDescent="0.25">
      <c r="A35">
        <v>133</v>
      </c>
    </row>
    <row r="36" spans="1:1" x14ac:dyDescent="0.25">
      <c r="A36">
        <v>134</v>
      </c>
    </row>
    <row r="37" spans="1:1" x14ac:dyDescent="0.25">
      <c r="A37">
        <v>135</v>
      </c>
    </row>
    <row r="38" spans="1:1" x14ac:dyDescent="0.25">
      <c r="A38">
        <v>136</v>
      </c>
    </row>
    <row r="39" spans="1:1" x14ac:dyDescent="0.25">
      <c r="A39">
        <v>137</v>
      </c>
    </row>
    <row r="40" spans="1:1" x14ac:dyDescent="0.25">
      <c r="A40">
        <v>138</v>
      </c>
    </row>
    <row r="41" spans="1:1" x14ac:dyDescent="0.25">
      <c r="A41">
        <v>139</v>
      </c>
    </row>
    <row r="42" spans="1:1" x14ac:dyDescent="0.25">
      <c r="A42">
        <v>140</v>
      </c>
    </row>
    <row r="43" spans="1:1" x14ac:dyDescent="0.25">
      <c r="A43">
        <v>141</v>
      </c>
    </row>
    <row r="44" spans="1:1" x14ac:dyDescent="0.25">
      <c r="A44">
        <v>142</v>
      </c>
    </row>
    <row r="45" spans="1:1" x14ac:dyDescent="0.25">
      <c r="A45">
        <v>143</v>
      </c>
    </row>
    <row r="46" spans="1:1" x14ac:dyDescent="0.25">
      <c r="A46">
        <v>144</v>
      </c>
    </row>
    <row r="47" spans="1:1" x14ac:dyDescent="0.25">
      <c r="A47">
        <v>145</v>
      </c>
    </row>
    <row r="48" spans="1:1" x14ac:dyDescent="0.25">
      <c r="A48">
        <v>146</v>
      </c>
    </row>
    <row r="49" spans="1:1" x14ac:dyDescent="0.25">
      <c r="A49">
        <v>147</v>
      </c>
    </row>
    <row r="50" spans="1:1" x14ac:dyDescent="0.25">
      <c r="A50">
        <v>148</v>
      </c>
    </row>
    <row r="51" spans="1:1" x14ac:dyDescent="0.25">
      <c r="A51">
        <v>149</v>
      </c>
    </row>
    <row r="52" spans="1:1" x14ac:dyDescent="0.25">
      <c r="A52">
        <v>150</v>
      </c>
    </row>
    <row r="53" spans="1:1" x14ac:dyDescent="0.25">
      <c r="A53">
        <v>151</v>
      </c>
    </row>
    <row r="54" spans="1:1" x14ac:dyDescent="0.25">
      <c r="A54">
        <v>152</v>
      </c>
    </row>
    <row r="55" spans="1:1" x14ac:dyDescent="0.25">
      <c r="A55">
        <v>153</v>
      </c>
    </row>
    <row r="56" spans="1:1" x14ac:dyDescent="0.25">
      <c r="A56">
        <v>154</v>
      </c>
    </row>
    <row r="57" spans="1:1" x14ac:dyDescent="0.25">
      <c r="A57">
        <v>155</v>
      </c>
    </row>
    <row r="58" spans="1:1" x14ac:dyDescent="0.25">
      <c r="A58">
        <v>156</v>
      </c>
    </row>
    <row r="59" spans="1:1" x14ac:dyDescent="0.25">
      <c r="A59">
        <v>157</v>
      </c>
    </row>
    <row r="60" spans="1:1" x14ac:dyDescent="0.25">
      <c r="A60">
        <v>158</v>
      </c>
    </row>
    <row r="61" spans="1:1" x14ac:dyDescent="0.25">
      <c r="A61">
        <v>159</v>
      </c>
    </row>
    <row r="62" spans="1:1" x14ac:dyDescent="0.25">
      <c r="A62">
        <v>160</v>
      </c>
    </row>
    <row r="63" spans="1:1" x14ac:dyDescent="0.25">
      <c r="A63">
        <v>161</v>
      </c>
    </row>
    <row r="64" spans="1:1" x14ac:dyDescent="0.25">
      <c r="A64">
        <v>162</v>
      </c>
    </row>
    <row r="65" spans="1:1" x14ac:dyDescent="0.25">
      <c r="A65">
        <v>163</v>
      </c>
    </row>
    <row r="66" spans="1:1" x14ac:dyDescent="0.25">
      <c r="A66">
        <v>164</v>
      </c>
    </row>
    <row r="67" spans="1:1" x14ac:dyDescent="0.25">
      <c r="A67">
        <v>165</v>
      </c>
    </row>
    <row r="68" spans="1:1" x14ac:dyDescent="0.25">
      <c r="A68">
        <v>166</v>
      </c>
    </row>
    <row r="69" spans="1:1" x14ac:dyDescent="0.25">
      <c r="A69">
        <v>167</v>
      </c>
    </row>
    <row r="70" spans="1:1" x14ac:dyDescent="0.25">
      <c r="A70">
        <v>168</v>
      </c>
    </row>
    <row r="71" spans="1:1" x14ac:dyDescent="0.25">
      <c r="A71">
        <v>169</v>
      </c>
    </row>
    <row r="72" spans="1:1" x14ac:dyDescent="0.25">
      <c r="A72">
        <v>170</v>
      </c>
    </row>
    <row r="73" spans="1:1" x14ac:dyDescent="0.25">
      <c r="A73">
        <v>171</v>
      </c>
    </row>
    <row r="74" spans="1:1" x14ac:dyDescent="0.25">
      <c r="A74">
        <v>172</v>
      </c>
    </row>
    <row r="75" spans="1:1" x14ac:dyDescent="0.25">
      <c r="A75">
        <v>173</v>
      </c>
    </row>
    <row r="76" spans="1:1" x14ac:dyDescent="0.25">
      <c r="A76">
        <v>174</v>
      </c>
    </row>
    <row r="77" spans="1:1" x14ac:dyDescent="0.25">
      <c r="A77">
        <v>175</v>
      </c>
    </row>
    <row r="78" spans="1:1" x14ac:dyDescent="0.25">
      <c r="A78">
        <v>176</v>
      </c>
    </row>
    <row r="79" spans="1:1" x14ac:dyDescent="0.25">
      <c r="A79">
        <v>177</v>
      </c>
    </row>
    <row r="80" spans="1:1" x14ac:dyDescent="0.25">
      <c r="A80">
        <v>178</v>
      </c>
    </row>
    <row r="81" spans="1:1" x14ac:dyDescent="0.25">
      <c r="A81">
        <v>179</v>
      </c>
    </row>
    <row r="82" spans="1:1" x14ac:dyDescent="0.25">
      <c r="A82">
        <v>180</v>
      </c>
    </row>
    <row r="83" spans="1:1" x14ac:dyDescent="0.25">
      <c r="A83">
        <v>181</v>
      </c>
    </row>
    <row r="84" spans="1:1" x14ac:dyDescent="0.25">
      <c r="A84">
        <v>182</v>
      </c>
    </row>
    <row r="85" spans="1:1" x14ac:dyDescent="0.25">
      <c r="A85">
        <v>183</v>
      </c>
    </row>
    <row r="86" spans="1:1" x14ac:dyDescent="0.25">
      <c r="A86">
        <v>184</v>
      </c>
    </row>
    <row r="87" spans="1:1" x14ac:dyDescent="0.25">
      <c r="A87">
        <v>185</v>
      </c>
    </row>
    <row r="88" spans="1:1" x14ac:dyDescent="0.25">
      <c r="A88">
        <v>186</v>
      </c>
    </row>
    <row r="89" spans="1:1" x14ac:dyDescent="0.25">
      <c r="A89">
        <v>187</v>
      </c>
    </row>
    <row r="90" spans="1:1" x14ac:dyDescent="0.25">
      <c r="A90">
        <v>188</v>
      </c>
    </row>
    <row r="91" spans="1:1" x14ac:dyDescent="0.25">
      <c r="A91">
        <v>189</v>
      </c>
    </row>
    <row r="92" spans="1:1" x14ac:dyDescent="0.25">
      <c r="A92">
        <v>190</v>
      </c>
    </row>
    <row r="93" spans="1:1" x14ac:dyDescent="0.25">
      <c r="A93">
        <v>191</v>
      </c>
    </row>
    <row r="94" spans="1:1" x14ac:dyDescent="0.25">
      <c r="A94">
        <v>192</v>
      </c>
    </row>
    <row r="95" spans="1:1" x14ac:dyDescent="0.25">
      <c r="A95">
        <v>193</v>
      </c>
    </row>
    <row r="96" spans="1:1" x14ac:dyDescent="0.25">
      <c r="A96">
        <v>194</v>
      </c>
    </row>
    <row r="97" spans="1:1" x14ac:dyDescent="0.25">
      <c r="A97">
        <v>195</v>
      </c>
    </row>
    <row r="98" spans="1:1" x14ac:dyDescent="0.25">
      <c r="A98">
        <v>196</v>
      </c>
    </row>
    <row r="99" spans="1:1" x14ac:dyDescent="0.25">
      <c r="A99">
        <v>197</v>
      </c>
    </row>
    <row r="100" spans="1:1" x14ac:dyDescent="0.25">
      <c r="A100">
        <v>198</v>
      </c>
    </row>
    <row r="101" spans="1:1" x14ac:dyDescent="0.25">
      <c r="A101">
        <v>199</v>
      </c>
    </row>
    <row r="102" spans="1:1" x14ac:dyDescent="0.25">
      <c r="A102">
        <v>200</v>
      </c>
    </row>
    <row r="103" spans="1:1" x14ac:dyDescent="0.25">
      <c r="A103">
        <v>201</v>
      </c>
    </row>
    <row r="104" spans="1:1" x14ac:dyDescent="0.25">
      <c r="A104">
        <v>202</v>
      </c>
    </row>
    <row r="105" spans="1:1" x14ac:dyDescent="0.25">
      <c r="A105">
        <v>203</v>
      </c>
    </row>
    <row r="106" spans="1:1" x14ac:dyDescent="0.25">
      <c r="A106">
        <v>204</v>
      </c>
    </row>
    <row r="107" spans="1:1" x14ac:dyDescent="0.25">
      <c r="A107">
        <v>205</v>
      </c>
    </row>
    <row r="108" spans="1:1" x14ac:dyDescent="0.25">
      <c r="A108">
        <v>206</v>
      </c>
    </row>
    <row r="109" spans="1:1" x14ac:dyDescent="0.25">
      <c r="A109">
        <v>207</v>
      </c>
    </row>
    <row r="110" spans="1:1" x14ac:dyDescent="0.25">
      <c r="A110">
        <v>208</v>
      </c>
    </row>
    <row r="111" spans="1:1" x14ac:dyDescent="0.25">
      <c r="A111">
        <v>209</v>
      </c>
    </row>
    <row r="112" spans="1:1" x14ac:dyDescent="0.25">
      <c r="A112">
        <v>210</v>
      </c>
    </row>
    <row r="113" spans="1:1" x14ac:dyDescent="0.25">
      <c r="A113">
        <v>211</v>
      </c>
    </row>
    <row r="114" spans="1:1" x14ac:dyDescent="0.25">
      <c r="A114">
        <v>212</v>
      </c>
    </row>
    <row r="115" spans="1:1" x14ac:dyDescent="0.25">
      <c r="A115">
        <v>213</v>
      </c>
    </row>
    <row r="116" spans="1:1" x14ac:dyDescent="0.25">
      <c r="A116">
        <v>214</v>
      </c>
    </row>
    <row r="117" spans="1:1" x14ac:dyDescent="0.25">
      <c r="A117">
        <v>215</v>
      </c>
    </row>
    <row r="118" spans="1:1" x14ac:dyDescent="0.25">
      <c r="A118">
        <v>216</v>
      </c>
    </row>
    <row r="119" spans="1:1" x14ac:dyDescent="0.25">
      <c r="A119">
        <v>217</v>
      </c>
    </row>
    <row r="120" spans="1:1" x14ac:dyDescent="0.25">
      <c r="A120">
        <v>218</v>
      </c>
    </row>
    <row r="121" spans="1:1" x14ac:dyDescent="0.25">
      <c r="A121">
        <v>219</v>
      </c>
    </row>
    <row r="122" spans="1:1" x14ac:dyDescent="0.25">
      <c r="A122">
        <v>220</v>
      </c>
    </row>
    <row r="123" spans="1:1" x14ac:dyDescent="0.25">
      <c r="A123">
        <v>221</v>
      </c>
    </row>
    <row r="124" spans="1:1" x14ac:dyDescent="0.25">
      <c r="A124">
        <v>222</v>
      </c>
    </row>
    <row r="125" spans="1:1" x14ac:dyDescent="0.25">
      <c r="A125">
        <v>223</v>
      </c>
    </row>
    <row r="126" spans="1:1" x14ac:dyDescent="0.25">
      <c r="A126">
        <v>224</v>
      </c>
    </row>
    <row r="127" spans="1:1" x14ac:dyDescent="0.25">
      <c r="A127">
        <v>225</v>
      </c>
    </row>
    <row r="128" spans="1:1" x14ac:dyDescent="0.25">
      <c r="A128">
        <v>226</v>
      </c>
    </row>
    <row r="129" spans="1:1" x14ac:dyDescent="0.25">
      <c r="A129">
        <v>227</v>
      </c>
    </row>
    <row r="130" spans="1:1" x14ac:dyDescent="0.25">
      <c r="A130">
        <v>228</v>
      </c>
    </row>
    <row r="131" spans="1:1" x14ac:dyDescent="0.25">
      <c r="A131">
        <v>229</v>
      </c>
    </row>
    <row r="132" spans="1:1" x14ac:dyDescent="0.25">
      <c r="A132">
        <v>230</v>
      </c>
    </row>
    <row r="133" spans="1:1" x14ac:dyDescent="0.25">
      <c r="A133">
        <v>231</v>
      </c>
    </row>
    <row r="134" spans="1:1" x14ac:dyDescent="0.25">
      <c r="A134">
        <v>232</v>
      </c>
    </row>
    <row r="135" spans="1:1" x14ac:dyDescent="0.25">
      <c r="A135">
        <v>233</v>
      </c>
    </row>
    <row r="136" spans="1:1" x14ac:dyDescent="0.25">
      <c r="A136">
        <v>234</v>
      </c>
    </row>
    <row r="137" spans="1:1" x14ac:dyDescent="0.25">
      <c r="A137">
        <v>235</v>
      </c>
    </row>
    <row r="138" spans="1:1" x14ac:dyDescent="0.25">
      <c r="A138">
        <v>236</v>
      </c>
    </row>
    <row r="139" spans="1:1" x14ac:dyDescent="0.25">
      <c r="A139">
        <v>237</v>
      </c>
    </row>
    <row r="140" spans="1:1" x14ac:dyDescent="0.25">
      <c r="A140">
        <v>238</v>
      </c>
    </row>
    <row r="141" spans="1:1" x14ac:dyDescent="0.25">
      <c r="A141">
        <v>239</v>
      </c>
    </row>
    <row r="142" spans="1:1" x14ac:dyDescent="0.25">
      <c r="A142">
        <v>240</v>
      </c>
    </row>
    <row r="143" spans="1:1" x14ac:dyDescent="0.25">
      <c r="A143">
        <v>241</v>
      </c>
    </row>
    <row r="144" spans="1:1" x14ac:dyDescent="0.25">
      <c r="A144">
        <v>242</v>
      </c>
    </row>
    <row r="145" spans="1:1" x14ac:dyDescent="0.25">
      <c r="A145">
        <v>243</v>
      </c>
    </row>
    <row r="146" spans="1:1" x14ac:dyDescent="0.25">
      <c r="A146">
        <v>244</v>
      </c>
    </row>
    <row r="147" spans="1:1" x14ac:dyDescent="0.25">
      <c r="A147">
        <v>245</v>
      </c>
    </row>
    <row r="148" spans="1:1" x14ac:dyDescent="0.25">
      <c r="A148">
        <v>246</v>
      </c>
    </row>
    <row r="149" spans="1:1" x14ac:dyDescent="0.25">
      <c r="A149">
        <v>247</v>
      </c>
    </row>
    <row r="150" spans="1:1" x14ac:dyDescent="0.25">
      <c r="A150">
        <v>248</v>
      </c>
    </row>
    <row r="151" spans="1:1" x14ac:dyDescent="0.25">
      <c r="A151">
        <v>249</v>
      </c>
    </row>
    <row r="152" spans="1:1" x14ac:dyDescent="0.25">
      <c r="A152">
        <v>250</v>
      </c>
    </row>
    <row r="153" spans="1:1" x14ac:dyDescent="0.25">
      <c r="A153">
        <v>251</v>
      </c>
    </row>
    <row r="154" spans="1:1" x14ac:dyDescent="0.25">
      <c r="A154">
        <v>252</v>
      </c>
    </row>
    <row r="155" spans="1:1" x14ac:dyDescent="0.25">
      <c r="A155">
        <v>253</v>
      </c>
    </row>
    <row r="156" spans="1:1" x14ac:dyDescent="0.25">
      <c r="A156">
        <v>254</v>
      </c>
    </row>
    <row r="157" spans="1:1" x14ac:dyDescent="0.25">
      <c r="A157">
        <v>255</v>
      </c>
    </row>
    <row r="158" spans="1:1" x14ac:dyDescent="0.25">
      <c r="A158">
        <v>256</v>
      </c>
    </row>
    <row r="159" spans="1:1" x14ac:dyDescent="0.25">
      <c r="A159">
        <v>257</v>
      </c>
    </row>
    <row r="160" spans="1:1" x14ac:dyDescent="0.25">
      <c r="A160">
        <v>258</v>
      </c>
    </row>
    <row r="161" spans="1:1" x14ac:dyDescent="0.25">
      <c r="A161">
        <v>259</v>
      </c>
    </row>
    <row r="162" spans="1:1" x14ac:dyDescent="0.25">
      <c r="A162">
        <v>260</v>
      </c>
    </row>
    <row r="163" spans="1:1" x14ac:dyDescent="0.25">
      <c r="A163">
        <v>261</v>
      </c>
    </row>
    <row r="164" spans="1:1" x14ac:dyDescent="0.25">
      <c r="A164">
        <v>262</v>
      </c>
    </row>
    <row r="165" spans="1:1" x14ac:dyDescent="0.25">
      <c r="A165">
        <v>263</v>
      </c>
    </row>
    <row r="166" spans="1:1" x14ac:dyDescent="0.25">
      <c r="A166">
        <v>264</v>
      </c>
    </row>
    <row r="167" spans="1:1" x14ac:dyDescent="0.25">
      <c r="A167">
        <v>265</v>
      </c>
    </row>
    <row r="168" spans="1:1" x14ac:dyDescent="0.25">
      <c r="A168">
        <v>266</v>
      </c>
    </row>
    <row r="169" spans="1:1" x14ac:dyDescent="0.25">
      <c r="A169">
        <v>267</v>
      </c>
    </row>
    <row r="170" spans="1:1" x14ac:dyDescent="0.25">
      <c r="A170">
        <v>268</v>
      </c>
    </row>
    <row r="171" spans="1:1" x14ac:dyDescent="0.25">
      <c r="A171">
        <v>269</v>
      </c>
    </row>
    <row r="172" spans="1:1" x14ac:dyDescent="0.25">
      <c r="A172">
        <v>270</v>
      </c>
    </row>
    <row r="173" spans="1:1" x14ac:dyDescent="0.25">
      <c r="A173">
        <v>271</v>
      </c>
    </row>
    <row r="174" spans="1:1" x14ac:dyDescent="0.25">
      <c r="A174">
        <v>272</v>
      </c>
    </row>
    <row r="175" spans="1:1" x14ac:dyDescent="0.25">
      <c r="A175">
        <v>273</v>
      </c>
    </row>
    <row r="176" spans="1:1" x14ac:dyDescent="0.25">
      <c r="A176">
        <v>274</v>
      </c>
    </row>
    <row r="177" spans="1:1" x14ac:dyDescent="0.25">
      <c r="A177">
        <v>275</v>
      </c>
    </row>
    <row r="178" spans="1:1" x14ac:dyDescent="0.25">
      <c r="A178">
        <v>276</v>
      </c>
    </row>
    <row r="179" spans="1:1" x14ac:dyDescent="0.25">
      <c r="A179">
        <v>277</v>
      </c>
    </row>
    <row r="180" spans="1:1" x14ac:dyDescent="0.25">
      <c r="A180">
        <v>278</v>
      </c>
    </row>
    <row r="181" spans="1:1" x14ac:dyDescent="0.25">
      <c r="A181">
        <v>279</v>
      </c>
    </row>
    <row r="182" spans="1:1" x14ac:dyDescent="0.25">
      <c r="A182">
        <v>280</v>
      </c>
    </row>
    <row r="183" spans="1:1" x14ac:dyDescent="0.25">
      <c r="A183">
        <v>281</v>
      </c>
    </row>
    <row r="184" spans="1:1" x14ac:dyDescent="0.25">
      <c r="A184">
        <v>282</v>
      </c>
    </row>
    <row r="185" spans="1:1" x14ac:dyDescent="0.25">
      <c r="A185">
        <v>283</v>
      </c>
    </row>
    <row r="186" spans="1:1" x14ac:dyDescent="0.25">
      <c r="A186">
        <v>284</v>
      </c>
    </row>
    <row r="187" spans="1:1" x14ac:dyDescent="0.25">
      <c r="A187">
        <v>285</v>
      </c>
    </row>
    <row r="188" spans="1:1" x14ac:dyDescent="0.25">
      <c r="A188">
        <v>286</v>
      </c>
    </row>
    <row r="189" spans="1:1" x14ac:dyDescent="0.25">
      <c r="A189">
        <v>287</v>
      </c>
    </row>
    <row r="190" spans="1:1" x14ac:dyDescent="0.25">
      <c r="A190">
        <v>288</v>
      </c>
    </row>
    <row r="191" spans="1:1" x14ac:dyDescent="0.25">
      <c r="A191">
        <v>289</v>
      </c>
    </row>
    <row r="192" spans="1:1" x14ac:dyDescent="0.25">
      <c r="A192">
        <v>290</v>
      </c>
    </row>
    <row r="193" spans="1:1" x14ac:dyDescent="0.25">
      <c r="A193">
        <v>291</v>
      </c>
    </row>
    <row r="194" spans="1:1" x14ac:dyDescent="0.25">
      <c r="A194">
        <v>292</v>
      </c>
    </row>
    <row r="195" spans="1:1" x14ac:dyDescent="0.25">
      <c r="A195">
        <v>293</v>
      </c>
    </row>
    <row r="196" spans="1:1" x14ac:dyDescent="0.25">
      <c r="A196">
        <v>294</v>
      </c>
    </row>
    <row r="197" spans="1:1" x14ac:dyDescent="0.25">
      <c r="A197">
        <v>295</v>
      </c>
    </row>
    <row r="198" spans="1:1" x14ac:dyDescent="0.25">
      <c r="A198">
        <v>296</v>
      </c>
    </row>
    <row r="199" spans="1:1" x14ac:dyDescent="0.25">
      <c r="A199">
        <v>297</v>
      </c>
    </row>
    <row r="200" spans="1:1" x14ac:dyDescent="0.25">
      <c r="A200">
        <v>298</v>
      </c>
    </row>
    <row r="201" spans="1:1" x14ac:dyDescent="0.25">
      <c r="A201">
        <v>299</v>
      </c>
    </row>
    <row r="202" spans="1:1" x14ac:dyDescent="0.25">
      <c r="A202">
        <v>300</v>
      </c>
    </row>
    <row r="203" spans="1:1" x14ac:dyDescent="0.25">
      <c r="A203">
        <v>301</v>
      </c>
    </row>
    <row r="204" spans="1:1" x14ac:dyDescent="0.25">
      <c r="A204">
        <v>302</v>
      </c>
    </row>
    <row r="205" spans="1:1" x14ac:dyDescent="0.25">
      <c r="A205">
        <v>303</v>
      </c>
    </row>
    <row r="206" spans="1:1" x14ac:dyDescent="0.25">
      <c r="A206">
        <v>304</v>
      </c>
    </row>
    <row r="207" spans="1:1" x14ac:dyDescent="0.25">
      <c r="A207">
        <v>305</v>
      </c>
    </row>
    <row r="208" spans="1:1" x14ac:dyDescent="0.25">
      <c r="A208">
        <v>306</v>
      </c>
    </row>
    <row r="209" spans="1:1" x14ac:dyDescent="0.25">
      <c r="A209">
        <v>307</v>
      </c>
    </row>
    <row r="210" spans="1:1" x14ac:dyDescent="0.25">
      <c r="A210">
        <v>308</v>
      </c>
    </row>
    <row r="211" spans="1:1" x14ac:dyDescent="0.25">
      <c r="A211">
        <v>309</v>
      </c>
    </row>
    <row r="212" spans="1:1" x14ac:dyDescent="0.25">
      <c r="A212">
        <v>310</v>
      </c>
    </row>
    <row r="213" spans="1:1" x14ac:dyDescent="0.25">
      <c r="A213">
        <v>311</v>
      </c>
    </row>
    <row r="214" spans="1:1" x14ac:dyDescent="0.25">
      <c r="A214">
        <v>312</v>
      </c>
    </row>
    <row r="215" spans="1:1" x14ac:dyDescent="0.25">
      <c r="A215">
        <v>313</v>
      </c>
    </row>
    <row r="216" spans="1:1" x14ac:dyDescent="0.25">
      <c r="A216">
        <v>314</v>
      </c>
    </row>
    <row r="217" spans="1:1" x14ac:dyDescent="0.25">
      <c r="A217">
        <v>315</v>
      </c>
    </row>
    <row r="218" spans="1:1" x14ac:dyDescent="0.25">
      <c r="A218">
        <v>316</v>
      </c>
    </row>
    <row r="219" spans="1:1" x14ac:dyDescent="0.25">
      <c r="A219">
        <v>317</v>
      </c>
    </row>
    <row r="220" spans="1:1" x14ac:dyDescent="0.25">
      <c r="A220">
        <v>318</v>
      </c>
    </row>
    <row r="221" spans="1:1" x14ac:dyDescent="0.25">
      <c r="A221">
        <v>319</v>
      </c>
    </row>
    <row r="222" spans="1:1" x14ac:dyDescent="0.25">
      <c r="A222">
        <v>320</v>
      </c>
    </row>
    <row r="223" spans="1:1" x14ac:dyDescent="0.25">
      <c r="A223">
        <v>321</v>
      </c>
    </row>
    <row r="224" spans="1:1" x14ac:dyDescent="0.25">
      <c r="A224">
        <v>322</v>
      </c>
    </row>
    <row r="225" spans="1:1" x14ac:dyDescent="0.25">
      <c r="A225">
        <v>323</v>
      </c>
    </row>
    <row r="226" spans="1:1" x14ac:dyDescent="0.25">
      <c r="A226">
        <v>324</v>
      </c>
    </row>
    <row r="227" spans="1:1" x14ac:dyDescent="0.25">
      <c r="A227">
        <v>325</v>
      </c>
    </row>
    <row r="228" spans="1:1" x14ac:dyDescent="0.25">
      <c r="A228">
        <v>326</v>
      </c>
    </row>
    <row r="229" spans="1:1" x14ac:dyDescent="0.25">
      <c r="A229">
        <v>327</v>
      </c>
    </row>
    <row r="230" spans="1:1" x14ac:dyDescent="0.25">
      <c r="A230">
        <v>328</v>
      </c>
    </row>
    <row r="231" spans="1:1" x14ac:dyDescent="0.25">
      <c r="A231">
        <v>329</v>
      </c>
    </row>
    <row r="232" spans="1:1" x14ac:dyDescent="0.25">
      <c r="A232">
        <v>330</v>
      </c>
    </row>
    <row r="233" spans="1:1" x14ac:dyDescent="0.25">
      <c r="A233">
        <v>331</v>
      </c>
    </row>
    <row r="234" spans="1:1" x14ac:dyDescent="0.25">
      <c r="A234">
        <v>332</v>
      </c>
    </row>
    <row r="235" spans="1:1" x14ac:dyDescent="0.25">
      <c r="A235">
        <v>333</v>
      </c>
    </row>
    <row r="236" spans="1:1" x14ac:dyDescent="0.25">
      <c r="A236">
        <v>334</v>
      </c>
    </row>
    <row r="237" spans="1:1" x14ac:dyDescent="0.25">
      <c r="A237">
        <v>335</v>
      </c>
    </row>
    <row r="238" spans="1:1" x14ac:dyDescent="0.25">
      <c r="A238">
        <v>336</v>
      </c>
    </row>
    <row r="239" spans="1:1" x14ac:dyDescent="0.25">
      <c r="A239">
        <v>337</v>
      </c>
    </row>
    <row r="240" spans="1:1" x14ac:dyDescent="0.25">
      <c r="A240">
        <v>338</v>
      </c>
    </row>
    <row r="241" spans="1:1" x14ac:dyDescent="0.25">
      <c r="A241">
        <v>339</v>
      </c>
    </row>
    <row r="242" spans="1:1" x14ac:dyDescent="0.25">
      <c r="A242">
        <v>340</v>
      </c>
    </row>
    <row r="243" spans="1:1" x14ac:dyDescent="0.25">
      <c r="A243">
        <v>341</v>
      </c>
    </row>
    <row r="244" spans="1:1" x14ac:dyDescent="0.25">
      <c r="A244">
        <v>342</v>
      </c>
    </row>
    <row r="245" spans="1:1" x14ac:dyDescent="0.25">
      <c r="A245">
        <v>343</v>
      </c>
    </row>
    <row r="246" spans="1:1" x14ac:dyDescent="0.25">
      <c r="A246">
        <v>344</v>
      </c>
    </row>
    <row r="247" spans="1:1" x14ac:dyDescent="0.25">
      <c r="A247">
        <v>345</v>
      </c>
    </row>
    <row r="248" spans="1:1" x14ac:dyDescent="0.25">
      <c r="A248">
        <v>346</v>
      </c>
    </row>
    <row r="249" spans="1:1" x14ac:dyDescent="0.25">
      <c r="A249">
        <v>347</v>
      </c>
    </row>
    <row r="250" spans="1:1" x14ac:dyDescent="0.25">
      <c r="A250">
        <v>348</v>
      </c>
    </row>
    <row r="251" spans="1:1" x14ac:dyDescent="0.25">
      <c r="A251">
        <v>349</v>
      </c>
    </row>
    <row r="252" spans="1:1" x14ac:dyDescent="0.25">
      <c r="A252">
        <v>350</v>
      </c>
    </row>
    <row r="253" spans="1:1" x14ac:dyDescent="0.25">
      <c r="A253">
        <v>351</v>
      </c>
    </row>
    <row r="254" spans="1:1" x14ac:dyDescent="0.25">
      <c r="A254">
        <v>352</v>
      </c>
    </row>
    <row r="255" spans="1:1" x14ac:dyDescent="0.25">
      <c r="A255">
        <v>353</v>
      </c>
    </row>
    <row r="256" spans="1:1" x14ac:dyDescent="0.25">
      <c r="A256">
        <v>354</v>
      </c>
    </row>
    <row r="257" spans="1:1" x14ac:dyDescent="0.25">
      <c r="A257">
        <v>355</v>
      </c>
    </row>
    <row r="258" spans="1:1" x14ac:dyDescent="0.25">
      <c r="A258">
        <v>356</v>
      </c>
    </row>
    <row r="259" spans="1:1" x14ac:dyDescent="0.25">
      <c r="A259">
        <v>357</v>
      </c>
    </row>
    <row r="260" spans="1:1" x14ac:dyDescent="0.25">
      <c r="A260">
        <v>358</v>
      </c>
    </row>
    <row r="261" spans="1:1" x14ac:dyDescent="0.25">
      <c r="A261">
        <v>359</v>
      </c>
    </row>
    <row r="262" spans="1:1" x14ac:dyDescent="0.25">
      <c r="A262">
        <v>360</v>
      </c>
    </row>
    <row r="263" spans="1:1" x14ac:dyDescent="0.25">
      <c r="A263">
        <v>361</v>
      </c>
    </row>
    <row r="264" spans="1:1" x14ac:dyDescent="0.25">
      <c r="A264">
        <v>362</v>
      </c>
    </row>
    <row r="265" spans="1:1" x14ac:dyDescent="0.25">
      <c r="A265">
        <v>363</v>
      </c>
    </row>
    <row r="266" spans="1:1" x14ac:dyDescent="0.25">
      <c r="A266">
        <v>364</v>
      </c>
    </row>
    <row r="267" spans="1:1" x14ac:dyDescent="0.25">
      <c r="A267">
        <v>365</v>
      </c>
    </row>
    <row r="268" spans="1:1" x14ac:dyDescent="0.25">
      <c r="A268">
        <v>366</v>
      </c>
    </row>
    <row r="269" spans="1:1" x14ac:dyDescent="0.25">
      <c r="A269">
        <v>367</v>
      </c>
    </row>
    <row r="270" spans="1:1" x14ac:dyDescent="0.25">
      <c r="A270">
        <v>368</v>
      </c>
    </row>
    <row r="271" spans="1:1" x14ac:dyDescent="0.25">
      <c r="A271">
        <v>369</v>
      </c>
    </row>
    <row r="272" spans="1:1" x14ac:dyDescent="0.25">
      <c r="A272">
        <v>370</v>
      </c>
    </row>
    <row r="273" spans="1:1" x14ac:dyDescent="0.25">
      <c r="A273">
        <v>371</v>
      </c>
    </row>
    <row r="274" spans="1:1" x14ac:dyDescent="0.25">
      <c r="A274">
        <v>372</v>
      </c>
    </row>
    <row r="275" spans="1:1" x14ac:dyDescent="0.25">
      <c r="A275">
        <v>373</v>
      </c>
    </row>
    <row r="276" spans="1:1" x14ac:dyDescent="0.25">
      <c r="A276">
        <v>374</v>
      </c>
    </row>
    <row r="277" spans="1:1" x14ac:dyDescent="0.25">
      <c r="A277">
        <v>375</v>
      </c>
    </row>
    <row r="278" spans="1:1" x14ac:dyDescent="0.25">
      <c r="A278">
        <v>376</v>
      </c>
    </row>
    <row r="279" spans="1:1" x14ac:dyDescent="0.25">
      <c r="A279">
        <v>377</v>
      </c>
    </row>
    <row r="280" spans="1:1" x14ac:dyDescent="0.25">
      <c r="A280">
        <v>378</v>
      </c>
    </row>
    <row r="281" spans="1:1" x14ac:dyDescent="0.25">
      <c r="A281">
        <v>379</v>
      </c>
    </row>
    <row r="282" spans="1:1" x14ac:dyDescent="0.25">
      <c r="A282">
        <v>380</v>
      </c>
    </row>
    <row r="283" spans="1:1" x14ac:dyDescent="0.25">
      <c r="A283">
        <v>381</v>
      </c>
    </row>
    <row r="284" spans="1:1" x14ac:dyDescent="0.25">
      <c r="A284">
        <v>382</v>
      </c>
    </row>
    <row r="285" spans="1:1" x14ac:dyDescent="0.25">
      <c r="A285">
        <v>383</v>
      </c>
    </row>
    <row r="286" spans="1:1" x14ac:dyDescent="0.25">
      <c r="A286">
        <v>384</v>
      </c>
    </row>
    <row r="287" spans="1:1" x14ac:dyDescent="0.25">
      <c r="A287">
        <v>385</v>
      </c>
    </row>
    <row r="288" spans="1:1" x14ac:dyDescent="0.25">
      <c r="A288">
        <v>386</v>
      </c>
    </row>
    <row r="289" spans="1:1" x14ac:dyDescent="0.25">
      <c r="A289">
        <v>387</v>
      </c>
    </row>
    <row r="290" spans="1:1" x14ac:dyDescent="0.25">
      <c r="A290">
        <v>388</v>
      </c>
    </row>
    <row r="291" spans="1:1" x14ac:dyDescent="0.25">
      <c r="A291">
        <v>389</v>
      </c>
    </row>
    <row r="292" spans="1:1" x14ac:dyDescent="0.25">
      <c r="A292">
        <v>390</v>
      </c>
    </row>
    <row r="293" spans="1:1" x14ac:dyDescent="0.25">
      <c r="A293">
        <v>391</v>
      </c>
    </row>
    <row r="294" spans="1:1" x14ac:dyDescent="0.25">
      <c r="A294">
        <v>392</v>
      </c>
    </row>
    <row r="295" spans="1:1" x14ac:dyDescent="0.25">
      <c r="A295">
        <v>393</v>
      </c>
    </row>
    <row r="296" spans="1:1" x14ac:dyDescent="0.25">
      <c r="A296">
        <v>394</v>
      </c>
    </row>
    <row r="297" spans="1:1" x14ac:dyDescent="0.25">
      <c r="A297">
        <v>395</v>
      </c>
    </row>
    <row r="298" spans="1:1" x14ac:dyDescent="0.25">
      <c r="A298">
        <v>396</v>
      </c>
    </row>
    <row r="299" spans="1:1" x14ac:dyDescent="0.25">
      <c r="A299">
        <v>397</v>
      </c>
    </row>
    <row r="300" spans="1:1" x14ac:dyDescent="0.25">
      <c r="A300">
        <v>398</v>
      </c>
    </row>
    <row r="301" spans="1:1" x14ac:dyDescent="0.25">
      <c r="A301">
        <v>399</v>
      </c>
    </row>
    <row r="302" spans="1:1" x14ac:dyDescent="0.25">
      <c r="A302">
        <v>400</v>
      </c>
    </row>
    <row r="303" spans="1:1" x14ac:dyDescent="0.25">
      <c r="A303">
        <v>401</v>
      </c>
    </row>
    <row r="304" spans="1:1" x14ac:dyDescent="0.25">
      <c r="A304">
        <v>402</v>
      </c>
    </row>
    <row r="305" spans="1:1" x14ac:dyDescent="0.25">
      <c r="A305">
        <v>403</v>
      </c>
    </row>
    <row r="306" spans="1:1" x14ac:dyDescent="0.25">
      <c r="A306">
        <v>404</v>
      </c>
    </row>
    <row r="307" spans="1:1" x14ac:dyDescent="0.25">
      <c r="A307">
        <v>405</v>
      </c>
    </row>
    <row r="308" spans="1:1" x14ac:dyDescent="0.25">
      <c r="A308">
        <v>406</v>
      </c>
    </row>
    <row r="309" spans="1:1" x14ac:dyDescent="0.25">
      <c r="A309">
        <v>407</v>
      </c>
    </row>
    <row r="310" spans="1:1" x14ac:dyDescent="0.25">
      <c r="A310">
        <v>408</v>
      </c>
    </row>
    <row r="311" spans="1:1" x14ac:dyDescent="0.25">
      <c r="A311">
        <v>409</v>
      </c>
    </row>
    <row r="312" spans="1:1" x14ac:dyDescent="0.25">
      <c r="A312">
        <v>410</v>
      </c>
    </row>
    <row r="313" spans="1:1" x14ac:dyDescent="0.25">
      <c r="A313">
        <v>411</v>
      </c>
    </row>
    <row r="314" spans="1:1" x14ac:dyDescent="0.25">
      <c r="A314">
        <v>412</v>
      </c>
    </row>
    <row r="315" spans="1:1" x14ac:dyDescent="0.25">
      <c r="A315">
        <v>413</v>
      </c>
    </row>
    <row r="316" spans="1:1" x14ac:dyDescent="0.25">
      <c r="A316">
        <v>414</v>
      </c>
    </row>
    <row r="317" spans="1:1" x14ac:dyDescent="0.25">
      <c r="A317">
        <v>415</v>
      </c>
    </row>
    <row r="318" spans="1:1" x14ac:dyDescent="0.25">
      <c r="A318">
        <v>416</v>
      </c>
    </row>
    <row r="319" spans="1:1" x14ac:dyDescent="0.25">
      <c r="A319">
        <v>417</v>
      </c>
    </row>
    <row r="320" spans="1:1" x14ac:dyDescent="0.25">
      <c r="A320">
        <v>418</v>
      </c>
    </row>
    <row r="321" spans="1:1" x14ac:dyDescent="0.25">
      <c r="A321">
        <v>419</v>
      </c>
    </row>
    <row r="322" spans="1:1" x14ac:dyDescent="0.25">
      <c r="A322">
        <v>420</v>
      </c>
    </row>
    <row r="323" spans="1:1" x14ac:dyDescent="0.25">
      <c r="A323">
        <v>421</v>
      </c>
    </row>
    <row r="324" spans="1:1" x14ac:dyDescent="0.25">
      <c r="A324">
        <v>422</v>
      </c>
    </row>
    <row r="325" spans="1:1" x14ac:dyDescent="0.25">
      <c r="A325">
        <v>423</v>
      </c>
    </row>
    <row r="326" spans="1:1" x14ac:dyDescent="0.25">
      <c r="A326">
        <v>424</v>
      </c>
    </row>
    <row r="327" spans="1:1" x14ac:dyDescent="0.25">
      <c r="A327">
        <v>425</v>
      </c>
    </row>
    <row r="328" spans="1:1" x14ac:dyDescent="0.25">
      <c r="A328">
        <v>426</v>
      </c>
    </row>
    <row r="329" spans="1:1" x14ac:dyDescent="0.25">
      <c r="A329">
        <v>427</v>
      </c>
    </row>
    <row r="330" spans="1:1" x14ac:dyDescent="0.25">
      <c r="A330">
        <v>428</v>
      </c>
    </row>
    <row r="331" spans="1:1" x14ac:dyDescent="0.25">
      <c r="A331">
        <v>429</v>
      </c>
    </row>
    <row r="332" spans="1:1" x14ac:dyDescent="0.25">
      <c r="A332">
        <v>430</v>
      </c>
    </row>
    <row r="333" spans="1:1" x14ac:dyDescent="0.25">
      <c r="A333">
        <v>431</v>
      </c>
    </row>
    <row r="334" spans="1:1" x14ac:dyDescent="0.25">
      <c r="A334">
        <v>432</v>
      </c>
    </row>
    <row r="335" spans="1:1" x14ac:dyDescent="0.25">
      <c r="A335">
        <v>433</v>
      </c>
    </row>
    <row r="336" spans="1:1" x14ac:dyDescent="0.25">
      <c r="A336">
        <v>434</v>
      </c>
    </row>
    <row r="337" spans="1:1" x14ac:dyDescent="0.25">
      <c r="A337">
        <v>435</v>
      </c>
    </row>
    <row r="338" spans="1:1" x14ac:dyDescent="0.25">
      <c r="A338">
        <v>436</v>
      </c>
    </row>
    <row r="339" spans="1:1" x14ac:dyDescent="0.25">
      <c r="A339">
        <v>437</v>
      </c>
    </row>
    <row r="340" spans="1:1" x14ac:dyDescent="0.25">
      <c r="A340">
        <v>438</v>
      </c>
    </row>
    <row r="341" spans="1:1" x14ac:dyDescent="0.25">
      <c r="A341">
        <v>439</v>
      </c>
    </row>
    <row r="342" spans="1:1" x14ac:dyDescent="0.25">
      <c r="A342">
        <v>440</v>
      </c>
    </row>
    <row r="343" spans="1:1" x14ac:dyDescent="0.25">
      <c r="A343">
        <v>441</v>
      </c>
    </row>
    <row r="344" spans="1:1" x14ac:dyDescent="0.25">
      <c r="A344">
        <v>442</v>
      </c>
    </row>
    <row r="345" spans="1:1" x14ac:dyDescent="0.25">
      <c r="A345">
        <v>443</v>
      </c>
    </row>
    <row r="346" spans="1:1" x14ac:dyDescent="0.25">
      <c r="A346">
        <v>444</v>
      </c>
    </row>
    <row r="347" spans="1:1" x14ac:dyDescent="0.25">
      <c r="A347">
        <v>445</v>
      </c>
    </row>
    <row r="348" spans="1:1" x14ac:dyDescent="0.25">
      <c r="A348">
        <v>446</v>
      </c>
    </row>
    <row r="349" spans="1:1" x14ac:dyDescent="0.25">
      <c r="A349">
        <v>447</v>
      </c>
    </row>
    <row r="350" spans="1:1" x14ac:dyDescent="0.25">
      <c r="A350">
        <v>448</v>
      </c>
    </row>
    <row r="351" spans="1:1" x14ac:dyDescent="0.25">
      <c r="A351">
        <v>449</v>
      </c>
    </row>
    <row r="352" spans="1:1" x14ac:dyDescent="0.25">
      <c r="A352">
        <v>450</v>
      </c>
    </row>
    <row r="353" spans="1:1" x14ac:dyDescent="0.25">
      <c r="A353">
        <v>451</v>
      </c>
    </row>
    <row r="354" spans="1:1" x14ac:dyDescent="0.25">
      <c r="A354">
        <v>452</v>
      </c>
    </row>
    <row r="355" spans="1:1" x14ac:dyDescent="0.25">
      <c r="A355">
        <v>453</v>
      </c>
    </row>
    <row r="356" spans="1:1" x14ac:dyDescent="0.25">
      <c r="A356">
        <v>454</v>
      </c>
    </row>
    <row r="357" spans="1:1" x14ac:dyDescent="0.25">
      <c r="A357">
        <v>455</v>
      </c>
    </row>
    <row r="358" spans="1:1" x14ac:dyDescent="0.25">
      <c r="A358">
        <v>456</v>
      </c>
    </row>
    <row r="359" spans="1:1" x14ac:dyDescent="0.25">
      <c r="A359">
        <v>457</v>
      </c>
    </row>
    <row r="360" spans="1:1" x14ac:dyDescent="0.25">
      <c r="A360">
        <v>458</v>
      </c>
    </row>
    <row r="361" spans="1:1" x14ac:dyDescent="0.25">
      <c r="A361">
        <v>459</v>
      </c>
    </row>
    <row r="362" spans="1:1" x14ac:dyDescent="0.25">
      <c r="A362">
        <v>460</v>
      </c>
    </row>
    <row r="363" spans="1:1" x14ac:dyDescent="0.25">
      <c r="A363">
        <v>461</v>
      </c>
    </row>
    <row r="364" spans="1:1" x14ac:dyDescent="0.25">
      <c r="A364">
        <v>462</v>
      </c>
    </row>
    <row r="365" spans="1:1" x14ac:dyDescent="0.25">
      <c r="A365">
        <v>463</v>
      </c>
    </row>
    <row r="366" spans="1:1" x14ac:dyDescent="0.25">
      <c r="A366">
        <v>464</v>
      </c>
    </row>
    <row r="367" spans="1:1" x14ac:dyDescent="0.25">
      <c r="A367">
        <v>465</v>
      </c>
    </row>
    <row r="368" spans="1:1" x14ac:dyDescent="0.25">
      <c r="A368">
        <v>466</v>
      </c>
    </row>
    <row r="369" spans="1:1" x14ac:dyDescent="0.25">
      <c r="A369">
        <v>467</v>
      </c>
    </row>
    <row r="370" spans="1:1" x14ac:dyDescent="0.25">
      <c r="A370">
        <v>468</v>
      </c>
    </row>
    <row r="371" spans="1:1" x14ac:dyDescent="0.25">
      <c r="A371">
        <v>469</v>
      </c>
    </row>
    <row r="372" spans="1:1" x14ac:dyDescent="0.25">
      <c r="A372">
        <v>470</v>
      </c>
    </row>
    <row r="373" spans="1:1" x14ac:dyDescent="0.25">
      <c r="A373">
        <v>471</v>
      </c>
    </row>
    <row r="374" spans="1:1" x14ac:dyDescent="0.25">
      <c r="A374">
        <v>472</v>
      </c>
    </row>
    <row r="375" spans="1:1" x14ac:dyDescent="0.25">
      <c r="A375">
        <v>473</v>
      </c>
    </row>
    <row r="376" spans="1:1" x14ac:dyDescent="0.25">
      <c r="A376">
        <v>474</v>
      </c>
    </row>
    <row r="377" spans="1:1" x14ac:dyDescent="0.25">
      <c r="A377">
        <v>475</v>
      </c>
    </row>
    <row r="378" spans="1:1" x14ac:dyDescent="0.25">
      <c r="A378">
        <v>476</v>
      </c>
    </row>
    <row r="379" spans="1:1" x14ac:dyDescent="0.25">
      <c r="A379">
        <v>477</v>
      </c>
    </row>
    <row r="380" spans="1:1" x14ac:dyDescent="0.25">
      <c r="A380">
        <v>478</v>
      </c>
    </row>
    <row r="381" spans="1:1" x14ac:dyDescent="0.25">
      <c r="A381">
        <v>479</v>
      </c>
    </row>
    <row r="382" spans="1:1" x14ac:dyDescent="0.25">
      <c r="A382">
        <v>480</v>
      </c>
    </row>
    <row r="383" spans="1:1" x14ac:dyDescent="0.25">
      <c r="A383">
        <v>481</v>
      </c>
    </row>
    <row r="384" spans="1:1" x14ac:dyDescent="0.25">
      <c r="A384">
        <v>482</v>
      </c>
    </row>
    <row r="385" spans="1:1" x14ac:dyDescent="0.25">
      <c r="A385">
        <v>483</v>
      </c>
    </row>
    <row r="386" spans="1:1" x14ac:dyDescent="0.25">
      <c r="A386">
        <v>484</v>
      </c>
    </row>
    <row r="387" spans="1:1" x14ac:dyDescent="0.25">
      <c r="A387">
        <v>485</v>
      </c>
    </row>
    <row r="388" spans="1:1" x14ac:dyDescent="0.25">
      <c r="A388">
        <v>486</v>
      </c>
    </row>
    <row r="389" spans="1:1" x14ac:dyDescent="0.25">
      <c r="A389">
        <v>487</v>
      </c>
    </row>
    <row r="390" spans="1:1" x14ac:dyDescent="0.25">
      <c r="A390">
        <v>488</v>
      </c>
    </row>
    <row r="391" spans="1:1" x14ac:dyDescent="0.25">
      <c r="A391">
        <v>489</v>
      </c>
    </row>
    <row r="392" spans="1:1" x14ac:dyDescent="0.25">
      <c r="A392">
        <v>490</v>
      </c>
    </row>
    <row r="393" spans="1:1" x14ac:dyDescent="0.25">
      <c r="A393">
        <v>491</v>
      </c>
    </row>
    <row r="394" spans="1:1" x14ac:dyDescent="0.25">
      <c r="A394">
        <v>492</v>
      </c>
    </row>
    <row r="395" spans="1:1" x14ac:dyDescent="0.25">
      <c r="A395">
        <v>493</v>
      </c>
    </row>
    <row r="396" spans="1:1" x14ac:dyDescent="0.25">
      <c r="A396">
        <v>494</v>
      </c>
    </row>
    <row r="397" spans="1:1" x14ac:dyDescent="0.25">
      <c r="A397">
        <v>495</v>
      </c>
    </row>
    <row r="398" spans="1:1" x14ac:dyDescent="0.25">
      <c r="A398">
        <v>496</v>
      </c>
    </row>
    <row r="399" spans="1:1" x14ac:dyDescent="0.25">
      <c r="A399">
        <v>497</v>
      </c>
    </row>
    <row r="400" spans="1:1" x14ac:dyDescent="0.25">
      <c r="A400">
        <v>498</v>
      </c>
    </row>
    <row r="401" spans="1:1" x14ac:dyDescent="0.25">
      <c r="A401">
        <v>499</v>
      </c>
    </row>
    <row r="402" spans="1:1" x14ac:dyDescent="0.25">
      <c r="A402">
        <v>500</v>
      </c>
    </row>
    <row r="403" spans="1:1" x14ac:dyDescent="0.25">
      <c r="A403">
        <v>501</v>
      </c>
    </row>
    <row r="404" spans="1:1" x14ac:dyDescent="0.25">
      <c r="A404">
        <v>502</v>
      </c>
    </row>
    <row r="405" spans="1:1" x14ac:dyDescent="0.25">
      <c r="A405">
        <v>503</v>
      </c>
    </row>
    <row r="406" spans="1:1" x14ac:dyDescent="0.25">
      <c r="A406">
        <v>504</v>
      </c>
    </row>
    <row r="407" spans="1:1" x14ac:dyDescent="0.25">
      <c r="A407">
        <v>505</v>
      </c>
    </row>
    <row r="408" spans="1:1" x14ac:dyDescent="0.25">
      <c r="A408">
        <v>506</v>
      </c>
    </row>
    <row r="409" spans="1:1" x14ac:dyDescent="0.25">
      <c r="A409">
        <v>507</v>
      </c>
    </row>
    <row r="410" spans="1:1" x14ac:dyDescent="0.25">
      <c r="A410">
        <v>508</v>
      </c>
    </row>
    <row r="411" spans="1:1" x14ac:dyDescent="0.25">
      <c r="A411">
        <v>509</v>
      </c>
    </row>
    <row r="412" spans="1:1" x14ac:dyDescent="0.25">
      <c r="A412">
        <v>510</v>
      </c>
    </row>
    <row r="413" spans="1:1" x14ac:dyDescent="0.25">
      <c r="A413">
        <v>511</v>
      </c>
    </row>
    <row r="414" spans="1:1" x14ac:dyDescent="0.25">
      <c r="A414">
        <v>512</v>
      </c>
    </row>
    <row r="415" spans="1:1" x14ac:dyDescent="0.25">
      <c r="A415">
        <v>513</v>
      </c>
    </row>
    <row r="416" spans="1:1" x14ac:dyDescent="0.25">
      <c r="A416">
        <v>514</v>
      </c>
    </row>
    <row r="417" spans="1:1" x14ac:dyDescent="0.25">
      <c r="A417">
        <v>515</v>
      </c>
    </row>
    <row r="418" spans="1:1" x14ac:dyDescent="0.25">
      <c r="A418">
        <v>516</v>
      </c>
    </row>
    <row r="419" spans="1:1" x14ac:dyDescent="0.25">
      <c r="A419">
        <v>517</v>
      </c>
    </row>
    <row r="420" spans="1:1" x14ac:dyDescent="0.25">
      <c r="A420">
        <v>518</v>
      </c>
    </row>
    <row r="421" spans="1:1" x14ac:dyDescent="0.25">
      <c r="A421">
        <v>519</v>
      </c>
    </row>
    <row r="422" spans="1:1" x14ac:dyDescent="0.25">
      <c r="A422">
        <v>520</v>
      </c>
    </row>
    <row r="423" spans="1:1" x14ac:dyDescent="0.25">
      <c r="A423">
        <v>521</v>
      </c>
    </row>
    <row r="424" spans="1:1" x14ac:dyDescent="0.25">
      <c r="A424">
        <v>522</v>
      </c>
    </row>
    <row r="425" spans="1:1" x14ac:dyDescent="0.25">
      <c r="A425">
        <v>523</v>
      </c>
    </row>
    <row r="426" spans="1:1" x14ac:dyDescent="0.25">
      <c r="A426">
        <v>524</v>
      </c>
    </row>
    <row r="427" spans="1:1" x14ac:dyDescent="0.25">
      <c r="A427">
        <v>525</v>
      </c>
    </row>
    <row r="428" spans="1:1" x14ac:dyDescent="0.25">
      <c r="A428">
        <v>526</v>
      </c>
    </row>
    <row r="429" spans="1:1" x14ac:dyDescent="0.25">
      <c r="A429">
        <v>527</v>
      </c>
    </row>
    <row r="430" spans="1:1" x14ac:dyDescent="0.25">
      <c r="A430">
        <v>528</v>
      </c>
    </row>
    <row r="431" spans="1:1" x14ac:dyDescent="0.25">
      <c r="A431">
        <v>529</v>
      </c>
    </row>
    <row r="432" spans="1:1" x14ac:dyDescent="0.25">
      <c r="A432">
        <v>530</v>
      </c>
    </row>
    <row r="433" spans="1:1" x14ac:dyDescent="0.25">
      <c r="A433">
        <v>531</v>
      </c>
    </row>
    <row r="434" spans="1:1" x14ac:dyDescent="0.25">
      <c r="A434">
        <v>532</v>
      </c>
    </row>
    <row r="435" spans="1:1" x14ac:dyDescent="0.25">
      <c r="A435">
        <v>533</v>
      </c>
    </row>
    <row r="436" spans="1:1" x14ac:dyDescent="0.25">
      <c r="A436">
        <v>534</v>
      </c>
    </row>
    <row r="437" spans="1:1" x14ac:dyDescent="0.25">
      <c r="A437">
        <v>535</v>
      </c>
    </row>
    <row r="438" spans="1:1" x14ac:dyDescent="0.25">
      <c r="A438">
        <v>536</v>
      </c>
    </row>
    <row r="439" spans="1:1" x14ac:dyDescent="0.25">
      <c r="A439">
        <v>537</v>
      </c>
    </row>
    <row r="440" spans="1:1" x14ac:dyDescent="0.25">
      <c r="A440">
        <v>538</v>
      </c>
    </row>
    <row r="441" spans="1:1" x14ac:dyDescent="0.25">
      <c r="A441">
        <v>539</v>
      </c>
    </row>
    <row r="442" spans="1:1" x14ac:dyDescent="0.25">
      <c r="A442">
        <v>540</v>
      </c>
    </row>
    <row r="443" spans="1:1" x14ac:dyDescent="0.25">
      <c r="A443">
        <v>541</v>
      </c>
    </row>
    <row r="444" spans="1:1" x14ac:dyDescent="0.25">
      <c r="A444">
        <v>542</v>
      </c>
    </row>
    <row r="445" spans="1:1" x14ac:dyDescent="0.25">
      <c r="A445">
        <v>543</v>
      </c>
    </row>
    <row r="446" spans="1:1" x14ac:dyDescent="0.25">
      <c r="A446">
        <v>544</v>
      </c>
    </row>
    <row r="447" spans="1:1" x14ac:dyDescent="0.25">
      <c r="A447">
        <v>545</v>
      </c>
    </row>
    <row r="448" spans="1:1" x14ac:dyDescent="0.25">
      <c r="A448">
        <v>546</v>
      </c>
    </row>
    <row r="449" spans="1:1" x14ac:dyDescent="0.25">
      <c r="A449">
        <v>547</v>
      </c>
    </row>
    <row r="450" spans="1:1" x14ac:dyDescent="0.25">
      <c r="A450">
        <v>548</v>
      </c>
    </row>
    <row r="451" spans="1:1" x14ac:dyDescent="0.25">
      <c r="A451">
        <v>549</v>
      </c>
    </row>
    <row r="452" spans="1:1" x14ac:dyDescent="0.25">
      <c r="A452">
        <v>550</v>
      </c>
    </row>
    <row r="453" spans="1:1" x14ac:dyDescent="0.25">
      <c r="A453">
        <v>551</v>
      </c>
    </row>
    <row r="454" spans="1:1" x14ac:dyDescent="0.25">
      <c r="A454">
        <v>552</v>
      </c>
    </row>
    <row r="455" spans="1:1" x14ac:dyDescent="0.25">
      <c r="A455">
        <v>553</v>
      </c>
    </row>
    <row r="456" spans="1:1" x14ac:dyDescent="0.25">
      <c r="A456">
        <v>554</v>
      </c>
    </row>
    <row r="457" spans="1:1" x14ac:dyDescent="0.25">
      <c r="A457">
        <v>555</v>
      </c>
    </row>
    <row r="458" spans="1:1" x14ac:dyDescent="0.25">
      <c r="A458">
        <v>556</v>
      </c>
    </row>
    <row r="459" spans="1:1" x14ac:dyDescent="0.25">
      <c r="A459">
        <v>557</v>
      </c>
    </row>
    <row r="460" spans="1:1" x14ac:dyDescent="0.25">
      <c r="A460">
        <v>558</v>
      </c>
    </row>
    <row r="461" spans="1:1" x14ac:dyDescent="0.25">
      <c r="A461">
        <v>559</v>
      </c>
    </row>
    <row r="462" spans="1:1" x14ac:dyDescent="0.25">
      <c r="A462">
        <v>560</v>
      </c>
    </row>
    <row r="463" spans="1:1" x14ac:dyDescent="0.25">
      <c r="A463">
        <v>561</v>
      </c>
    </row>
    <row r="464" spans="1:1" x14ac:dyDescent="0.25">
      <c r="A464">
        <v>562</v>
      </c>
    </row>
    <row r="465" spans="1:1" x14ac:dyDescent="0.25">
      <c r="A465">
        <v>563</v>
      </c>
    </row>
    <row r="466" spans="1:1" x14ac:dyDescent="0.25">
      <c r="A466">
        <v>564</v>
      </c>
    </row>
    <row r="467" spans="1:1" x14ac:dyDescent="0.25">
      <c r="A467">
        <v>565</v>
      </c>
    </row>
    <row r="468" spans="1:1" x14ac:dyDescent="0.25">
      <c r="A468">
        <v>566</v>
      </c>
    </row>
    <row r="469" spans="1:1" x14ac:dyDescent="0.25">
      <c r="A469">
        <v>567</v>
      </c>
    </row>
    <row r="470" spans="1:1" x14ac:dyDescent="0.25">
      <c r="A470">
        <v>568</v>
      </c>
    </row>
    <row r="471" spans="1:1" x14ac:dyDescent="0.25">
      <c r="A471">
        <v>569</v>
      </c>
    </row>
    <row r="472" spans="1:1" x14ac:dyDescent="0.25">
      <c r="A472">
        <v>570</v>
      </c>
    </row>
    <row r="473" spans="1:1" x14ac:dyDescent="0.25">
      <c r="A473">
        <v>571</v>
      </c>
    </row>
    <row r="474" spans="1:1" x14ac:dyDescent="0.25">
      <c r="A474">
        <v>572</v>
      </c>
    </row>
    <row r="475" spans="1:1" x14ac:dyDescent="0.25">
      <c r="A475">
        <v>573</v>
      </c>
    </row>
    <row r="476" spans="1:1" x14ac:dyDescent="0.25">
      <c r="A476">
        <v>574</v>
      </c>
    </row>
    <row r="477" spans="1:1" x14ac:dyDescent="0.25">
      <c r="A477">
        <v>575</v>
      </c>
    </row>
    <row r="478" spans="1:1" x14ac:dyDescent="0.25">
      <c r="A478">
        <v>576</v>
      </c>
    </row>
    <row r="479" spans="1:1" x14ac:dyDescent="0.25">
      <c r="A479">
        <v>577</v>
      </c>
    </row>
    <row r="480" spans="1:1" x14ac:dyDescent="0.25">
      <c r="A480">
        <v>578</v>
      </c>
    </row>
    <row r="481" spans="1:1" x14ac:dyDescent="0.25">
      <c r="A481">
        <v>579</v>
      </c>
    </row>
    <row r="482" spans="1:1" x14ac:dyDescent="0.25">
      <c r="A482">
        <v>580</v>
      </c>
    </row>
    <row r="483" spans="1:1" x14ac:dyDescent="0.25">
      <c r="A483">
        <v>581</v>
      </c>
    </row>
    <row r="484" spans="1:1" x14ac:dyDescent="0.25">
      <c r="A484">
        <v>582</v>
      </c>
    </row>
    <row r="485" spans="1:1" x14ac:dyDescent="0.25">
      <c r="A485">
        <v>583</v>
      </c>
    </row>
    <row r="486" spans="1:1" x14ac:dyDescent="0.25">
      <c r="A486">
        <v>584</v>
      </c>
    </row>
    <row r="487" spans="1:1" x14ac:dyDescent="0.25">
      <c r="A487">
        <v>585</v>
      </c>
    </row>
    <row r="488" spans="1:1" x14ac:dyDescent="0.25">
      <c r="A488">
        <v>586</v>
      </c>
    </row>
    <row r="489" spans="1:1" x14ac:dyDescent="0.25">
      <c r="A489">
        <v>587</v>
      </c>
    </row>
    <row r="490" spans="1:1" x14ac:dyDescent="0.25">
      <c r="A490">
        <v>588</v>
      </c>
    </row>
    <row r="491" spans="1:1" x14ac:dyDescent="0.25">
      <c r="A491">
        <v>589</v>
      </c>
    </row>
    <row r="492" spans="1:1" x14ac:dyDescent="0.25">
      <c r="A492">
        <v>590</v>
      </c>
    </row>
    <row r="493" spans="1:1" x14ac:dyDescent="0.25">
      <c r="A493">
        <v>591</v>
      </c>
    </row>
    <row r="494" spans="1:1" x14ac:dyDescent="0.25">
      <c r="A494">
        <v>592</v>
      </c>
    </row>
    <row r="495" spans="1:1" x14ac:dyDescent="0.25">
      <c r="A495">
        <v>593</v>
      </c>
    </row>
    <row r="496" spans="1:1" x14ac:dyDescent="0.25">
      <c r="A496">
        <v>594</v>
      </c>
    </row>
    <row r="497" spans="1:1" x14ac:dyDescent="0.25">
      <c r="A497">
        <v>595</v>
      </c>
    </row>
    <row r="498" spans="1:1" x14ac:dyDescent="0.25">
      <c r="A498">
        <v>596</v>
      </c>
    </row>
    <row r="499" spans="1:1" x14ac:dyDescent="0.25">
      <c r="A499">
        <v>597</v>
      </c>
    </row>
    <row r="500" spans="1:1" x14ac:dyDescent="0.25">
      <c r="A500">
        <v>598</v>
      </c>
    </row>
    <row r="501" spans="1:1" x14ac:dyDescent="0.25">
      <c r="A501">
        <v>599</v>
      </c>
    </row>
    <row r="502" spans="1:1" x14ac:dyDescent="0.25">
      <c r="A502">
        <v>600</v>
      </c>
    </row>
    <row r="503" spans="1:1" x14ac:dyDescent="0.25">
      <c r="A503">
        <v>601</v>
      </c>
    </row>
    <row r="504" spans="1:1" x14ac:dyDescent="0.25">
      <c r="A504">
        <v>602</v>
      </c>
    </row>
    <row r="505" spans="1:1" x14ac:dyDescent="0.25">
      <c r="A505">
        <v>603</v>
      </c>
    </row>
    <row r="506" spans="1:1" x14ac:dyDescent="0.25">
      <c r="A506">
        <v>604</v>
      </c>
    </row>
    <row r="507" spans="1:1" x14ac:dyDescent="0.25">
      <c r="A507">
        <v>605</v>
      </c>
    </row>
    <row r="508" spans="1:1" x14ac:dyDescent="0.25">
      <c r="A508">
        <v>606</v>
      </c>
    </row>
    <row r="509" spans="1:1" x14ac:dyDescent="0.25">
      <c r="A509">
        <v>607</v>
      </c>
    </row>
    <row r="510" spans="1:1" x14ac:dyDescent="0.25">
      <c r="A510">
        <v>608</v>
      </c>
    </row>
    <row r="511" spans="1:1" x14ac:dyDescent="0.25">
      <c r="A511">
        <v>609</v>
      </c>
    </row>
    <row r="512" spans="1:1" x14ac:dyDescent="0.25">
      <c r="A512">
        <v>610</v>
      </c>
    </row>
    <row r="513" spans="1:1" x14ac:dyDescent="0.25">
      <c r="A513">
        <v>611</v>
      </c>
    </row>
    <row r="514" spans="1:1" x14ac:dyDescent="0.25">
      <c r="A514">
        <v>612</v>
      </c>
    </row>
    <row r="515" spans="1:1" x14ac:dyDescent="0.25">
      <c r="A515">
        <v>613</v>
      </c>
    </row>
    <row r="516" spans="1:1" x14ac:dyDescent="0.25">
      <c r="A516">
        <v>614</v>
      </c>
    </row>
    <row r="517" spans="1:1" x14ac:dyDescent="0.25">
      <c r="A517">
        <v>615</v>
      </c>
    </row>
    <row r="518" spans="1:1" x14ac:dyDescent="0.25">
      <c r="A518">
        <v>616</v>
      </c>
    </row>
    <row r="519" spans="1:1" x14ac:dyDescent="0.25">
      <c r="A519">
        <v>617</v>
      </c>
    </row>
    <row r="520" spans="1:1" x14ac:dyDescent="0.25">
      <c r="A520">
        <v>618</v>
      </c>
    </row>
    <row r="521" spans="1:1" x14ac:dyDescent="0.25">
      <c r="A521">
        <v>619</v>
      </c>
    </row>
    <row r="522" spans="1:1" x14ac:dyDescent="0.25">
      <c r="A522">
        <v>620</v>
      </c>
    </row>
    <row r="523" spans="1:1" x14ac:dyDescent="0.25">
      <c r="A523">
        <v>621</v>
      </c>
    </row>
    <row r="524" spans="1:1" x14ac:dyDescent="0.25">
      <c r="A524">
        <v>622</v>
      </c>
    </row>
    <row r="525" spans="1:1" x14ac:dyDescent="0.25">
      <c r="A525">
        <v>623</v>
      </c>
    </row>
    <row r="526" spans="1:1" x14ac:dyDescent="0.25">
      <c r="A526">
        <v>624</v>
      </c>
    </row>
    <row r="527" spans="1:1" x14ac:dyDescent="0.25">
      <c r="A527">
        <v>625</v>
      </c>
    </row>
    <row r="528" spans="1:1" x14ac:dyDescent="0.25">
      <c r="A528">
        <v>626</v>
      </c>
    </row>
    <row r="529" spans="1:1" x14ac:dyDescent="0.25">
      <c r="A529">
        <v>627</v>
      </c>
    </row>
    <row r="530" spans="1:1" x14ac:dyDescent="0.25">
      <c r="A530">
        <v>628</v>
      </c>
    </row>
    <row r="531" spans="1:1" x14ac:dyDescent="0.25">
      <c r="A531">
        <v>629</v>
      </c>
    </row>
    <row r="532" spans="1:1" x14ac:dyDescent="0.25">
      <c r="A532">
        <v>630</v>
      </c>
    </row>
    <row r="533" spans="1:1" x14ac:dyDescent="0.25">
      <c r="A533">
        <v>631</v>
      </c>
    </row>
    <row r="534" spans="1:1" x14ac:dyDescent="0.25">
      <c r="A534">
        <v>632</v>
      </c>
    </row>
    <row r="535" spans="1:1" x14ac:dyDescent="0.25">
      <c r="A535">
        <v>633</v>
      </c>
    </row>
    <row r="536" spans="1:1" x14ac:dyDescent="0.25">
      <c r="A536">
        <v>634</v>
      </c>
    </row>
    <row r="537" spans="1:1" x14ac:dyDescent="0.25">
      <c r="A537">
        <v>635</v>
      </c>
    </row>
    <row r="538" spans="1:1" x14ac:dyDescent="0.25">
      <c r="A538">
        <v>636</v>
      </c>
    </row>
    <row r="539" spans="1:1" x14ac:dyDescent="0.25">
      <c r="A539">
        <v>637</v>
      </c>
    </row>
    <row r="540" spans="1:1" x14ac:dyDescent="0.25">
      <c r="A540">
        <v>638</v>
      </c>
    </row>
    <row r="541" spans="1:1" x14ac:dyDescent="0.25">
      <c r="A541">
        <v>639</v>
      </c>
    </row>
    <row r="542" spans="1:1" x14ac:dyDescent="0.25">
      <c r="A542">
        <v>640</v>
      </c>
    </row>
    <row r="543" spans="1:1" x14ac:dyDescent="0.25">
      <c r="A543">
        <v>641</v>
      </c>
    </row>
    <row r="544" spans="1:1" x14ac:dyDescent="0.25">
      <c r="A544">
        <v>642</v>
      </c>
    </row>
    <row r="545" spans="1:1" x14ac:dyDescent="0.25">
      <c r="A545">
        <v>643</v>
      </c>
    </row>
    <row r="546" spans="1:1" x14ac:dyDescent="0.25">
      <c r="A546">
        <v>644</v>
      </c>
    </row>
    <row r="547" spans="1:1" x14ac:dyDescent="0.25">
      <c r="A547">
        <v>645</v>
      </c>
    </row>
    <row r="548" spans="1:1" x14ac:dyDescent="0.25">
      <c r="A548">
        <v>646</v>
      </c>
    </row>
    <row r="549" spans="1:1" x14ac:dyDescent="0.25">
      <c r="A549">
        <v>647</v>
      </c>
    </row>
    <row r="550" spans="1:1" x14ac:dyDescent="0.25">
      <c r="A550">
        <v>648</v>
      </c>
    </row>
    <row r="551" spans="1:1" x14ac:dyDescent="0.25">
      <c r="A551">
        <v>649</v>
      </c>
    </row>
    <row r="552" spans="1:1" x14ac:dyDescent="0.25">
      <c r="A552">
        <v>650</v>
      </c>
    </row>
    <row r="553" spans="1:1" x14ac:dyDescent="0.25">
      <c r="A553">
        <v>651</v>
      </c>
    </row>
    <row r="554" spans="1:1" x14ac:dyDescent="0.25">
      <c r="A554">
        <v>652</v>
      </c>
    </row>
    <row r="555" spans="1:1" x14ac:dyDescent="0.25">
      <c r="A555">
        <v>653</v>
      </c>
    </row>
    <row r="556" spans="1:1" x14ac:dyDescent="0.25">
      <c r="A556">
        <v>654</v>
      </c>
    </row>
    <row r="557" spans="1:1" x14ac:dyDescent="0.25">
      <c r="A557">
        <v>655</v>
      </c>
    </row>
    <row r="558" spans="1:1" x14ac:dyDescent="0.25">
      <c r="A558">
        <v>656</v>
      </c>
    </row>
    <row r="559" spans="1:1" x14ac:dyDescent="0.25">
      <c r="A559">
        <v>657</v>
      </c>
    </row>
    <row r="560" spans="1:1" x14ac:dyDescent="0.25">
      <c r="A560">
        <v>658</v>
      </c>
    </row>
    <row r="561" spans="1:1" x14ac:dyDescent="0.25">
      <c r="A561">
        <v>659</v>
      </c>
    </row>
    <row r="562" spans="1:1" x14ac:dyDescent="0.25">
      <c r="A562">
        <v>660</v>
      </c>
    </row>
    <row r="563" spans="1:1" x14ac:dyDescent="0.25">
      <c r="A563">
        <v>661</v>
      </c>
    </row>
    <row r="564" spans="1:1" x14ac:dyDescent="0.25">
      <c r="A564">
        <v>662</v>
      </c>
    </row>
    <row r="565" spans="1:1" x14ac:dyDescent="0.25">
      <c r="A565">
        <v>663</v>
      </c>
    </row>
    <row r="566" spans="1:1" x14ac:dyDescent="0.25">
      <c r="A566">
        <v>664</v>
      </c>
    </row>
    <row r="567" spans="1:1" x14ac:dyDescent="0.25">
      <c r="A567">
        <v>665</v>
      </c>
    </row>
    <row r="568" spans="1:1" x14ac:dyDescent="0.25">
      <c r="A568">
        <v>666</v>
      </c>
    </row>
    <row r="569" spans="1:1" x14ac:dyDescent="0.25">
      <c r="A569">
        <v>667</v>
      </c>
    </row>
    <row r="570" spans="1:1" x14ac:dyDescent="0.25">
      <c r="A570">
        <v>668</v>
      </c>
    </row>
    <row r="571" spans="1:1" x14ac:dyDescent="0.25">
      <c r="A571">
        <v>669</v>
      </c>
    </row>
    <row r="572" spans="1:1" x14ac:dyDescent="0.25">
      <c r="A572">
        <v>670</v>
      </c>
    </row>
    <row r="573" spans="1:1" x14ac:dyDescent="0.25">
      <c r="A573">
        <v>671</v>
      </c>
    </row>
    <row r="574" spans="1:1" x14ac:dyDescent="0.25">
      <c r="A574">
        <v>672</v>
      </c>
    </row>
    <row r="575" spans="1:1" x14ac:dyDescent="0.25">
      <c r="A575">
        <v>673</v>
      </c>
    </row>
    <row r="576" spans="1:1" x14ac:dyDescent="0.25">
      <c r="A576">
        <v>674</v>
      </c>
    </row>
    <row r="577" spans="1:1" x14ac:dyDescent="0.25">
      <c r="A577">
        <v>675</v>
      </c>
    </row>
    <row r="578" spans="1:1" x14ac:dyDescent="0.25">
      <c r="A578">
        <v>676</v>
      </c>
    </row>
    <row r="579" spans="1:1" x14ac:dyDescent="0.25">
      <c r="A579">
        <v>677</v>
      </c>
    </row>
    <row r="580" spans="1:1" x14ac:dyDescent="0.25">
      <c r="A580">
        <v>678</v>
      </c>
    </row>
    <row r="581" spans="1:1" x14ac:dyDescent="0.25">
      <c r="A581">
        <v>679</v>
      </c>
    </row>
    <row r="582" spans="1:1" x14ac:dyDescent="0.25">
      <c r="A582">
        <v>680</v>
      </c>
    </row>
    <row r="583" spans="1:1" x14ac:dyDescent="0.25">
      <c r="A583">
        <v>681</v>
      </c>
    </row>
    <row r="584" spans="1:1" x14ac:dyDescent="0.25">
      <c r="A584">
        <v>682</v>
      </c>
    </row>
    <row r="585" spans="1:1" x14ac:dyDescent="0.25">
      <c r="A585">
        <v>683</v>
      </c>
    </row>
    <row r="586" spans="1:1" x14ac:dyDescent="0.25">
      <c r="A586">
        <v>684</v>
      </c>
    </row>
    <row r="587" spans="1:1" x14ac:dyDescent="0.25">
      <c r="A587">
        <v>685</v>
      </c>
    </row>
    <row r="588" spans="1:1" x14ac:dyDescent="0.25">
      <c r="A588">
        <v>686</v>
      </c>
    </row>
    <row r="589" spans="1:1" x14ac:dyDescent="0.25">
      <c r="A589">
        <v>687</v>
      </c>
    </row>
    <row r="590" spans="1:1" x14ac:dyDescent="0.25">
      <c r="A590">
        <v>688</v>
      </c>
    </row>
    <row r="591" spans="1:1" x14ac:dyDescent="0.25">
      <c r="A591">
        <v>689</v>
      </c>
    </row>
    <row r="592" spans="1:1" x14ac:dyDescent="0.25">
      <c r="A592">
        <v>690</v>
      </c>
    </row>
    <row r="593" spans="1:1" x14ac:dyDescent="0.25">
      <c r="A593">
        <v>691</v>
      </c>
    </row>
    <row r="594" spans="1:1" x14ac:dyDescent="0.25">
      <c r="A594">
        <v>692</v>
      </c>
    </row>
    <row r="595" spans="1:1" x14ac:dyDescent="0.25">
      <c r="A595">
        <v>693</v>
      </c>
    </row>
    <row r="596" spans="1:1" x14ac:dyDescent="0.25">
      <c r="A596">
        <v>694</v>
      </c>
    </row>
    <row r="597" spans="1:1" x14ac:dyDescent="0.25">
      <c r="A597">
        <v>695</v>
      </c>
    </row>
    <row r="598" spans="1:1" x14ac:dyDescent="0.25">
      <c r="A598">
        <v>696</v>
      </c>
    </row>
    <row r="599" spans="1:1" x14ac:dyDescent="0.25">
      <c r="A599">
        <v>697</v>
      </c>
    </row>
    <row r="600" spans="1:1" x14ac:dyDescent="0.25">
      <c r="A600">
        <v>698</v>
      </c>
    </row>
    <row r="601" spans="1:1" x14ac:dyDescent="0.25">
      <c r="A601">
        <v>699</v>
      </c>
    </row>
    <row r="602" spans="1:1" x14ac:dyDescent="0.25">
      <c r="A602">
        <v>700</v>
      </c>
    </row>
    <row r="603" spans="1:1" x14ac:dyDescent="0.25">
      <c r="A603">
        <v>701</v>
      </c>
    </row>
    <row r="604" spans="1:1" x14ac:dyDescent="0.25">
      <c r="A604">
        <v>702</v>
      </c>
    </row>
    <row r="605" spans="1:1" x14ac:dyDescent="0.25">
      <c r="A605">
        <v>703</v>
      </c>
    </row>
    <row r="606" spans="1:1" x14ac:dyDescent="0.25">
      <c r="A606">
        <v>704</v>
      </c>
    </row>
    <row r="607" spans="1:1" x14ac:dyDescent="0.25">
      <c r="A607">
        <v>705</v>
      </c>
    </row>
    <row r="608" spans="1:1" x14ac:dyDescent="0.25">
      <c r="A608">
        <v>706</v>
      </c>
    </row>
    <row r="609" spans="1:1" x14ac:dyDescent="0.25">
      <c r="A609">
        <v>707</v>
      </c>
    </row>
    <row r="610" spans="1:1" x14ac:dyDescent="0.25">
      <c r="A610">
        <v>708</v>
      </c>
    </row>
    <row r="611" spans="1:1" x14ac:dyDescent="0.25">
      <c r="A611">
        <v>709</v>
      </c>
    </row>
    <row r="612" spans="1:1" x14ac:dyDescent="0.25">
      <c r="A612">
        <v>710</v>
      </c>
    </row>
    <row r="613" spans="1:1" x14ac:dyDescent="0.25">
      <c r="A613">
        <v>711</v>
      </c>
    </row>
    <row r="614" spans="1:1" x14ac:dyDescent="0.25">
      <c r="A614">
        <v>712</v>
      </c>
    </row>
    <row r="615" spans="1:1" x14ac:dyDescent="0.25">
      <c r="A615">
        <v>713</v>
      </c>
    </row>
    <row r="616" spans="1:1" x14ac:dyDescent="0.25">
      <c r="A616">
        <v>714</v>
      </c>
    </row>
    <row r="617" spans="1:1" x14ac:dyDescent="0.25">
      <c r="A617">
        <v>715</v>
      </c>
    </row>
    <row r="618" spans="1:1" x14ac:dyDescent="0.25">
      <c r="A618">
        <v>716</v>
      </c>
    </row>
    <row r="619" spans="1:1" x14ac:dyDescent="0.25">
      <c r="A619">
        <v>717</v>
      </c>
    </row>
    <row r="620" spans="1:1" x14ac:dyDescent="0.25">
      <c r="A620">
        <v>718</v>
      </c>
    </row>
    <row r="621" spans="1:1" x14ac:dyDescent="0.25">
      <c r="A621">
        <v>719</v>
      </c>
    </row>
    <row r="622" spans="1:1" x14ac:dyDescent="0.25">
      <c r="A622">
        <v>720</v>
      </c>
    </row>
    <row r="623" spans="1:1" x14ac:dyDescent="0.25">
      <c r="A623">
        <v>721</v>
      </c>
    </row>
    <row r="624" spans="1:1" x14ac:dyDescent="0.25">
      <c r="A624">
        <v>722</v>
      </c>
    </row>
    <row r="625" spans="1:1" x14ac:dyDescent="0.25">
      <c r="A625">
        <v>723</v>
      </c>
    </row>
    <row r="626" spans="1:1" x14ac:dyDescent="0.25">
      <c r="A626">
        <v>724</v>
      </c>
    </row>
    <row r="627" spans="1:1" x14ac:dyDescent="0.25">
      <c r="A627">
        <v>725</v>
      </c>
    </row>
    <row r="628" spans="1:1" x14ac:dyDescent="0.25">
      <c r="A628">
        <v>726</v>
      </c>
    </row>
    <row r="629" spans="1:1" x14ac:dyDescent="0.25">
      <c r="A629">
        <v>727</v>
      </c>
    </row>
    <row r="630" spans="1:1" x14ac:dyDescent="0.25">
      <c r="A630">
        <v>728</v>
      </c>
    </row>
    <row r="631" spans="1:1" x14ac:dyDescent="0.25">
      <c r="A631">
        <v>729</v>
      </c>
    </row>
    <row r="632" spans="1:1" x14ac:dyDescent="0.25">
      <c r="A632">
        <v>730</v>
      </c>
    </row>
    <row r="633" spans="1:1" x14ac:dyDescent="0.25">
      <c r="A633">
        <v>731</v>
      </c>
    </row>
    <row r="634" spans="1:1" x14ac:dyDescent="0.25">
      <c r="A634">
        <v>732</v>
      </c>
    </row>
    <row r="635" spans="1:1" x14ac:dyDescent="0.25">
      <c r="A635">
        <v>733</v>
      </c>
    </row>
    <row r="636" spans="1:1" x14ac:dyDescent="0.25">
      <c r="A636">
        <v>734</v>
      </c>
    </row>
    <row r="637" spans="1:1" x14ac:dyDescent="0.25">
      <c r="A637">
        <v>735</v>
      </c>
    </row>
    <row r="638" spans="1:1" x14ac:dyDescent="0.25">
      <c r="A638">
        <v>736</v>
      </c>
    </row>
    <row r="639" spans="1:1" x14ac:dyDescent="0.25">
      <c r="A639">
        <v>737</v>
      </c>
    </row>
    <row r="640" spans="1:1" x14ac:dyDescent="0.25">
      <c r="A640">
        <v>738</v>
      </c>
    </row>
    <row r="641" spans="1:1" x14ac:dyDescent="0.25">
      <c r="A641">
        <v>739</v>
      </c>
    </row>
    <row r="642" spans="1:1" x14ac:dyDescent="0.25">
      <c r="A642">
        <v>740</v>
      </c>
    </row>
    <row r="643" spans="1:1" x14ac:dyDescent="0.25">
      <c r="A643">
        <v>741</v>
      </c>
    </row>
    <row r="644" spans="1:1" x14ac:dyDescent="0.25">
      <c r="A644">
        <v>742</v>
      </c>
    </row>
    <row r="645" spans="1:1" x14ac:dyDescent="0.25">
      <c r="A645">
        <v>743</v>
      </c>
    </row>
    <row r="646" spans="1:1" x14ac:dyDescent="0.25">
      <c r="A646">
        <v>744</v>
      </c>
    </row>
    <row r="647" spans="1:1" x14ac:dyDescent="0.25">
      <c r="A647">
        <v>745</v>
      </c>
    </row>
    <row r="648" spans="1:1" x14ac:dyDescent="0.25">
      <c r="A648">
        <v>746</v>
      </c>
    </row>
    <row r="649" spans="1:1" x14ac:dyDescent="0.25">
      <c r="A649">
        <v>747</v>
      </c>
    </row>
    <row r="650" spans="1:1" x14ac:dyDescent="0.25">
      <c r="A650">
        <v>748</v>
      </c>
    </row>
    <row r="651" spans="1:1" x14ac:dyDescent="0.25">
      <c r="A651">
        <v>749</v>
      </c>
    </row>
    <row r="652" spans="1:1" x14ac:dyDescent="0.25">
      <c r="A652">
        <v>750</v>
      </c>
    </row>
    <row r="653" spans="1:1" x14ac:dyDescent="0.25">
      <c r="A653">
        <v>751</v>
      </c>
    </row>
    <row r="654" spans="1:1" x14ac:dyDescent="0.25">
      <c r="A654">
        <v>752</v>
      </c>
    </row>
    <row r="655" spans="1:1" x14ac:dyDescent="0.25">
      <c r="A655">
        <v>753</v>
      </c>
    </row>
    <row r="656" spans="1:1" x14ac:dyDescent="0.25">
      <c r="A656">
        <v>754</v>
      </c>
    </row>
    <row r="657" spans="1:1" x14ac:dyDescent="0.25">
      <c r="A657">
        <v>755</v>
      </c>
    </row>
    <row r="658" spans="1:1" x14ac:dyDescent="0.25">
      <c r="A658">
        <v>756</v>
      </c>
    </row>
    <row r="659" spans="1:1" x14ac:dyDescent="0.25">
      <c r="A659">
        <v>757</v>
      </c>
    </row>
    <row r="660" spans="1:1" x14ac:dyDescent="0.25">
      <c r="A660">
        <v>758</v>
      </c>
    </row>
    <row r="661" spans="1:1" x14ac:dyDescent="0.25">
      <c r="A661">
        <v>759</v>
      </c>
    </row>
    <row r="662" spans="1:1" x14ac:dyDescent="0.25">
      <c r="A662">
        <v>760</v>
      </c>
    </row>
    <row r="663" spans="1:1" x14ac:dyDescent="0.25">
      <c r="A663">
        <v>761</v>
      </c>
    </row>
    <row r="664" spans="1:1" x14ac:dyDescent="0.25">
      <c r="A664">
        <v>762</v>
      </c>
    </row>
    <row r="665" spans="1:1" x14ac:dyDescent="0.25">
      <c r="A665">
        <v>763</v>
      </c>
    </row>
    <row r="666" spans="1:1" x14ac:dyDescent="0.25">
      <c r="A666">
        <v>764</v>
      </c>
    </row>
    <row r="667" spans="1:1" x14ac:dyDescent="0.25">
      <c r="A667">
        <v>765</v>
      </c>
    </row>
    <row r="668" spans="1:1" x14ac:dyDescent="0.25">
      <c r="A668">
        <v>766</v>
      </c>
    </row>
    <row r="669" spans="1:1" x14ac:dyDescent="0.25">
      <c r="A669">
        <v>767</v>
      </c>
    </row>
    <row r="670" spans="1:1" x14ac:dyDescent="0.25">
      <c r="A670">
        <v>768</v>
      </c>
    </row>
    <row r="671" spans="1:1" x14ac:dyDescent="0.25">
      <c r="A671">
        <v>769</v>
      </c>
    </row>
    <row r="672" spans="1:1" x14ac:dyDescent="0.25">
      <c r="A672">
        <v>770</v>
      </c>
    </row>
    <row r="673" spans="1:1" x14ac:dyDescent="0.25">
      <c r="A673">
        <v>771</v>
      </c>
    </row>
    <row r="674" spans="1:1" x14ac:dyDescent="0.25">
      <c r="A674">
        <v>772</v>
      </c>
    </row>
    <row r="675" spans="1:1" x14ac:dyDescent="0.25">
      <c r="A675">
        <v>773</v>
      </c>
    </row>
    <row r="676" spans="1:1" x14ac:dyDescent="0.25">
      <c r="A676">
        <v>774</v>
      </c>
    </row>
    <row r="677" spans="1:1" x14ac:dyDescent="0.25">
      <c r="A677">
        <v>775</v>
      </c>
    </row>
    <row r="678" spans="1:1" x14ac:dyDescent="0.25">
      <c r="A678">
        <v>776</v>
      </c>
    </row>
    <row r="679" spans="1:1" x14ac:dyDescent="0.25">
      <c r="A679">
        <v>777</v>
      </c>
    </row>
    <row r="680" spans="1:1" x14ac:dyDescent="0.25">
      <c r="A680">
        <v>778</v>
      </c>
    </row>
    <row r="681" spans="1:1" x14ac:dyDescent="0.25">
      <c r="A681">
        <v>779</v>
      </c>
    </row>
    <row r="682" spans="1:1" x14ac:dyDescent="0.25">
      <c r="A682">
        <v>780</v>
      </c>
    </row>
    <row r="683" spans="1:1" x14ac:dyDescent="0.25">
      <c r="A683">
        <v>781</v>
      </c>
    </row>
    <row r="684" spans="1:1" x14ac:dyDescent="0.25">
      <c r="A684">
        <v>782</v>
      </c>
    </row>
    <row r="685" spans="1:1" x14ac:dyDescent="0.25">
      <c r="A685">
        <v>783</v>
      </c>
    </row>
    <row r="686" spans="1:1" x14ac:dyDescent="0.25">
      <c r="A686">
        <v>784</v>
      </c>
    </row>
    <row r="687" spans="1:1" x14ac:dyDescent="0.25">
      <c r="A687">
        <v>785</v>
      </c>
    </row>
    <row r="688" spans="1:1" x14ac:dyDescent="0.25">
      <c r="A688">
        <v>786</v>
      </c>
    </row>
    <row r="689" spans="1:1" x14ac:dyDescent="0.25">
      <c r="A689">
        <v>787</v>
      </c>
    </row>
    <row r="690" spans="1:1" x14ac:dyDescent="0.25">
      <c r="A690">
        <v>788</v>
      </c>
    </row>
    <row r="691" spans="1:1" x14ac:dyDescent="0.25">
      <c r="A691">
        <v>789</v>
      </c>
    </row>
    <row r="692" spans="1:1" x14ac:dyDescent="0.25">
      <c r="A692">
        <v>790</v>
      </c>
    </row>
    <row r="693" spans="1:1" x14ac:dyDescent="0.25">
      <c r="A693">
        <v>791</v>
      </c>
    </row>
    <row r="694" spans="1:1" x14ac:dyDescent="0.25">
      <c r="A694">
        <v>792</v>
      </c>
    </row>
    <row r="695" spans="1:1" x14ac:dyDescent="0.25">
      <c r="A695">
        <v>793</v>
      </c>
    </row>
    <row r="696" spans="1:1" x14ac:dyDescent="0.25">
      <c r="A696">
        <v>794</v>
      </c>
    </row>
    <row r="697" spans="1:1" x14ac:dyDescent="0.25">
      <c r="A697">
        <v>795</v>
      </c>
    </row>
    <row r="698" spans="1:1" x14ac:dyDescent="0.25">
      <c r="A698">
        <v>796</v>
      </c>
    </row>
    <row r="699" spans="1:1" x14ac:dyDescent="0.25">
      <c r="A699">
        <v>797</v>
      </c>
    </row>
    <row r="700" spans="1:1" x14ac:dyDescent="0.25">
      <c r="A700">
        <v>798</v>
      </c>
    </row>
    <row r="701" spans="1:1" x14ac:dyDescent="0.25">
      <c r="A701">
        <v>799</v>
      </c>
    </row>
    <row r="702" spans="1:1" x14ac:dyDescent="0.25">
      <c r="A702">
        <v>800</v>
      </c>
    </row>
    <row r="703" spans="1:1" x14ac:dyDescent="0.25">
      <c r="A703">
        <v>801</v>
      </c>
    </row>
    <row r="704" spans="1:1" x14ac:dyDescent="0.25">
      <c r="A704">
        <v>802</v>
      </c>
    </row>
    <row r="705" spans="1:1" x14ac:dyDescent="0.25">
      <c r="A705">
        <v>803</v>
      </c>
    </row>
    <row r="706" spans="1:1" x14ac:dyDescent="0.25">
      <c r="A706">
        <v>804</v>
      </c>
    </row>
    <row r="707" spans="1:1" x14ac:dyDescent="0.25">
      <c r="A707">
        <v>805</v>
      </c>
    </row>
    <row r="708" spans="1:1" x14ac:dyDescent="0.25">
      <c r="A708">
        <v>806</v>
      </c>
    </row>
    <row r="709" spans="1:1" x14ac:dyDescent="0.25">
      <c r="A709">
        <v>807</v>
      </c>
    </row>
    <row r="710" spans="1:1" x14ac:dyDescent="0.25">
      <c r="A710">
        <v>808</v>
      </c>
    </row>
    <row r="711" spans="1:1" x14ac:dyDescent="0.25">
      <c r="A711">
        <v>809</v>
      </c>
    </row>
    <row r="712" spans="1:1" x14ac:dyDescent="0.25">
      <c r="A712">
        <v>810</v>
      </c>
    </row>
    <row r="713" spans="1:1" x14ac:dyDescent="0.25">
      <c r="A713">
        <v>811</v>
      </c>
    </row>
    <row r="714" spans="1:1" x14ac:dyDescent="0.25">
      <c r="A714">
        <v>812</v>
      </c>
    </row>
    <row r="715" spans="1:1" x14ac:dyDescent="0.25">
      <c r="A715">
        <v>813</v>
      </c>
    </row>
    <row r="716" spans="1:1" x14ac:dyDescent="0.25">
      <c r="A716">
        <v>814</v>
      </c>
    </row>
    <row r="717" spans="1:1" x14ac:dyDescent="0.25">
      <c r="A717">
        <v>815</v>
      </c>
    </row>
    <row r="718" spans="1:1" x14ac:dyDescent="0.25">
      <c r="A718">
        <v>816</v>
      </c>
    </row>
    <row r="719" spans="1:1" x14ac:dyDescent="0.25">
      <c r="A719">
        <v>817</v>
      </c>
    </row>
    <row r="720" spans="1:1" x14ac:dyDescent="0.25">
      <c r="A720">
        <v>818</v>
      </c>
    </row>
    <row r="721" spans="1:1" x14ac:dyDescent="0.25">
      <c r="A721">
        <v>819</v>
      </c>
    </row>
    <row r="722" spans="1:1" x14ac:dyDescent="0.25">
      <c r="A722">
        <v>820</v>
      </c>
    </row>
    <row r="723" spans="1:1" x14ac:dyDescent="0.25">
      <c r="A723">
        <v>821</v>
      </c>
    </row>
    <row r="724" spans="1:1" x14ac:dyDescent="0.25">
      <c r="A724">
        <v>822</v>
      </c>
    </row>
    <row r="725" spans="1:1" x14ac:dyDescent="0.25">
      <c r="A725">
        <v>823</v>
      </c>
    </row>
    <row r="726" spans="1:1" x14ac:dyDescent="0.25">
      <c r="A726">
        <v>824</v>
      </c>
    </row>
    <row r="727" spans="1:1" x14ac:dyDescent="0.25">
      <c r="A727">
        <v>825</v>
      </c>
    </row>
    <row r="728" spans="1:1" x14ac:dyDescent="0.25">
      <c r="A728">
        <v>826</v>
      </c>
    </row>
    <row r="729" spans="1:1" x14ac:dyDescent="0.25">
      <c r="A729">
        <v>827</v>
      </c>
    </row>
    <row r="730" spans="1:1" x14ac:dyDescent="0.25">
      <c r="A730">
        <v>828</v>
      </c>
    </row>
    <row r="731" spans="1:1" x14ac:dyDescent="0.25">
      <c r="A731">
        <v>829</v>
      </c>
    </row>
    <row r="732" spans="1:1" x14ac:dyDescent="0.25">
      <c r="A732">
        <v>830</v>
      </c>
    </row>
    <row r="733" spans="1:1" x14ac:dyDescent="0.25">
      <c r="A733">
        <v>831</v>
      </c>
    </row>
    <row r="734" spans="1:1" x14ac:dyDescent="0.25">
      <c r="A734">
        <v>832</v>
      </c>
    </row>
    <row r="735" spans="1:1" x14ac:dyDescent="0.25">
      <c r="A735">
        <v>833</v>
      </c>
    </row>
    <row r="736" spans="1:1" x14ac:dyDescent="0.25">
      <c r="A736">
        <v>834</v>
      </c>
    </row>
    <row r="737" spans="1:1" x14ac:dyDescent="0.25">
      <c r="A737">
        <v>835</v>
      </c>
    </row>
    <row r="738" spans="1:1" x14ac:dyDescent="0.25">
      <c r="A738">
        <v>836</v>
      </c>
    </row>
    <row r="739" spans="1:1" x14ac:dyDescent="0.25">
      <c r="A739">
        <v>837</v>
      </c>
    </row>
    <row r="740" spans="1:1" x14ac:dyDescent="0.25">
      <c r="A740">
        <v>838</v>
      </c>
    </row>
    <row r="741" spans="1:1" x14ac:dyDescent="0.25">
      <c r="A741">
        <v>839</v>
      </c>
    </row>
    <row r="742" spans="1:1" x14ac:dyDescent="0.25">
      <c r="A742">
        <v>840</v>
      </c>
    </row>
    <row r="743" spans="1:1" x14ac:dyDescent="0.25">
      <c r="A743">
        <v>841</v>
      </c>
    </row>
    <row r="744" spans="1:1" x14ac:dyDescent="0.25">
      <c r="A744">
        <v>842</v>
      </c>
    </row>
    <row r="745" spans="1:1" x14ac:dyDescent="0.25">
      <c r="A745">
        <v>843</v>
      </c>
    </row>
    <row r="746" spans="1:1" x14ac:dyDescent="0.25">
      <c r="A746">
        <v>844</v>
      </c>
    </row>
    <row r="747" spans="1:1" x14ac:dyDescent="0.25">
      <c r="A747">
        <v>845</v>
      </c>
    </row>
    <row r="748" spans="1:1" x14ac:dyDescent="0.25">
      <c r="A748">
        <v>846</v>
      </c>
    </row>
    <row r="749" spans="1:1" x14ac:dyDescent="0.25">
      <c r="A749">
        <v>847</v>
      </c>
    </row>
    <row r="750" spans="1:1" x14ac:dyDescent="0.25">
      <c r="A750">
        <v>848</v>
      </c>
    </row>
    <row r="751" spans="1:1" x14ac:dyDescent="0.25">
      <c r="A751">
        <v>849</v>
      </c>
    </row>
    <row r="752" spans="1:1" x14ac:dyDescent="0.25">
      <c r="A752">
        <v>850</v>
      </c>
    </row>
    <row r="753" spans="1:1" x14ac:dyDescent="0.25">
      <c r="A753">
        <v>851</v>
      </c>
    </row>
    <row r="754" spans="1:1" x14ac:dyDescent="0.25">
      <c r="A754">
        <v>852</v>
      </c>
    </row>
    <row r="755" spans="1:1" x14ac:dyDescent="0.25">
      <c r="A755">
        <v>853</v>
      </c>
    </row>
    <row r="756" spans="1:1" x14ac:dyDescent="0.25">
      <c r="A756">
        <v>854</v>
      </c>
    </row>
    <row r="757" spans="1:1" x14ac:dyDescent="0.25">
      <c r="A757">
        <v>855</v>
      </c>
    </row>
    <row r="758" spans="1:1" x14ac:dyDescent="0.25">
      <c r="A758">
        <v>856</v>
      </c>
    </row>
    <row r="759" spans="1:1" x14ac:dyDescent="0.25">
      <c r="A759">
        <v>857</v>
      </c>
    </row>
    <row r="760" spans="1:1" x14ac:dyDescent="0.25">
      <c r="A760">
        <v>858</v>
      </c>
    </row>
    <row r="761" spans="1:1" x14ac:dyDescent="0.25">
      <c r="A761">
        <v>859</v>
      </c>
    </row>
    <row r="762" spans="1:1" x14ac:dyDescent="0.25">
      <c r="A762">
        <v>860</v>
      </c>
    </row>
    <row r="763" spans="1:1" x14ac:dyDescent="0.25">
      <c r="A763">
        <v>861</v>
      </c>
    </row>
    <row r="764" spans="1:1" x14ac:dyDescent="0.25">
      <c r="A764">
        <v>862</v>
      </c>
    </row>
    <row r="765" spans="1:1" x14ac:dyDescent="0.25">
      <c r="A765">
        <v>863</v>
      </c>
    </row>
    <row r="766" spans="1:1" x14ac:dyDescent="0.25">
      <c r="A766">
        <v>864</v>
      </c>
    </row>
    <row r="767" spans="1:1" x14ac:dyDescent="0.25">
      <c r="A767">
        <v>865</v>
      </c>
    </row>
    <row r="768" spans="1:1" x14ac:dyDescent="0.25">
      <c r="A768">
        <v>866</v>
      </c>
    </row>
    <row r="769" spans="1:1" x14ac:dyDescent="0.25">
      <c r="A769">
        <v>867</v>
      </c>
    </row>
    <row r="770" spans="1:1" x14ac:dyDescent="0.25">
      <c r="A770">
        <v>868</v>
      </c>
    </row>
    <row r="771" spans="1:1" x14ac:dyDescent="0.25">
      <c r="A771">
        <v>869</v>
      </c>
    </row>
    <row r="772" spans="1:1" x14ac:dyDescent="0.25">
      <c r="A772">
        <v>870</v>
      </c>
    </row>
    <row r="773" spans="1:1" x14ac:dyDescent="0.25">
      <c r="A773">
        <v>871</v>
      </c>
    </row>
    <row r="774" spans="1:1" x14ac:dyDescent="0.25">
      <c r="A774">
        <v>872</v>
      </c>
    </row>
    <row r="775" spans="1:1" x14ac:dyDescent="0.25">
      <c r="A775">
        <v>873</v>
      </c>
    </row>
    <row r="776" spans="1:1" x14ac:dyDescent="0.25">
      <c r="A776">
        <v>874</v>
      </c>
    </row>
    <row r="777" spans="1:1" x14ac:dyDescent="0.25">
      <c r="A777">
        <v>875</v>
      </c>
    </row>
    <row r="778" spans="1:1" x14ac:dyDescent="0.25">
      <c r="A778">
        <v>876</v>
      </c>
    </row>
    <row r="779" spans="1:1" x14ac:dyDescent="0.25">
      <c r="A779">
        <v>877</v>
      </c>
    </row>
    <row r="780" spans="1:1" x14ac:dyDescent="0.25">
      <c r="A780">
        <v>878</v>
      </c>
    </row>
    <row r="781" spans="1:1" x14ac:dyDescent="0.25">
      <c r="A781">
        <v>879</v>
      </c>
    </row>
    <row r="782" spans="1:1" x14ac:dyDescent="0.25">
      <c r="A782">
        <v>880</v>
      </c>
    </row>
    <row r="783" spans="1:1" x14ac:dyDescent="0.25">
      <c r="A783">
        <v>881</v>
      </c>
    </row>
    <row r="784" spans="1:1" x14ac:dyDescent="0.25">
      <c r="A784">
        <v>882</v>
      </c>
    </row>
    <row r="785" spans="1:1" x14ac:dyDescent="0.25">
      <c r="A785">
        <v>883</v>
      </c>
    </row>
    <row r="786" spans="1:1" x14ac:dyDescent="0.25">
      <c r="A786">
        <v>884</v>
      </c>
    </row>
    <row r="787" spans="1:1" x14ac:dyDescent="0.25">
      <c r="A787">
        <v>885</v>
      </c>
    </row>
    <row r="788" spans="1:1" x14ac:dyDescent="0.25">
      <c r="A788">
        <v>886</v>
      </c>
    </row>
    <row r="789" spans="1:1" x14ac:dyDescent="0.25">
      <c r="A789">
        <v>887</v>
      </c>
    </row>
    <row r="790" spans="1:1" x14ac:dyDescent="0.25">
      <c r="A790">
        <v>888</v>
      </c>
    </row>
    <row r="791" spans="1:1" x14ac:dyDescent="0.25">
      <c r="A791">
        <v>889</v>
      </c>
    </row>
    <row r="792" spans="1:1" x14ac:dyDescent="0.25">
      <c r="A792">
        <v>890</v>
      </c>
    </row>
    <row r="793" spans="1:1" x14ac:dyDescent="0.25">
      <c r="A793">
        <v>891</v>
      </c>
    </row>
    <row r="794" spans="1:1" x14ac:dyDescent="0.25">
      <c r="A794">
        <v>892</v>
      </c>
    </row>
    <row r="795" spans="1:1" x14ac:dyDescent="0.25">
      <c r="A795">
        <v>893</v>
      </c>
    </row>
    <row r="796" spans="1:1" x14ac:dyDescent="0.25">
      <c r="A796">
        <v>894</v>
      </c>
    </row>
    <row r="797" spans="1:1" x14ac:dyDescent="0.25">
      <c r="A797">
        <v>895</v>
      </c>
    </row>
    <row r="798" spans="1:1" x14ac:dyDescent="0.25">
      <c r="A798">
        <v>896</v>
      </c>
    </row>
    <row r="799" spans="1:1" x14ac:dyDescent="0.25">
      <c r="A799">
        <v>897</v>
      </c>
    </row>
    <row r="800" spans="1:1" x14ac:dyDescent="0.25">
      <c r="A800">
        <v>898</v>
      </c>
    </row>
    <row r="801" spans="1:1" x14ac:dyDescent="0.25">
      <c r="A801">
        <v>899</v>
      </c>
    </row>
    <row r="802" spans="1:1" x14ac:dyDescent="0.25">
      <c r="A802">
        <v>900</v>
      </c>
    </row>
    <row r="803" spans="1:1" x14ac:dyDescent="0.25">
      <c r="A803">
        <v>901</v>
      </c>
    </row>
    <row r="804" spans="1:1" x14ac:dyDescent="0.25">
      <c r="A804">
        <v>902</v>
      </c>
    </row>
    <row r="805" spans="1:1" x14ac:dyDescent="0.25">
      <c r="A805">
        <v>903</v>
      </c>
    </row>
    <row r="806" spans="1:1" x14ac:dyDescent="0.25">
      <c r="A806">
        <v>904</v>
      </c>
    </row>
    <row r="807" spans="1:1" x14ac:dyDescent="0.25">
      <c r="A807">
        <v>905</v>
      </c>
    </row>
    <row r="808" spans="1:1" x14ac:dyDescent="0.25">
      <c r="A808">
        <v>906</v>
      </c>
    </row>
    <row r="809" spans="1:1" x14ac:dyDescent="0.25">
      <c r="A809">
        <v>907</v>
      </c>
    </row>
    <row r="810" spans="1:1" x14ac:dyDescent="0.25">
      <c r="A810">
        <v>908</v>
      </c>
    </row>
    <row r="811" spans="1:1" x14ac:dyDescent="0.25">
      <c r="A811">
        <v>909</v>
      </c>
    </row>
    <row r="812" spans="1:1" x14ac:dyDescent="0.25">
      <c r="A812">
        <v>910</v>
      </c>
    </row>
    <row r="813" spans="1:1" x14ac:dyDescent="0.25">
      <c r="A813">
        <v>911</v>
      </c>
    </row>
    <row r="814" spans="1:1" x14ac:dyDescent="0.25">
      <c r="A814">
        <v>912</v>
      </c>
    </row>
    <row r="815" spans="1:1" x14ac:dyDescent="0.25">
      <c r="A815">
        <v>913</v>
      </c>
    </row>
    <row r="816" spans="1:1" x14ac:dyDescent="0.25">
      <c r="A816">
        <v>914</v>
      </c>
    </row>
    <row r="817" spans="1:1" x14ac:dyDescent="0.25">
      <c r="A817">
        <v>915</v>
      </c>
    </row>
    <row r="818" spans="1:1" x14ac:dyDescent="0.25">
      <c r="A818">
        <v>916</v>
      </c>
    </row>
    <row r="819" spans="1:1" x14ac:dyDescent="0.25">
      <c r="A819">
        <v>917</v>
      </c>
    </row>
    <row r="820" spans="1:1" x14ac:dyDescent="0.25">
      <c r="A820">
        <v>918</v>
      </c>
    </row>
    <row r="821" spans="1:1" x14ac:dyDescent="0.25">
      <c r="A821">
        <v>919</v>
      </c>
    </row>
    <row r="822" spans="1:1" x14ac:dyDescent="0.25">
      <c r="A822">
        <v>920</v>
      </c>
    </row>
    <row r="823" spans="1:1" x14ac:dyDescent="0.25">
      <c r="A823">
        <v>921</v>
      </c>
    </row>
    <row r="824" spans="1:1" x14ac:dyDescent="0.25">
      <c r="A824">
        <v>922</v>
      </c>
    </row>
    <row r="825" spans="1:1" x14ac:dyDescent="0.25">
      <c r="A825">
        <v>923</v>
      </c>
    </row>
    <row r="826" spans="1:1" x14ac:dyDescent="0.25">
      <c r="A826">
        <v>924</v>
      </c>
    </row>
    <row r="827" spans="1:1" x14ac:dyDescent="0.25">
      <c r="A827">
        <v>925</v>
      </c>
    </row>
    <row r="828" spans="1:1" x14ac:dyDescent="0.25">
      <c r="A828">
        <v>926</v>
      </c>
    </row>
    <row r="829" spans="1:1" x14ac:dyDescent="0.25">
      <c r="A829">
        <v>927</v>
      </c>
    </row>
    <row r="830" spans="1:1" x14ac:dyDescent="0.25">
      <c r="A830">
        <v>928</v>
      </c>
    </row>
    <row r="831" spans="1:1" x14ac:dyDescent="0.25">
      <c r="A831">
        <v>929</v>
      </c>
    </row>
    <row r="832" spans="1:1" x14ac:dyDescent="0.25">
      <c r="A832">
        <v>930</v>
      </c>
    </row>
    <row r="833" spans="1:1" x14ac:dyDescent="0.25">
      <c r="A833">
        <v>931</v>
      </c>
    </row>
    <row r="834" spans="1:1" x14ac:dyDescent="0.25">
      <c r="A834">
        <v>932</v>
      </c>
    </row>
    <row r="835" spans="1:1" x14ac:dyDescent="0.25">
      <c r="A835">
        <v>933</v>
      </c>
    </row>
    <row r="836" spans="1:1" x14ac:dyDescent="0.25">
      <c r="A836">
        <v>934</v>
      </c>
    </row>
    <row r="837" spans="1:1" x14ac:dyDescent="0.25">
      <c r="A837">
        <v>935</v>
      </c>
    </row>
    <row r="838" spans="1:1" x14ac:dyDescent="0.25">
      <c r="A838">
        <v>936</v>
      </c>
    </row>
    <row r="839" spans="1:1" x14ac:dyDescent="0.25">
      <c r="A839">
        <v>937</v>
      </c>
    </row>
    <row r="840" spans="1:1" x14ac:dyDescent="0.25">
      <c r="A840">
        <v>938</v>
      </c>
    </row>
    <row r="841" spans="1:1" x14ac:dyDescent="0.25">
      <c r="A841">
        <v>939</v>
      </c>
    </row>
    <row r="842" spans="1:1" x14ac:dyDescent="0.25">
      <c r="A842">
        <v>940</v>
      </c>
    </row>
    <row r="843" spans="1:1" x14ac:dyDescent="0.25">
      <c r="A843">
        <v>941</v>
      </c>
    </row>
    <row r="844" spans="1:1" x14ac:dyDescent="0.25">
      <c r="A844">
        <v>942</v>
      </c>
    </row>
    <row r="845" spans="1:1" x14ac:dyDescent="0.25">
      <c r="A845">
        <v>943</v>
      </c>
    </row>
    <row r="846" spans="1:1" x14ac:dyDescent="0.25">
      <c r="A846">
        <v>944</v>
      </c>
    </row>
    <row r="847" spans="1:1" x14ac:dyDescent="0.25">
      <c r="A847">
        <v>945</v>
      </c>
    </row>
    <row r="848" spans="1:1" x14ac:dyDescent="0.25">
      <c r="A848">
        <v>946</v>
      </c>
    </row>
    <row r="849" spans="1:1" x14ac:dyDescent="0.25">
      <c r="A849">
        <v>947</v>
      </c>
    </row>
    <row r="850" spans="1:1" x14ac:dyDescent="0.25">
      <c r="A850">
        <v>948</v>
      </c>
    </row>
    <row r="851" spans="1:1" x14ac:dyDescent="0.25">
      <c r="A851">
        <v>949</v>
      </c>
    </row>
    <row r="852" spans="1:1" x14ac:dyDescent="0.25">
      <c r="A852">
        <v>950</v>
      </c>
    </row>
    <row r="853" spans="1:1" x14ac:dyDescent="0.25">
      <c r="A853">
        <v>951</v>
      </c>
    </row>
    <row r="854" spans="1:1" x14ac:dyDescent="0.25">
      <c r="A854">
        <v>952</v>
      </c>
    </row>
    <row r="855" spans="1:1" x14ac:dyDescent="0.25">
      <c r="A855">
        <v>953</v>
      </c>
    </row>
    <row r="856" spans="1:1" x14ac:dyDescent="0.25">
      <c r="A856">
        <v>954</v>
      </c>
    </row>
    <row r="857" spans="1:1" x14ac:dyDescent="0.25">
      <c r="A857">
        <v>955</v>
      </c>
    </row>
    <row r="858" spans="1:1" x14ac:dyDescent="0.25">
      <c r="A858">
        <v>956</v>
      </c>
    </row>
    <row r="859" spans="1:1" x14ac:dyDescent="0.25">
      <c r="A859">
        <v>957</v>
      </c>
    </row>
    <row r="860" spans="1:1" x14ac:dyDescent="0.25">
      <c r="A860">
        <v>958</v>
      </c>
    </row>
    <row r="861" spans="1:1" x14ac:dyDescent="0.25">
      <c r="A861">
        <v>959</v>
      </c>
    </row>
    <row r="862" spans="1:1" x14ac:dyDescent="0.25">
      <c r="A862">
        <v>960</v>
      </c>
    </row>
    <row r="863" spans="1:1" x14ac:dyDescent="0.25">
      <c r="A863">
        <v>961</v>
      </c>
    </row>
    <row r="864" spans="1:1" x14ac:dyDescent="0.25">
      <c r="A864">
        <v>962</v>
      </c>
    </row>
    <row r="865" spans="1:1" x14ac:dyDescent="0.25">
      <c r="A865">
        <v>963</v>
      </c>
    </row>
    <row r="866" spans="1:1" x14ac:dyDescent="0.25">
      <c r="A866">
        <v>964</v>
      </c>
    </row>
    <row r="867" spans="1:1" x14ac:dyDescent="0.25">
      <c r="A867">
        <v>965</v>
      </c>
    </row>
    <row r="868" spans="1:1" x14ac:dyDescent="0.25">
      <c r="A868">
        <v>966</v>
      </c>
    </row>
    <row r="869" spans="1:1" x14ac:dyDescent="0.25">
      <c r="A869">
        <v>967</v>
      </c>
    </row>
    <row r="870" spans="1:1" x14ac:dyDescent="0.25">
      <c r="A870">
        <v>968</v>
      </c>
    </row>
    <row r="871" spans="1:1" x14ac:dyDescent="0.25">
      <c r="A871">
        <v>969</v>
      </c>
    </row>
    <row r="872" spans="1:1" x14ac:dyDescent="0.25">
      <c r="A872">
        <v>970</v>
      </c>
    </row>
    <row r="873" spans="1:1" x14ac:dyDescent="0.25">
      <c r="A873">
        <v>971</v>
      </c>
    </row>
    <row r="874" spans="1:1" x14ac:dyDescent="0.25">
      <c r="A874">
        <v>972</v>
      </c>
    </row>
    <row r="875" spans="1:1" x14ac:dyDescent="0.25">
      <c r="A875">
        <v>973</v>
      </c>
    </row>
    <row r="876" spans="1:1" x14ac:dyDescent="0.25">
      <c r="A876">
        <v>974</v>
      </c>
    </row>
    <row r="877" spans="1:1" x14ac:dyDescent="0.25">
      <c r="A877">
        <v>975</v>
      </c>
    </row>
    <row r="878" spans="1:1" x14ac:dyDescent="0.25">
      <c r="A878">
        <v>976</v>
      </c>
    </row>
    <row r="879" spans="1:1" x14ac:dyDescent="0.25">
      <c r="A879">
        <v>977</v>
      </c>
    </row>
    <row r="880" spans="1:1" x14ac:dyDescent="0.25">
      <c r="A880">
        <v>978</v>
      </c>
    </row>
    <row r="881" spans="1:1" x14ac:dyDescent="0.25">
      <c r="A881">
        <v>979</v>
      </c>
    </row>
    <row r="882" spans="1:1" x14ac:dyDescent="0.25">
      <c r="A882">
        <v>980</v>
      </c>
    </row>
    <row r="883" spans="1:1" x14ac:dyDescent="0.25">
      <c r="A883">
        <v>981</v>
      </c>
    </row>
    <row r="884" spans="1:1" x14ac:dyDescent="0.25">
      <c r="A884">
        <v>982</v>
      </c>
    </row>
    <row r="885" spans="1:1" x14ac:dyDescent="0.25">
      <c r="A885">
        <v>983</v>
      </c>
    </row>
    <row r="886" spans="1:1" x14ac:dyDescent="0.25">
      <c r="A886">
        <v>984</v>
      </c>
    </row>
    <row r="887" spans="1:1" x14ac:dyDescent="0.25">
      <c r="A887">
        <v>985</v>
      </c>
    </row>
    <row r="888" spans="1:1" x14ac:dyDescent="0.25">
      <c r="A888">
        <v>986</v>
      </c>
    </row>
    <row r="889" spans="1:1" x14ac:dyDescent="0.25">
      <c r="A889">
        <v>987</v>
      </c>
    </row>
    <row r="890" spans="1:1" x14ac:dyDescent="0.25">
      <c r="A890">
        <v>988</v>
      </c>
    </row>
    <row r="891" spans="1:1" x14ac:dyDescent="0.25">
      <c r="A891">
        <v>989</v>
      </c>
    </row>
    <row r="892" spans="1:1" x14ac:dyDescent="0.25">
      <c r="A892">
        <v>990</v>
      </c>
    </row>
    <row r="893" spans="1:1" x14ac:dyDescent="0.25">
      <c r="A893">
        <v>991</v>
      </c>
    </row>
    <row r="894" spans="1:1" x14ac:dyDescent="0.25">
      <c r="A894">
        <v>992</v>
      </c>
    </row>
    <row r="895" spans="1:1" x14ac:dyDescent="0.25">
      <c r="A895">
        <v>993</v>
      </c>
    </row>
    <row r="896" spans="1:1" x14ac:dyDescent="0.25">
      <c r="A896">
        <v>994</v>
      </c>
    </row>
    <row r="897" spans="1:1" x14ac:dyDescent="0.25">
      <c r="A897">
        <v>995</v>
      </c>
    </row>
    <row r="898" spans="1:1" x14ac:dyDescent="0.25">
      <c r="A898">
        <v>996</v>
      </c>
    </row>
    <row r="899" spans="1:1" x14ac:dyDescent="0.25">
      <c r="A899">
        <v>997</v>
      </c>
    </row>
    <row r="900" spans="1:1" x14ac:dyDescent="0.25">
      <c r="A900">
        <v>998</v>
      </c>
    </row>
    <row r="901" spans="1:1" x14ac:dyDescent="0.25">
      <c r="A901">
        <v>999</v>
      </c>
    </row>
    <row r="902" spans="1:1" x14ac:dyDescent="0.25">
      <c r="A902">
        <v>1000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2:A902"/>
  <sheetViews>
    <sheetView workbookViewId="0"/>
  </sheetViews>
  <sheetFormatPr defaultColWidth="9.140625" defaultRowHeight="15" x14ac:dyDescent="0.25"/>
  <cols>
    <col min="1" max="16384" width="9.140625" style="24"/>
  </cols>
  <sheetData>
    <row r="2" spans="1:1" x14ac:dyDescent="0.25">
      <c r="A2" s="24">
        <v>100</v>
      </c>
    </row>
    <row r="3" spans="1:1" x14ac:dyDescent="0.25">
      <c r="A3" s="24">
        <v>101</v>
      </c>
    </row>
    <row r="4" spans="1:1" x14ac:dyDescent="0.25">
      <c r="A4" s="24">
        <v>102</v>
      </c>
    </row>
    <row r="5" spans="1:1" x14ac:dyDescent="0.25">
      <c r="A5" s="24">
        <v>103</v>
      </c>
    </row>
    <row r="6" spans="1:1" x14ac:dyDescent="0.25">
      <c r="A6" s="24">
        <v>104</v>
      </c>
    </row>
    <row r="7" spans="1:1" x14ac:dyDescent="0.25">
      <c r="A7" s="24">
        <v>105</v>
      </c>
    </row>
    <row r="8" spans="1:1" x14ac:dyDescent="0.25">
      <c r="A8" s="24">
        <v>106</v>
      </c>
    </row>
    <row r="9" spans="1:1" x14ac:dyDescent="0.25">
      <c r="A9" s="24">
        <v>107</v>
      </c>
    </row>
    <row r="10" spans="1:1" x14ac:dyDescent="0.25">
      <c r="A10" s="24">
        <v>108</v>
      </c>
    </row>
    <row r="11" spans="1:1" x14ac:dyDescent="0.25">
      <c r="A11" s="24">
        <v>109</v>
      </c>
    </row>
    <row r="12" spans="1:1" x14ac:dyDescent="0.25">
      <c r="A12" s="24">
        <v>110</v>
      </c>
    </row>
    <row r="13" spans="1:1" x14ac:dyDescent="0.25">
      <c r="A13" s="24">
        <v>111</v>
      </c>
    </row>
    <row r="14" spans="1:1" x14ac:dyDescent="0.25">
      <c r="A14" s="24">
        <v>112</v>
      </c>
    </row>
    <row r="15" spans="1:1" x14ac:dyDescent="0.25">
      <c r="A15" s="24">
        <v>113</v>
      </c>
    </row>
    <row r="16" spans="1:1" x14ac:dyDescent="0.25">
      <c r="A16" s="24">
        <v>114</v>
      </c>
    </row>
    <row r="17" spans="1:1" x14ac:dyDescent="0.25">
      <c r="A17" s="24">
        <v>115</v>
      </c>
    </row>
    <row r="18" spans="1:1" x14ac:dyDescent="0.25">
      <c r="A18" s="24">
        <v>116</v>
      </c>
    </row>
    <row r="19" spans="1:1" x14ac:dyDescent="0.25">
      <c r="A19" s="24">
        <v>117</v>
      </c>
    </row>
    <row r="20" spans="1:1" x14ac:dyDescent="0.25">
      <c r="A20" s="24">
        <v>118</v>
      </c>
    </row>
    <row r="21" spans="1:1" x14ac:dyDescent="0.25">
      <c r="A21" s="24">
        <v>119</v>
      </c>
    </row>
    <row r="22" spans="1:1" x14ac:dyDescent="0.25">
      <c r="A22" s="24">
        <v>120</v>
      </c>
    </row>
    <row r="23" spans="1:1" x14ac:dyDescent="0.25">
      <c r="A23" s="24">
        <v>121</v>
      </c>
    </row>
    <row r="24" spans="1:1" x14ac:dyDescent="0.25">
      <c r="A24" s="24">
        <v>122</v>
      </c>
    </row>
    <row r="25" spans="1:1" x14ac:dyDescent="0.25">
      <c r="A25" s="24">
        <v>123</v>
      </c>
    </row>
    <row r="26" spans="1:1" x14ac:dyDescent="0.25">
      <c r="A26" s="24">
        <v>124</v>
      </c>
    </row>
    <row r="27" spans="1:1" x14ac:dyDescent="0.25">
      <c r="A27" s="24">
        <v>125</v>
      </c>
    </row>
    <row r="28" spans="1:1" x14ac:dyDescent="0.25">
      <c r="A28" s="24">
        <v>126</v>
      </c>
    </row>
    <row r="29" spans="1:1" x14ac:dyDescent="0.25">
      <c r="A29" s="24">
        <v>127</v>
      </c>
    </row>
    <row r="30" spans="1:1" x14ac:dyDescent="0.25">
      <c r="A30" s="24">
        <v>128</v>
      </c>
    </row>
    <row r="31" spans="1:1" x14ac:dyDescent="0.25">
      <c r="A31" s="24">
        <v>129</v>
      </c>
    </row>
    <row r="32" spans="1:1" x14ac:dyDescent="0.25">
      <c r="A32" s="24">
        <v>130</v>
      </c>
    </row>
    <row r="33" spans="1:1" x14ac:dyDescent="0.25">
      <c r="A33" s="24">
        <v>131</v>
      </c>
    </row>
    <row r="34" spans="1:1" x14ac:dyDescent="0.25">
      <c r="A34" s="24">
        <v>132</v>
      </c>
    </row>
    <row r="35" spans="1:1" x14ac:dyDescent="0.25">
      <c r="A35" s="24">
        <v>133</v>
      </c>
    </row>
    <row r="36" spans="1:1" x14ac:dyDescent="0.25">
      <c r="A36" s="24">
        <v>134</v>
      </c>
    </row>
    <row r="37" spans="1:1" x14ac:dyDescent="0.25">
      <c r="A37" s="24">
        <v>135</v>
      </c>
    </row>
    <row r="38" spans="1:1" x14ac:dyDescent="0.25">
      <c r="A38" s="24">
        <v>136</v>
      </c>
    </row>
    <row r="39" spans="1:1" x14ac:dyDescent="0.25">
      <c r="A39" s="24">
        <v>137</v>
      </c>
    </row>
    <row r="40" spans="1:1" x14ac:dyDescent="0.25">
      <c r="A40" s="24">
        <v>138</v>
      </c>
    </row>
    <row r="41" spans="1:1" x14ac:dyDescent="0.25">
      <c r="A41" s="24">
        <v>139</v>
      </c>
    </row>
    <row r="42" spans="1:1" x14ac:dyDescent="0.25">
      <c r="A42" s="24">
        <v>140</v>
      </c>
    </row>
    <row r="43" spans="1:1" x14ac:dyDescent="0.25">
      <c r="A43" s="24">
        <v>141</v>
      </c>
    </row>
    <row r="44" spans="1:1" x14ac:dyDescent="0.25">
      <c r="A44" s="24">
        <v>142</v>
      </c>
    </row>
    <row r="45" spans="1:1" x14ac:dyDescent="0.25">
      <c r="A45" s="24">
        <v>143</v>
      </c>
    </row>
    <row r="46" spans="1:1" x14ac:dyDescent="0.25">
      <c r="A46" s="24">
        <v>144</v>
      </c>
    </row>
    <row r="47" spans="1:1" x14ac:dyDescent="0.25">
      <c r="A47" s="24">
        <v>145</v>
      </c>
    </row>
    <row r="48" spans="1:1" x14ac:dyDescent="0.25">
      <c r="A48" s="24">
        <v>146</v>
      </c>
    </row>
    <row r="49" spans="1:1" x14ac:dyDescent="0.25">
      <c r="A49" s="24">
        <v>147</v>
      </c>
    </row>
    <row r="50" spans="1:1" x14ac:dyDescent="0.25">
      <c r="A50" s="24">
        <v>148</v>
      </c>
    </row>
    <row r="51" spans="1:1" x14ac:dyDescent="0.25">
      <c r="A51" s="24">
        <v>149</v>
      </c>
    </row>
    <row r="52" spans="1:1" x14ac:dyDescent="0.25">
      <c r="A52" s="24">
        <v>150</v>
      </c>
    </row>
    <row r="53" spans="1:1" x14ac:dyDescent="0.25">
      <c r="A53" s="24">
        <v>151</v>
      </c>
    </row>
    <row r="54" spans="1:1" x14ac:dyDescent="0.25">
      <c r="A54" s="24">
        <v>152</v>
      </c>
    </row>
    <row r="55" spans="1:1" x14ac:dyDescent="0.25">
      <c r="A55" s="24">
        <v>153</v>
      </c>
    </row>
    <row r="56" spans="1:1" x14ac:dyDescent="0.25">
      <c r="A56" s="24">
        <v>154</v>
      </c>
    </row>
    <row r="57" spans="1:1" x14ac:dyDescent="0.25">
      <c r="A57" s="24">
        <v>155</v>
      </c>
    </row>
    <row r="58" spans="1:1" x14ac:dyDescent="0.25">
      <c r="A58" s="24">
        <v>156</v>
      </c>
    </row>
    <row r="59" spans="1:1" x14ac:dyDescent="0.25">
      <c r="A59" s="24">
        <v>157</v>
      </c>
    </row>
    <row r="60" spans="1:1" x14ac:dyDescent="0.25">
      <c r="A60" s="24">
        <v>158</v>
      </c>
    </row>
    <row r="61" spans="1:1" x14ac:dyDescent="0.25">
      <c r="A61" s="24">
        <v>159</v>
      </c>
    </row>
    <row r="62" spans="1:1" x14ac:dyDescent="0.25">
      <c r="A62" s="24">
        <v>160</v>
      </c>
    </row>
    <row r="63" spans="1:1" x14ac:dyDescent="0.25">
      <c r="A63" s="24">
        <v>161</v>
      </c>
    </row>
    <row r="64" spans="1:1" x14ac:dyDescent="0.25">
      <c r="A64" s="24">
        <v>162</v>
      </c>
    </row>
    <row r="65" spans="1:1" x14ac:dyDescent="0.25">
      <c r="A65" s="24">
        <v>163</v>
      </c>
    </row>
    <row r="66" spans="1:1" x14ac:dyDescent="0.25">
      <c r="A66" s="24">
        <v>164</v>
      </c>
    </row>
    <row r="67" spans="1:1" x14ac:dyDescent="0.25">
      <c r="A67" s="24">
        <v>165</v>
      </c>
    </row>
    <row r="68" spans="1:1" x14ac:dyDescent="0.25">
      <c r="A68" s="24">
        <v>166</v>
      </c>
    </row>
    <row r="69" spans="1:1" x14ac:dyDescent="0.25">
      <c r="A69" s="24">
        <v>167</v>
      </c>
    </row>
    <row r="70" spans="1:1" x14ac:dyDescent="0.25">
      <c r="A70" s="24">
        <v>168</v>
      </c>
    </row>
    <row r="71" spans="1:1" x14ac:dyDescent="0.25">
      <c r="A71" s="24">
        <v>169</v>
      </c>
    </row>
    <row r="72" spans="1:1" x14ac:dyDescent="0.25">
      <c r="A72" s="24">
        <v>170</v>
      </c>
    </row>
    <row r="73" spans="1:1" x14ac:dyDescent="0.25">
      <c r="A73" s="24">
        <v>171</v>
      </c>
    </row>
    <row r="74" spans="1:1" x14ac:dyDescent="0.25">
      <c r="A74" s="24">
        <v>172</v>
      </c>
    </row>
    <row r="75" spans="1:1" x14ac:dyDescent="0.25">
      <c r="A75" s="24">
        <v>173</v>
      </c>
    </row>
    <row r="76" spans="1:1" x14ac:dyDescent="0.25">
      <c r="A76" s="24">
        <v>174</v>
      </c>
    </row>
    <row r="77" spans="1:1" x14ac:dyDescent="0.25">
      <c r="A77" s="24">
        <v>175</v>
      </c>
    </row>
    <row r="78" spans="1:1" x14ac:dyDescent="0.25">
      <c r="A78" s="24">
        <v>176</v>
      </c>
    </row>
    <row r="79" spans="1:1" x14ac:dyDescent="0.25">
      <c r="A79" s="24">
        <v>177</v>
      </c>
    </row>
    <row r="80" spans="1:1" x14ac:dyDescent="0.25">
      <c r="A80" s="24">
        <v>178</v>
      </c>
    </row>
    <row r="81" spans="1:1" x14ac:dyDescent="0.25">
      <c r="A81" s="24">
        <v>179</v>
      </c>
    </row>
    <row r="82" spans="1:1" x14ac:dyDescent="0.25">
      <c r="A82" s="24">
        <v>180</v>
      </c>
    </row>
    <row r="83" spans="1:1" x14ac:dyDescent="0.25">
      <c r="A83" s="24">
        <v>181</v>
      </c>
    </row>
    <row r="84" spans="1:1" x14ac:dyDescent="0.25">
      <c r="A84" s="24">
        <v>182</v>
      </c>
    </row>
    <row r="85" spans="1:1" x14ac:dyDescent="0.25">
      <c r="A85" s="24">
        <v>183</v>
      </c>
    </row>
    <row r="86" spans="1:1" x14ac:dyDescent="0.25">
      <c r="A86" s="24">
        <v>184</v>
      </c>
    </row>
    <row r="87" spans="1:1" x14ac:dyDescent="0.25">
      <c r="A87" s="24">
        <v>185</v>
      </c>
    </row>
    <row r="88" spans="1:1" x14ac:dyDescent="0.25">
      <c r="A88" s="24">
        <v>186</v>
      </c>
    </row>
    <row r="89" spans="1:1" x14ac:dyDescent="0.25">
      <c r="A89" s="24">
        <v>187</v>
      </c>
    </row>
    <row r="90" spans="1:1" x14ac:dyDescent="0.25">
      <c r="A90" s="24">
        <v>188</v>
      </c>
    </row>
    <row r="91" spans="1:1" x14ac:dyDescent="0.25">
      <c r="A91" s="24">
        <v>189</v>
      </c>
    </row>
    <row r="92" spans="1:1" x14ac:dyDescent="0.25">
      <c r="A92" s="24">
        <v>190</v>
      </c>
    </row>
    <row r="93" spans="1:1" x14ac:dyDescent="0.25">
      <c r="A93" s="24">
        <v>191</v>
      </c>
    </row>
    <row r="94" spans="1:1" x14ac:dyDescent="0.25">
      <c r="A94" s="24">
        <v>192</v>
      </c>
    </row>
    <row r="95" spans="1:1" x14ac:dyDescent="0.25">
      <c r="A95" s="24">
        <v>193</v>
      </c>
    </row>
    <row r="96" spans="1:1" x14ac:dyDescent="0.25">
      <c r="A96" s="24">
        <v>194</v>
      </c>
    </row>
    <row r="97" spans="1:1" x14ac:dyDescent="0.25">
      <c r="A97" s="24">
        <v>195</v>
      </c>
    </row>
    <row r="98" spans="1:1" x14ac:dyDescent="0.25">
      <c r="A98" s="24">
        <v>196</v>
      </c>
    </row>
    <row r="99" spans="1:1" x14ac:dyDescent="0.25">
      <c r="A99" s="24">
        <v>197</v>
      </c>
    </row>
    <row r="100" spans="1:1" x14ac:dyDescent="0.25">
      <c r="A100" s="24">
        <v>198</v>
      </c>
    </row>
    <row r="101" spans="1:1" x14ac:dyDescent="0.25">
      <c r="A101" s="24">
        <v>199</v>
      </c>
    </row>
    <row r="102" spans="1:1" x14ac:dyDescent="0.25">
      <c r="A102" s="24">
        <v>200</v>
      </c>
    </row>
    <row r="103" spans="1:1" x14ac:dyDescent="0.25">
      <c r="A103" s="24">
        <v>201</v>
      </c>
    </row>
    <row r="104" spans="1:1" x14ac:dyDescent="0.25">
      <c r="A104" s="24">
        <v>202</v>
      </c>
    </row>
    <row r="105" spans="1:1" x14ac:dyDescent="0.25">
      <c r="A105" s="24">
        <v>203</v>
      </c>
    </row>
    <row r="106" spans="1:1" x14ac:dyDescent="0.25">
      <c r="A106" s="24">
        <v>204</v>
      </c>
    </row>
    <row r="107" spans="1:1" x14ac:dyDescent="0.25">
      <c r="A107" s="24">
        <v>205</v>
      </c>
    </row>
    <row r="108" spans="1:1" x14ac:dyDescent="0.25">
      <c r="A108" s="24">
        <v>206</v>
      </c>
    </row>
    <row r="109" spans="1:1" x14ac:dyDescent="0.25">
      <c r="A109" s="24">
        <v>207</v>
      </c>
    </row>
    <row r="110" spans="1:1" x14ac:dyDescent="0.25">
      <c r="A110" s="24">
        <v>208</v>
      </c>
    </row>
    <row r="111" spans="1:1" x14ac:dyDescent="0.25">
      <c r="A111" s="24">
        <v>209</v>
      </c>
    </row>
    <row r="112" spans="1:1" x14ac:dyDescent="0.25">
      <c r="A112" s="24">
        <v>210</v>
      </c>
    </row>
    <row r="113" spans="1:1" x14ac:dyDescent="0.25">
      <c r="A113" s="24">
        <v>211</v>
      </c>
    </row>
    <row r="114" spans="1:1" x14ac:dyDescent="0.25">
      <c r="A114" s="24">
        <v>212</v>
      </c>
    </row>
    <row r="115" spans="1:1" x14ac:dyDescent="0.25">
      <c r="A115" s="24">
        <v>213</v>
      </c>
    </row>
    <row r="116" spans="1:1" x14ac:dyDescent="0.25">
      <c r="A116" s="24">
        <v>214</v>
      </c>
    </row>
    <row r="117" spans="1:1" x14ac:dyDescent="0.25">
      <c r="A117" s="24">
        <v>215</v>
      </c>
    </row>
    <row r="118" spans="1:1" x14ac:dyDescent="0.25">
      <c r="A118" s="24">
        <v>216</v>
      </c>
    </row>
    <row r="119" spans="1:1" x14ac:dyDescent="0.25">
      <c r="A119" s="24">
        <v>217</v>
      </c>
    </row>
    <row r="120" spans="1:1" x14ac:dyDescent="0.25">
      <c r="A120" s="24">
        <v>218</v>
      </c>
    </row>
    <row r="121" spans="1:1" x14ac:dyDescent="0.25">
      <c r="A121" s="24">
        <v>219</v>
      </c>
    </row>
    <row r="122" spans="1:1" x14ac:dyDescent="0.25">
      <c r="A122" s="24">
        <v>220</v>
      </c>
    </row>
    <row r="123" spans="1:1" x14ac:dyDescent="0.25">
      <c r="A123" s="24">
        <v>221</v>
      </c>
    </row>
    <row r="124" spans="1:1" x14ac:dyDescent="0.25">
      <c r="A124" s="24">
        <v>222</v>
      </c>
    </row>
    <row r="125" spans="1:1" x14ac:dyDescent="0.25">
      <c r="A125" s="24">
        <v>223</v>
      </c>
    </row>
    <row r="126" spans="1:1" x14ac:dyDescent="0.25">
      <c r="A126" s="24">
        <v>224</v>
      </c>
    </row>
    <row r="127" spans="1:1" x14ac:dyDescent="0.25">
      <c r="A127" s="24">
        <v>225</v>
      </c>
    </row>
    <row r="128" spans="1:1" x14ac:dyDescent="0.25">
      <c r="A128" s="24">
        <v>226</v>
      </c>
    </row>
    <row r="129" spans="1:1" x14ac:dyDescent="0.25">
      <c r="A129" s="24">
        <v>227</v>
      </c>
    </row>
    <row r="130" spans="1:1" x14ac:dyDescent="0.25">
      <c r="A130" s="24">
        <v>228</v>
      </c>
    </row>
    <row r="131" spans="1:1" x14ac:dyDescent="0.25">
      <c r="A131" s="24">
        <v>229</v>
      </c>
    </row>
    <row r="132" spans="1:1" x14ac:dyDescent="0.25">
      <c r="A132" s="24">
        <v>230</v>
      </c>
    </row>
    <row r="133" spans="1:1" x14ac:dyDescent="0.25">
      <c r="A133" s="24">
        <v>231</v>
      </c>
    </row>
    <row r="134" spans="1:1" x14ac:dyDescent="0.25">
      <c r="A134" s="24">
        <v>232</v>
      </c>
    </row>
    <row r="135" spans="1:1" x14ac:dyDescent="0.25">
      <c r="A135" s="24">
        <v>233</v>
      </c>
    </row>
    <row r="136" spans="1:1" x14ac:dyDescent="0.25">
      <c r="A136" s="24">
        <v>234</v>
      </c>
    </row>
    <row r="137" spans="1:1" x14ac:dyDescent="0.25">
      <c r="A137" s="24">
        <v>235</v>
      </c>
    </row>
    <row r="138" spans="1:1" x14ac:dyDescent="0.25">
      <c r="A138" s="24">
        <v>236</v>
      </c>
    </row>
    <row r="139" spans="1:1" x14ac:dyDescent="0.25">
      <c r="A139" s="24">
        <v>237</v>
      </c>
    </row>
    <row r="140" spans="1:1" x14ac:dyDescent="0.25">
      <c r="A140" s="24">
        <v>238</v>
      </c>
    </row>
    <row r="141" spans="1:1" x14ac:dyDescent="0.25">
      <c r="A141" s="24">
        <v>239</v>
      </c>
    </row>
    <row r="142" spans="1:1" x14ac:dyDescent="0.25">
      <c r="A142" s="24">
        <v>240</v>
      </c>
    </row>
    <row r="143" spans="1:1" x14ac:dyDescent="0.25">
      <c r="A143" s="24">
        <v>241</v>
      </c>
    </row>
    <row r="144" spans="1:1" x14ac:dyDescent="0.25">
      <c r="A144" s="24">
        <v>242</v>
      </c>
    </row>
    <row r="145" spans="1:1" x14ac:dyDescent="0.25">
      <c r="A145" s="24">
        <v>243</v>
      </c>
    </row>
    <row r="146" spans="1:1" x14ac:dyDescent="0.25">
      <c r="A146" s="24">
        <v>244</v>
      </c>
    </row>
    <row r="147" spans="1:1" x14ac:dyDescent="0.25">
      <c r="A147" s="24">
        <v>245</v>
      </c>
    </row>
    <row r="148" spans="1:1" x14ac:dyDescent="0.25">
      <c r="A148" s="24">
        <v>246</v>
      </c>
    </row>
    <row r="149" spans="1:1" x14ac:dyDescent="0.25">
      <c r="A149" s="24">
        <v>247</v>
      </c>
    </row>
    <row r="150" spans="1:1" x14ac:dyDescent="0.25">
      <c r="A150" s="24">
        <v>248</v>
      </c>
    </row>
    <row r="151" spans="1:1" x14ac:dyDescent="0.25">
      <c r="A151" s="24">
        <v>249</v>
      </c>
    </row>
    <row r="152" spans="1:1" x14ac:dyDescent="0.25">
      <c r="A152" s="24">
        <v>250</v>
      </c>
    </row>
    <row r="153" spans="1:1" x14ac:dyDescent="0.25">
      <c r="A153" s="24">
        <v>251</v>
      </c>
    </row>
    <row r="154" spans="1:1" x14ac:dyDescent="0.25">
      <c r="A154" s="24">
        <v>252</v>
      </c>
    </row>
    <row r="155" spans="1:1" x14ac:dyDescent="0.25">
      <c r="A155" s="24">
        <v>253</v>
      </c>
    </row>
    <row r="156" spans="1:1" x14ac:dyDescent="0.25">
      <c r="A156" s="24">
        <v>254</v>
      </c>
    </row>
    <row r="157" spans="1:1" x14ac:dyDescent="0.25">
      <c r="A157" s="24">
        <v>255</v>
      </c>
    </row>
    <row r="158" spans="1:1" x14ac:dyDescent="0.25">
      <c r="A158" s="24">
        <v>256</v>
      </c>
    </row>
    <row r="159" spans="1:1" x14ac:dyDescent="0.25">
      <c r="A159" s="24">
        <v>257</v>
      </c>
    </row>
    <row r="160" spans="1:1" x14ac:dyDescent="0.25">
      <c r="A160" s="24">
        <v>258</v>
      </c>
    </row>
    <row r="161" spans="1:1" x14ac:dyDescent="0.25">
      <c r="A161" s="24">
        <v>259</v>
      </c>
    </row>
    <row r="162" spans="1:1" x14ac:dyDescent="0.25">
      <c r="A162" s="24">
        <v>260</v>
      </c>
    </row>
    <row r="163" spans="1:1" x14ac:dyDescent="0.25">
      <c r="A163" s="24">
        <v>261</v>
      </c>
    </row>
    <row r="164" spans="1:1" x14ac:dyDescent="0.25">
      <c r="A164" s="24">
        <v>262</v>
      </c>
    </row>
    <row r="165" spans="1:1" x14ac:dyDescent="0.25">
      <c r="A165" s="24">
        <v>263</v>
      </c>
    </row>
    <row r="166" spans="1:1" x14ac:dyDescent="0.25">
      <c r="A166" s="24">
        <v>264</v>
      </c>
    </row>
    <row r="167" spans="1:1" x14ac:dyDescent="0.25">
      <c r="A167" s="24">
        <v>265</v>
      </c>
    </row>
    <row r="168" spans="1:1" x14ac:dyDescent="0.25">
      <c r="A168" s="24">
        <v>266</v>
      </c>
    </row>
    <row r="169" spans="1:1" x14ac:dyDescent="0.25">
      <c r="A169" s="24">
        <v>267</v>
      </c>
    </row>
    <row r="170" spans="1:1" x14ac:dyDescent="0.25">
      <c r="A170" s="24">
        <v>268</v>
      </c>
    </row>
    <row r="171" spans="1:1" x14ac:dyDescent="0.25">
      <c r="A171" s="24">
        <v>269</v>
      </c>
    </row>
    <row r="172" spans="1:1" x14ac:dyDescent="0.25">
      <c r="A172" s="24">
        <v>270</v>
      </c>
    </row>
    <row r="173" spans="1:1" x14ac:dyDescent="0.25">
      <c r="A173" s="24">
        <v>271</v>
      </c>
    </row>
    <row r="174" spans="1:1" x14ac:dyDescent="0.25">
      <c r="A174" s="24">
        <v>272</v>
      </c>
    </row>
    <row r="175" spans="1:1" x14ac:dyDescent="0.25">
      <c r="A175" s="24">
        <v>273</v>
      </c>
    </row>
    <row r="176" spans="1:1" x14ac:dyDescent="0.25">
      <c r="A176" s="24">
        <v>274</v>
      </c>
    </row>
    <row r="177" spans="1:1" x14ac:dyDescent="0.25">
      <c r="A177" s="24">
        <v>275</v>
      </c>
    </row>
    <row r="178" spans="1:1" x14ac:dyDescent="0.25">
      <c r="A178" s="24">
        <v>276</v>
      </c>
    </row>
    <row r="179" spans="1:1" x14ac:dyDescent="0.25">
      <c r="A179" s="24">
        <v>277</v>
      </c>
    </row>
    <row r="180" spans="1:1" x14ac:dyDescent="0.25">
      <c r="A180" s="24">
        <v>278</v>
      </c>
    </row>
    <row r="181" spans="1:1" x14ac:dyDescent="0.25">
      <c r="A181" s="24">
        <v>279</v>
      </c>
    </row>
    <row r="182" spans="1:1" x14ac:dyDescent="0.25">
      <c r="A182" s="24">
        <v>280</v>
      </c>
    </row>
    <row r="183" spans="1:1" x14ac:dyDescent="0.25">
      <c r="A183" s="24">
        <v>281</v>
      </c>
    </row>
    <row r="184" spans="1:1" x14ac:dyDescent="0.25">
      <c r="A184" s="24">
        <v>282</v>
      </c>
    </row>
    <row r="185" spans="1:1" x14ac:dyDescent="0.25">
      <c r="A185" s="24">
        <v>283</v>
      </c>
    </row>
    <row r="186" spans="1:1" x14ac:dyDescent="0.25">
      <c r="A186" s="24">
        <v>284</v>
      </c>
    </row>
    <row r="187" spans="1:1" x14ac:dyDescent="0.25">
      <c r="A187" s="24">
        <v>285</v>
      </c>
    </row>
    <row r="188" spans="1:1" x14ac:dyDescent="0.25">
      <c r="A188" s="24">
        <v>286</v>
      </c>
    </row>
    <row r="189" spans="1:1" x14ac:dyDescent="0.25">
      <c r="A189" s="24">
        <v>287</v>
      </c>
    </row>
    <row r="190" spans="1:1" x14ac:dyDescent="0.25">
      <c r="A190" s="24">
        <v>288</v>
      </c>
    </row>
    <row r="191" spans="1:1" x14ac:dyDescent="0.25">
      <c r="A191" s="24">
        <v>289</v>
      </c>
    </row>
    <row r="192" spans="1:1" x14ac:dyDescent="0.25">
      <c r="A192" s="24">
        <v>290</v>
      </c>
    </row>
    <row r="193" spans="1:1" x14ac:dyDescent="0.25">
      <c r="A193" s="24">
        <v>291</v>
      </c>
    </row>
    <row r="194" spans="1:1" x14ac:dyDescent="0.25">
      <c r="A194" s="24">
        <v>292</v>
      </c>
    </row>
    <row r="195" spans="1:1" x14ac:dyDescent="0.25">
      <c r="A195" s="24">
        <v>293</v>
      </c>
    </row>
    <row r="196" spans="1:1" x14ac:dyDescent="0.25">
      <c r="A196" s="24">
        <v>294</v>
      </c>
    </row>
    <row r="197" spans="1:1" x14ac:dyDescent="0.25">
      <c r="A197" s="24">
        <v>295</v>
      </c>
    </row>
    <row r="198" spans="1:1" x14ac:dyDescent="0.25">
      <c r="A198" s="24">
        <v>296</v>
      </c>
    </row>
    <row r="199" spans="1:1" x14ac:dyDescent="0.25">
      <c r="A199" s="24">
        <v>297</v>
      </c>
    </row>
    <row r="200" spans="1:1" x14ac:dyDescent="0.25">
      <c r="A200" s="24">
        <v>298</v>
      </c>
    </row>
    <row r="201" spans="1:1" x14ac:dyDescent="0.25">
      <c r="A201" s="24">
        <v>299</v>
      </c>
    </row>
    <row r="202" spans="1:1" x14ac:dyDescent="0.25">
      <c r="A202" s="24">
        <v>300</v>
      </c>
    </row>
    <row r="203" spans="1:1" x14ac:dyDescent="0.25">
      <c r="A203" s="24">
        <v>301</v>
      </c>
    </row>
    <row r="204" spans="1:1" x14ac:dyDescent="0.25">
      <c r="A204" s="24">
        <v>302</v>
      </c>
    </row>
    <row r="205" spans="1:1" x14ac:dyDescent="0.25">
      <c r="A205" s="24">
        <v>303</v>
      </c>
    </row>
    <row r="206" spans="1:1" x14ac:dyDescent="0.25">
      <c r="A206" s="24">
        <v>304</v>
      </c>
    </row>
    <row r="207" spans="1:1" x14ac:dyDescent="0.25">
      <c r="A207" s="24">
        <v>305</v>
      </c>
    </row>
    <row r="208" spans="1:1" x14ac:dyDescent="0.25">
      <c r="A208" s="24">
        <v>306</v>
      </c>
    </row>
    <row r="209" spans="1:1" x14ac:dyDescent="0.25">
      <c r="A209" s="24">
        <v>307</v>
      </c>
    </row>
    <row r="210" spans="1:1" x14ac:dyDescent="0.25">
      <c r="A210" s="24">
        <v>308</v>
      </c>
    </row>
    <row r="211" spans="1:1" x14ac:dyDescent="0.25">
      <c r="A211" s="24">
        <v>309</v>
      </c>
    </row>
    <row r="212" spans="1:1" x14ac:dyDescent="0.25">
      <c r="A212" s="24">
        <v>310</v>
      </c>
    </row>
    <row r="213" spans="1:1" x14ac:dyDescent="0.25">
      <c r="A213" s="24">
        <v>311</v>
      </c>
    </row>
    <row r="214" spans="1:1" x14ac:dyDescent="0.25">
      <c r="A214" s="24">
        <v>312</v>
      </c>
    </row>
    <row r="215" spans="1:1" x14ac:dyDescent="0.25">
      <c r="A215" s="24">
        <v>313</v>
      </c>
    </row>
    <row r="216" spans="1:1" x14ac:dyDescent="0.25">
      <c r="A216" s="24">
        <v>314</v>
      </c>
    </row>
    <row r="217" spans="1:1" x14ac:dyDescent="0.25">
      <c r="A217" s="24">
        <v>315</v>
      </c>
    </row>
    <row r="218" spans="1:1" x14ac:dyDescent="0.25">
      <c r="A218" s="24">
        <v>316</v>
      </c>
    </row>
    <row r="219" spans="1:1" x14ac:dyDescent="0.25">
      <c r="A219" s="24">
        <v>317</v>
      </c>
    </row>
    <row r="220" spans="1:1" x14ac:dyDescent="0.25">
      <c r="A220" s="24">
        <v>318</v>
      </c>
    </row>
    <row r="221" spans="1:1" x14ac:dyDescent="0.25">
      <c r="A221" s="24">
        <v>319</v>
      </c>
    </row>
    <row r="222" spans="1:1" x14ac:dyDescent="0.25">
      <c r="A222" s="24">
        <v>320</v>
      </c>
    </row>
    <row r="223" spans="1:1" x14ac:dyDescent="0.25">
      <c r="A223" s="24">
        <v>321</v>
      </c>
    </row>
    <row r="224" spans="1:1" x14ac:dyDescent="0.25">
      <c r="A224" s="24">
        <v>322</v>
      </c>
    </row>
    <row r="225" spans="1:1" x14ac:dyDescent="0.25">
      <c r="A225" s="24">
        <v>323</v>
      </c>
    </row>
    <row r="226" spans="1:1" x14ac:dyDescent="0.25">
      <c r="A226" s="24">
        <v>324</v>
      </c>
    </row>
    <row r="227" spans="1:1" x14ac:dyDescent="0.25">
      <c r="A227" s="24">
        <v>325</v>
      </c>
    </row>
    <row r="228" spans="1:1" x14ac:dyDescent="0.25">
      <c r="A228" s="24">
        <v>326</v>
      </c>
    </row>
    <row r="229" spans="1:1" x14ac:dyDescent="0.25">
      <c r="A229" s="24">
        <v>327</v>
      </c>
    </row>
    <row r="230" spans="1:1" x14ac:dyDescent="0.25">
      <c r="A230" s="24">
        <v>328</v>
      </c>
    </row>
    <row r="231" spans="1:1" x14ac:dyDescent="0.25">
      <c r="A231" s="24">
        <v>329</v>
      </c>
    </row>
    <row r="232" spans="1:1" x14ac:dyDescent="0.25">
      <c r="A232" s="24">
        <v>330</v>
      </c>
    </row>
    <row r="233" spans="1:1" x14ac:dyDescent="0.25">
      <c r="A233" s="24">
        <v>331</v>
      </c>
    </row>
    <row r="234" spans="1:1" x14ac:dyDescent="0.25">
      <c r="A234" s="24">
        <v>332</v>
      </c>
    </row>
    <row r="235" spans="1:1" x14ac:dyDescent="0.25">
      <c r="A235" s="24">
        <v>333</v>
      </c>
    </row>
    <row r="236" spans="1:1" x14ac:dyDescent="0.25">
      <c r="A236" s="24">
        <v>334</v>
      </c>
    </row>
    <row r="237" spans="1:1" x14ac:dyDescent="0.25">
      <c r="A237" s="24">
        <v>335</v>
      </c>
    </row>
    <row r="238" spans="1:1" x14ac:dyDescent="0.25">
      <c r="A238" s="24">
        <v>336</v>
      </c>
    </row>
    <row r="239" spans="1:1" x14ac:dyDescent="0.25">
      <c r="A239" s="24">
        <v>337</v>
      </c>
    </row>
    <row r="240" spans="1:1" x14ac:dyDescent="0.25">
      <c r="A240" s="24">
        <v>338</v>
      </c>
    </row>
    <row r="241" spans="1:1" x14ac:dyDescent="0.25">
      <c r="A241" s="24">
        <v>339</v>
      </c>
    </row>
    <row r="242" spans="1:1" x14ac:dyDescent="0.25">
      <c r="A242" s="24">
        <v>340</v>
      </c>
    </row>
    <row r="243" spans="1:1" x14ac:dyDescent="0.25">
      <c r="A243" s="24">
        <v>341</v>
      </c>
    </row>
    <row r="244" spans="1:1" x14ac:dyDescent="0.25">
      <c r="A244" s="24">
        <v>342</v>
      </c>
    </row>
    <row r="245" spans="1:1" x14ac:dyDescent="0.25">
      <c r="A245" s="24">
        <v>343</v>
      </c>
    </row>
    <row r="246" spans="1:1" x14ac:dyDescent="0.25">
      <c r="A246" s="24">
        <v>344</v>
      </c>
    </row>
    <row r="247" spans="1:1" x14ac:dyDescent="0.25">
      <c r="A247" s="24">
        <v>345</v>
      </c>
    </row>
    <row r="248" spans="1:1" x14ac:dyDescent="0.25">
      <c r="A248" s="24">
        <v>346</v>
      </c>
    </row>
    <row r="249" spans="1:1" x14ac:dyDescent="0.25">
      <c r="A249" s="24">
        <v>347</v>
      </c>
    </row>
    <row r="250" spans="1:1" x14ac:dyDescent="0.25">
      <c r="A250" s="24">
        <v>348</v>
      </c>
    </row>
    <row r="251" spans="1:1" x14ac:dyDescent="0.25">
      <c r="A251" s="24">
        <v>349</v>
      </c>
    </row>
    <row r="252" spans="1:1" x14ac:dyDescent="0.25">
      <c r="A252" s="24">
        <v>350</v>
      </c>
    </row>
    <row r="253" spans="1:1" x14ac:dyDescent="0.25">
      <c r="A253" s="24">
        <v>351</v>
      </c>
    </row>
    <row r="254" spans="1:1" x14ac:dyDescent="0.25">
      <c r="A254" s="24">
        <v>352</v>
      </c>
    </row>
    <row r="255" spans="1:1" x14ac:dyDescent="0.25">
      <c r="A255" s="24">
        <v>353</v>
      </c>
    </row>
    <row r="256" spans="1:1" x14ac:dyDescent="0.25">
      <c r="A256" s="24">
        <v>354</v>
      </c>
    </row>
    <row r="257" spans="1:1" x14ac:dyDescent="0.25">
      <c r="A257" s="24">
        <v>355</v>
      </c>
    </row>
    <row r="258" spans="1:1" x14ac:dyDescent="0.25">
      <c r="A258" s="24">
        <v>356</v>
      </c>
    </row>
    <row r="259" spans="1:1" x14ac:dyDescent="0.25">
      <c r="A259" s="24">
        <v>357</v>
      </c>
    </row>
    <row r="260" spans="1:1" x14ac:dyDescent="0.25">
      <c r="A260" s="24">
        <v>358</v>
      </c>
    </row>
    <row r="261" spans="1:1" x14ac:dyDescent="0.25">
      <c r="A261" s="24">
        <v>359</v>
      </c>
    </row>
    <row r="262" spans="1:1" x14ac:dyDescent="0.25">
      <c r="A262" s="24">
        <v>360</v>
      </c>
    </row>
    <row r="263" spans="1:1" x14ac:dyDescent="0.25">
      <c r="A263" s="24">
        <v>361</v>
      </c>
    </row>
    <row r="264" spans="1:1" x14ac:dyDescent="0.25">
      <c r="A264" s="24">
        <v>362</v>
      </c>
    </row>
    <row r="265" spans="1:1" x14ac:dyDescent="0.25">
      <c r="A265" s="24">
        <v>363</v>
      </c>
    </row>
    <row r="266" spans="1:1" x14ac:dyDescent="0.25">
      <c r="A266" s="24">
        <v>364</v>
      </c>
    </row>
    <row r="267" spans="1:1" x14ac:dyDescent="0.25">
      <c r="A267" s="24">
        <v>365</v>
      </c>
    </row>
    <row r="268" spans="1:1" x14ac:dyDescent="0.25">
      <c r="A268" s="24">
        <v>366</v>
      </c>
    </row>
    <row r="269" spans="1:1" x14ac:dyDescent="0.25">
      <c r="A269" s="24">
        <v>367</v>
      </c>
    </row>
    <row r="270" spans="1:1" x14ac:dyDescent="0.25">
      <c r="A270" s="24">
        <v>368</v>
      </c>
    </row>
    <row r="271" spans="1:1" x14ac:dyDescent="0.25">
      <c r="A271" s="24">
        <v>369</v>
      </c>
    </row>
    <row r="272" spans="1:1" x14ac:dyDescent="0.25">
      <c r="A272" s="24">
        <v>370</v>
      </c>
    </row>
    <row r="273" spans="1:1" x14ac:dyDescent="0.25">
      <c r="A273" s="24">
        <v>371</v>
      </c>
    </row>
    <row r="274" spans="1:1" x14ac:dyDescent="0.25">
      <c r="A274" s="24">
        <v>372</v>
      </c>
    </row>
    <row r="275" spans="1:1" x14ac:dyDescent="0.25">
      <c r="A275" s="24">
        <v>373</v>
      </c>
    </row>
    <row r="276" spans="1:1" x14ac:dyDescent="0.25">
      <c r="A276" s="24">
        <v>374</v>
      </c>
    </row>
    <row r="277" spans="1:1" x14ac:dyDescent="0.25">
      <c r="A277" s="24">
        <v>375</v>
      </c>
    </row>
    <row r="278" spans="1:1" x14ac:dyDescent="0.25">
      <c r="A278" s="24">
        <v>376</v>
      </c>
    </row>
    <row r="279" spans="1:1" x14ac:dyDescent="0.25">
      <c r="A279" s="24">
        <v>377</v>
      </c>
    </row>
    <row r="280" spans="1:1" x14ac:dyDescent="0.25">
      <c r="A280" s="24">
        <v>378</v>
      </c>
    </row>
    <row r="281" spans="1:1" x14ac:dyDescent="0.25">
      <c r="A281" s="24">
        <v>379</v>
      </c>
    </row>
    <row r="282" spans="1:1" x14ac:dyDescent="0.25">
      <c r="A282" s="24">
        <v>380</v>
      </c>
    </row>
    <row r="283" spans="1:1" x14ac:dyDescent="0.25">
      <c r="A283" s="24">
        <v>381</v>
      </c>
    </row>
    <row r="284" spans="1:1" x14ac:dyDescent="0.25">
      <c r="A284" s="24">
        <v>382</v>
      </c>
    </row>
    <row r="285" spans="1:1" x14ac:dyDescent="0.25">
      <c r="A285" s="24">
        <v>383</v>
      </c>
    </row>
    <row r="286" spans="1:1" x14ac:dyDescent="0.25">
      <c r="A286" s="24">
        <v>384</v>
      </c>
    </row>
    <row r="287" spans="1:1" x14ac:dyDescent="0.25">
      <c r="A287" s="24">
        <v>385</v>
      </c>
    </row>
    <row r="288" spans="1:1" x14ac:dyDescent="0.25">
      <c r="A288" s="24">
        <v>386</v>
      </c>
    </row>
    <row r="289" spans="1:1" x14ac:dyDescent="0.25">
      <c r="A289" s="24">
        <v>387</v>
      </c>
    </row>
    <row r="290" spans="1:1" x14ac:dyDescent="0.25">
      <c r="A290" s="24">
        <v>388</v>
      </c>
    </row>
    <row r="291" spans="1:1" x14ac:dyDescent="0.25">
      <c r="A291" s="24">
        <v>389</v>
      </c>
    </row>
    <row r="292" spans="1:1" x14ac:dyDescent="0.25">
      <c r="A292" s="24">
        <v>390</v>
      </c>
    </row>
    <row r="293" spans="1:1" x14ac:dyDescent="0.25">
      <c r="A293" s="24">
        <v>391</v>
      </c>
    </row>
    <row r="294" spans="1:1" x14ac:dyDescent="0.25">
      <c r="A294" s="24">
        <v>392</v>
      </c>
    </row>
    <row r="295" spans="1:1" x14ac:dyDescent="0.25">
      <c r="A295" s="24">
        <v>393</v>
      </c>
    </row>
    <row r="296" spans="1:1" x14ac:dyDescent="0.25">
      <c r="A296" s="24">
        <v>394</v>
      </c>
    </row>
    <row r="297" spans="1:1" x14ac:dyDescent="0.25">
      <c r="A297" s="24">
        <v>395</v>
      </c>
    </row>
    <row r="298" spans="1:1" x14ac:dyDescent="0.25">
      <c r="A298" s="24">
        <v>396</v>
      </c>
    </row>
    <row r="299" spans="1:1" x14ac:dyDescent="0.25">
      <c r="A299" s="24">
        <v>397</v>
      </c>
    </row>
    <row r="300" spans="1:1" x14ac:dyDescent="0.25">
      <c r="A300" s="24">
        <v>398</v>
      </c>
    </row>
    <row r="301" spans="1:1" x14ac:dyDescent="0.25">
      <c r="A301" s="24">
        <v>399</v>
      </c>
    </row>
    <row r="302" spans="1:1" x14ac:dyDescent="0.25">
      <c r="A302" s="24">
        <v>400</v>
      </c>
    </row>
    <row r="303" spans="1:1" x14ac:dyDescent="0.25">
      <c r="A303" s="24">
        <v>401</v>
      </c>
    </row>
    <row r="304" spans="1:1" x14ac:dyDescent="0.25">
      <c r="A304" s="24">
        <v>402</v>
      </c>
    </row>
    <row r="305" spans="1:1" x14ac:dyDescent="0.25">
      <c r="A305" s="24">
        <v>403</v>
      </c>
    </row>
    <row r="306" spans="1:1" x14ac:dyDescent="0.25">
      <c r="A306" s="24">
        <v>404</v>
      </c>
    </row>
    <row r="307" spans="1:1" x14ac:dyDescent="0.25">
      <c r="A307" s="24">
        <v>405</v>
      </c>
    </row>
    <row r="308" spans="1:1" x14ac:dyDescent="0.25">
      <c r="A308" s="24">
        <v>406</v>
      </c>
    </row>
    <row r="309" spans="1:1" x14ac:dyDescent="0.25">
      <c r="A309" s="24">
        <v>407</v>
      </c>
    </row>
    <row r="310" spans="1:1" x14ac:dyDescent="0.25">
      <c r="A310" s="24">
        <v>408</v>
      </c>
    </row>
    <row r="311" spans="1:1" x14ac:dyDescent="0.25">
      <c r="A311" s="24">
        <v>409</v>
      </c>
    </row>
    <row r="312" spans="1:1" x14ac:dyDescent="0.25">
      <c r="A312" s="24">
        <v>410</v>
      </c>
    </row>
    <row r="313" spans="1:1" x14ac:dyDescent="0.25">
      <c r="A313" s="24">
        <v>411</v>
      </c>
    </row>
    <row r="314" spans="1:1" x14ac:dyDescent="0.25">
      <c r="A314" s="24">
        <v>412</v>
      </c>
    </row>
    <row r="315" spans="1:1" x14ac:dyDescent="0.25">
      <c r="A315" s="24">
        <v>413</v>
      </c>
    </row>
    <row r="316" spans="1:1" x14ac:dyDescent="0.25">
      <c r="A316" s="24">
        <v>414</v>
      </c>
    </row>
    <row r="317" spans="1:1" x14ac:dyDescent="0.25">
      <c r="A317" s="24">
        <v>415</v>
      </c>
    </row>
    <row r="318" spans="1:1" x14ac:dyDescent="0.25">
      <c r="A318" s="24">
        <v>416</v>
      </c>
    </row>
    <row r="319" spans="1:1" x14ac:dyDescent="0.25">
      <c r="A319" s="24">
        <v>417</v>
      </c>
    </row>
    <row r="320" spans="1:1" x14ac:dyDescent="0.25">
      <c r="A320" s="24">
        <v>418</v>
      </c>
    </row>
    <row r="321" spans="1:1" x14ac:dyDescent="0.25">
      <c r="A321" s="24">
        <v>419</v>
      </c>
    </row>
    <row r="322" spans="1:1" x14ac:dyDescent="0.25">
      <c r="A322" s="24">
        <v>420</v>
      </c>
    </row>
    <row r="323" spans="1:1" x14ac:dyDescent="0.25">
      <c r="A323" s="24">
        <v>421</v>
      </c>
    </row>
    <row r="324" spans="1:1" x14ac:dyDescent="0.25">
      <c r="A324" s="24">
        <v>422</v>
      </c>
    </row>
    <row r="325" spans="1:1" x14ac:dyDescent="0.25">
      <c r="A325" s="24">
        <v>423</v>
      </c>
    </row>
    <row r="326" spans="1:1" x14ac:dyDescent="0.25">
      <c r="A326" s="24">
        <v>424</v>
      </c>
    </row>
    <row r="327" spans="1:1" x14ac:dyDescent="0.25">
      <c r="A327" s="24">
        <v>425</v>
      </c>
    </row>
    <row r="328" spans="1:1" x14ac:dyDescent="0.25">
      <c r="A328" s="24">
        <v>426</v>
      </c>
    </row>
    <row r="329" spans="1:1" x14ac:dyDescent="0.25">
      <c r="A329" s="24">
        <v>427</v>
      </c>
    </row>
    <row r="330" spans="1:1" x14ac:dyDescent="0.25">
      <c r="A330" s="24">
        <v>428</v>
      </c>
    </row>
    <row r="331" spans="1:1" x14ac:dyDescent="0.25">
      <c r="A331" s="24">
        <v>429</v>
      </c>
    </row>
    <row r="332" spans="1:1" x14ac:dyDescent="0.25">
      <c r="A332" s="24">
        <v>430</v>
      </c>
    </row>
    <row r="333" spans="1:1" x14ac:dyDescent="0.25">
      <c r="A333" s="24">
        <v>431</v>
      </c>
    </row>
    <row r="334" spans="1:1" x14ac:dyDescent="0.25">
      <c r="A334" s="24">
        <v>432</v>
      </c>
    </row>
    <row r="335" spans="1:1" x14ac:dyDescent="0.25">
      <c r="A335" s="24">
        <v>433</v>
      </c>
    </row>
    <row r="336" spans="1:1" x14ac:dyDescent="0.25">
      <c r="A336" s="24">
        <v>434</v>
      </c>
    </row>
    <row r="337" spans="1:1" x14ac:dyDescent="0.25">
      <c r="A337" s="24">
        <v>435</v>
      </c>
    </row>
    <row r="338" spans="1:1" x14ac:dyDescent="0.25">
      <c r="A338" s="24">
        <v>436</v>
      </c>
    </row>
    <row r="339" spans="1:1" x14ac:dyDescent="0.25">
      <c r="A339" s="24">
        <v>437</v>
      </c>
    </row>
    <row r="340" spans="1:1" x14ac:dyDescent="0.25">
      <c r="A340" s="24">
        <v>438</v>
      </c>
    </row>
    <row r="341" spans="1:1" x14ac:dyDescent="0.25">
      <c r="A341" s="24">
        <v>439</v>
      </c>
    </row>
    <row r="342" spans="1:1" x14ac:dyDescent="0.25">
      <c r="A342" s="24">
        <v>440</v>
      </c>
    </row>
    <row r="343" spans="1:1" x14ac:dyDescent="0.25">
      <c r="A343" s="24">
        <v>441</v>
      </c>
    </row>
    <row r="344" spans="1:1" x14ac:dyDescent="0.25">
      <c r="A344" s="24">
        <v>442</v>
      </c>
    </row>
    <row r="345" spans="1:1" x14ac:dyDescent="0.25">
      <c r="A345" s="24">
        <v>443</v>
      </c>
    </row>
    <row r="346" spans="1:1" x14ac:dyDescent="0.25">
      <c r="A346" s="24">
        <v>444</v>
      </c>
    </row>
    <row r="347" spans="1:1" x14ac:dyDescent="0.25">
      <c r="A347" s="24">
        <v>445</v>
      </c>
    </row>
    <row r="348" spans="1:1" x14ac:dyDescent="0.25">
      <c r="A348" s="24">
        <v>446</v>
      </c>
    </row>
    <row r="349" spans="1:1" x14ac:dyDescent="0.25">
      <c r="A349" s="24">
        <v>447</v>
      </c>
    </row>
    <row r="350" spans="1:1" x14ac:dyDescent="0.25">
      <c r="A350" s="24">
        <v>448</v>
      </c>
    </row>
    <row r="351" spans="1:1" x14ac:dyDescent="0.25">
      <c r="A351" s="24">
        <v>449</v>
      </c>
    </row>
    <row r="352" spans="1:1" x14ac:dyDescent="0.25">
      <c r="A352" s="24">
        <v>450</v>
      </c>
    </row>
    <row r="353" spans="1:1" x14ac:dyDescent="0.25">
      <c r="A353" s="24">
        <v>451</v>
      </c>
    </row>
    <row r="354" spans="1:1" x14ac:dyDescent="0.25">
      <c r="A354" s="24">
        <v>452</v>
      </c>
    </row>
    <row r="355" spans="1:1" x14ac:dyDescent="0.25">
      <c r="A355" s="24">
        <v>453</v>
      </c>
    </row>
    <row r="356" spans="1:1" x14ac:dyDescent="0.25">
      <c r="A356" s="24">
        <v>454</v>
      </c>
    </row>
    <row r="357" spans="1:1" x14ac:dyDescent="0.25">
      <c r="A357" s="24">
        <v>455</v>
      </c>
    </row>
    <row r="358" spans="1:1" x14ac:dyDescent="0.25">
      <c r="A358" s="24">
        <v>456</v>
      </c>
    </row>
    <row r="359" spans="1:1" x14ac:dyDescent="0.25">
      <c r="A359" s="24">
        <v>457</v>
      </c>
    </row>
    <row r="360" spans="1:1" x14ac:dyDescent="0.25">
      <c r="A360" s="24">
        <v>458</v>
      </c>
    </row>
    <row r="361" spans="1:1" x14ac:dyDescent="0.25">
      <c r="A361" s="24">
        <v>459</v>
      </c>
    </row>
    <row r="362" spans="1:1" x14ac:dyDescent="0.25">
      <c r="A362" s="24">
        <v>460</v>
      </c>
    </row>
    <row r="363" spans="1:1" x14ac:dyDescent="0.25">
      <c r="A363" s="24">
        <v>461</v>
      </c>
    </row>
    <row r="364" spans="1:1" x14ac:dyDescent="0.25">
      <c r="A364" s="24">
        <v>462</v>
      </c>
    </row>
    <row r="365" spans="1:1" x14ac:dyDescent="0.25">
      <c r="A365" s="24">
        <v>463</v>
      </c>
    </row>
    <row r="366" spans="1:1" x14ac:dyDescent="0.25">
      <c r="A366" s="24">
        <v>464</v>
      </c>
    </row>
    <row r="367" spans="1:1" x14ac:dyDescent="0.25">
      <c r="A367" s="24">
        <v>465</v>
      </c>
    </row>
    <row r="368" spans="1:1" x14ac:dyDescent="0.25">
      <c r="A368" s="24">
        <v>466</v>
      </c>
    </row>
    <row r="369" spans="1:1" x14ac:dyDescent="0.25">
      <c r="A369" s="24">
        <v>467</v>
      </c>
    </row>
    <row r="370" spans="1:1" x14ac:dyDescent="0.25">
      <c r="A370" s="24">
        <v>468</v>
      </c>
    </row>
    <row r="371" spans="1:1" x14ac:dyDescent="0.25">
      <c r="A371" s="24">
        <v>469</v>
      </c>
    </row>
    <row r="372" spans="1:1" x14ac:dyDescent="0.25">
      <c r="A372" s="24">
        <v>470</v>
      </c>
    </row>
    <row r="373" spans="1:1" x14ac:dyDescent="0.25">
      <c r="A373" s="24">
        <v>471</v>
      </c>
    </row>
    <row r="374" spans="1:1" x14ac:dyDescent="0.25">
      <c r="A374" s="24">
        <v>472</v>
      </c>
    </row>
    <row r="375" spans="1:1" x14ac:dyDescent="0.25">
      <c r="A375" s="24">
        <v>473</v>
      </c>
    </row>
    <row r="376" spans="1:1" x14ac:dyDescent="0.25">
      <c r="A376" s="24">
        <v>474</v>
      </c>
    </row>
    <row r="377" spans="1:1" x14ac:dyDescent="0.25">
      <c r="A377" s="24">
        <v>475</v>
      </c>
    </row>
    <row r="378" spans="1:1" x14ac:dyDescent="0.25">
      <c r="A378" s="24">
        <v>476</v>
      </c>
    </row>
    <row r="379" spans="1:1" x14ac:dyDescent="0.25">
      <c r="A379" s="24">
        <v>477</v>
      </c>
    </row>
    <row r="380" spans="1:1" x14ac:dyDescent="0.25">
      <c r="A380" s="24">
        <v>478</v>
      </c>
    </row>
    <row r="381" spans="1:1" x14ac:dyDescent="0.25">
      <c r="A381" s="24">
        <v>479</v>
      </c>
    </row>
    <row r="382" spans="1:1" x14ac:dyDescent="0.25">
      <c r="A382" s="24">
        <v>480</v>
      </c>
    </row>
    <row r="383" spans="1:1" x14ac:dyDescent="0.25">
      <c r="A383" s="24">
        <v>481</v>
      </c>
    </row>
    <row r="384" spans="1:1" x14ac:dyDescent="0.25">
      <c r="A384" s="24">
        <v>482</v>
      </c>
    </row>
    <row r="385" spans="1:1" x14ac:dyDescent="0.25">
      <c r="A385" s="24">
        <v>483</v>
      </c>
    </row>
    <row r="386" spans="1:1" x14ac:dyDescent="0.25">
      <c r="A386" s="24">
        <v>484</v>
      </c>
    </row>
    <row r="387" spans="1:1" x14ac:dyDescent="0.25">
      <c r="A387" s="24">
        <v>485</v>
      </c>
    </row>
    <row r="388" spans="1:1" x14ac:dyDescent="0.25">
      <c r="A388" s="24">
        <v>486</v>
      </c>
    </row>
    <row r="389" spans="1:1" x14ac:dyDescent="0.25">
      <c r="A389" s="24">
        <v>487</v>
      </c>
    </row>
    <row r="390" spans="1:1" x14ac:dyDescent="0.25">
      <c r="A390" s="24">
        <v>488</v>
      </c>
    </row>
    <row r="391" spans="1:1" x14ac:dyDescent="0.25">
      <c r="A391" s="24">
        <v>489</v>
      </c>
    </row>
    <row r="392" spans="1:1" x14ac:dyDescent="0.25">
      <c r="A392" s="24">
        <v>490</v>
      </c>
    </row>
    <row r="393" spans="1:1" x14ac:dyDescent="0.25">
      <c r="A393" s="24">
        <v>491</v>
      </c>
    </row>
    <row r="394" spans="1:1" x14ac:dyDescent="0.25">
      <c r="A394" s="24">
        <v>492</v>
      </c>
    </row>
    <row r="395" spans="1:1" x14ac:dyDescent="0.25">
      <c r="A395" s="24">
        <v>493</v>
      </c>
    </row>
    <row r="396" spans="1:1" x14ac:dyDescent="0.25">
      <c r="A396" s="24">
        <v>494</v>
      </c>
    </row>
    <row r="397" spans="1:1" x14ac:dyDescent="0.25">
      <c r="A397" s="24">
        <v>495</v>
      </c>
    </row>
    <row r="398" spans="1:1" x14ac:dyDescent="0.25">
      <c r="A398" s="24">
        <v>496</v>
      </c>
    </row>
    <row r="399" spans="1:1" x14ac:dyDescent="0.25">
      <c r="A399" s="24">
        <v>497</v>
      </c>
    </row>
    <row r="400" spans="1:1" x14ac:dyDescent="0.25">
      <c r="A400" s="24">
        <v>498</v>
      </c>
    </row>
    <row r="401" spans="1:1" x14ac:dyDescent="0.25">
      <c r="A401" s="24">
        <v>499</v>
      </c>
    </row>
    <row r="402" spans="1:1" x14ac:dyDescent="0.25">
      <c r="A402" s="24">
        <v>500</v>
      </c>
    </row>
    <row r="403" spans="1:1" x14ac:dyDescent="0.25">
      <c r="A403" s="24">
        <v>501</v>
      </c>
    </row>
    <row r="404" spans="1:1" x14ac:dyDescent="0.25">
      <c r="A404" s="24">
        <v>502</v>
      </c>
    </row>
    <row r="405" spans="1:1" x14ac:dyDescent="0.25">
      <c r="A405" s="24">
        <v>503</v>
      </c>
    </row>
    <row r="406" spans="1:1" x14ac:dyDescent="0.25">
      <c r="A406" s="24">
        <v>504</v>
      </c>
    </row>
    <row r="407" spans="1:1" x14ac:dyDescent="0.25">
      <c r="A407" s="24">
        <v>505</v>
      </c>
    </row>
    <row r="408" spans="1:1" x14ac:dyDescent="0.25">
      <c r="A408" s="24">
        <v>506</v>
      </c>
    </row>
    <row r="409" spans="1:1" x14ac:dyDescent="0.25">
      <c r="A409" s="24">
        <v>507</v>
      </c>
    </row>
    <row r="410" spans="1:1" x14ac:dyDescent="0.25">
      <c r="A410" s="24">
        <v>508</v>
      </c>
    </row>
    <row r="411" spans="1:1" x14ac:dyDescent="0.25">
      <c r="A411" s="24">
        <v>509</v>
      </c>
    </row>
    <row r="412" spans="1:1" x14ac:dyDescent="0.25">
      <c r="A412" s="24">
        <v>510</v>
      </c>
    </row>
    <row r="413" spans="1:1" x14ac:dyDescent="0.25">
      <c r="A413" s="24">
        <v>511</v>
      </c>
    </row>
    <row r="414" spans="1:1" x14ac:dyDescent="0.25">
      <c r="A414" s="24">
        <v>512</v>
      </c>
    </row>
    <row r="415" spans="1:1" x14ac:dyDescent="0.25">
      <c r="A415" s="24">
        <v>513</v>
      </c>
    </row>
    <row r="416" spans="1:1" x14ac:dyDescent="0.25">
      <c r="A416" s="24">
        <v>514</v>
      </c>
    </row>
    <row r="417" spans="1:1" x14ac:dyDescent="0.25">
      <c r="A417" s="24">
        <v>515</v>
      </c>
    </row>
    <row r="418" spans="1:1" x14ac:dyDescent="0.25">
      <c r="A418" s="24">
        <v>516</v>
      </c>
    </row>
    <row r="419" spans="1:1" x14ac:dyDescent="0.25">
      <c r="A419" s="24">
        <v>517</v>
      </c>
    </row>
    <row r="420" spans="1:1" x14ac:dyDescent="0.25">
      <c r="A420" s="24">
        <v>518</v>
      </c>
    </row>
    <row r="421" spans="1:1" x14ac:dyDescent="0.25">
      <c r="A421" s="24">
        <v>519</v>
      </c>
    </row>
    <row r="422" spans="1:1" x14ac:dyDescent="0.25">
      <c r="A422" s="24">
        <v>520</v>
      </c>
    </row>
    <row r="423" spans="1:1" x14ac:dyDescent="0.25">
      <c r="A423" s="24">
        <v>521</v>
      </c>
    </row>
    <row r="424" spans="1:1" x14ac:dyDescent="0.25">
      <c r="A424" s="24">
        <v>522</v>
      </c>
    </row>
    <row r="425" spans="1:1" x14ac:dyDescent="0.25">
      <c r="A425" s="24">
        <v>523</v>
      </c>
    </row>
    <row r="426" spans="1:1" x14ac:dyDescent="0.25">
      <c r="A426" s="24">
        <v>524</v>
      </c>
    </row>
    <row r="427" spans="1:1" x14ac:dyDescent="0.25">
      <c r="A427" s="24">
        <v>525</v>
      </c>
    </row>
    <row r="428" spans="1:1" x14ac:dyDescent="0.25">
      <c r="A428" s="24">
        <v>526</v>
      </c>
    </row>
    <row r="429" spans="1:1" x14ac:dyDescent="0.25">
      <c r="A429" s="24">
        <v>527</v>
      </c>
    </row>
    <row r="430" spans="1:1" x14ac:dyDescent="0.25">
      <c r="A430" s="24">
        <v>528</v>
      </c>
    </row>
    <row r="431" spans="1:1" x14ac:dyDescent="0.25">
      <c r="A431" s="24">
        <v>529</v>
      </c>
    </row>
    <row r="432" spans="1:1" x14ac:dyDescent="0.25">
      <c r="A432" s="24">
        <v>530</v>
      </c>
    </row>
    <row r="433" spans="1:1" x14ac:dyDescent="0.25">
      <c r="A433" s="24">
        <v>531</v>
      </c>
    </row>
    <row r="434" spans="1:1" x14ac:dyDescent="0.25">
      <c r="A434" s="24">
        <v>532</v>
      </c>
    </row>
    <row r="435" spans="1:1" x14ac:dyDescent="0.25">
      <c r="A435" s="24">
        <v>533</v>
      </c>
    </row>
    <row r="436" spans="1:1" x14ac:dyDescent="0.25">
      <c r="A436" s="24">
        <v>534</v>
      </c>
    </row>
    <row r="437" spans="1:1" x14ac:dyDescent="0.25">
      <c r="A437" s="24">
        <v>535</v>
      </c>
    </row>
    <row r="438" spans="1:1" x14ac:dyDescent="0.25">
      <c r="A438" s="24">
        <v>536</v>
      </c>
    </row>
    <row r="439" spans="1:1" x14ac:dyDescent="0.25">
      <c r="A439" s="24">
        <v>537</v>
      </c>
    </row>
    <row r="440" spans="1:1" x14ac:dyDescent="0.25">
      <c r="A440" s="24">
        <v>538</v>
      </c>
    </row>
    <row r="441" spans="1:1" x14ac:dyDescent="0.25">
      <c r="A441" s="24">
        <v>539</v>
      </c>
    </row>
    <row r="442" spans="1:1" x14ac:dyDescent="0.25">
      <c r="A442" s="24">
        <v>540</v>
      </c>
    </row>
    <row r="443" spans="1:1" x14ac:dyDescent="0.25">
      <c r="A443" s="24">
        <v>541</v>
      </c>
    </row>
    <row r="444" spans="1:1" x14ac:dyDescent="0.25">
      <c r="A444" s="24">
        <v>542</v>
      </c>
    </row>
    <row r="445" spans="1:1" x14ac:dyDescent="0.25">
      <c r="A445" s="24">
        <v>543</v>
      </c>
    </row>
    <row r="446" spans="1:1" x14ac:dyDescent="0.25">
      <c r="A446" s="24">
        <v>544</v>
      </c>
    </row>
    <row r="447" spans="1:1" x14ac:dyDescent="0.25">
      <c r="A447" s="24">
        <v>545</v>
      </c>
    </row>
    <row r="448" spans="1:1" x14ac:dyDescent="0.25">
      <c r="A448" s="24">
        <v>546</v>
      </c>
    </row>
    <row r="449" spans="1:1" x14ac:dyDescent="0.25">
      <c r="A449" s="24">
        <v>547</v>
      </c>
    </row>
    <row r="450" spans="1:1" x14ac:dyDescent="0.25">
      <c r="A450" s="24">
        <v>548</v>
      </c>
    </row>
    <row r="451" spans="1:1" x14ac:dyDescent="0.25">
      <c r="A451" s="24">
        <v>549</v>
      </c>
    </row>
    <row r="452" spans="1:1" x14ac:dyDescent="0.25">
      <c r="A452" s="24">
        <v>550</v>
      </c>
    </row>
    <row r="453" spans="1:1" x14ac:dyDescent="0.25">
      <c r="A453" s="24">
        <v>551</v>
      </c>
    </row>
    <row r="454" spans="1:1" x14ac:dyDescent="0.25">
      <c r="A454" s="24">
        <v>552</v>
      </c>
    </row>
    <row r="455" spans="1:1" x14ac:dyDescent="0.25">
      <c r="A455" s="24">
        <v>553</v>
      </c>
    </row>
    <row r="456" spans="1:1" x14ac:dyDescent="0.25">
      <c r="A456" s="24">
        <v>554</v>
      </c>
    </row>
    <row r="457" spans="1:1" x14ac:dyDescent="0.25">
      <c r="A457" s="24">
        <v>555</v>
      </c>
    </row>
    <row r="458" spans="1:1" x14ac:dyDescent="0.25">
      <c r="A458" s="24">
        <v>556</v>
      </c>
    </row>
    <row r="459" spans="1:1" x14ac:dyDescent="0.25">
      <c r="A459" s="24">
        <v>557</v>
      </c>
    </row>
    <row r="460" spans="1:1" x14ac:dyDescent="0.25">
      <c r="A460" s="24">
        <v>558</v>
      </c>
    </row>
    <row r="461" spans="1:1" x14ac:dyDescent="0.25">
      <c r="A461" s="24">
        <v>559</v>
      </c>
    </row>
    <row r="462" spans="1:1" x14ac:dyDescent="0.25">
      <c r="A462" s="24">
        <v>560</v>
      </c>
    </row>
    <row r="463" spans="1:1" x14ac:dyDescent="0.25">
      <c r="A463" s="24">
        <v>561</v>
      </c>
    </row>
    <row r="464" spans="1:1" x14ac:dyDescent="0.25">
      <c r="A464" s="24">
        <v>562</v>
      </c>
    </row>
    <row r="465" spans="1:1" x14ac:dyDescent="0.25">
      <c r="A465" s="24">
        <v>563</v>
      </c>
    </row>
    <row r="466" spans="1:1" x14ac:dyDescent="0.25">
      <c r="A466" s="24">
        <v>564</v>
      </c>
    </row>
    <row r="467" spans="1:1" x14ac:dyDescent="0.25">
      <c r="A467" s="24">
        <v>565</v>
      </c>
    </row>
    <row r="468" spans="1:1" x14ac:dyDescent="0.25">
      <c r="A468" s="24">
        <v>566</v>
      </c>
    </row>
    <row r="469" spans="1:1" x14ac:dyDescent="0.25">
      <c r="A469" s="24">
        <v>567</v>
      </c>
    </row>
    <row r="470" spans="1:1" x14ac:dyDescent="0.25">
      <c r="A470" s="24">
        <v>568</v>
      </c>
    </row>
    <row r="471" spans="1:1" x14ac:dyDescent="0.25">
      <c r="A471" s="24">
        <v>569</v>
      </c>
    </row>
    <row r="472" spans="1:1" x14ac:dyDescent="0.25">
      <c r="A472" s="24">
        <v>570</v>
      </c>
    </row>
    <row r="473" spans="1:1" x14ac:dyDescent="0.25">
      <c r="A473" s="24">
        <v>571</v>
      </c>
    </row>
    <row r="474" spans="1:1" x14ac:dyDescent="0.25">
      <c r="A474" s="24">
        <v>572</v>
      </c>
    </row>
    <row r="475" spans="1:1" x14ac:dyDescent="0.25">
      <c r="A475" s="24">
        <v>573</v>
      </c>
    </row>
    <row r="476" spans="1:1" x14ac:dyDescent="0.25">
      <c r="A476" s="24">
        <v>574</v>
      </c>
    </row>
    <row r="477" spans="1:1" x14ac:dyDescent="0.25">
      <c r="A477" s="24">
        <v>575</v>
      </c>
    </row>
    <row r="478" spans="1:1" x14ac:dyDescent="0.25">
      <c r="A478" s="24">
        <v>576</v>
      </c>
    </row>
    <row r="479" spans="1:1" x14ac:dyDescent="0.25">
      <c r="A479" s="24">
        <v>577</v>
      </c>
    </row>
    <row r="480" spans="1:1" x14ac:dyDescent="0.25">
      <c r="A480" s="24">
        <v>578</v>
      </c>
    </row>
    <row r="481" spans="1:1" x14ac:dyDescent="0.25">
      <c r="A481" s="24">
        <v>579</v>
      </c>
    </row>
    <row r="482" spans="1:1" x14ac:dyDescent="0.25">
      <c r="A482" s="24">
        <v>580</v>
      </c>
    </row>
    <row r="483" spans="1:1" x14ac:dyDescent="0.25">
      <c r="A483" s="24">
        <v>581</v>
      </c>
    </row>
    <row r="484" spans="1:1" x14ac:dyDescent="0.25">
      <c r="A484" s="24">
        <v>582</v>
      </c>
    </row>
    <row r="485" spans="1:1" x14ac:dyDescent="0.25">
      <c r="A485" s="24">
        <v>583</v>
      </c>
    </row>
    <row r="486" spans="1:1" x14ac:dyDescent="0.25">
      <c r="A486" s="24">
        <v>584</v>
      </c>
    </row>
    <row r="487" spans="1:1" x14ac:dyDescent="0.25">
      <c r="A487" s="24">
        <v>585</v>
      </c>
    </row>
    <row r="488" spans="1:1" x14ac:dyDescent="0.25">
      <c r="A488" s="24">
        <v>586</v>
      </c>
    </row>
    <row r="489" spans="1:1" x14ac:dyDescent="0.25">
      <c r="A489" s="24">
        <v>587</v>
      </c>
    </row>
    <row r="490" spans="1:1" x14ac:dyDescent="0.25">
      <c r="A490" s="24">
        <v>588</v>
      </c>
    </row>
    <row r="491" spans="1:1" x14ac:dyDescent="0.25">
      <c r="A491" s="24">
        <v>589</v>
      </c>
    </row>
    <row r="492" spans="1:1" x14ac:dyDescent="0.25">
      <c r="A492" s="24">
        <v>590</v>
      </c>
    </row>
    <row r="493" spans="1:1" x14ac:dyDescent="0.25">
      <c r="A493" s="24">
        <v>591</v>
      </c>
    </row>
    <row r="494" spans="1:1" x14ac:dyDescent="0.25">
      <c r="A494" s="24">
        <v>592</v>
      </c>
    </row>
    <row r="495" spans="1:1" x14ac:dyDescent="0.25">
      <c r="A495" s="24">
        <v>593</v>
      </c>
    </row>
    <row r="496" spans="1:1" x14ac:dyDescent="0.25">
      <c r="A496" s="24">
        <v>594</v>
      </c>
    </row>
    <row r="497" spans="1:1" x14ac:dyDescent="0.25">
      <c r="A497" s="24">
        <v>595</v>
      </c>
    </row>
    <row r="498" spans="1:1" x14ac:dyDescent="0.25">
      <c r="A498" s="24">
        <v>596</v>
      </c>
    </row>
    <row r="499" spans="1:1" x14ac:dyDescent="0.25">
      <c r="A499" s="24">
        <v>597</v>
      </c>
    </row>
    <row r="500" spans="1:1" x14ac:dyDescent="0.25">
      <c r="A500" s="24">
        <v>598</v>
      </c>
    </row>
    <row r="501" spans="1:1" x14ac:dyDescent="0.25">
      <c r="A501" s="24">
        <v>599</v>
      </c>
    </row>
    <row r="502" spans="1:1" x14ac:dyDescent="0.25">
      <c r="A502" s="24">
        <v>600</v>
      </c>
    </row>
    <row r="503" spans="1:1" x14ac:dyDescent="0.25">
      <c r="A503" s="24">
        <v>601</v>
      </c>
    </row>
    <row r="504" spans="1:1" x14ac:dyDescent="0.25">
      <c r="A504" s="24">
        <v>602</v>
      </c>
    </row>
    <row r="505" spans="1:1" x14ac:dyDescent="0.25">
      <c r="A505" s="24">
        <v>603</v>
      </c>
    </row>
    <row r="506" spans="1:1" x14ac:dyDescent="0.25">
      <c r="A506" s="24">
        <v>604</v>
      </c>
    </row>
    <row r="507" spans="1:1" x14ac:dyDescent="0.25">
      <c r="A507" s="24">
        <v>605</v>
      </c>
    </row>
    <row r="508" spans="1:1" x14ac:dyDescent="0.25">
      <c r="A508" s="24">
        <v>606</v>
      </c>
    </row>
    <row r="509" spans="1:1" x14ac:dyDescent="0.25">
      <c r="A509" s="24">
        <v>607</v>
      </c>
    </row>
    <row r="510" spans="1:1" x14ac:dyDescent="0.25">
      <c r="A510" s="24">
        <v>608</v>
      </c>
    </row>
    <row r="511" spans="1:1" x14ac:dyDescent="0.25">
      <c r="A511" s="24">
        <v>609</v>
      </c>
    </row>
    <row r="512" spans="1:1" x14ac:dyDescent="0.25">
      <c r="A512" s="24">
        <v>610</v>
      </c>
    </row>
    <row r="513" spans="1:1" x14ac:dyDescent="0.25">
      <c r="A513" s="24">
        <v>611</v>
      </c>
    </row>
    <row r="514" spans="1:1" x14ac:dyDescent="0.25">
      <c r="A514" s="24">
        <v>612</v>
      </c>
    </row>
    <row r="515" spans="1:1" x14ac:dyDescent="0.25">
      <c r="A515" s="24">
        <v>613</v>
      </c>
    </row>
    <row r="516" spans="1:1" x14ac:dyDescent="0.25">
      <c r="A516" s="24">
        <v>614</v>
      </c>
    </row>
    <row r="517" spans="1:1" x14ac:dyDescent="0.25">
      <c r="A517" s="24">
        <v>615</v>
      </c>
    </row>
    <row r="518" spans="1:1" x14ac:dyDescent="0.25">
      <c r="A518" s="24">
        <v>616</v>
      </c>
    </row>
    <row r="519" spans="1:1" x14ac:dyDescent="0.25">
      <c r="A519" s="24">
        <v>617</v>
      </c>
    </row>
    <row r="520" spans="1:1" x14ac:dyDescent="0.25">
      <c r="A520" s="24">
        <v>618</v>
      </c>
    </row>
    <row r="521" spans="1:1" x14ac:dyDescent="0.25">
      <c r="A521" s="24">
        <v>619</v>
      </c>
    </row>
    <row r="522" spans="1:1" x14ac:dyDescent="0.25">
      <c r="A522" s="24">
        <v>620</v>
      </c>
    </row>
    <row r="523" spans="1:1" x14ac:dyDescent="0.25">
      <c r="A523" s="24">
        <v>621</v>
      </c>
    </row>
    <row r="524" spans="1:1" x14ac:dyDescent="0.25">
      <c r="A524" s="24">
        <v>622</v>
      </c>
    </row>
    <row r="525" spans="1:1" x14ac:dyDescent="0.25">
      <c r="A525" s="24">
        <v>623</v>
      </c>
    </row>
    <row r="526" spans="1:1" x14ac:dyDescent="0.25">
      <c r="A526" s="24">
        <v>624</v>
      </c>
    </row>
    <row r="527" spans="1:1" x14ac:dyDescent="0.25">
      <c r="A527" s="24">
        <v>625</v>
      </c>
    </row>
    <row r="528" spans="1:1" x14ac:dyDescent="0.25">
      <c r="A528" s="24">
        <v>626</v>
      </c>
    </row>
    <row r="529" spans="1:1" x14ac:dyDescent="0.25">
      <c r="A529" s="24">
        <v>627</v>
      </c>
    </row>
    <row r="530" spans="1:1" x14ac:dyDescent="0.25">
      <c r="A530" s="24">
        <v>628</v>
      </c>
    </row>
    <row r="531" spans="1:1" x14ac:dyDescent="0.25">
      <c r="A531" s="24">
        <v>629</v>
      </c>
    </row>
    <row r="532" spans="1:1" x14ac:dyDescent="0.25">
      <c r="A532" s="24">
        <v>630</v>
      </c>
    </row>
    <row r="533" spans="1:1" x14ac:dyDescent="0.25">
      <c r="A533" s="24">
        <v>631</v>
      </c>
    </row>
    <row r="534" spans="1:1" x14ac:dyDescent="0.25">
      <c r="A534" s="24">
        <v>632</v>
      </c>
    </row>
    <row r="535" spans="1:1" x14ac:dyDescent="0.25">
      <c r="A535" s="24">
        <v>633</v>
      </c>
    </row>
    <row r="536" spans="1:1" x14ac:dyDescent="0.25">
      <c r="A536" s="24">
        <v>634</v>
      </c>
    </row>
    <row r="537" spans="1:1" x14ac:dyDescent="0.25">
      <c r="A537" s="24">
        <v>635</v>
      </c>
    </row>
    <row r="538" spans="1:1" x14ac:dyDescent="0.25">
      <c r="A538" s="24">
        <v>636</v>
      </c>
    </row>
    <row r="539" spans="1:1" x14ac:dyDescent="0.25">
      <c r="A539" s="24">
        <v>637</v>
      </c>
    </row>
    <row r="540" spans="1:1" x14ac:dyDescent="0.25">
      <c r="A540" s="24">
        <v>638</v>
      </c>
    </row>
    <row r="541" spans="1:1" x14ac:dyDescent="0.25">
      <c r="A541" s="24">
        <v>639</v>
      </c>
    </row>
    <row r="542" spans="1:1" x14ac:dyDescent="0.25">
      <c r="A542" s="24">
        <v>640</v>
      </c>
    </row>
    <row r="543" spans="1:1" x14ac:dyDescent="0.25">
      <c r="A543" s="24">
        <v>641</v>
      </c>
    </row>
    <row r="544" spans="1:1" x14ac:dyDescent="0.25">
      <c r="A544" s="24">
        <v>642</v>
      </c>
    </row>
    <row r="545" spans="1:1" x14ac:dyDescent="0.25">
      <c r="A545" s="24">
        <v>643</v>
      </c>
    </row>
    <row r="546" spans="1:1" x14ac:dyDescent="0.25">
      <c r="A546" s="24">
        <v>644</v>
      </c>
    </row>
    <row r="547" spans="1:1" x14ac:dyDescent="0.25">
      <c r="A547" s="24">
        <v>645</v>
      </c>
    </row>
    <row r="548" spans="1:1" x14ac:dyDescent="0.25">
      <c r="A548" s="24">
        <v>646</v>
      </c>
    </row>
    <row r="549" spans="1:1" x14ac:dyDescent="0.25">
      <c r="A549" s="24">
        <v>647</v>
      </c>
    </row>
    <row r="550" spans="1:1" x14ac:dyDescent="0.25">
      <c r="A550" s="24">
        <v>648</v>
      </c>
    </row>
    <row r="551" spans="1:1" x14ac:dyDescent="0.25">
      <c r="A551" s="24">
        <v>649</v>
      </c>
    </row>
    <row r="552" spans="1:1" x14ac:dyDescent="0.25">
      <c r="A552" s="24">
        <v>650</v>
      </c>
    </row>
    <row r="553" spans="1:1" x14ac:dyDescent="0.25">
      <c r="A553" s="24">
        <v>651</v>
      </c>
    </row>
    <row r="554" spans="1:1" x14ac:dyDescent="0.25">
      <c r="A554" s="24">
        <v>652</v>
      </c>
    </row>
    <row r="555" spans="1:1" x14ac:dyDescent="0.25">
      <c r="A555" s="24">
        <v>653</v>
      </c>
    </row>
    <row r="556" spans="1:1" x14ac:dyDescent="0.25">
      <c r="A556" s="24">
        <v>654</v>
      </c>
    </row>
    <row r="557" spans="1:1" x14ac:dyDescent="0.25">
      <c r="A557" s="24">
        <v>655</v>
      </c>
    </row>
    <row r="558" spans="1:1" x14ac:dyDescent="0.25">
      <c r="A558" s="24">
        <v>656</v>
      </c>
    </row>
    <row r="559" spans="1:1" x14ac:dyDescent="0.25">
      <c r="A559" s="24">
        <v>657</v>
      </c>
    </row>
    <row r="560" spans="1:1" x14ac:dyDescent="0.25">
      <c r="A560" s="24">
        <v>658</v>
      </c>
    </row>
    <row r="561" spans="1:1" x14ac:dyDescent="0.25">
      <c r="A561" s="24">
        <v>659</v>
      </c>
    </row>
    <row r="562" spans="1:1" x14ac:dyDescent="0.25">
      <c r="A562" s="24">
        <v>660</v>
      </c>
    </row>
    <row r="563" spans="1:1" x14ac:dyDescent="0.25">
      <c r="A563" s="24">
        <v>661</v>
      </c>
    </row>
    <row r="564" spans="1:1" x14ac:dyDescent="0.25">
      <c r="A564" s="24">
        <v>662</v>
      </c>
    </row>
    <row r="565" spans="1:1" x14ac:dyDescent="0.25">
      <c r="A565" s="24">
        <v>663</v>
      </c>
    </row>
    <row r="566" spans="1:1" x14ac:dyDescent="0.25">
      <c r="A566" s="24">
        <v>664</v>
      </c>
    </row>
    <row r="567" spans="1:1" x14ac:dyDescent="0.25">
      <c r="A567" s="24">
        <v>665</v>
      </c>
    </row>
    <row r="568" spans="1:1" x14ac:dyDescent="0.25">
      <c r="A568" s="24">
        <v>666</v>
      </c>
    </row>
    <row r="569" spans="1:1" x14ac:dyDescent="0.25">
      <c r="A569" s="24">
        <v>667</v>
      </c>
    </row>
    <row r="570" spans="1:1" x14ac:dyDescent="0.25">
      <c r="A570" s="24">
        <v>668</v>
      </c>
    </row>
    <row r="571" spans="1:1" x14ac:dyDescent="0.25">
      <c r="A571" s="24">
        <v>669</v>
      </c>
    </row>
    <row r="572" spans="1:1" x14ac:dyDescent="0.25">
      <c r="A572" s="24">
        <v>670</v>
      </c>
    </row>
    <row r="573" spans="1:1" x14ac:dyDescent="0.25">
      <c r="A573" s="24">
        <v>671</v>
      </c>
    </row>
    <row r="574" spans="1:1" x14ac:dyDescent="0.25">
      <c r="A574" s="24">
        <v>672</v>
      </c>
    </row>
    <row r="575" spans="1:1" x14ac:dyDescent="0.25">
      <c r="A575" s="24">
        <v>673</v>
      </c>
    </row>
    <row r="576" spans="1:1" x14ac:dyDescent="0.25">
      <c r="A576" s="24">
        <v>674</v>
      </c>
    </row>
    <row r="577" spans="1:1" x14ac:dyDescent="0.25">
      <c r="A577" s="24">
        <v>675</v>
      </c>
    </row>
    <row r="578" spans="1:1" x14ac:dyDescent="0.25">
      <c r="A578" s="24">
        <v>676</v>
      </c>
    </row>
    <row r="579" spans="1:1" x14ac:dyDescent="0.25">
      <c r="A579" s="24">
        <v>677</v>
      </c>
    </row>
    <row r="580" spans="1:1" x14ac:dyDescent="0.25">
      <c r="A580" s="24">
        <v>678</v>
      </c>
    </row>
    <row r="581" spans="1:1" x14ac:dyDescent="0.25">
      <c r="A581" s="24">
        <v>679</v>
      </c>
    </row>
    <row r="582" spans="1:1" x14ac:dyDescent="0.25">
      <c r="A582" s="24">
        <v>680</v>
      </c>
    </row>
    <row r="583" spans="1:1" x14ac:dyDescent="0.25">
      <c r="A583" s="24">
        <v>681</v>
      </c>
    </row>
    <row r="584" spans="1:1" x14ac:dyDescent="0.25">
      <c r="A584" s="24">
        <v>682</v>
      </c>
    </row>
    <row r="585" spans="1:1" x14ac:dyDescent="0.25">
      <c r="A585" s="24">
        <v>683</v>
      </c>
    </row>
    <row r="586" spans="1:1" x14ac:dyDescent="0.25">
      <c r="A586" s="24">
        <v>684</v>
      </c>
    </row>
    <row r="587" spans="1:1" x14ac:dyDescent="0.25">
      <c r="A587" s="24">
        <v>685</v>
      </c>
    </row>
    <row r="588" spans="1:1" x14ac:dyDescent="0.25">
      <c r="A588" s="24">
        <v>686</v>
      </c>
    </row>
    <row r="589" spans="1:1" x14ac:dyDescent="0.25">
      <c r="A589" s="24">
        <v>687</v>
      </c>
    </row>
    <row r="590" spans="1:1" x14ac:dyDescent="0.25">
      <c r="A590" s="24">
        <v>688</v>
      </c>
    </row>
    <row r="591" spans="1:1" x14ac:dyDescent="0.25">
      <c r="A591" s="24">
        <v>689</v>
      </c>
    </row>
    <row r="592" spans="1:1" x14ac:dyDescent="0.25">
      <c r="A592" s="24">
        <v>690</v>
      </c>
    </row>
    <row r="593" spans="1:1" x14ac:dyDescent="0.25">
      <c r="A593" s="24">
        <v>691</v>
      </c>
    </row>
    <row r="594" spans="1:1" x14ac:dyDescent="0.25">
      <c r="A594" s="24">
        <v>692</v>
      </c>
    </row>
    <row r="595" spans="1:1" x14ac:dyDescent="0.25">
      <c r="A595" s="24">
        <v>693</v>
      </c>
    </row>
    <row r="596" spans="1:1" x14ac:dyDescent="0.25">
      <c r="A596" s="24">
        <v>694</v>
      </c>
    </row>
    <row r="597" spans="1:1" x14ac:dyDescent="0.25">
      <c r="A597" s="24">
        <v>695</v>
      </c>
    </row>
    <row r="598" spans="1:1" x14ac:dyDescent="0.25">
      <c r="A598" s="24">
        <v>696</v>
      </c>
    </row>
    <row r="599" spans="1:1" x14ac:dyDescent="0.25">
      <c r="A599" s="24">
        <v>697</v>
      </c>
    </row>
    <row r="600" spans="1:1" x14ac:dyDescent="0.25">
      <c r="A600" s="24">
        <v>698</v>
      </c>
    </row>
    <row r="601" spans="1:1" x14ac:dyDescent="0.25">
      <c r="A601" s="24">
        <v>699</v>
      </c>
    </row>
    <row r="602" spans="1:1" x14ac:dyDescent="0.25">
      <c r="A602" s="24">
        <v>700</v>
      </c>
    </row>
    <row r="603" spans="1:1" x14ac:dyDescent="0.25">
      <c r="A603" s="24">
        <v>701</v>
      </c>
    </row>
    <row r="604" spans="1:1" x14ac:dyDescent="0.25">
      <c r="A604" s="24">
        <v>702</v>
      </c>
    </row>
    <row r="605" spans="1:1" x14ac:dyDescent="0.25">
      <c r="A605" s="24">
        <v>703</v>
      </c>
    </row>
    <row r="606" spans="1:1" x14ac:dyDescent="0.25">
      <c r="A606" s="24">
        <v>704</v>
      </c>
    </row>
    <row r="607" spans="1:1" x14ac:dyDescent="0.25">
      <c r="A607" s="24">
        <v>705</v>
      </c>
    </row>
    <row r="608" spans="1:1" x14ac:dyDescent="0.25">
      <c r="A608" s="24">
        <v>706</v>
      </c>
    </row>
    <row r="609" spans="1:1" x14ac:dyDescent="0.25">
      <c r="A609" s="24">
        <v>707</v>
      </c>
    </row>
    <row r="610" spans="1:1" x14ac:dyDescent="0.25">
      <c r="A610" s="24">
        <v>708</v>
      </c>
    </row>
    <row r="611" spans="1:1" x14ac:dyDescent="0.25">
      <c r="A611" s="24">
        <v>709</v>
      </c>
    </row>
    <row r="612" spans="1:1" x14ac:dyDescent="0.25">
      <c r="A612" s="24">
        <v>710</v>
      </c>
    </row>
    <row r="613" spans="1:1" x14ac:dyDescent="0.25">
      <c r="A613" s="24">
        <v>711</v>
      </c>
    </row>
    <row r="614" spans="1:1" x14ac:dyDescent="0.25">
      <c r="A614" s="24">
        <v>712</v>
      </c>
    </row>
    <row r="615" spans="1:1" x14ac:dyDescent="0.25">
      <c r="A615" s="24">
        <v>713</v>
      </c>
    </row>
    <row r="616" spans="1:1" x14ac:dyDescent="0.25">
      <c r="A616" s="24">
        <v>714</v>
      </c>
    </row>
    <row r="617" spans="1:1" x14ac:dyDescent="0.25">
      <c r="A617" s="24">
        <v>715</v>
      </c>
    </row>
    <row r="618" spans="1:1" x14ac:dyDescent="0.25">
      <c r="A618" s="24">
        <v>716</v>
      </c>
    </row>
    <row r="619" spans="1:1" x14ac:dyDescent="0.25">
      <c r="A619" s="24">
        <v>717</v>
      </c>
    </row>
    <row r="620" spans="1:1" x14ac:dyDescent="0.25">
      <c r="A620" s="24">
        <v>718</v>
      </c>
    </row>
    <row r="621" spans="1:1" x14ac:dyDescent="0.25">
      <c r="A621" s="24">
        <v>719</v>
      </c>
    </row>
    <row r="622" spans="1:1" x14ac:dyDescent="0.25">
      <c r="A622" s="24">
        <v>720</v>
      </c>
    </row>
    <row r="623" spans="1:1" x14ac:dyDescent="0.25">
      <c r="A623" s="24">
        <v>721</v>
      </c>
    </row>
    <row r="624" spans="1:1" x14ac:dyDescent="0.25">
      <c r="A624" s="24">
        <v>722</v>
      </c>
    </row>
    <row r="625" spans="1:1" x14ac:dyDescent="0.25">
      <c r="A625" s="24">
        <v>723</v>
      </c>
    </row>
    <row r="626" spans="1:1" x14ac:dyDescent="0.25">
      <c r="A626" s="24">
        <v>724</v>
      </c>
    </row>
    <row r="627" spans="1:1" x14ac:dyDescent="0.25">
      <c r="A627" s="24">
        <v>725</v>
      </c>
    </row>
    <row r="628" spans="1:1" x14ac:dyDescent="0.25">
      <c r="A628" s="24">
        <v>726</v>
      </c>
    </row>
    <row r="629" spans="1:1" x14ac:dyDescent="0.25">
      <c r="A629" s="24">
        <v>727</v>
      </c>
    </row>
    <row r="630" spans="1:1" x14ac:dyDescent="0.25">
      <c r="A630" s="24">
        <v>728</v>
      </c>
    </row>
    <row r="631" spans="1:1" x14ac:dyDescent="0.25">
      <c r="A631" s="24">
        <v>729</v>
      </c>
    </row>
    <row r="632" spans="1:1" x14ac:dyDescent="0.25">
      <c r="A632" s="24">
        <v>730</v>
      </c>
    </row>
    <row r="633" spans="1:1" x14ac:dyDescent="0.25">
      <c r="A633" s="24">
        <v>731</v>
      </c>
    </row>
    <row r="634" spans="1:1" x14ac:dyDescent="0.25">
      <c r="A634" s="24">
        <v>732</v>
      </c>
    </row>
    <row r="635" spans="1:1" x14ac:dyDescent="0.25">
      <c r="A635" s="24">
        <v>733</v>
      </c>
    </row>
    <row r="636" spans="1:1" x14ac:dyDescent="0.25">
      <c r="A636" s="24">
        <v>734</v>
      </c>
    </row>
    <row r="637" spans="1:1" x14ac:dyDescent="0.25">
      <c r="A637" s="24">
        <v>735</v>
      </c>
    </row>
    <row r="638" spans="1:1" x14ac:dyDescent="0.25">
      <c r="A638" s="24">
        <v>736</v>
      </c>
    </row>
    <row r="639" spans="1:1" x14ac:dyDescent="0.25">
      <c r="A639" s="24">
        <v>737</v>
      </c>
    </row>
    <row r="640" spans="1:1" x14ac:dyDescent="0.25">
      <c r="A640" s="24">
        <v>738</v>
      </c>
    </row>
    <row r="641" spans="1:1" x14ac:dyDescent="0.25">
      <c r="A641" s="24">
        <v>739</v>
      </c>
    </row>
    <row r="642" spans="1:1" x14ac:dyDescent="0.25">
      <c r="A642" s="24">
        <v>740</v>
      </c>
    </row>
    <row r="643" spans="1:1" x14ac:dyDescent="0.25">
      <c r="A643" s="24">
        <v>741</v>
      </c>
    </row>
    <row r="644" spans="1:1" x14ac:dyDescent="0.25">
      <c r="A644" s="24">
        <v>742</v>
      </c>
    </row>
    <row r="645" spans="1:1" x14ac:dyDescent="0.25">
      <c r="A645" s="24">
        <v>743</v>
      </c>
    </row>
    <row r="646" spans="1:1" x14ac:dyDescent="0.25">
      <c r="A646" s="24">
        <v>744</v>
      </c>
    </row>
    <row r="647" spans="1:1" x14ac:dyDescent="0.25">
      <c r="A647" s="24">
        <v>745</v>
      </c>
    </row>
    <row r="648" spans="1:1" x14ac:dyDescent="0.25">
      <c r="A648" s="24">
        <v>746</v>
      </c>
    </row>
    <row r="649" spans="1:1" x14ac:dyDescent="0.25">
      <c r="A649" s="24">
        <v>747</v>
      </c>
    </row>
    <row r="650" spans="1:1" x14ac:dyDescent="0.25">
      <c r="A650" s="24">
        <v>748</v>
      </c>
    </row>
    <row r="651" spans="1:1" x14ac:dyDescent="0.25">
      <c r="A651" s="24">
        <v>749</v>
      </c>
    </row>
    <row r="652" spans="1:1" x14ac:dyDescent="0.25">
      <c r="A652" s="24">
        <v>750</v>
      </c>
    </row>
    <row r="653" spans="1:1" x14ac:dyDescent="0.25">
      <c r="A653" s="24">
        <v>751</v>
      </c>
    </row>
    <row r="654" spans="1:1" x14ac:dyDescent="0.25">
      <c r="A654" s="24">
        <v>752</v>
      </c>
    </row>
    <row r="655" spans="1:1" x14ac:dyDescent="0.25">
      <c r="A655" s="24">
        <v>753</v>
      </c>
    </row>
    <row r="656" spans="1:1" x14ac:dyDescent="0.25">
      <c r="A656" s="24">
        <v>754</v>
      </c>
    </row>
    <row r="657" spans="1:1" x14ac:dyDescent="0.25">
      <c r="A657" s="24">
        <v>755</v>
      </c>
    </row>
    <row r="658" spans="1:1" x14ac:dyDescent="0.25">
      <c r="A658" s="24">
        <v>756</v>
      </c>
    </row>
    <row r="659" spans="1:1" x14ac:dyDescent="0.25">
      <c r="A659" s="24">
        <v>757</v>
      </c>
    </row>
    <row r="660" spans="1:1" x14ac:dyDescent="0.25">
      <c r="A660" s="24">
        <v>758</v>
      </c>
    </row>
    <row r="661" spans="1:1" x14ac:dyDescent="0.25">
      <c r="A661" s="24">
        <v>759</v>
      </c>
    </row>
    <row r="662" spans="1:1" x14ac:dyDescent="0.25">
      <c r="A662" s="24">
        <v>760</v>
      </c>
    </row>
    <row r="663" spans="1:1" x14ac:dyDescent="0.25">
      <c r="A663" s="24">
        <v>761</v>
      </c>
    </row>
    <row r="664" spans="1:1" x14ac:dyDescent="0.25">
      <c r="A664" s="24">
        <v>762</v>
      </c>
    </row>
    <row r="665" spans="1:1" x14ac:dyDescent="0.25">
      <c r="A665" s="24">
        <v>763</v>
      </c>
    </row>
    <row r="666" spans="1:1" x14ac:dyDescent="0.25">
      <c r="A666" s="24">
        <v>764</v>
      </c>
    </row>
    <row r="667" spans="1:1" x14ac:dyDescent="0.25">
      <c r="A667" s="24">
        <v>765</v>
      </c>
    </row>
    <row r="668" spans="1:1" x14ac:dyDescent="0.25">
      <c r="A668" s="24">
        <v>766</v>
      </c>
    </row>
    <row r="669" spans="1:1" x14ac:dyDescent="0.25">
      <c r="A669" s="24">
        <v>767</v>
      </c>
    </row>
    <row r="670" spans="1:1" x14ac:dyDescent="0.25">
      <c r="A670" s="24">
        <v>768</v>
      </c>
    </row>
    <row r="671" spans="1:1" x14ac:dyDescent="0.25">
      <c r="A671" s="24">
        <v>769</v>
      </c>
    </row>
    <row r="672" spans="1:1" x14ac:dyDescent="0.25">
      <c r="A672" s="24">
        <v>770</v>
      </c>
    </row>
    <row r="673" spans="1:1" x14ac:dyDescent="0.25">
      <c r="A673" s="24">
        <v>771</v>
      </c>
    </row>
    <row r="674" spans="1:1" x14ac:dyDescent="0.25">
      <c r="A674" s="24">
        <v>772</v>
      </c>
    </row>
    <row r="675" spans="1:1" x14ac:dyDescent="0.25">
      <c r="A675" s="24">
        <v>773</v>
      </c>
    </row>
    <row r="676" spans="1:1" x14ac:dyDescent="0.25">
      <c r="A676" s="24">
        <v>774</v>
      </c>
    </row>
    <row r="677" spans="1:1" x14ac:dyDescent="0.25">
      <c r="A677" s="24">
        <v>775</v>
      </c>
    </row>
    <row r="678" spans="1:1" x14ac:dyDescent="0.25">
      <c r="A678" s="24">
        <v>776</v>
      </c>
    </row>
    <row r="679" spans="1:1" x14ac:dyDescent="0.25">
      <c r="A679" s="24">
        <v>777</v>
      </c>
    </row>
    <row r="680" spans="1:1" x14ac:dyDescent="0.25">
      <c r="A680" s="24">
        <v>778</v>
      </c>
    </row>
    <row r="681" spans="1:1" x14ac:dyDescent="0.25">
      <c r="A681" s="24">
        <v>779</v>
      </c>
    </row>
    <row r="682" spans="1:1" x14ac:dyDescent="0.25">
      <c r="A682" s="24">
        <v>780</v>
      </c>
    </row>
    <row r="683" spans="1:1" x14ac:dyDescent="0.25">
      <c r="A683" s="24">
        <v>781</v>
      </c>
    </row>
    <row r="684" spans="1:1" x14ac:dyDescent="0.25">
      <c r="A684" s="24">
        <v>782</v>
      </c>
    </row>
    <row r="685" spans="1:1" x14ac:dyDescent="0.25">
      <c r="A685" s="24">
        <v>783</v>
      </c>
    </row>
    <row r="686" spans="1:1" x14ac:dyDescent="0.25">
      <c r="A686" s="24">
        <v>784</v>
      </c>
    </row>
    <row r="687" spans="1:1" x14ac:dyDescent="0.25">
      <c r="A687" s="24">
        <v>785</v>
      </c>
    </row>
    <row r="688" spans="1:1" x14ac:dyDescent="0.25">
      <c r="A688" s="24">
        <v>786</v>
      </c>
    </row>
    <row r="689" spans="1:1" x14ac:dyDescent="0.25">
      <c r="A689" s="24">
        <v>787</v>
      </c>
    </row>
    <row r="690" spans="1:1" x14ac:dyDescent="0.25">
      <c r="A690" s="24">
        <v>788</v>
      </c>
    </row>
    <row r="691" spans="1:1" x14ac:dyDescent="0.25">
      <c r="A691" s="24">
        <v>789</v>
      </c>
    </row>
    <row r="692" spans="1:1" x14ac:dyDescent="0.25">
      <c r="A692" s="24">
        <v>790</v>
      </c>
    </row>
    <row r="693" spans="1:1" x14ac:dyDescent="0.25">
      <c r="A693" s="24">
        <v>791</v>
      </c>
    </row>
    <row r="694" spans="1:1" x14ac:dyDescent="0.25">
      <c r="A694" s="24">
        <v>792</v>
      </c>
    </row>
    <row r="695" spans="1:1" x14ac:dyDescent="0.25">
      <c r="A695" s="24">
        <v>793</v>
      </c>
    </row>
    <row r="696" spans="1:1" x14ac:dyDescent="0.25">
      <c r="A696" s="24">
        <v>794</v>
      </c>
    </row>
    <row r="697" spans="1:1" x14ac:dyDescent="0.25">
      <c r="A697" s="24">
        <v>795</v>
      </c>
    </row>
    <row r="698" spans="1:1" x14ac:dyDescent="0.25">
      <c r="A698" s="24">
        <v>796</v>
      </c>
    </row>
    <row r="699" spans="1:1" x14ac:dyDescent="0.25">
      <c r="A699" s="24">
        <v>797</v>
      </c>
    </row>
    <row r="700" spans="1:1" x14ac:dyDescent="0.25">
      <c r="A700" s="24">
        <v>798</v>
      </c>
    </row>
    <row r="701" spans="1:1" x14ac:dyDescent="0.25">
      <c r="A701" s="24">
        <v>799</v>
      </c>
    </row>
    <row r="702" spans="1:1" x14ac:dyDescent="0.25">
      <c r="A702" s="24">
        <v>800</v>
      </c>
    </row>
    <row r="703" spans="1:1" x14ac:dyDescent="0.25">
      <c r="A703" s="24">
        <v>801</v>
      </c>
    </row>
    <row r="704" spans="1:1" x14ac:dyDescent="0.25">
      <c r="A704" s="24">
        <v>802</v>
      </c>
    </row>
    <row r="705" spans="1:1" x14ac:dyDescent="0.25">
      <c r="A705" s="24">
        <v>803</v>
      </c>
    </row>
    <row r="706" spans="1:1" x14ac:dyDescent="0.25">
      <c r="A706" s="24">
        <v>804</v>
      </c>
    </row>
    <row r="707" spans="1:1" x14ac:dyDescent="0.25">
      <c r="A707" s="24">
        <v>805</v>
      </c>
    </row>
    <row r="708" spans="1:1" x14ac:dyDescent="0.25">
      <c r="A708" s="24">
        <v>806</v>
      </c>
    </row>
    <row r="709" spans="1:1" x14ac:dyDescent="0.25">
      <c r="A709" s="24">
        <v>807</v>
      </c>
    </row>
    <row r="710" spans="1:1" x14ac:dyDescent="0.25">
      <c r="A710" s="24">
        <v>808</v>
      </c>
    </row>
    <row r="711" spans="1:1" x14ac:dyDescent="0.25">
      <c r="A711" s="24">
        <v>809</v>
      </c>
    </row>
    <row r="712" spans="1:1" x14ac:dyDescent="0.25">
      <c r="A712" s="24">
        <v>810</v>
      </c>
    </row>
    <row r="713" spans="1:1" x14ac:dyDescent="0.25">
      <c r="A713" s="24">
        <v>811</v>
      </c>
    </row>
    <row r="714" spans="1:1" x14ac:dyDescent="0.25">
      <c r="A714" s="24">
        <v>812</v>
      </c>
    </row>
    <row r="715" spans="1:1" x14ac:dyDescent="0.25">
      <c r="A715" s="24">
        <v>813</v>
      </c>
    </row>
    <row r="716" spans="1:1" x14ac:dyDescent="0.25">
      <c r="A716" s="24">
        <v>814</v>
      </c>
    </row>
    <row r="717" spans="1:1" x14ac:dyDescent="0.25">
      <c r="A717" s="24">
        <v>815</v>
      </c>
    </row>
    <row r="718" spans="1:1" x14ac:dyDescent="0.25">
      <c r="A718" s="24">
        <v>816</v>
      </c>
    </row>
    <row r="719" spans="1:1" x14ac:dyDescent="0.25">
      <c r="A719" s="24">
        <v>817</v>
      </c>
    </row>
    <row r="720" spans="1:1" x14ac:dyDescent="0.25">
      <c r="A720" s="24">
        <v>818</v>
      </c>
    </row>
    <row r="721" spans="1:1" x14ac:dyDescent="0.25">
      <c r="A721" s="24">
        <v>819</v>
      </c>
    </row>
    <row r="722" spans="1:1" x14ac:dyDescent="0.25">
      <c r="A722" s="24">
        <v>820</v>
      </c>
    </row>
    <row r="723" spans="1:1" x14ac:dyDescent="0.25">
      <c r="A723" s="24">
        <v>821</v>
      </c>
    </row>
    <row r="724" spans="1:1" x14ac:dyDescent="0.25">
      <c r="A724" s="24">
        <v>822</v>
      </c>
    </row>
    <row r="725" spans="1:1" x14ac:dyDescent="0.25">
      <c r="A725" s="24">
        <v>823</v>
      </c>
    </row>
    <row r="726" spans="1:1" x14ac:dyDescent="0.25">
      <c r="A726" s="24">
        <v>824</v>
      </c>
    </row>
    <row r="727" spans="1:1" x14ac:dyDescent="0.25">
      <c r="A727" s="24">
        <v>825</v>
      </c>
    </row>
    <row r="728" spans="1:1" x14ac:dyDescent="0.25">
      <c r="A728" s="24">
        <v>826</v>
      </c>
    </row>
    <row r="729" spans="1:1" x14ac:dyDescent="0.25">
      <c r="A729" s="24">
        <v>827</v>
      </c>
    </row>
    <row r="730" spans="1:1" x14ac:dyDescent="0.25">
      <c r="A730" s="24">
        <v>828</v>
      </c>
    </row>
    <row r="731" spans="1:1" x14ac:dyDescent="0.25">
      <c r="A731" s="24">
        <v>829</v>
      </c>
    </row>
    <row r="732" spans="1:1" x14ac:dyDescent="0.25">
      <c r="A732" s="24">
        <v>830</v>
      </c>
    </row>
    <row r="733" spans="1:1" x14ac:dyDescent="0.25">
      <c r="A733" s="24">
        <v>831</v>
      </c>
    </row>
    <row r="734" spans="1:1" x14ac:dyDescent="0.25">
      <c r="A734" s="24">
        <v>832</v>
      </c>
    </row>
    <row r="735" spans="1:1" x14ac:dyDescent="0.25">
      <c r="A735" s="24">
        <v>833</v>
      </c>
    </row>
    <row r="736" spans="1:1" x14ac:dyDescent="0.25">
      <c r="A736" s="24">
        <v>834</v>
      </c>
    </row>
    <row r="737" spans="1:1" x14ac:dyDescent="0.25">
      <c r="A737" s="24">
        <v>835</v>
      </c>
    </row>
    <row r="738" spans="1:1" x14ac:dyDescent="0.25">
      <c r="A738" s="24">
        <v>836</v>
      </c>
    </row>
    <row r="739" spans="1:1" x14ac:dyDescent="0.25">
      <c r="A739" s="24">
        <v>837</v>
      </c>
    </row>
    <row r="740" spans="1:1" x14ac:dyDescent="0.25">
      <c r="A740" s="24">
        <v>838</v>
      </c>
    </row>
    <row r="741" spans="1:1" x14ac:dyDescent="0.25">
      <c r="A741" s="24">
        <v>839</v>
      </c>
    </row>
    <row r="742" spans="1:1" x14ac:dyDescent="0.25">
      <c r="A742" s="24">
        <v>840</v>
      </c>
    </row>
    <row r="743" spans="1:1" x14ac:dyDescent="0.25">
      <c r="A743" s="24">
        <v>841</v>
      </c>
    </row>
    <row r="744" spans="1:1" x14ac:dyDescent="0.25">
      <c r="A744" s="24">
        <v>842</v>
      </c>
    </row>
    <row r="745" spans="1:1" x14ac:dyDescent="0.25">
      <c r="A745" s="24">
        <v>843</v>
      </c>
    </row>
    <row r="746" spans="1:1" x14ac:dyDescent="0.25">
      <c r="A746" s="24">
        <v>844</v>
      </c>
    </row>
    <row r="747" spans="1:1" x14ac:dyDescent="0.25">
      <c r="A747" s="24">
        <v>845</v>
      </c>
    </row>
    <row r="748" spans="1:1" x14ac:dyDescent="0.25">
      <c r="A748" s="24">
        <v>846</v>
      </c>
    </row>
    <row r="749" spans="1:1" x14ac:dyDescent="0.25">
      <c r="A749" s="24">
        <v>847</v>
      </c>
    </row>
    <row r="750" spans="1:1" x14ac:dyDescent="0.25">
      <c r="A750" s="24">
        <v>848</v>
      </c>
    </row>
    <row r="751" spans="1:1" x14ac:dyDescent="0.25">
      <c r="A751" s="24">
        <v>849</v>
      </c>
    </row>
    <row r="752" spans="1:1" x14ac:dyDescent="0.25">
      <c r="A752" s="24">
        <v>850</v>
      </c>
    </row>
    <row r="753" spans="1:1" x14ac:dyDescent="0.25">
      <c r="A753" s="24">
        <v>851</v>
      </c>
    </row>
    <row r="754" spans="1:1" x14ac:dyDescent="0.25">
      <c r="A754" s="24">
        <v>852</v>
      </c>
    </row>
    <row r="755" spans="1:1" x14ac:dyDescent="0.25">
      <c r="A755" s="24">
        <v>853</v>
      </c>
    </row>
    <row r="756" spans="1:1" x14ac:dyDescent="0.25">
      <c r="A756" s="24">
        <v>854</v>
      </c>
    </row>
    <row r="757" spans="1:1" x14ac:dyDescent="0.25">
      <c r="A757" s="24">
        <v>855</v>
      </c>
    </row>
    <row r="758" spans="1:1" x14ac:dyDescent="0.25">
      <c r="A758" s="24">
        <v>856</v>
      </c>
    </row>
    <row r="759" spans="1:1" x14ac:dyDescent="0.25">
      <c r="A759" s="24">
        <v>857</v>
      </c>
    </row>
    <row r="760" spans="1:1" x14ac:dyDescent="0.25">
      <c r="A760" s="24">
        <v>858</v>
      </c>
    </row>
    <row r="761" spans="1:1" x14ac:dyDescent="0.25">
      <c r="A761" s="24">
        <v>859</v>
      </c>
    </row>
    <row r="762" spans="1:1" x14ac:dyDescent="0.25">
      <c r="A762" s="24">
        <v>860</v>
      </c>
    </row>
    <row r="763" spans="1:1" x14ac:dyDescent="0.25">
      <c r="A763" s="24">
        <v>861</v>
      </c>
    </row>
    <row r="764" spans="1:1" x14ac:dyDescent="0.25">
      <c r="A764" s="24">
        <v>862</v>
      </c>
    </row>
    <row r="765" spans="1:1" x14ac:dyDescent="0.25">
      <c r="A765" s="24">
        <v>863</v>
      </c>
    </row>
    <row r="766" spans="1:1" x14ac:dyDescent="0.25">
      <c r="A766" s="24">
        <v>864</v>
      </c>
    </row>
    <row r="767" spans="1:1" x14ac:dyDescent="0.25">
      <c r="A767" s="24">
        <v>865</v>
      </c>
    </row>
    <row r="768" spans="1:1" x14ac:dyDescent="0.25">
      <c r="A768" s="24">
        <v>866</v>
      </c>
    </row>
    <row r="769" spans="1:1" x14ac:dyDescent="0.25">
      <c r="A769" s="24">
        <v>867</v>
      </c>
    </row>
    <row r="770" spans="1:1" x14ac:dyDescent="0.25">
      <c r="A770" s="24">
        <v>868</v>
      </c>
    </row>
    <row r="771" spans="1:1" x14ac:dyDescent="0.25">
      <c r="A771" s="24">
        <v>869</v>
      </c>
    </row>
    <row r="772" spans="1:1" x14ac:dyDescent="0.25">
      <c r="A772" s="24">
        <v>870</v>
      </c>
    </row>
    <row r="773" spans="1:1" x14ac:dyDescent="0.25">
      <c r="A773" s="24">
        <v>871</v>
      </c>
    </row>
    <row r="774" spans="1:1" x14ac:dyDescent="0.25">
      <c r="A774" s="24">
        <v>872</v>
      </c>
    </row>
    <row r="775" spans="1:1" x14ac:dyDescent="0.25">
      <c r="A775" s="24">
        <v>873</v>
      </c>
    </row>
    <row r="776" spans="1:1" x14ac:dyDescent="0.25">
      <c r="A776" s="24">
        <v>874</v>
      </c>
    </row>
    <row r="777" spans="1:1" x14ac:dyDescent="0.25">
      <c r="A777" s="24">
        <v>875</v>
      </c>
    </row>
    <row r="778" spans="1:1" x14ac:dyDescent="0.25">
      <c r="A778" s="24">
        <v>876</v>
      </c>
    </row>
    <row r="779" spans="1:1" x14ac:dyDescent="0.25">
      <c r="A779" s="24">
        <v>877</v>
      </c>
    </row>
    <row r="780" spans="1:1" x14ac:dyDescent="0.25">
      <c r="A780" s="24">
        <v>878</v>
      </c>
    </row>
    <row r="781" spans="1:1" x14ac:dyDescent="0.25">
      <c r="A781" s="24">
        <v>879</v>
      </c>
    </row>
    <row r="782" spans="1:1" x14ac:dyDescent="0.25">
      <c r="A782" s="24">
        <v>880</v>
      </c>
    </row>
    <row r="783" spans="1:1" x14ac:dyDescent="0.25">
      <c r="A783" s="24">
        <v>881</v>
      </c>
    </row>
    <row r="784" spans="1:1" x14ac:dyDescent="0.25">
      <c r="A784" s="24">
        <v>882</v>
      </c>
    </row>
    <row r="785" spans="1:1" x14ac:dyDescent="0.25">
      <c r="A785" s="24">
        <v>883</v>
      </c>
    </row>
    <row r="786" spans="1:1" x14ac:dyDescent="0.25">
      <c r="A786" s="24">
        <v>884</v>
      </c>
    </row>
    <row r="787" spans="1:1" x14ac:dyDescent="0.25">
      <c r="A787" s="24">
        <v>885</v>
      </c>
    </row>
    <row r="788" spans="1:1" x14ac:dyDescent="0.25">
      <c r="A788" s="24">
        <v>886</v>
      </c>
    </row>
    <row r="789" spans="1:1" x14ac:dyDescent="0.25">
      <c r="A789" s="24">
        <v>887</v>
      </c>
    </row>
    <row r="790" spans="1:1" x14ac:dyDescent="0.25">
      <c r="A790" s="24">
        <v>888</v>
      </c>
    </row>
    <row r="791" spans="1:1" x14ac:dyDescent="0.25">
      <c r="A791" s="24">
        <v>889</v>
      </c>
    </row>
    <row r="792" spans="1:1" x14ac:dyDescent="0.25">
      <c r="A792" s="24">
        <v>890</v>
      </c>
    </row>
    <row r="793" spans="1:1" x14ac:dyDescent="0.25">
      <c r="A793" s="24">
        <v>891</v>
      </c>
    </row>
    <row r="794" spans="1:1" x14ac:dyDescent="0.25">
      <c r="A794" s="24">
        <v>892</v>
      </c>
    </row>
    <row r="795" spans="1:1" x14ac:dyDescent="0.25">
      <c r="A795" s="24">
        <v>893</v>
      </c>
    </row>
    <row r="796" spans="1:1" x14ac:dyDescent="0.25">
      <c r="A796" s="24">
        <v>894</v>
      </c>
    </row>
    <row r="797" spans="1:1" x14ac:dyDescent="0.25">
      <c r="A797" s="24">
        <v>895</v>
      </c>
    </row>
    <row r="798" spans="1:1" x14ac:dyDescent="0.25">
      <c r="A798" s="24">
        <v>896</v>
      </c>
    </row>
    <row r="799" spans="1:1" x14ac:dyDescent="0.25">
      <c r="A799" s="24">
        <v>897</v>
      </c>
    </row>
    <row r="800" spans="1:1" x14ac:dyDescent="0.25">
      <c r="A800" s="24">
        <v>898</v>
      </c>
    </row>
    <row r="801" spans="1:1" x14ac:dyDescent="0.25">
      <c r="A801" s="24">
        <v>899</v>
      </c>
    </row>
    <row r="802" spans="1:1" x14ac:dyDescent="0.25">
      <c r="A802" s="24">
        <v>900</v>
      </c>
    </row>
    <row r="803" spans="1:1" x14ac:dyDescent="0.25">
      <c r="A803" s="24">
        <v>901</v>
      </c>
    </row>
    <row r="804" spans="1:1" x14ac:dyDescent="0.25">
      <c r="A804" s="24">
        <v>902</v>
      </c>
    </row>
    <row r="805" spans="1:1" x14ac:dyDescent="0.25">
      <c r="A805" s="24">
        <v>903</v>
      </c>
    </row>
    <row r="806" spans="1:1" x14ac:dyDescent="0.25">
      <c r="A806" s="24">
        <v>904</v>
      </c>
    </row>
    <row r="807" spans="1:1" x14ac:dyDescent="0.25">
      <c r="A807" s="24">
        <v>905</v>
      </c>
    </row>
    <row r="808" spans="1:1" x14ac:dyDescent="0.25">
      <c r="A808" s="24">
        <v>906</v>
      </c>
    </row>
    <row r="809" spans="1:1" x14ac:dyDescent="0.25">
      <c r="A809" s="24">
        <v>907</v>
      </c>
    </row>
    <row r="810" spans="1:1" x14ac:dyDescent="0.25">
      <c r="A810" s="24">
        <v>908</v>
      </c>
    </row>
    <row r="811" spans="1:1" x14ac:dyDescent="0.25">
      <c r="A811" s="24">
        <v>909</v>
      </c>
    </row>
    <row r="812" spans="1:1" x14ac:dyDescent="0.25">
      <c r="A812" s="24">
        <v>910</v>
      </c>
    </row>
    <row r="813" spans="1:1" x14ac:dyDescent="0.25">
      <c r="A813" s="24">
        <v>911</v>
      </c>
    </row>
    <row r="814" spans="1:1" x14ac:dyDescent="0.25">
      <c r="A814" s="24">
        <v>912</v>
      </c>
    </row>
    <row r="815" spans="1:1" x14ac:dyDescent="0.25">
      <c r="A815" s="24">
        <v>913</v>
      </c>
    </row>
    <row r="816" spans="1:1" x14ac:dyDescent="0.25">
      <c r="A816" s="24">
        <v>914</v>
      </c>
    </row>
    <row r="817" spans="1:1" x14ac:dyDescent="0.25">
      <c r="A817" s="24">
        <v>915</v>
      </c>
    </row>
    <row r="818" spans="1:1" x14ac:dyDescent="0.25">
      <c r="A818" s="24">
        <v>916</v>
      </c>
    </row>
    <row r="819" spans="1:1" x14ac:dyDescent="0.25">
      <c r="A819" s="24">
        <v>917</v>
      </c>
    </row>
    <row r="820" spans="1:1" x14ac:dyDescent="0.25">
      <c r="A820" s="24">
        <v>918</v>
      </c>
    </row>
    <row r="821" spans="1:1" x14ac:dyDescent="0.25">
      <c r="A821" s="24">
        <v>919</v>
      </c>
    </row>
    <row r="822" spans="1:1" x14ac:dyDescent="0.25">
      <c r="A822" s="24">
        <v>920</v>
      </c>
    </row>
    <row r="823" spans="1:1" x14ac:dyDescent="0.25">
      <c r="A823" s="24">
        <v>921</v>
      </c>
    </row>
    <row r="824" spans="1:1" x14ac:dyDescent="0.25">
      <c r="A824" s="24">
        <v>922</v>
      </c>
    </row>
    <row r="825" spans="1:1" x14ac:dyDescent="0.25">
      <c r="A825" s="24">
        <v>923</v>
      </c>
    </row>
    <row r="826" spans="1:1" x14ac:dyDescent="0.25">
      <c r="A826" s="24">
        <v>924</v>
      </c>
    </row>
    <row r="827" spans="1:1" x14ac:dyDescent="0.25">
      <c r="A827" s="24">
        <v>925</v>
      </c>
    </row>
    <row r="828" spans="1:1" x14ac:dyDescent="0.25">
      <c r="A828" s="24">
        <v>926</v>
      </c>
    </row>
    <row r="829" spans="1:1" x14ac:dyDescent="0.25">
      <c r="A829" s="24">
        <v>927</v>
      </c>
    </row>
    <row r="830" spans="1:1" x14ac:dyDescent="0.25">
      <c r="A830" s="24">
        <v>928</v>
      </c>
    </row>
    <row r="831" spans="1:1" x14ac:dyDescent="0.25">
      <c r="A831" s="24">
        <v>929</v>
      </c>
    </row>
    <row r="832" spans="1:1" x14ac:dyDescent="0.25">
      <c r="A832" s="24">
        <v>930</v>
      </c>
    </row>
    <row r="833" spans="1:1" x14ac:dyDescent="0.25">
      <c r="A833" s="24">
        <v>931</v>
      </c>
    </row>
    <row r="834" spans="1:1" x14ac:dyDescent="0.25">
      <c r="A834" s="24">
        <v>932</v>
      </c>
    </row>
    <row r="835" spans="1:1" x14ac:dyDescent="0.25">
      <c r="A835" s="24">
        <v>933</v>
      </c>
    </row>
    <row r="836" spans="1:1" x14ac:dyDescent="0.25">
      <c r="A836" s="24">
        <v>934</v>
      </c>
    </row>
    <row r="837" spans="1:1" x14ac:dyDescent="0.25">
      <c r="A837" s="24">
        <v>935</v>
      </c>
    </row>
    <row r="838" spans="1:1" x14ac:dyDescent="0.25">
      <c r="A838" s="24">
        <v>936</v>
      </c>
    </row>
    <row r="839" spans="1:1" x14ac:dyDescent="0.25">
      <c r="A839" s="24">
        <v>937</v>
      </c>
    </row>
    <row r="840" spans="1:1" x14ac:dyDescent="0.25">
      <c r="A840" s="24">
        <v>938</v>
      </c>
    </row>
    <row r="841" spans="1:1" x14ac:dyDescent="0.25">
      <c r="A841" s="24">
        <v>939</v>
      </c>
    </row>
    <row r="842" spans="1:1" x14ac:dyDescent="0.25">
      <c r="A842" s="24">
        <v>940</v>
      </c>
    </row>
    <row r="843" spans="1:1" x14ac:dyDescent="0.25">
      <c r="A843" s="24">
        <v>941</v>
      </c>
    </row>
    <row r="844" spans="1:1" x14ac:dyDescent="0.25">
      <c r="A844" s="24">
        <v>942</v>
      </c>
    </row>
    <row r="845" spans="1:1" x14ac:dyDescent="0.25">
      <c r="A845" s="24">
        <v>943</v>
      </c>
    </row>
    <row r="846" spans="1:1" x14ac:dyDescent="0.25">
      <c r="A846" s="24">
        <v>944</v>
      </c>
    </row>
    <row r="847" spans="1:1" x14ac:dyDescent="0.25">
      <c r="A847" s="24">
        <v>945</v>
      </c>
    </row>
    <row r="848" spans="1:1" x14ac:dyDescent="0.25">
      <c r="A848" s="24">
        <v>946</v>
      </c>
    </row>
    <row r="849" spans="1:1" x14ac:dyDescent="0.25">
      <c r="A849" s="24">
        <v>947</v>
      </c>
    </row>
    <row r="850" spans="1:1" x14ac:dyDescent="0.25">
      <c r="A850" s="24">
        <v>948</v>
      </c>
    </row>
    <row r="851" spans="1:1" x14ac:dyDescent="0.25">
      <c r="A851" s="24">
        <v>949</v>
      </c>
    </row>
    <row r="852" spans="1:1" x14ac:dyDescent="0.25">
      <c r="A852" s="24">
        <v>950</v>
      </c>
    </row>
    <row r="853" spans="1:1" x14ac:dyDescent="0.25">
      <c r="A853" s="24">
        <v>951</v>
      </c>
    </row>
    <row r="854" spans="1:1" x14ac:dyDescent="0.25">
      <c r="A854" s="24">
        <v>952</v>
      </c>
    </row>
    <row r="855" spans="1:1" x14ac:dyDescent="0.25">
      <c r="A855" s="24">
        <v>953</v>
      </c>
    </row>
    <row r="856" spans="1:1" x14ac:dyDescent="0.25">
      <c r="A856" s="24">
        <v>954</v>
      </c>
    </row>
    <row r="857" spans="1:1" x14ac:dyDescent="0.25">
      <c r="A857" s="24">
        <v>955</v>
      </c>
    </row>
    <row r="858" spans="1:1" x14ac:dyDescent="0.25">
      <c r="A858" s="24">
        <v>956</v>
      </c>
    </row>
    <row r="859" spans="1:1" x14ac:dyDescent="0.25">
      <c r="A859" s="24">
        <v>957</v>
      </c>
    </row>
    <row r="860" spans="1:1" x14ac:dyDescent="0.25">
      <c r="A860" s="24">
        <v>958</v>
      </c>
    </row>
    <row r="861" spans="1:1" x14ac:dyDescent="0.25">
      <c r="A861" s="24">
        <v>959</v>
      </c>
    </row>
    <row r="862" spans="1:1" x14ac:dyDescent="0.25">
      <c r="A862" s="24">
        <v>960</v>
      </c>
    </row>
    <row r="863" spans="1:1" x14ac:dyDescent="0.25">
      <c r="A863" s="24">
        <v>961</v>
      </c>
    </row>
    <row r="864" spans="1:1" x14ac:dyDescent="0.25">
      <c r="A864" s="24">
        <v>962</v>
      </c>
    </row>
    <row r="865" spans="1:1" x14ac:dyDescent="0.25">
      <c r="A865" s="24">
        <v>963</v>
      </c>
    </row>
    <row r="866" spans="1:1" x14ac:dyDescent="0.25">
      <c r="A866" s="24">
        <v>964</v>
      </c>
    </row>
    <row r="867" spans="1:1" x14ac:dyDescent="0.25">
      <c r="A867" s="24">
        <v>965</v>
      </c>
    </row>
    <row r="868" spans="1:1" x14ac:dyDescent="0.25">
      <c r="A868" s="24">
        <v>966</v>
      </c>
    </row>
    <row r="869" spans="1:1" x14ac:dyDescent="0.25">
      <c r="A869" s="24">
        <v>967</v>
      </c>
    </row>
    <row r="870" spans="1:1" x14ac:dyDescent="0.25">
      <c r="A870" s="24">
        <v>968</v>
      </c>
    </row>
    <row r="871" spans="1:1" x14ac:dyDescent="0.25">
      <c r="A871" s="24">
        <v>969</v>
      </c>
    </row>
    <row r="872" spans="1:1" x14ac:dyDescent="0.25">
      <c r="A872" s="24">
        <v>970</v>
      </c>
    </row>
    <row r="873" spans="1:1" x14ac:dyDescent="0.25">
      <c r="A873" s="24">
        <v>971</v>
      </c>
    </row>
    <row r="874" spans="1:1" x14ac:dyDescent="0.25">
      <c r="A874" s="24">
        <v>972</v>
      </c>
    </row>
    <row r="875" spans="1:1" x14ac:dyDescent="0.25">
      <c r="A875" s="24">
        <v>973</v>
      </c>
    </row>
    <row r="876" spans="1:1" x14ac:dyDescent="0.25">
      <c r="A876" s="24">
        <v>974</v>
      </c>
    </row>
    <row r="877" spans="1:1" x14ac:dyDescent="0.25">
      <c r="A877" s="24">
        <v>975</v>
      </c>
    </row>
    <row r="878" spans="1:1" x14ac:dyDescent="0.25">
      <c r="A878" s="24">
        <v>976</v>
      </c>
    </row>
    <row r="879" spans="1:1" x14ac:dyDescent="0.25">
      <c r="A879" s="24">
        <v>977</v>
      </c>
    </row>
    <row r="880" spans="1:1" x14ac:dyDescent="0.25">
      <c r="A880" s="24">
        <v>978</v>
      </c>
    </row>
    <row r="881" spans="1:1" x14ac:dyDescent="0.25">
      <c r="A881" s="24">
        <v>979</v>
      </c>
    </row>
    <row r="882" spans="1:1" x14ac:dyDescent="0.25">
      <c r="A882" s="24">
        <v>980</v>
      </c>
    </row>
    <row r="883" spans="1:1" x14ac:dyDescent="0.25">
      <c r="A883" s="24">
        <v>981</v>
      </c>
    </row>
    <row r="884" spans="1:1" x14ac:dyDescent="0.25">
      <c r="A884" s="24">
        <v>982</v>
      </c>
    </row>
    <row r="885" spans="1:1" x14ac:dyDescent="0.25">
      <c r="A885" s="24">
        <v>983</v>
      </c>
    </row>
    <row r="886" spans="1:1" x14ac:dyDescent="0.25">
      <c r="A886" s="24">
        <v>984</v>
      </c>
    </row>
    <row r="887" spans="1:1" x14ac:dyDescent="0.25">
      <c r="A887" s="24">
        <v>985</v>
      </c>
    </row>
    <row r="888" spans="1:1" x14ac:dyDescent="0.25">
      <c r="A888" s="24">
        <v>986</v>
      </c>
    </row>
    <row r="889" spans="1:1" x14ac:dyDescent="0.25">
      <c r="A889" s="24">
        <v>987</v>
      </c>
    </row>
    <row r="890" spans="1:1" x14ac:dyDescent="0.25">
      <c r="A890" s="24">
        <v>988</v>
      </c>
    </row>
    <row r="891" spans="1:1" x14ac:dyDescent="0.25">
      <c r="A891" s="24">
        <v>989</v>
      </c>
    </row>
    <row r="892" spans="1:1" x14ac:dyDescent="0.25">
      <c r="A892" s="24">
        <v>990</v>
      </c>
    </row>
    <row r="893" spans="1:1" x14ac:dyDescent="0.25">
      <c r="A893" s="24">
        <v>991</v>
      </c>
    </row>
    <row r="894" spans="1:1" x14ac:dyDescent="0.25">
      <c r="A894" s="24">
        <v>992</v>
      </c>
    </row>
    <row r="895" spans="1:1" x14ac:dyDescent="0.25">
      <c r="A895" s="24">
        <v>993</v>
      </c>
    </row>
    <row r="896" spans="1:1" x14ac:dyDescent="0.25">
      <c r="A896" s="24">
        <v>994</v>
      </c>
    </row>
    <row r="897" spans="1:1" x14ac:dyDescent="0.25">
      <c r="A897" s="24">
        <v>995</v>
      </c>
    </row>
    <row r="898" spans="1:1" x14ac:dyDescent="0.25">
      <c r="A898" s="24">
        <v>996</v>
      </c>
    </row>
    <row r="899" spans="1:1" x14ac:dyDescent="0.25">
      <c r="A899" s="24">
        <v>997</v>
      </c>
    </row>
    <row r="900" spans="1:1" x14ac:dyDescent="0.25">
      <c r="A900" s="24">
        <v>998</v>
      </c>
    </row>
    <row r="901" spans="1:1" x14ac:dyDescent="0.25">
      <c r="A901" s="24">
        <v>999</v>
      </c>
    </row>
    <row r="902" spans="1:1" x14ac:dyDescent="0.25">
      <c r="A902" s="24">
        <v>1000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K358"/>
  <sheetViews>
    <sheetView workbookViewId="0"/>
  </sheetViews>
  <sheetFormatPr defaultRowHeight="15" x14ac:dyDescent="0.25"/>
  <sheetData>
    <row r="1" spans="1:11" x14ac:dyDescent="0.25">
      <c r="A1" s="5" t="s">
        <v>29</v>
      </c>
      <c r="B1" s="5" t="s">
        <v>33</v>
      </c>
      <c r="C1" s="5" t="s">
        <v>34</v>
      </c>
      <c r="D1" s="5" t="s">
        <v>29</v>
      </c>
      <c r="E1" s="5" t="s">
        <v>35</v>
      </c>
      <c r="F1" s="5" t="s">
        <v>36</v>
      </c>
      <c r="H1" s="5" t="s">
        <v>37</v>
      </c>
      <c r="I1" s="5" t="s">
        <v>38</v>
      </c>
      <c r="J1" s="5" t="s">
        <v>39</v>
      </c>
      <c r="K1" s="5" t="s">
        <v>40</v>
      </c>
    </row>
    <row r="2" spans="1:11" x14ac:dyDescent="0.25">
      <c r="A2">
        <v>0.51</v>
      </c>
      <c r="B2">
        <v>75.732201890212437</v>
      </c>
      <c r="C2">
        <v>14.095728358110209</v>
      </c>
      <c r="H2">
        <v>6.92</v>
      </c>
      <c r="I2">
        <v>3.1269999999999998</v>
      </c>
    </row>
    <row r="3" spans="1:11" x14ac:dyDescent="0.25">
      <c r="A3">
        <v>0.53600000000000003</v>
      </c>
      <c r="B3">
        <v>75.867918337711885</v>
      </c>
      <c r="C3">
        <v>10.821569062185739</v>
      </c>
      <c r="H3">
        <v>6.952</v>
      </c>
      <c r="I3">
        <v>2.355</v>
      </c>
    </row>
    <row r="4" spans="1:11" x14ac:dyDescent="0.25">
      <c r="A4">
        <v>0.56299999999999994</v>
      </c>
      <c r="B4">
        <v>72.661617265537146</v>
      </c>
      <c r="C4">
        <v>8.3277793393831612</v>
      </c>
      <c r="H4">
        <v>6.1959999999999997</v>
      </c>
      <c r="I4">
        <v>1.7669999999999999</v>
      </c>
    </row>
    <row r="5" spans="1:11" x14ac:dyDescent="0.25">
      <c r="A5">
        <v>0.59</v>
      </c>
      <c r="B5">
        <v>69.30687632890988</v>
      </c>
      <c r="C5">
        <v>7.8018781053227553</v>
      </c>
      <c r="H5">
        <v>5.4050000000000002</v>
      </c>
      <c r="I5">
        <v>1.643</v>
      </c>
    </row>
    <row r="6" spans="1:11" x14ac:dyDescent="0.25">
      <c r="A6">
        <v>0.61599999999999999</v>
      </c>
      <c r="B6">
        <v>66.766434077279371</v>
      </c>
      <c r="C6">
        <v>7.9630413867283636</v>
      </c>
      <c r="H6">
        <v>4.806</v>
      </c>
      <c r="I6">
        <v>1.681</v>
      </c>
    </row>
    <row r="7" spans="1:11" x14ac:dyDescent="0.25">
      <c r="A7">
        <v>0.64300000000000002</v>
      </c>
      <c r="B7">
        <v>64.497424720647757</v>
      </c>
      <c r="C7">
        <v>8.2387154207116424</v>
      </c>
      <c r="H7">
        <v>4.2709999999999999</v>
      </c>
      <c r="I7">
        <v>1.746</v>
      </c>
    </row>
    <row r="8" spans="1:11" x14ac:dyDescent="0.25">
      <c r="A8">
        <v>0.67</v>
      </c>
      <c r="B8">
        <v>62.22417422503181</v>
      </c>
      <c r="C8">
        <v>8.0648287223529582</v>
      </c>
      <c r="H8">
        <v>3.7349999999999999</v>
      </c>
      <c r="I8">
        <v>1.7050000000000001</v>
      </c>
    </row>
    <row r="9" spans="1:11" x14ac:dyDescent="0.25">
      <c r="A9">
        <v>0.69599999999999995</v>
      </c>
      <c r="B9">
        <v>60.531959770272913</v>
      </c>
      <c r="C9">
        <v>7.6619205188389374</v>
      </c>
      <c r="H9">
        <v>3.3359999999999999</v>
      </c>
      <c r="I9">
        <v>1.61</v>
      </c>
    </row>
    <row r="10" spans="1:11" x14ac:dyDescent="0.25">
      <c r="A10">
        <v>0.72299999999999998</v>
      </c>
      <c r="B10">
        <v>59.810966142932038</v>
      </c>
      <c r="C10">
        <v>7.5134806543864023</v>
      </c>
      <c r="H10">
        <v>3.1659999999999999</v>
      </c>
      <c r="I10">
        <v>1.575</v>
      </c>
    </row>
    <row r="11" spans="1:11" x14ac:dyDescent="0.25">
      <c r="A11">
        <v>0.75</v>
      </c>
      <c r="B11">
        <v>59.441987051292877</v>
      </c>
      <c r="C11">
        <v>7.2929414271997794</v>
      </c>
      <c r="H11">
        <v>3.0790000000000002</v>
      </c>
      <c r="I11">
        <v>1.5229999999999999</v>
      </c>
    </row>
    <row r="12" spans="1:11" x14ac:dyDescent="0.25">
      <c r="A12">
        <v>0.77600000000000002</v>
      </c>
      <c r="B12">
        <v>58.945773790122978</v>
      </c>
      <c r="C12">
        <v>6.5125718540778852</v>
      </c>
      <c r="H12">
        <v>2.9620000000000002</v>
      </c>
      <c r="I12">
        <v>1.339</v>
      </c>
    </row>
    <row r="13" spans="1:11" x14ac:dyDescent="0.25">
      <c r="A13">
        <v>0.80300000000000005</v>
      </c>
      <c r="B13">
        <v>58.258709274656965</v>
      </c>
      <c r="C13">
        <v>5.4056345791604148</v>
      </c>
      <c r="H13">
        <v>2.8</v>
      </c>
      <c r="I13">
        <v>1.0780000000000001</v>
      </c>
    </row>
    <row r="14" spans="1:11" x14ac:dyDescent="0.25">
      <c r="A14">
        <v>0.83</v>
      </c>
      <c r="B14">
        <v>57.813389681299356</v>
      </c>
      <c r="C14">
        <v>4.7312934806474729</v>
      </c>
      <c r="H14">
        <v>2.6949999999999998</v>
      </c>
      <c r="I14">
        <v>0.91900000000000004</v>
      </c>
    </row>
    <row r="15" spans="1:11" x14ac:dyDescent="0.25">
      <c r="A15">
        <v>0.85599999999999998</v>
      </c>
      <c r="B15">
        <v>57.571644759190939</v>
      </c>
      <c r="C15">
        <v>4.9348681518966631</v>
      </c>
      <c r="H15">
        <v>2.6379999999999999</v>
      </c>
      <c r="I15">
        <v>0.96699999999999997</v>
      </c>
    </row>
    <row r="16" spans="1:11" x14ac:dyDescent="0.25">
      <c r="A16">
        <v>0.88300000000000001</v>
      </c>
      <c r="B16">
        <v>57.86004221012729</v>
      </c>
      <c r="C16">
        <v>6.2453800980633236</v>
      </c>
      <c r="H16">
        <v>2.706</v>
      </c>
      <c r="I16">
        <v>1.276</v>
      </c>
    </row>
    <row r="17" spans="1:9" x14ac:dyDescent="0.25">
      <c r="A17">
        <v>0.91</v>
      </c>
      <c r="B17">
        <v>59.128142766450374</v>
      </c>
      <c r="C17">
        <v>8.8494394344592102</v>
      </c>
      <c r="H17">
        <v>3.0049999999999999</v>
      </c>
      <c r="I17">
        <v>1.89</v>
      </c>
    </row>
    <row r="18" spans="1:9" x14ac:dyDescent="0.25">
      <c r="A18">
        <v>0.93600000000000005</v>
      </c>
      <c r="B18">
        <v>61.333535038316604</v>
      </c>
      <c r="C18">
        <v>12.208421510070846</v>
      </c>
      <c r="H18">
        <v>3.5249999999999999</v>
      </c>
      <c r="I18">
        <v>2.6819999999999999</v>
      </c>
    </row>
    <row r="19" spans="1:9" x14ac:dyDescent="0.25">
      <c r="A19">
        <v>0.96299999999999997</v>
      </c>
      <c r="B19">
        <v>63.386246306745932</v>
      </c>
      <c r="C19">
        <v>15.139048548262309</v>
      </c>
      <c r="H19">
        <v>4.0090000000000003</v>
      </c>
      <c r="I19">
        <v>3.3730000000000002</v>
      </c>
    </row>
    <row r="20" spans="1:9" x14ac:dyDescent="0.25">
      <c r="A20">
        <v>0.99</v>
      </c>
      <c r="B20">
        <v>64.81126900549026</v>
      </c>
      <c r="C20">
        <v>17.123901592941912</v>
      </c>
      <c r="H20">
        <v>4.3449999999999998</v>
      </c>
      <c r="I20">
        <v>3.8410000000000002</v>
      </c>
    </row>
    <row r="21" spans="1:9" x14ac:dyDescent="0.25">
      <c r="A21">
        <v>1.016</v>
      </c>
      <c r="B21">
        <v>65.706149331189835</v>
      </c>
      <c r="C21">
        <v>18.408966705202424</v>
      </c>
      <c r="H21">
        <v>4.556</v>
      </c>
      <c r="I21">
        <v>4.1440000000000001</v>
      </c>
    </row>
    <row r="22" spans="1:9" x14ac:dyDescent="0.25">
      <c r="A22">
        <v>1.0429999999999999</v>
      </c>
      <c r="B22">
        <v>66.104816395719496</v>
      </c>
      <c r="C22">
        <v>19.142683749496378</v>
      </c>
      <c r="H22">
        <v>4.6500000000000004</v>
      </c>
      <c r="I22">
        <v>4.3170000000000002</v>
      </c>
    </row>
    <row r="23" spans="1:9" x14ac:dyDescent="0.25">
      <c r="A23">
        <v>1.07</v>
      </c>
      <c r="B23">
        <v>65.604361995565228</v>
      </c>
      <c r="C23">
        <v>18.930626800278471</v>
      </c>
      <c r="H23">
        <v>4.532</v>
      </c>
      <c r="I23">
        <v>4.2670000000000003</v>
      </c>
    </row>
    <row r="24" spans="1:9" x14ac:dyDescent="0.25">
      <c r="A24">
        <v>1.0960000000000001</v>
      </c>
      <c r="B24">
        <v>63.823083622134824</v>
      </c>
      <c r="C24">
        <v>17.217206650597788</v>
      </c>
      <c r="H24">
        <v>4.1120000000000001</v>
      </c>
      <c r="I24">
        <v>3.863</v>
      </c>
    </row>
    <row r="25" spans="1:9" x14ac:dyDescent="0.25">
      <c r="A25">
        <v>1.123</v>
      </c>
      <c r="B25">
        <v>60.930626834802574</v>
      </c>
      <c r="C25">
        <v>14.184792276781732</v>
      </c>
      <c r="H25">
        <v>3.43</v>
      </c>
      <c r="I25">
        <v>3.1480000000000001</v>
      </c>
    </row>
    <row r="26" spans="1:9" x14ac:dyDescent="0.25">
      <c r="A26">
        <v>1.1499999999999999</v>
      </c>
      <c r="B26">
        <v>57.469857423566353</v>
      </c>
      <c r="C26">
        <v>10.427143136640433</v>
      </c>
      <c r="H26">
        <v>2.6139999999999999</v>
      </c>
      <c r="I26">
        <v>2.262</v>
      </c>
    </row>
    <row r="27" spans="1:9" x14ac:dyDescent="0.25">
      <c r="A27">
        <v>1.1759999999999999</v>
      </c>
      <c r="B27">
        <v>54.365343687016207</v>
      </c>
      <c r="C27">
        <v>6.9027566406388328</v>
      </c>
      <c r="H27">
        <v>1.8819999999999999</v>
      </c>
      <c r="I27">
        <v>1.431</v>
      </c>
    </row>
    <row r="28" spans="1:9" x14ac:dyDescent="0.25">
      <c r="A28">
        <v>1.2030000000000001</v>
      </c>
      <c r="B28">
        <v>52.363526086399169</v>
      </c>
      <c r="C28">
        <v>4.5998181721323714</v>
      </c>
      <c r="H28">
        <v>1.41</v>
      </c>
      <c r="I28">
        <v>0.88800000000000001</v>
      </c>
    </row>
    <row r="29" spans="1:9" x14ac:dyDescent="0.25">
      <c r="A29">
        <v>1.23</v>
      </c>
      <c r="B29">
        <v>51.400787536949871</v>
      </c>
      <c r="C29">
        <v>3.5522568429959147</v>
      </c>
      <c r="H29">
        <v>1.1830000000000001</v>
      </c>
      <c r="I29">
        <v>0.64100000000000001</v>
      </c>
    </row>
    <row r="30" spans="1:9" x14ac:dyDescent="0.25">
      <c r="A30">
        <v>1.256</v>
      </c>
      <c r="B30">
        <v>51.023326167341999</v>
      </c>
      <c r="C30">
        <v>3.1366252225288189</v>
      </c>
      <c r="H30">
        <v>1.0940000000000001</v>
      </c>
      <c r="I30">
        <v>0.54300000000000004</v>
      </c>
    </row>
    <row r="31" spans="1:9" x14ac:dyDescent="0.25">
      <c r="A31">
        <v>1.2829999999999999</v>
      </c>
      <c r="B31">
        <v>50.768857828280517</v>
      </c>
      <c r="C31">
        <v>2.971220802138852</v>
      </c>
      <c r="H31">
        <v>1.034</v>
      </c>
      <c r="I31">
        <v>0.504</v>
      </c>
    </row>
    <row r="32" spans="1:9" x14ac:dyDescent="0.25">
      <c r="A32">
        <v>1.31</v>
      </c>
      <c r="B32">
        <v>50.488942655312883</v>
      </c>
      <c r="C32">
        <v>2.8482277715924664</v>
      </c>
      <c r="H32">
        <v>0.96799999999999997</v>
      </c>
      <c r="I32">
        <v>0.47499999999999998</v>
      </c>
    </row>
    <row r="33" spans="1:9" x14ac:dyDescent="0.25">
      <c r="A33">
        <v>1.3360000000000001</v>
      </c>
      <c r="B33">
        <v>50.204786343360887</v>
      </c>
      <c r="C33">
        <v>2.7125113240930068</v>
      </c>
      <c r="H33">
        <v>0.90100000000000002</v>
      </c>
      <c r="I33">
        <v>0.443</v>
      </c>
    </row>
    <row r="34" spans="1:9" x14ac:dyDescent="0.25">
      <c r="A34">
        <v>1.363</v>
      </c>
      <c r="B34">
        <v>49.924871170393253</v>
      </c>
      <c r="C34">
        <v>2.5895182935466208</v>
      </c>
      <c r="H34">
        <v>0.83499999999999996</v>
      </c>
      <c r="I34">
        <v>0.41399999999999998</v>
      </c>
    </row>
    <row r="35" spans="1:9" x14ac:dyDescent="0.25">
      <c r="A35">
        <v>1.39</v>
      </c>
      <c r="B35">
        <v>49.70009080422227</v>
      </c>
      <c r="C35">
        <v>2.4792486799533098</v>
      </c>
      <c r="H35">
        <v>0.78200000000000003</v>
      </c>
      <c r="I35">
        <v>0.38800000000000001</v>
      </c>
    </row>
    <row r="36" spans="1:9" x14ac:dyDescent="0.25">
      <c r="A36">
        <v>1.4159999999999999</v>
      </c>
      <c r="B36">
        <v>49.538927522816657</v>
      </c>
      <c r="C36">
        <v>2.3986670392505052</v>
      </c>
      <c r="H36">
        <v>0.74399999999999999</v>
      </c>
      <c r="I36">
        <v>0.36899999999999999</v>
      </c>
    </row>
    <row r="37" spans="1:9" x14ac:dyDescent="0.25">
      <c r="A37">
        <v>1.4430000000000001</v>
      </c>
      <c r="B37">
        <v>49.365040824457971</v>
      </c>
      <c r="C37">
        <v>2.3138442595633428</v>
      </c>
      <c r="H37">
        <v>0.70299999999999996</v>
      </c>
      <c r="I37">
        <v>0.34899999999999998</v>
      </c>
    </row>
    <row r="38" spans="1:9" x14ac:dyDescent="0.25">
      <c r="A38">
        <v>1.47</v>
      </c>
      <c r="B38">
        <v>49.182671848130575</v>
      </c>
      <c r="C38">
        <v>2.2332626188605387</v>
      </c>
      <c r="H38">
        <v>0.66</v>
      </c>
      <c r="I38">
        <v>0.33</v>
      </c>
    </row>
    <row r="39" spans="1:9" x14ac:dyDescent="0.25">
      <c r="A39">
        <v>1.496</v>
      </c>
      <c r="B39">
        <v>49.034231983678048</v>
      </c>
      <c r="C39">
        <v>2.1569221171420923</v>
      </c>
      <c r="H39">
        <v>0.625</v>
      </c>
      <c r="I39">
        <v>0.312</v>
      </c>
    </row>
    <row r="40" spans="1:9" x14ac:dyDescent="0.25">
      <c r="A40">
        <v>1.5229999999999999</v>
      </c>
      <c r="B40">
        <v>48.919721231100375</v>
      </c>
      <c r="C40">
        <v>2.084822754408004</v>
      </c>
      <c r="H40">
        <v>0.59799999999999998</v>
      </c>
      <c r="I40">
        <v>0.29499999999999998</v>
      </c>
    </row>
    <row r="41" spans="1:9" x14ac:dyDescent="0.25">
      <c r="A41">
        <v>1.55</v>
      </c>
      <c r="B41">
        <v>48.826416173444493</v>
      </c>
      <c r="C41">
        <v>2.0381702255800649</v>
      </c>
      <c r="H41">
        <v>0.57599999999999996</v>
      </c>
      <c r="I41">
        <v>0.28399999999999997</v>
      </c>
    </row>
    <row r="42" spans="1:9" x14ac:dyDescent="0.25">
      <c r="A42">
        <v>1.5760000000000001</v>
      </c>
      <c r="B42">
        <v>48.805210478522703</v>
      </c>
      <c r="C42">
        <v>2.0127233916739162</v>
      </c>
      <c r="H42">
        <v>0.57099999999999995</v>
      </c>
      <c r="I42">
        <v>0.27800000000000002</v>
      </c>
    </row>
    <row r="43" spans="1:9" x14ac:dyDescent="0.25">
      <c r="A43">
        <v>1.603</v>
      </c>
      <c r="B43">
        <v>48.877309841256789</v>
      </c>
      <c r="C43">
        <v>1.9999999747208419</v>
      </c>
      <c r="H43">
        <v>0.58799999999999997</v>
      </c>
      <c r="I43">
        <v>0.27500000000000002</v>
      </c>
    </row>
    <row r="44" spans="1:9" x14ac:dyDescent="0.25">
      <c r="A44">
        <v>1.63</v>
      </c>
      <c r="B44">
        <v>49.025749705709323</v>
      </c>
      <c r="C44">
        <v>1.9999999747208419</v>
      </c>
      <c r="H44">
        <v>0.623</v>
      </c>
      <c r="I44">
        <v>0.27500000000000002</v>
      </c>
    </row>
    <row r="45" spans="1:9" x14ac:dyDescent="0.25">
      <c r="A45">
        <v>1.6559999999999999</v>
      </c>
      <c r="B45">
        <v>49.203877543052364</v>
      </c>
      <c r="C45">
        <v>2.0127233916739162</v>
      </c>
      <c r="H45">
        <v>0.66500000000000004</v>
      </c>
      <c r="I45">
        <v>0.27800000000000002</v>
      </c>
    </row>
    <row r="46" spans="1:9" x14ac:dyDescent="0.25">
      <c r="A46">
        <v>1.6830000000000001</v>
      </c>
      <c r="B46">
        <v>49.428657909223347</v>
      </c>
      <c r="C46">
        <v>2.0424113645644231</v>
      </c>
      <c r="H46">
        <v>0.71799999999999997</v>
      </c>
      <c r="I46">
        <v>0.28499999999999998</v>
      </c>
    </row>
    <row r="47" spans="1:9" x14ac:dyDescent="0.25">
      <c r="A47">
        <v>1.71</v>
      </c>
      <c r="B47">
        <v>49.674643970316119</v>
      </c>
      <c r="C47">
        <v>2.084822754408004</v>
      </c>
      <c r="H47">
        <v>0.77600000000000002</v>
      </c>
      <c r="I47">
        <v>0.29499999999999998</v>
      </c>
    </row>
    <row r="48" spans="1:9" x14ac:dyDescent="0.25">
      <c r="A48">
        <v>1.736</v>
      </c>
      <c r="B48">
        <v>49.912147753440181</v>
      </c>
      <c r="C48">
        <v>2.13995756120466</v>
      </c>
      <c r="H48">
        <v>0.83199999999999996</v>
      </c>
      <c r="I48">
        <v>0.308</v>
      </c>
    </row>
    <row r="49" spans="1:9" x14ac:dyDescent="0.25">
      <c r="A49">
        <v>1.7629999999999999</v>
      </c>
      <c r="B49">
        <v>50.141169258595511</v>
      </c>
      <c r="C49">
        <v>2.1993335069856736</v>
      </c>
      <c r="H49">
        <v>0.88600000000000001</v>
      </c>
      <c r="I49">
        <v>0.32200000000000001</v>
      </c>
    </row>
    <row r="50" spans="1:9" x14ac:dyDescent="0.25">
      <c r="A50">
        <v>1.79</v>
      </c>
      <c r="B50">
        <v>50.395637597657</v>
      </c>
      <c r="C50">
        <v>2.2671917307354037</v>
      </c>
      <c r="H50">
        <v>0.94599999999999995</v>
      </c>
      <c r="I50">
        <v>0.33800000000000002</v>
      </c>
    </row>
    <row r="51" spans="1:9" x14ac:dyDescent="0.25">
      <c r="A51">
        <v>1.8160000000000001</v>
      </c>
      <c r="B51">
        <v>50.684035048593351</v>
      </c>
      <c r="C51">
        <v>2.3392910934694915</v>
      </c>
      <c r="H51">
        <v>1.014</v>
      </c>
      <c r="I51">
        <v>0.35499999999999998</v>
      </c>
    </row>
    <row r="52" spans="1:9" x14ac:dyDescent="0.25">
      <c r="A52">
        <v>1.843</v>
      </c>
      <c r="B52">
        <v>51.040290723279433</v>
      </c>
      <c r="C52">
        <v>2.4453195680784447</v>
      </c>
      <c r="H52">
        <v>1.0980000000000001</v>
      </c>
      <c r="I52">
        <v>0.38</v>
      </c>
    </row>
    <row r="53" spans="1:9" x14ac:dyDescent="0.25">
      <c r="A53">
        <v>1.87</v>
      </c>
      <c r="B53">
        <v>51.52378056749626</v>
      </c>
      <c r="C53">
        <v>2.5555891816717562</v>
      </c>
      <c r="H53">
        <v>1.212</v>
      </c>
      <c r="I53">
        <v>0.40600000000000003</v>
      </c>
    </row>
    <row r="54" spans="1:9" x14ac:dyDescent="0.25">
      <c r="A54">
        <v>1.8959999999999999</v>
      </c>
      <c r="B54">
        <v>52.058164079525383</v>
      </c>
      <c r="C54">
        <v>2.6828233512024995</v>
      </c>
      <c r="H54">
        <v>1.3380000000000001</v>
      </c>
      <c r="I54">
        <v>0.436</v>
      </c>
    </row>
    <row r="55" spans="1:9" x14ac:dyDescent="0.25">
      <c r="A55">
        <v>1.923</v>
      </c>
      <c r="B55">
        <v>52.639200120382448</v>
      </c>
      <c r="C55">
        <v>2.8567100495611824</v>
      </c>
      <c r="H55">
        <v>1.4750000000000001</v>
      </c>
      <c r="I55">
        <v>0.47699999999999998</v>
      </c>
    </row>
    <row r="56" spans="1:9" x14ac:dyDescent="0.25">
      <c r="A56">
        <v>1.95</v>
      </c>
      <c r="B56">
        <v>53.317782357879743</v>
      </c>
      <c r="C56">
        <v>3.0136321919824334</v>
      </c>
      <c r="H56">
        <v>1.635</v>
      </c>
      <c r="I56">
        <v>0.51400000000000001</v>
      </c>
    </row>
    <row r="57" spans="1:9" x14ac:dyDescent="0.25">
      <c r="A57">
        <v>1.976</v>
      </c>
      <c r="B57">
        <v>54.038775985220632</v>
      </c>
      <c r="C57">
        <v>3.1960011683098326</v>
      </c>
      <c r="H57">
        <v>1.8049999999999999</v>
      </c>
      <c r="I57">
        <v>0.55700000000000005</v>
      </c>
    </row>
    <row r="58" spans="1:9" x14ac:dyDescent="0.25">
      <c r="A58">
        <v>2.0030000000000001</v>
      </c>
      <c r="B58">
        <v>54.730081639670999</v>
      </c>
      <c r="C58">
        <v>3.3910935615903064</v>
      </c>
      <c r="H58">
        <v>1.968</v>
      </c>
      <c r="I58">
        <v>0.60299999999999998</v>
      </c>
    </row>
    <row r="59" spans="1:9" x14ac:dyDescent="0.25">
      <c r="A59">
        <v>2.0299999999999998</v>
      </c>
      <c r="B59">
        <v>55.374734765293439</v>
      </c>
      <c r="C59">
        <v>3.5989093718238543</v>
      </c>
      <c r="H59">
        <v>2.12</v>
      </c>
      <c r="I59">
        <v>0.65200000000000002</v>
      </c>
    </row>
    <row r="60" spans="1:9" x14ac:dyDescent="0.25">
      <c r="A60">
        <v>2.056</v>
      </c>
      <c r="B60">
        <v>56.040593585837662</v>
      </c>
      <c r="C60">
        <v>3.8448954329166254</v>
      </c>
      <c r="H60">
        <v>2.2770000000000001</v>
      </c>
      <c r="I60">
        <v>0.71</v>
      </c>
    </row>
    <row r="61" spans="1:9" x14ac:dyDescent="0.25">
      <c r="A61">
        <v>2.0830000000000002</v>
      </c>
      <c r="B61">
        <v>56.736140379272392</v>
      </c>
      <c r="C61">
        <v>4.0908814940093965</v>
      </c>
      <c r="H61">
        <v>2.4409999999999998</v>
      </c>
      <c r="I61">
        <v>0.76800000000000002</v>
      </c>
    </row>
    <row r="62" spans="1:9" x14ac:dyDescent="0.25">
      <c r="A62">
        <v>2.11</v>
      </c>
      <c r="B62">
        <v>57.406240338800984</v>
      </c>
      <c r="C62">
        <v>4.2774916093211548</v>
      </c>
      <c r="H62">
        <v>2.5990000000000002</v>
      </c>
      <c r="I62">
        <v>0.81200000000000006</v>
      </c>
    </row>
    <row r="63" spans="1:9" x14ac:dyDescent="0.25">
      <c r="A63">
        <v>2.1360000000000001</v>
      </c>
      <c r="B63">
        <v>57.999999796611114</v>
      </c>
      <c r="C63">
        <v>4.4301726127580467</v>
      </c>
      <c r="H63">
        <v>2.7389999999999999</v>
      </c>
      <c r="I63">
        <v>0.84799999999999998</v>
      </c>
    </row>
    <row r="64" spans="1:9" x14ac:dyDescent="0.25">
      <c r="A64">
        <v>2.1629999999999998</v>
      </c>
      <c r="B64">
        <v>58.572553559499461</v>
      </c>
      <c r="C64">
        <v>4.565889060257506</v>
      </c>
      <c r="H64">
        <v>2.8740000000000001</v>
      </c>
      <c r="I64">
        <v>0.88</v>
      </c>
    </row>
    <row r="65" spans="1:9" x14ac:dyDescent="0.25">
      <c r="A65">
        <v>2.19</v>
      </c>
      <c r="B65">
        <v>59.009390874888354</v>
      </c>
      <c r="C65">
        <v>4.6252650060385205</v>
      </c>
      <c r="H65">
        <v>2.9769999999999999</v>
      </c>
      <c r="I65">
        <v>0.89400000000000002</v>
      </c>
    </row>
    <row r="66" spans="1:9" x14ac:dyDescent="0.25">
      <c r="A66">
        <v>2.2160000000000002</v>
      </c>
      <c r="B66">
        <v>59.552256664886187</v>
      </c>
      <c r="C66">
        <v>4.6931232297882506</v>
      </c>
      <c r="H66">
        <v>3.105</v>
      </c>
      <c r="I66">
        <v>0.91</v>
      </c>
    </row>
    <row r="67" spans="1:9" x14ac:dyDescent="0.25">
      <c r="A67">
        <v>2.2429999999999999</v>
      </c>
      <c r="B67">
        <v>60.184186373555548</v>
      </c>
      <c r="C67">
        <v>4.8076339823659193</v>
      </c>
      <c r="H67">
        <v>3.254</v>
      </c>
      <c r="I67">
        <v>0.93700000000000006</v>
      </c>
    </row>
    <row r="68" spans="1:9" x14ac:dyDescent="0.25">
      <c r="A68">
        <v>2.27</v>
      </c>
      <c r="B68">
        <v>60.837321777146698</v>
      </c>
      <c r="C68">
        <v>4.9433504298653794</v>
      </c>
      <c r="H68">
        <v>3.4079999999999999</v>
      </c>
      <c r="I68">
        <v>0.96899999999999997</v>
      </c>
    </row>
    <row r="69" spans="1:9" x14ac:dyDescent="0.25">
      <c r="A69">
        <v>2.2959999999999998</v>
      </c>
      <c r="B69">
        <v>61.405634401050683</v>
      </c>
      <c r="C69">
        <v>5.0833080163491982</v>
      </c>
      <c r="H69">
        <v>3.5419999999999998</v>
      </c>
      <c r="I69">
        <v>1.002</v>
      </c>
    </row>
    <row r="70" spans="1:9" x14ac:dyDescent="0.25">
      <c r="A70">
        <v>2.323</v>
      </c>
      <c r="B70">
        <v>61.978188163939031</v>
      </c>
      <c r="C70">
        <v>5.2402301587704478</v>
      </c>
      <c r="H70">
        <v>3.677</v>
      </c>
      <c r="I70">
        <v>1.0389999999999999</v>
      </c>
    </row>
    <row r="71" spans="1:9" x14ac:dyDescent="0.25">
      <c r="A71">
        <v>2.35</v>
      </c>
      <c r="B71">
        <v>62.826415960810657</v>
      </c>
      <c r="C71">
        <v>5.4480459690039966</v>
      </c>
      <c r="H71">
        <v>3.8769999999999998</v>
      </c>
      <c r="I71">
        <v>1.0880000000000001</v>
      </c>
    </row>
    <row r="72" spans="1:9" x14ac:dyDescent="0.25">
      <c r="A72">
        <v>2.3759999999999999</v>
      </c>
      <c r="B72">
        <v>63.814601344166107</v>
      </c>
      <c r="C72">
        <v>5.6940320300967668</v>
      </c>
      <c r="H72">
        <v>4.1100000000000003</v>
      </c>
      <c r="I72">
        <v>1.1459999999999999</v>
      </c>
    </row>
    <row r="73" spans="1:9" x14ac:dyDescent="0.25">
      <c r="A73">
        <v>2.403</v>
      </c>
      <c r="B73">
        <v>64.739169642756167</v>
      </c>
      <c r="C73">
        <v>5.910330118299032</v>
      </c>
      <c r="H73">
        <v>4.3280000000000003</v>
      </c>
      <c r="I73">
        <v>1.1970000000000001</v>
      </c>
    </row>
    <row r="74" spans="1:9" x14ac:dyDescent="0.25">
      <c r="A74">
        <v>2.4300000000000002</v>
      </c>
      <c r="B74">
        <v>65.523780354862424</v>
      </c>
      <c r="C74">
        <v>6.1393516234543695</v>
      </c>
      <c r="H74">
        <v>4.5129999999999999</v>
      </c>
      <c r="I74">
        <v>1.2509999999999999</v>
      </c>
    </row>
    <row r="75" spans="1:9" x14ac:dyDescent="0.25">
      <c r="A75">
        <v>2.456</v>
      </c>
      <c r="B75">
        <v>66.11329867368822</v>
      </c>
      <c r="C75">
        <v>6.2920326268912632</v>
      </c>
      <c r="H75">
        <v>4.6520000000000001</v>
      </c>
      <c r="I75">
        <v>1.2869999999999999</v>
      </c>
    </row>
    <row r="76" spans="1:9" x14ac:dyDescent="0.25">
      <c r="A76">
        <v>2.4830000000000001</v>
      </c>
      <c r="B76">
        <v>66.690093575560908</v>
      </c>
      <c r="C76">
        <v>6.4277490743907224</v>
      </c>
      <c r="H76">
        <v>4.7880000000000003</v>
      </c>
      <c r="I76">
        <v>1.319</v>
      </c>
    </row>
    <row r="77" spans="1:9" x14ac:dyDescent="0.25">
      <c r="A77">
        <v>2.5099999999999998</v>
      </c>
      <c r="B77">
        <v>67.495909982588955</v>
      </c>
      <c r="C77">
        <v>6.5804300778276152</v>
      </c>
      <c r="H77">
        <v>4.9779999999999998</v>
      </c>
      <c r="I77">
        <v>1.355</v>
      </c>
    </row>
    <row r="78" spans="1:9" x14ac:dyDescent="0.25">
      <c r="A78">
        <v>2.536</v>
      </c>
      <c r="B78">
        <v>68.289002972663909</v>
      </c>
      <c r="C78">
        <v>6.7288699422801495</v>
      </c>
      <c r="H78">
        <v>5.165</v>
      </c>
      <c r="I78">
        <v>1.39</v>
      </c>
    </row>
    <row r="79" spans="1:9" x14ac:dyDescent="0.25">
      <c r="A79">
        <v>2.5630000000000002</v>
      </c>
      <c r="B79">
        <v>68.662223203287439</v>
      </c>
      <c r="C79">
        <v>6.7543167761862977</v>
      </c>
      <c r="H79">
        <v>5.2530000000000001</v>
      </c>
      <c r="I79">
        <v>1.3959999999999999</v>
      </c>
    </row>
    <row r="80" spans="1:9" x14ac:dyDescent="0.25">
      <c r="A80">
        <v>2.59</v>
      </c>
      <c r="B80">
        <v>68.62829409141257</v>
      </c>
      <c r="C80">
        <v>6.7034231083740003</v>
      </c>
      <c r="H80">
        <v>5.2450000000000001</v>
      </c>
      <c r="I80">
        <v>1.3839999999999999</v>
      </c>
    </row>
    <row r="81" spans="1:9" x14ac:dyDescent="0.25">
      <c r="A81">
        <v>2.6160000000000001</v>
      </c>
      <c r="B81">
        <v>68.976067488129942</v>
      </c>
      <c r="C81">
        <v>6.7924870270455209</v>
      </c>
      <c r="H81">
        <v>5.327</v>
      </c>
      <c r="I81">
        <v>1.405</v>
      </c>
    </row>
    <row r="82" spans="1:9" x14ac:dyDescent="0.25">
      <c r="A82">
        <v>2.6429999999999998</v>
      </c>
      <c r="B82">
        <v>69.400181386565748</v>
      </c>
      <c r="C82">
        <v>6.8688275287639673</v>
      </c>
      <c r="H82">
        <v>5.4269999999999996</v>
      </c>
      <c r="I82">
        <v>1.423</v>
      </c>
    </row>
    <row r="83" spans="1:9" x14ac:dyDescent="0.25">
      <c r="A83">
        <v>2.67</v>
      </c>
      <c r="B83">
        <v>69.400181386565748</v>
      </c>
      <c r="C83">
        <v>6.8942743626701164</v>
      </c>
      <c r="H83">
        <v>5.4269999999999996</v>
      </c>
      <c r="I83">
        <v>1.429</v>
      </c>
    </row>
    <row r="84" spans="1:9" x14ac:dyDescent="0.25">
      <c r="A84">
        <v>2.6960000000000002</v>
      </c>
      <c r="B84">
        <v>68.696152315162294</v>
      </c>
      <c r="C84">
        <v>6.8561041118108923</v>
      </c>
      <c r="H84">
        <v>5.2610000000000001</v>
      </c>
      <c r="I84">
        <v>1.42</v>
      </c>
    </row>
    <row r="85" spans="1:9" x14ac:dyDescent="0.25">
      <c r="A85">
        <v>2.7229999999999999</v>
      </c>
      <c r="B85">
        <v>67.970917548837065</v>
      </c>
      <c r="C85">
        <v>6.9154800575919069</v>
      </c>
      <c r="H85">
        <v>5.09</v>
      </c>
      <c r="I85">
        <v>1.4339999999999999</v>
      </c>
    </row>
    <row r="86" spans="1:9" x14ac:dyDescent="0.25">
      <c r="A86">
        <v>2.75</v>
      </c>
      <c r="B86">
        <v>67.839442240321958</v>
      </c>
      <c r="C86">
        <v>7.119054728841097</v>
      </c>
      <c r="H86">
        <v>5.0590000000000002</v>
      </c>
      <c r="I86">
        <v>1.482</v>
      </c>
    </row>
    <row r="87" spans="1:9" x14ac:dyDescent="0.25">
      <c r="A87">
        <v>2.7759999999999998</v>
      </c>
      <c r="B87">
        <v>67.958194131883985</v>
      </c>
      <c r="C87">
        <v>7.2844591492310631</v>
      </c>
      <c r="H87">
        <v>5.0869999999999997</v>
      </c>
      <c r="I87">
        <v>1.5209999999999999</v>
      </c>
    </row>
    <row r="88" spans="1:9" x14ac:dyDescent="0.25">
      <c r="A88">
        <v>2.8029999999999999</v>
      </c>
      <c r="B88">
        <v>68.339896640476212</v>
      </c>
      <c r="C88">
        <v>7.4456224306366723</v>
      </c>
      <c r="H88">
        <v>5.1769999999999996</v>
      </c>
      <c r="I88">
        <v>1.5589999999999999</v>
      </c>
    </row>
    <row r="89" spans="1:9" x14ac:dyDescent="0.25">
      <c r="A89">
        <v>2.83</v>
      </c>
      <c r="B89">
        <v>68.653740925318729</v>
      </c>
      <c r="C89">
        <v>7.4880338204802532</v>
      </c>
      <c r="H89">
        <v>5.2510000000000003</v>
      </c>
      <c r="I89">
        <v>1.569</v>
      </c>
    </row>
    <row r="90" spans="1:9" x14ac:dyDescent="0.25">
      <c r="A90">
        <v>2.8559999999999999</v>
      </c>
      <c r="B90">
        <v>68.874280152505349</v>
      </c>
      <c r="C90">
        <v>7.4668281255584636</v>
      </c>
      <c r="H90">
        <v>5.3029999999999999</v>
      </c>
      <c r="I90">
        <v>1.5640000000000001</v>
      </c>
    </row>
    <row r="91" spans="1:9" x14ac:dyDescent="0.25">
      <c r="A91">
        <v>2.883</v>
      </c>
      <c r="B91">
        <v>68.755528260943322</v>
      </c>
      <c r="C91">
        <v>7.3353528170433604</v>
      </c>
      <c r="H91">
        <v>5.2750000000000004</v>
      </c>
      <c r="I91">
        <v>1.5329999999999999</v>
      </c>
    </row>
    <row r="92" spans="1:9" x14ac:dyDescent="0.25">
      <c r="A92">
        <v>2.91</v>
      </c>
      <c r="B92">
        <v>68.492577643913108</v>
      </c>
      <c r="C92">
        <v>7.2250832034500494</v>
      </c>
      <c r="H92">
        <v>5.2130000000000001</v>
      </c>
      <c r="I92">
        <v>1.5069999999999999</v>
      </c>
    </row>
    <row r="93" spans="1:9" x14ac:dyDescent="0.25">
      <c r="A93">
        <v>2.9359999999999999</v>
      </c>
      <c r="B93">
        <v>68.055740328524223</v>
      </c>
      <c r="C93">
        <v>7.1911540915751848</v>
      </c>
      <c r="H93">
        <v>5.1100000000000003</v>
      </c>
      <c r="I93">
        <v>1.4990000000000001</v>
      </c>
    </row>
    <row r="94" spans="1:9" x14ac:dyDescent="0.25">
      <c r="A94">
        <v>2.9630000000000001</v>
      </c>
      <c r="B94">
        <v>67.750378321650444</v>
      </c>
      <c r="C94">
        <v>7.216600925481333</v>
      </c>
      <c r="H94">
        <v>5.0380000000000003</v>
      </c>
      <c r="I94">
        <v>1.5049999999999999</v>
      </c>
    </row>
    <row r="95" spans="1:9" x14ac:dyDescent="0.25">
      <c r="A95">
        <v>2.99</v>
      </c>
      <c r="B95">
        <v>67.542562511416889</v>
      </c>
      <c r="C95">
        <v>7.1275370068098134</v>
      </c>
      <c r="H95">
        <v>4.9889999999999999</v>
      </c>
      <c r="I95">
        <v>1.484</v>
      </c>
    </row>
    <row r="96" spans="1:9" x14ac:dyDescent="0.25">
      <c r="A96">
        <v>3.016</v>
      </c>
      <c r="B96">
        <v>67.355952396105138</v>
      </c>
      <c r="C96">
        <v>6.9663737254042042</v>
      </c>
      <c r="H96">
        <v>4.9450000000000003</v>
      </c>
      <c r="I96">
        <v>1.446</v>
      </c>
    </row>
    <row r="97" spans="1:9" x14ac:dyDescent="0.25">
      <c r="A97">
        <v>3.0430000000000001</v>
      </c>
      <c r="B97">
        <v>67.093001779074925</v>
      </c>
      <c r="C97">
        <v>6.8476218338421768</v>
      </c>
      <c r="H97">
        <v>4.883</v>
      </c>
      <c r="I97">
        <v>1.4179999999999999</v>
      </c>
    </row>
    <row r="98" spans="1:9" x14ac:dyDescent="0.25">
      <c r="A98">
        <v>3.07</v>
      </c>
      <c r="B98">
        <v>66.842774578997805</v>
      </c>
      <c r="C98">
        <v>6.8645863897796087</v>
      </c>
      <c r="H98">
        <v>4.8239999999999998</v>
      </c>
      <c r="I98">
        <v>1.4219999999999999</v>
      </c>
    </row>
    <row r="99" spans="1:9" x14ac:dyDescent="0.25">
      <c r="A99">
        <v>3.0960000000000001</v>
      </c>
      <c r="B99">
        <v>66.84701571798216</v>
      </c>
      <c r="C99">
        <v>7.008785115247786</v>
      </c>
      <c r="H99">
        <v>4.8250000000000002</v>
      </c>
      <c r="I99">
        <v>1.456</v>
      </c>
    </row>
    <row r="100" spans="1:9" x14ac:dyDescent="0.25">
      <c r="A100">
        <v>3.1230000000000002</v>
      </c>
      <c r="B100">
        <v>67.207512531652597</v>
      </c>
      <c r="C100">
        <v>7.271735732277989</v>
      </c>
      <c r="H100">
        <v>4.91</v>
      </c>
      <c r="I100">
        <v>1.518</v>
      </c>
    </row>
    <row r="101" spans="1:9" x14ac:dyDescent="0.25">
      <c r="A101">
        <v>3.15</v>
      </c>
      <c r="B101">
        <v>67.7546194606348</v>
      </c>
      <c r="C101">
        <v>7.5558920442299842</v>
      </c>
      <c r="H101">
        <v>5.0389999999999997</v>
      </c>
      <c r="I101">
        <v>1.585</v>
      </c>
    </row>
    <row r="102" spans="1:9" x14ac:dyDescent="0.25">
      <c r="A102">
        <v>3.1760000000000002</v>
      </c>
      <c r="B102">
        <v>68.229627026882909</v>
      </c>
      <c r="C102">
        <v>7.861254051103769</v>
      </c>
      <c r="H102">
        <v>5.1509999999999998</v>
      </c>
      <c r="I102">
        <v>1.657</v>
      </c>
    </row>
    <row r="103" spans="1:9" x14ac:dyDescent="0.25">
      <c r="A103">
        <v>3.2029999999999998</v>
      </c>
      <c r="B103">
        <v>68.65798206430307</v>
      </c>
      <c r="C103">
        <v>8.0605875833685996</v>
      </c>
      <c r="H103">
        <v>5.2519999999999998</v>
      </c>
      <c r="I103">
        <v>1.704</v>
      </c>
    </row>
    <row r="104" spans="1:9" x14ac:dyDescent="0.25">
      <c r="A104">
        <v>3.23</v>
      </c>
      <c r="B104">
        <v>69.065131406801456</v>
      </c>
      <c r="C104">
        <v>8.1750983359462701</v>
      </c>
      <c r="H104">
        <v>5.3479999999999999</v>
      </c>
      <c r="I104">
        <v>1.7310000000000001</v>
      </c>
    </row>
    <row r="105" spans="1:9" x14ac:dyDescent="0.25">
      <c r="A105">
        <v>3.2559999999999998</v>
      </c>
      <c r="B105">
        <v>69.226294688207062</v>
      </c>
      <c r="C105">
        <v>8.1750983359462701</v>
      </c>
      <c r="H105">
        <v>5.3860000000000001</v>
      </c>
      <c r="I105">
        <v>1.7310000000000001</v>
      </c>
    </row>
    <row r="106" spans="1:9" x14ac:dyDescent="0.25">
      <c r="A106">
        <v>3.2829999999999999</v>
      </c>
      <c r="B106">
        <v>69.116025074613759</v>
      </c>
      <c r="C106">
        <v>8.1496515020401219</v>
      </c>
      <c r="H106">
        <v>5.36</v>
      </c>
      <c r="I106">
        <v>1.7250000000000001</v>
      </c>
    </row>
    <row r="107" spans="1:9" x14ac:dyDescent="0.25">
      <c r="A107">
        <v>3.31</v>
      </c>
      <c r="B107">
        <v>68.819145345708691</v>
      </c>
      <c r="C107">
        <v>7.9757648036814377</v>
      </c>
      <c r="H107">
        <v>5.29</v>
      </c>
      <c r="I107">
        <v>1.6839999999999999</v>
      </c>
    </row>
    <row r="108" spans="1:9" x14ac:dyDescent="0.25">
      <c r="A108">
        <v>3.3359999999999999</v>
      </c>
      <c r="B108">
        <v>69.620720613752368</v>
      </c>
      <c r="C108">
        <v>7.8103603832914708</v>
      </c>
      <c r="H108">
        <v>5.4790000000000001</v>
      </c>
      <c r="I108">
        <v>1.645</v>
      </c>
    </row>
    <row r="109" spans="1:9" x14ac:dyDescent="0.25">
      <c r="A109">
        <v>3.363</v>
      </c>
      <c r="B109">
        <v>70.820962946325722</v>
      </c>
      <c r="C109">
        <v>7.9121477189160663</v>
      </c>
      <c r="H109">
        <v>5.7619999999999996</v>
      </c>
      <c r="I109">
        <v>1.669</v>
      </c>
    </row>
    <row r="110" spans="1:9" x14ac:dyDescent="0.25">
      <c r="A110">
        <v>3.39</v>
      </c>
      <c r="B110">
        <v>71.54195657366661</v>
      </c>
      <c r="C110">
        <v>8.3574673122736698</v>
      </c>
      <c r="H110">
        <v>5.9320000000000004</v>
      </c>
      <c r="I110">
        <v>1.774</v>
      </c>
    </row>
    <row r="111" spans="1:9" x14ac:dyDescent="0.25">
      <c r="A111">
        <v>3.4159999999999999</v>
      </c>
      <c r="B111">
        <v>71.35110531937049</v>
      </c>
      <c r="C111">
        <v>8.5949710953977245</v>
      </c>
      <c r="H111">
        <v>5.8869999999999996</v>
      </c>
      <c r="I111">
        <v>1.83</v>
      </c>
    </row>
    <row r="112" spans="1:9" x14ac:dyDescent="0.25">
      <c r="A112">
        <v>3.4430000000000001</v>
      </c>
      <c r="B112">
        <v>70.986367366715697</v>
      </c>
      <c r="C112">
        <v>8.5695242614915745</v>
      </c>
      <c r="H112">
        <v>5.8010000000000002</v>
      </c>
      <c r="I112">
        <v>1.8240000000000001</v>
      </c>
    </row>
    <row r="113" spans="1:9" x14ac:dyDescent="0.25">
      <c r="A113">
        <v>3.47</v>
      </c>
      <c r="B113">
        <v>71.117842675230804</v>
      </c>
      <c r="C113">
        <v>8.6204179293038727</v>
      </c>
      <c r="H113">
        <v>5.8319999999999999</v>
      </c>
      <c r="I113">
        <v>1.8360000000000001</v>
      </c>
    </row>
    <row r="114" spans="1:9" x14ac:dyDescent="0.25">
      <c r="A114">
        <v>3.496</v>
      </c>
      <c r="B114">
        <v>71.287488234605107</v>
      </c>
      <c r="C114">
        <v>8.7985457666469138</v>
      </c>
      <c r="H114">
        <v>5.8719999999999999</v>
      </c>
      <c r="I114">
        <v>1.8779999999999999</v>
      </c>
    </row>
    <row r="115" spans="1:9" x14ac:dyDescent="0.25">
      <c r="A115">
        <v>3.5230000000000001</v>
      </c>
      <c r="B115">
        <v>71.079672424371566</v>
      </c>
      <c r="C115">
        <v>8.8494394344592102</v>
      </c>
      <c r="H115">
        <v>5.8230000000000004</v>
      </c>
      <c r="I115">
        <v>1.89</v>
      </c>
    </row>
    <row r="116" spans="1:9" x14ac:dyDescent="0.25">
      <c r="A116">
        <v>3.55</v>
      </c>
      <c r="B116">
        <v>70.350196519061967</v>
      </c>
      <c r="C116">
        <v>8.6119356513351573</v>
      </c>
      <c r="H116">
        <v>5.6509999999999998</v>
      </c>
      <c r="I116">
        <v>1.8340000000000001</v>
      </c>
    </row>
    <row r="117" spans="1:9" x14ac:dyDescent="0.25">
      <c r="A117">
        <v>3.5760000000000001</v>
      </c>
      <c r="B117">
        <v>69.574068084924434</v>
      </c>
      <c r="C117">
        <v>8.2175097257898511</v>
      </c>
      <c r="H117">
        <v>5.468</v>
      </c>
      <c r="I117">
        <v>1.7410000000000001</v>
      </c>
    </row>
    <row r="118" spans="1:9" x14ac:dyDescent="0.25">
      <c r="A118">
        <v>3.6030000000000002</v>
      </c>
      <c r="B118">
        <v>69.230535827191432</v>
      </c>
      <c r="C118">
        <v>7.8782186070412017</v>
      </c>
      <c r="H118">
        <v>5.3869999999999996</v>
      </c>
      <c r="I118">
        <v>1.661</v>
      </c>
    </row>
    <row r="119" spans="1:9" x14ac:dyDescent="0.25">
      <c r="A119">
        <v>3.63</v>
      </c>
      <c r="B119">
        <v>69.162677603441693</v>
      </c>
      <c r="C119">
        <v>7.6746439357920107</v>
      </c>
      <c r="H119">
        <v>5.3710000000000004</v>
      </c>
      <c r="I119">
        <v>1.613</v>
      </c>
    </row>
    <row r="120" spans="1:9" x14ac:dyDescent="0.25">
      <c r="A120">
        <v>3.6560000000000001</v>
      </c>
      <c r="B120">
        <v>69.022720016957891</v>
      </c>
      <c r="C120">
        <v>7.6619205188389374</v>
      </c>
      <c r="H120">
        <v>5.3380000000000001</v>
      </c>
      <c r="I120">
        <v>1.61</v>
      </c>
    </row>
    <row r="121" spans="1:9" x14ac:dyDescent="0.25">
      <c r="A121">
        <v>3.6829999999999998</v>
      </c>
      <c r="B121">
        <v>68.959102932192508</v>
      </c>
      <c r="C121">
        <v>7.7976369663383958</v>
      </c>
      <c r="H121">
        <v>5.3230000000000004</v>
      </c>
      <c r="I121">
        <v>1.6419999999999999</v>
      </c>
    </row>
    <row r="122" spans="1:9" x14ac:dyDescent="0.25">
      <c r="A122">
        <v>3.71</v>
      </c>
      <c r="B122">
        <v>69.145713047504259</v>
      </c>
      <c r="C122">
        <v>7.9842470816501541</v>
      </c>
      <c r="H122">
        <v>5.367</v>
      </c>
      <c r="I122">
        <v>1.6859999999999999</v>
      </c>
    </row>
    <row r="123" spans="1:9" x14ac:dyDescent="0.25">
      <c r="A123">
        <v>3.7360000000000002</v>
      </c>
      <c r="B123">
        <v>71.754013522884506</v>
      </c>
      <c r="C123">
        <v>9.2311419430514441</v>
      </c>
      <c r="H123">
        <v>5.9820000000000002</v>
      </c>
      <c r="I123">
        <v>1.98</v>
      </c>
    </row>
    <row r="124" spans="1:9" x14ac:dyDescent="0.25">
      <c r="A124">
        <v>3.7629999999999999</v>
      </c>
      <c r="B124">
        <v>73.972129211703802</v>
      </c>
      <c r="C124">
        <v>10.210845048438168</v>
      </c>
      <c r="H124">
        <v>6.5049999999999999</v>
      </c>
      <c r="I124">
        <v>2.2109999999999999</v>
      </c>
    </row>
    <row r="125" spans="1:9" x14ac:dyDescent="0.25">
      <c r="A125">
        <v>3.79</v>
      </c>
      <c r="B125">
        <v>74.604058920373163</v>
      </c>
      <c r="C125">
        <v>10.427143136640433</v>
      </c>
      <c r="H125">
        <v>6.6539999999999999</v>
      </c>
      <c r="I125">
        <v>2.262</v>
      </c>
    </row>
    <row r="126" spans="1:9" x14ac:dyDescent="0.25">
      <c r="A126">
        <v>3.8159999999999998</v>
      </c>
      <c r="B126">
        <v>72.971220411395294</v>
      </c>
      <c r="C126">
        <v>9.6552558414872554</v>
      </c>
      <c r="H126">
        <v>6.2690000000000001</v>
      </c>
      <c r="I126">
        <v>2.08</v>
      </c>
    </row>
    <row r="127" spans="1:9" x14ac:dyDescent="0.25">
      <c r="A127">
        <v>3.843</v>
      </c>
      <c r="B127">
        <v>71.172977482027449</v>
      </c>
      <c r="C127">
        <v>8.8918508243027929</v>
      </c>
      <c r="H127">
        <v>5.8449999999999998</v>
      </c>
      <c r="I127">
        <v>1.9</v>
      </c>
    </row>
    <row r="128" spans="1:9" x14ac:dyDescent="0.25">
      <c r="A128">
        <v>3.87</v>
      </c>
      <c r="B128">
        <v>70.638593969998325</v>
      </c>
      <c r="C128">
        <v>8.7391698208659001</v>
      </c>
      <c r="H128">
        <v>5.7190000000000003</v>
      </c>
      <c r="I128">
        <v>1.8640000000000001</v>
      </c>
    </row>
    <row r="129" spans="1:9" x14ac:dyDescent="0.25">
      <c r="A129">
        <v>3.8959999999999999</v>
      </c>
      <c r="B129">
        <v>70.104210457969202</v>
      </c>
      <c r="C129">
        <v>8.5737654004759314</v>
      </c>
      <c r="H129">
        <v>5.593</v>
      </c>
      <c r="I129">
        <v>1.825</v>
      </c>
    </row>
    <row r="130" spans="1:9" x14ac:dyDescent="0.25">
      <c r="A130">
        <v>3.923</v>
      </c>
      <c r="B130">
        <v>69.463798471331117</v>
      </c>
      <c r="C130">
        <v>8.3574673122736698</v>
      </c>
      <c r="H130">
        <v>5.4420000000000002</v>
      </c>
      <c r="I130">
        <v>1.774</v>
      </c>
    </row>
    <row r="131" spans="1:9" x14ac:dyDescent="0.25">
      <c r="A131">
        <v>3.95</v>
      </c>
      <c r="B131">
        <v>69.090578240707615</v>
      </c>
      <c r="C131">
        <v>8.1920628918837028</v>
      </c>
      <c r="H131">
        <v>5.3540000000000001</v>
      </c>
      <c r="I131">
        <v>1.7350000000000001</v>
      </c>
    </row>
    <row r="132" spans="1:9" x14ac:dyDescent="0.25">
      <c r="A132">
        <v>3.976</v>
      </c>
      <c r="B132">
        <v>69.544380112033934</v>
      </c>
      <c r="C132">
        <v>8.302332505477013</v>
      </c>
      <c r="H132">
        <v>5.4610000000000003</v>
      </c>
      <c r="I132">
        <v>1.7609999999999999</v>
      </c>
    </row>
    <row r="133" spans="1:9" x14ac:dyDescent="0.25">
      <c r="A133">
        <v>4.0030000000000001</v>
      </c>
      <c r="B133">
        <v>71.643743909291203</v>
      </c>
      <c r="C133">
        <v>8.8621628514122861</v>
      </c>
      <c r="H133">
        <v>5.9560000000000004</v>
      </c>
      <c r="I133">
        <v>1.893</v>
      </c>
    </row>
    <row r="134" spans="1:9" x14ac:dyDescent="0.25">
      <c r="A134">
        <v>4.03</v>
      </c>
      <c r="B134">
        <v>72.839745102880187</v>
      </c>
      <c r="C134">
        <v>9.3498938346134697</v>
      </c>
      <c r="H134">
        <v>6.2380000000000004</v>
      </c>
      <c r="I134">
        <v>2.008</v>
      </c>
    </row>
    <row r="135" spans="1:9" x14ac:dyDescent="0.25">
      <c r="A135">
        <v>4.056</v>
      </c>
      <c r="B135">
        <v>72.937291299520425</v>
      </c>
      <c r="C135">
        <v>9.6086033126593158</v>
      </c>
      <c r="H135">
        <v>6.2610000000000001</v>
      </c>
      <c r="I135">
        <v>2.069</v>
      </c>
    </row>
    <row r="136" spans="1:9" x14ac:dyDescent="0.25">
      <c r="A136">
        <v>4.0830000000000002</v>
      </c>
      <c r="B136">
        <v>71.181459759996173</v>
      </c>
      <c r="C136">
        <v>9.1675248582860718</v>
      </c>
      <c r="H136">
        <v>5.8470000000000004</v>
      </c>
      <c r="I136">
        <v>1.9650000000000001</v>
      </c>
    </row>
    <row r="137" spans="1:9" x14ac:dyDescent="0.25">
      <c r="A137">
        <v>4.1100000000000003</v>
      </c>
      <c r="B137">
        <v>69.069372545785825</v>
      </c>
      <c r="C137">
        <v>8.3574673122736698</v>
      </c>
      <c r="H137">
        <v>5.3490000000000002</v>
      </c>
      <c r="I137">
        <v>1.774</v>
      </c>
    </row>
    <row r="138" spans="1:9" x14ac:dyDescent="0.25">
      <c r="A138">
        <v>4.1360000000000001</v>
      </c>
      <c r="B138">
        <v>68.19569791500804</v>
      </c>
      <c r="C138">
        <v>7.8230838002445449</v>
      </c>
      <c r="H138">
        <v>5.1429999999999998</v>
      </c>
      <c r="I138">
        <v>1.6479999999999999</v>
      </c>
    </row>
    <row r="139" spans="1:9" x14ac:dyDescent="0.25">
      <c r="A139">
        <v>4.1630000000000003</v>
      </c>
      <c r="B139">
        <v>68.16600994211754</v>
      </c>
      <c r="C139">
        <v>7.6704027968076529</v>
      </c>
      <c r="H139">
        <v>5.1360000000000001</v>
      </c>
      <c r="I139">
        <v>1.6120000000000001</v>
      </c>
    </row>
    <row r="140" spans="1:9" x14ac:dyDescent="0.25">
      <c r="A140">
        <v>4.1900000000000004</v>
      </c>
      <c r="B140">
        <v>68.272038416726488</v>
      </c>
      <c r="C140">
        <v>7.7128141866512347</v>
      </c>
      <c r="H140">
        <v>5.1609999999999996</v>
      </c>
      <c r="I140">
        <v>1.6220000000000001</v>
      </c>
    </row>
    <row r="141" spans="1:9" x14ac:dyDescent="0.25">
      <c r="A141">
        <v>4.2160000000000002</v>
      </c>
      <c r="B141">
        <v>68.395031447272885</v>
      </c>
      <c r="C141">
        <v>7.8103603832914708</v>
      </c>
      <c r="H141">
        <v>5.19</v>
      </c>
      <c r="I141">
        <v>1.645</v>
      </c>
    </row>
    <row r="142" spans="1:9" x14ac:dyDescent="0.25">
      <c r="A142">
        <v>4.2430000000000003</v>
      </c>
      <c r="B142">
        <v>68.40775486422595</v>
      </c>
      <c r="C142">
        <v>7.8358072171976199</v>
      </c>
      <c r="H142">
        <v>5.1929999999999996</v>
      </c>
      <c r="I142">
        <v>1.651</v>
      </c>
    </row>
    <row r="143" spans="1:9" x14ac:dyDescent="0.25">
      <c r="A143">
        <v>4.2699999999999996</v>
      </c>
      <c r="B143">
        <v>68.390790308288516</v>
      </c>
      <c r="C143">
        <v>7.9842470816501541</v>
      </c>
      <c r="H143">
        <v>5.1890000000000001</v>
      </c>
      <c r="I143">
        <v>1.6859999999999999</v>
      </c>
    </row>
    <row r="144" spans="1:9" x14ac:dyDescent="0.25">
      <c r="A144">
        <v>4.2960000000000003</v>
      </c>
      <c r="B144">
        <v>68.352620057429291</v>
      </c>
      <c r="C144">
        <v>8.2217508647742079</v>
      </c>
      <c r="H144">
        <v>5.18</v>
      </c>
      <c r="I144">
        <v>1.742</v>
      </c>
    </row>
    <row r="145" spans="1:9" x14ac:dyDescent="0.25">
      <c r="A145">
        <v>4.3230000000000004</v>
      </c>
      <c r="B145">
        <v>68.611329535475136</v>
      </c>
      <c r="C145">
        <v>8.3532261732893112</v>
      </c>
      <c r="H145">
        <v>5.2409999999999997</v>
      </c>
      <c r="I145">
        <v>1.7729999999999999</v>
      </c>
    </row>
    <row r="146" spans="1:9" x14ac:dyDescent="0.25">
      <c r="A146">
        <v>4.3499999999999996</v>
      </c>
      <c r="B146">
        <v>70.67676422085755</v>
      </c>
      <c r="C146">
        <v>9.3329292786760369</v>
      </c>
      <c r="H146">
        <v>5.7279999999999998</v>
      </c>
      <c r="I146">
        <v>2.004</v>
      </c>
    </row>
    <row r="147" spans="1:9" x14ac:dyDescent="0.25">
      <c r="A147">
        <v>4.3760000000000003</v>
      </c>
      <c r="B147">
        <v>78.55255931481058</v>
      </c>
      <c r="C147">
        <v>20.771281119489895</v>
      </c>
      <c r="H147">
        <v>7.585</v>
      </c>
      <c r="I147">
        <v>4.7009999999999996</v>
      </c>
    </row>
    <row r="148" spans="1:9" x14ac:dyDescent="0.25">
      <c r="A148">
        <v>4.4029999999999996</v>
      </c>
      <c r="B148">
        <v>89.431080809689163</v>
      </c>
      <c r="C148">
        <v>39.907300216913747</v>
      </c>
      <c r="H148">
        <v>10.15</v>
      </c>
      <c r="I148">
        <v>9.2129999999999992</v>
      </c>
    </row>
    <row r="149" spans="1:9" x14ac:dyDescent="0.25">
      <c r="A149">
        <v>4.43</v>
      </c>
      <c r="B149">
        <v>88.854285907816461</v>
      </c>
      <c r="C149">
        <v>40.166009694959591</v>
      </c>
      <c r="H149">
        <v>10.013999999999999</v>
      </c>
      <c r="I149">
        <v>9.2739999999999991</v>
      </c>
    </row>
    <row r="150" spans="1:9" x14ac:dyDescent="0.25">
      <c r="A150">
        <v>4.4560000000000004</v>
      </c>
      <c r="B150">
        <v>79.298999776057613</v>
      </c>
      <c r="C150">
        <v>24.673128985099371</v>
      </c>
      <c r="H150">
        <v>7.7610000000000001</v>
      </c>
      <c r="I150">
        <v>5.6210000000000004</v>
      </c>
    </row>
    <row r="151" spans="1:9" x14ac:dyDescent="0.25">
      <c r="A151">
        <v>4.4829999999999997</v>
      </c>
      <c r="B151">
        <v>72.148439448429812</v>
      </c>
      <c r="C151">
        <v>12.802180967880982</v>
      </c>
      <c r="H151">
        <v>6.0750000000000002</v>
      </c>
      <c r="I151">
        <v>2.8220000000000001</v>
      </c>
    </row>
    <row r="152" spans="1:9" x14ac:dyDescent="0.25">
      <c r="A152">
        <v>4.51</v>
      </c>
      <c r="B152">
        <v>70.545288912342443</v>
      </c>
      <c r="C152">
        <v>9.1717659972704304</v>
      </c>
      <c r="H152">
        <v>5.6970000000000001</v>
      </c>
      <c r="I152">
        <v>1.966</v>
      </c>
    </row>
    <row r="153" spans="1:9" x14ac:dyDescent="0.25">
      <c r="A153">
        <v>4.5359999999999996</v>
      </c>
      <c r="B153">
        <v>70.655558525935746</v>
      </c>
      <c r="C153">
        <v>8.9088153802402239</v>
      </c>
      <c r="H153">
        <v>5.7229999999999999</v>
      </c>
      <c r="I153">
        <v>1.9039999999999999</v>
      </c>
    </row>
    <row r="154" spans="1:9" x14ac:dyDescent="0.25">
      <c r="A154">
        <v>4.5629999999999997</v>
      </c>
      <c r="B154">
        <v>70.443501576717864</v>
      </c>
      <c r="C154">
        <v>8.8451982954748534</v>
      </c>
      <c r="H154">
        <v>5.673</v>
      </c>
      <c r="I154">
        <v>1.889</v>
      </c>
    </row>
    <row r="155" spans="1:9" x14ac:dyDescent="0.25">
      <c r="A155">
        <v>4.59</v>
      </c>
      <c r="B155">
        <v>69.934564898594871</v>
      </c>
      <c r="C155">
        <v>8.6204179293038727</v>
      </c>
      <c r="H155">
        <v>5.5529999999999999</v>
      </c>
      <c r="I155">
        <v>1.8360000000000001</v>
      </c>
    </row>
    <row r="156" spans="1:9" x14ac:dyDescent="0.25">
      <c r="A156">
        <v>4.6159999999999997</v>
      </c>
      <c r="B156">
        <v>69.926082620626161</v>
      </c>
      <c r="C156">
        <v>8.5440774275854263</v>
      </c>
      <c r="H156">
        <v>5.5510000000000002</v>
      </c>
      <c r="I156">
        <v>1.8180000000000001</v>
      </c>
    </row>
    <row r="157" spans="1:9" x14ac:dyDescent="0.25">
      <c r="A157">
        <v>4.6429999999999998</v>
      </c>
      <c r="B157">
        <v>70.010905400313305</v>
      </c>
      <c r="C157">
        <v>8.4168432580546835</v>
      </c>
      <c r="H157">
        <v>5.5709999999999997</v>
      </c>
      <c r="I157">
        <v>1.788</v>
      </c>
    </row>
    <row r="158" spans="1:9" x14ac:dyDescent="0.25">
      <c r="A158">
        <v>4.67</v>
      </c>
      <c r="B158">
        <v>70.435019298749125</v>
      </c>
      <c r="C158">
        <v>8.7603755157876897</v>
      </c>
      <c r="H158">
        <v>5.6710000000000003</v>
      </c>
      <c r="I158">
        <v>1.869</v>
      </c>
    </row>
    <row r="159" spans="1:9" x14ac:dyDescent="0.25">
      <c r="A159">
        <v>4.6959999999999997</v>
      </c>
      <c r="B159">
        <v>70.566494607264218</v>
      </c>
      <c r="C159">
        <v>9.0318084107866117</v>
      </c>
      <c r="H159">
        <v>5.702</v>
      </c>
      <c r="I159">
        <v>1.9330000000000001</v>
      </c>
    </row>
    <row r="160" spans="1:9" x14ac:dyDescent="0.25">
      <c r="A160">
        <v>4.7229999999999999</v>
      </c>
      <c r="B160">
        <v>70.210238932578164</v>
      </c>
      <c r="C160">
        <v>8.9300210751620153</v>
      </c>
      <c r="H160">
        <v>5.6180000000000003</v>
      </c>
      <c r="I160">
        <v>1.909</v>
      </c>
    </row>
    <row r="161" spans="1:9" x14ac:dyDescent="0.25">
      <c r="A161">
        <v>4.75</v>
      </c>
      <c r="B161">
        <v>69.438351637424972</v>
      </c>
      <c r="C161">
        <v>8.382914146179818</v>
      </c>
      <c r="H161">
        <v>5.4359999999999999</v>
      </c>
      <c r="I161">
        <v>1.78</v>
      </c>
    </row>
    <row r="162" spans="1:9" x14ac:dyDescent="0.25">
      <c r="A162">
        <v>4.7759999999999998</v>
      </c>
      <c r="B162">
        <v>68.751287121958967</v>
      </c>
      <c r="C162">
        <v>7.7933958273540389</v>
      </c>
      <c r="H162">
        <v>5.274</v>
      </c>
      <c r="I162">
        <v>1.641</v>
      </c>
    </row>
    <row r="163" spans="1:9" x14ac:dyDescent="0.25">
      <c r="A163">
        <v>4.8029999999999999</v>
      </c>
      <c r="B163">
        <v>68.467130810006964</v>
      </c>
      <c r="C163">
        <v>7.5262040713394773</v>
      </c>
      <c r="H163">
        <v>5.2069999999999999</v>
      </c>
      <c r="I163">
        <v>1.5780000000000001</v>
      </c>
    </row>
    <row r="164" spans="1:9" x14ac:dyDescent="0.25">
      <c r="A164">
        <v>4.83</v>
      </c>
      <c r="B164">
        <v>68.518024477819267</v>
      </c>
      <c r="C164">
        <v>7.5770977391517746</v>
      </c>
      <c r="H164">
        <v>5.2190000000000003</v>
      </c>
      <c r="I164">
        <v>1.59</v>
      </c>
    </row>
    <row r="165" spans="1:9" x14ac:dyDescent="0.25">
      <c r="A165">
        <v>4.8559999999999999</v>
      </c>
      <c r="B165">
        <v>69.001514322036087</v>
      </c>
      <c r="C165">
        <v>8.302332505477013</v>
      </c>
      <c r="H165">
        <v>5.3330000000000002</v>
      </c>
      <c r="I165">
        <v>1.7609999999999999</v>
      </c>
    </row>
    <row r="166" spans="1:9" x14ac:dyDescent="0.25">
      <c r="A166">
        <v>4.883</v>
      </c>
      <c r="B166">
        <v>69.870947813829503</v>
      </c>
      <c r="C166">
        <v>9.0106027158648203</v>
      </c>
      <c r="H166">
        <v>5.5380000000000003</v>
      </c>
      <c r="I166">
        <v>1.9279999999999999</v>
      </c>
    </row>
    <row r="167" spans="1:9" x14ac:dyDescent="0.25">
      <c r="A167">
        <v>4.91</v>
      </c>
      <c r="B167">
        <v>70.613147136092181</v>
      </c>
      <c r="C167">
        <v>9.0148438548491789</v>
      </c>
      <c r="H167">
        <v>5.7130000000000001</v>
      </c>
      <c r="I167">
        <v>1.929</v>
      </c>
    </row>
    <row r="168" spans="1:9" x14ac:dyDescent="0.25">
      <c r="A168">
        <v>4.9359999999999999</v>
      </c>
      <c r="B168">
        <v>70.664040803904484</v>
      </c>
      <c r="C168">
        <v>8.505907176726204</v>
      </c>
      <c r="H168">
        <v>5.7249999999999996</v>
      </c>
      <c r="I168">
        <v>1.8089999999999999</v>
      </c>
    </row>
    <row r="169" spans="1:9" x14ac:dyDescent="0.25">
      <c r="A169">
        <v>4.9630000000000001</v>
      </c>
      <c r="B169">
        <v>70.142380708828426</v>
      </c>
      <c r="C169">
        <v>8.0733110003216737</v>
      </c>
      <c r="H169">
        <v>5.6020000000000003</v>
      </c>
      <c r="I169">
        <v>1.7070000000000001</v>
      </c>
    </row>
    <row r="170" spans="1:9" x14ac:dyDescent="0.25">
      <c r="A170">
        <v>4.99</v>
      </c>
      <c r="B170">
        <v>69.620720613752368</v>
      </c>
      <c r="C170">
        <v>7.8824597460255585</v>
      </c>
      <c r="H170">
        <v>5.4790000000000001</v>
      </c>
      <c r="I170">
        <v>1.6619999999999999</v>
      </c>
    </row>
    <row r="171" spans="1:9" x14ac:dyDescent="0.25">
      <c r="A171">
        <v>5.016</v>
      </c>
      <c r="B171">
        <v>69.815813007032858</v>
      </c>
      <c r="C171">
        <v>7.958800247744005</v>
      </c>
      <c r="H171">
        <v>5.5250000000000004</v>
      </c>
      <c r="I171">
        <v>1.68</v>
      </c>
    </row>
    <row r="172" spans="1:9" x14ac:dyDescent="0.25">
      <c r="A172">
        <v>5.0430000000000001</v>
      </c>
      <c r="B172">
        <v>70.197515515625085</v>
      </c>
      <c r="C172">
        <v>8.0860344172747496</v>
      </c>
      <c r="H172">
        <v>5.6150000000000002</v>
      </c>
      <c r="I172">
        <v>1.71</v>
      </c>
    </row>
    <row r="173" spans="1:9" x14ac:dyDescent="0.25">
      <c r="A173">
        <v>5.07</v>
      </c>
      <c r="B173">
        <v>70.541047773358088</v>
      </c>
      <c r="C173">
        <v>8.2387154207116424</v>
      </c>
      <c r="H173">
        <v>5.6959999999999997</v>
      </c>
      <c r="I173">
        <v>1.746</v>
      </c>
    </row>
    <row r="174" spans="1:9" x14ac:dyDescent="0.25">
      <c r="A174">
        <v>5.0960000000000001</v>
      </c>
      <c r="B174">
        <v>71.363828736323569</v>
      </c>
      <c r="C174">
        <v>9.0614963836771167</v>
      </c>
      <c r="H174">
        <v>5.89</v>
      </c>
      <c r="I174">
        <v>1.94</v>
      </c>
    </row>
    <row r="175" spans="1:9" x14ac:dyDescent="0.25">
      <c r="A175">
        <v>5.1230000000000002</v>
      </c>
      <c r="B175">
        <v>72.496212845147184</v>
      </c>
      <c r="C175">
        <v>10.325355801015839</v>
      </c>
      <c r="H175">
        <v>6.157</v>
      </c>
      <c r="I175">
        <v>2.238</v>
      </c>
    </row>
    <row r="176" spans="1:9" x14ac:dyDescent="0.25">
      <c r="A176">
        <v>5.15</v>
      </c>
      <c r="B176">
        <v>72.504695123115894</v>
      </c>
      <c r="C176">
        <v>10.448348831562223</v>
      </c>
      <c r="H176">
        <v>6.1589999999999998</v>
      </c>
      <c r="I176">
        <v>2.2669999999999999</v>
      </c>
    </row>
    <row r="177" spans="1:9" x14ac:dyDescent="0.25">
      <c r="A177">
        <v>5.1760000000000002</v>
      </c>
      <c r="B177">
        <v>72.322326146788498</v>
      </c>
      <c r="C177">
        <v>10.910632980857258</v>
      </c>
      <c r="H177">
        <v>6.1159999999999997</v>
      </c>
      <c r="I177">
        <v>2.3759999999999999</v>
      </c>
    </row>
    <row r="178" spans="1:9" x14ac:dyDescent="0.25">
      <c r="A178">
        <v>5.2030000000000003</v>
      </c>
      <c r="B178">
        <v>72.008481861945995</v>
      </c>
      <c r="C178">
        <v>11.080278540231584</v>
      </c>
      <c r="H178">
        <v>6.0419999999999998</v>
      </c>
      <c r="I178">
        <v>2.4159999999999999</v>
      </c>
    </row>
    <row r="179" spans="1:9" x14ac:dyDescent="0.25">
      <c r="A179">
        <v>5.23</v>
      </c>
      <c r="B179">
        <v>71.36806987530791</v>
      </c>
      <c r="C179">
        <v>10.244774160313034</v>
      </c>
      <c r="H179">
        <v>5.891</v>
      </c>
      <c r="I179">
        <v>2.2189999999999999</v>
      </c>
    </row>
    <row r="180" spans="1:9" x14ac:dyDescent="0.25">
      <c r="A180">
        <v>5.2560000000000002</v>
      </c>
      <c r="B180">
        <v>70.90578572601288</v>
      </c>
      <c r="C180">
        <v>9.5195393939877953</v>
      </c>
      <c r="H180">
        <v>5.782</v>
      </c>
      <c r="I180">
        <v>2.048</v>
      </c>
    </row>
    <row r="181" spans="1:9" x14ac:dyDescent="0.25">
      <c r="A181">
        <v>5.2830000000000004</v>
      </c>
      <c r="B181">
        <v>70.799757251403918</v>
      </c>
      <c r="C181">
        <v>9.4219931973475575</v>
      </c>
      <c r="H181">
        <v>5.7569999999999997</v>
      </c>
      <c r="I181">
        <v>2.0249999999999999</v>
      </c>
    </row>
    <row r="182" spans="1:9" x14ac:dyDescent="0.25">
      <c r="A182">
        <v>5.31</v>
      </c>
      <c r="B182">
        <v>70.62587055304526</v>
      </c>
      <c r="C182">
        <v>9.1208723294581304</v>
      </c>
      <c r="H182">
        <v>5.7160000000000002</v>
      </c>
      <c r="I182">
        <v>1.954</v>
      </c>
    </row>
    <row r="183" spans="1:9" x14ac:dyDescent="0.25">
      <c r="A183">
        <v>5.3360000000000003</v>
      </c>
      <c r="B183">
        <v>70.375643352968126</v>
      </c>
      <c r="C183">
        <v>8.5313540106323522</v>
      </c>
      <c r="H183">
        <v>5.657</v>
      </c>
      <c r="I183">
        <v>1.8149999999999999</v>
      </c>
    </row>
    <row r="184" spans="1:9" x14ac:dyDescent="0.25">
      <c r="A184">
        <v>5.3630000000000004</v>
      </c>
      <c r="B184">
        <v>70.630111692029601</v>
      </c>
      <c r="C184">
        <v>8.2175097257898511</v>
      </c>
      <c r="H184">
        <v>5.7169999999999996</v>
      </c>
      <c r="I184">
        <v>1.7410000000000001</v>
      </c>
    </row>
    <row r="185" spans="1:9" x14ac:dyDescent="0.25">
      <c r="A185">
        <v>5.39</v>
      </c>
      <c r="B185">
        <v>71.283247095620766</v>
      </c>
      <c r="C185">
        <v>8.4168432580546835</v>
      </c>
      <c r="H185">
        <v>5.8710000000000004</v>
      </c>
      <c r="I185">
        <v>1.788</v>
      </c>
    </row>
    <row r="186" spans="1:9" x14ac:dyDescent="0.25">
      <c r="A186">
        <v>5.4160000000000004</v>
      </c>
      <c r="B186">
        <v>80.418660467928149</v>
      </c>
      <c r="C186">
        <v>26.204180158452655</v>
      </c>
      <c r="H186">
        <v>8.0250000000000004</v>
      </c>
      <c r="I186">
        <v>5.9820000000000002</v>
      </c>
    </row>
    <row r="187" spans="1:9" x14ac:dyDescent="0.25">
      <c r="A187">
        <v>5.4429999999999996</v>
      </c>
      <c r="B187">
        <v>97.001513896768429</v>
      </c>
      <c r="C187">
        <v>59.539532575507501</v>
      </c>
      <c r="H187">
        <v>11.935</v>
      </c>
      <c r="I187">
        <v>13.842000000000001</v>
      </c>
    </row>
    <row r="188" spans="1:9" x14ac:dyDescent="0.25">
      <c r="A188">
        <v>5.47</v>
      </c>
      <c r="B188">
        <v>99.999999158709613</v>
      </c>
      <c r="C188">
        <v>65.930929024935196</v>
      </c>
      <c r="H188">
        <v>12.641999999999999</v>
      </c>
      <c r="I188">
        <v>15.349</v>
      </c>
    </row>
    <row r="189" spans="1:9" x14ac:dyDescent="0.25">
      <c r="A189">
        <v>5.4960000000000004</v>
      </c>
      <c r="B189">
        <v>89.982428877655735</v>
      </c>
      <c r="C189">
        <v>45.518327093219547</v>
      </c>
      <c r="H189">
        <v>10.28</v>
      </c>
      <c r="I189">
        <v>10.536</v>
      </c>
    </row>
    <row r="190" spans="1:9" x14ac:dyDescent="0.25">
      <c r="A190">
        <v>5.5229999999999997</v>
      </c>
      <c r="B190">
        <v>77.598303043329992</v>
      </c>
      <c r="C190">
        <v>20.487124807537903</v>
      </c>
      <c r="H190">
        <v>7.36</v>
      </c>
      <c r="I190">
        <v>4.6340000000000003</v>
      </c>
    </row>
    <row r="191" spans="1:9" x14ac:dyDescent="0.25">
      <c r="A191">
        <v>5.55</v>
      </c>
      <c r="B191">
        <v>72.394425509522577</v>
      </c>
      <c r="C191">
        <v>10.244774160313034</v>
      </c>
      <c r="H191">
        <v>6.133</v>
      </c>
      <c r="I191">
        <v>2.2189999999999999</v>
      </c>
    </row>
    <row r="192" spans="1:9" x14ac:dyDescent="0.25">
      <c r="A192">
        <v>5.5759999999999996</v>
      </c>
      <c r="B192">
        <v>70.990608505700052</v>
      </c>
      <c r="C192">
        <v>7.8994243019629913</v>
      </c>
      <c r="H192">
        <v>5.8019999999999996</v>
      </c>
      <c r="I192">
        <v>1.6659999999999999</v>
      </c>
    </row>
    <row r="193" spans="1:9" x14ac:dyDescent="0.25">
      <c r="A193">
        <v>5.6029999999999998</v>
      </c>
      <c r="B193">
        <v>70.910026864997249</v>
      </c>
      <c r="C193">
        <v>7.8782186070412017</v>
      </c>
      <c r="H193">
        <v>5.7830000000000004</v>
      </c>
      <c r="I193">
        <v>1.661</v>
      </c>
    </row>
    <row r="194" spans="1:9" x14ac:dyDescent="0.25">
      <c r="A194">
        <v>5.63</v>
      </c>
      <c r="B194">
        <v>70.939714837887749</v>
      </c>
      <c r="C194">
        <v>7.916388857900424</v>
      </c>
      <c r="H194">
        <v>5.79</v>
      </c>
      <c r="I194">
        <v>1.67</v>
      </c>
    </row>
    <row r="195" spans="1:9" x14ac:dyDescent="0.25">
      <c r="A195">
        <v>5.6559999999999997</v>
      </c>
      <c r="B195">
        <v>71.206906593902318</v>
      </c>
      <c r="C195">
        <v>7.8824597460255585</v>
      </c>
      <c r="H195">
        <v>5.8529999999999998</v>
      </c>
      <c r="I195">
        <v>1.6619999999999999</v>
      </c>
    </row>
    <row r="196" spans="1:9" x14ac:dyDescent="0.25">
      <c r="A196">
        <v>5.6829999999999998</v>
      </c>
      <c r="B196">
        <v>71.444410377026358</v>
      </c>
      <c r="C196">
        <v>7.8146015222758285</v>
      </c>
      <c r="H196">
        <v>5.9089999999999998</v>
      </c>
      <c r="I196">
        <v>1.6459999999999999</v>
      </c>
    </row>
    <row r="197" spans="1:9" x14ac:dyDescent="0.25">
      <c r="A197">
        <v>5.71</v>
      </c>
      <c r="B197">
        <v>71.435928099057648</v>
      </c>
      <c r="C197">
        <v>7.7637078544635312</v>
      </c>
      <c r="H197">
        <v>5.907</v>
      </c>
      <c r="I197">
        <v>1.6339999999999999</v>
      </c>
    </row>
    <row r="198" spans="1:9" x14ac:dyDescent="0.25">
      <c r="A198">
        <v>5.7359999999999998</v>
      </c>
      <c r="B198">
        <v>71.257800261714621</v>
      </c>
      <c r="C198">
        <v>7.7891546883696803</v>
      </c>
      <c r="H198">
        <v>5.8650000000000002</v>
      </c>
      <c r="I198">
        <v>1.64</v>
      </c>
    </row>
    <row r="199" spans="1:9" x14ac:dyDescent="0.25">
      <c r="A199">
        <v>5.7629999999999999</v>
      </c>
      <c r="B199">
        <v>71.168736343043093</v>
      </c>
      <c r="C199">
        <v>7.9630413867283636</v>
      </c>
      <c r="H199">
        <v>5.8440000000000003</v>
      </c>
      <c r="I199">
        <v>1.681</v>
      </c>
    </row>
    <row r="200" spans="1:9" x14ac:dyDescent="0.25">
      <c r="A200">
        <v>5.79</v>
      </c>
      <c r="B200">
        <v>71.185700898980514</v>
      </c>
      <c r="C200">
        <v>8.0224173325093773</v>
      </c>
      <c r="H200">
        <v>5.8479999999999999</v>
      </c>
      <c r="I200">
        <v>1.6950000000000001</v>
      </c>
    </row>
    <row r="201" spans="1:9" x14ac:dyDescent="0.25">
      <c r="A201">
        <v>5.8159999999999998</v>
      </c>
      <c r="B201">
        <v>71.270523678667701</v>
      </c>
      <c r="C201">
        <v>7.9630413867283636</v>
      </c>
      <c r="H201">
        <v>5.8680000000000003</v>
      </c>
      <c r="I201">
        <v>1.681</v>
      </c>
    </row>
    <row r="202" spans="1:9" x14ac:dyDescent="0.25">
      <c r="A202">
        <v>5.843</v>
      </c>
      <c r="B202">
        <v>71.266282539683331</v>
      </c>
      <c r="C202">
        <v>7.8146015222758285</v>
      </c>
      <c r="H202">
        <v>5.867</v>
      </c>
      <c r="I202">
        <v>1.6459999999999999</v>
      </c>
    </row>
    <row r="203" spans="1:9" x14ac:dyDescent="0.25">
      <c r="A203">
        <v>5.87</v>
      </c>
      <c r="B203">
        <v>71.270523678667701</v>
      </c>
      <c r="C203">
        <v>7.7509844375104571</v>
      </c>
      <c r="H203">
        <v>5.8680000000000003</v>
      </c>
      <c r="I203">
        <v>1.631</v>
      </c>
    </row>
    <row r="204" spans="1:9" x14ac:dyDescent="0.25">
      <c r="A204">
        <v>5.8959999999999999</v>
      </c>
      <c r="B204">
        <v>71.274764817652041</v>
      </c>
      <c r="C204">
        <v>7.7425021595417407</v>
      </c>
      <c r="H204">
        <v>5.8689999999999998</v>
      </c>
      <c r="I204">
        <v>1.629</v>
      </c>
    </row>
    <row r="205" spans="1:9" x14ac:dyDescent="0.25">
      <c r="A205">
        <v>5.923</v>
      </c>
      <c r="B205">
        <v>71.270523678667701</v>
      </c>
      <c r="C205">
        <v>7.7425021595417407</v>
      </c>
      <c r="H205">
        <v>5.8680000000000003</v>
      </c>
      <c r="I205">
        <v>1.629</v>
      </c>
    </row>
    <row r="206" spans="1:9" x14ac:dyDescent="0.25">
      <c r="A206">
        <v>5.95</v>
      </c>
      <c r="B206">
        <v>71.393516709214069</v>
      </c>
      <c r="C206">
        <v>7.8273249392289035</v>
      </c>
      <c r="H206">
        <v>5.8970000000000002</v>
      </c>
      <c r="I206">
        <v>1.649</v>
      </c>
    </row>
    <row r="207" spans="1:9" x14ac:dyDescent="0.25">
      <c r="A207">
        <v>5.976</v>
      </c>
      <c r="B207">
        <v>71.57164454655711</v>
      </c>
      <c r="C207">
        <v>8.0351407494624514</v>
      </c>
      <c r="H207">
        <v>5.9390000000000001</v>
      </c>
      <c r="I207">
        <v>1.698</v>
      </c>
    </row>
    <row r="208" spans="1:9" x14ac:dyDescent="0.25">
      <c r="A208">
        <v>6.0030000000000001</v>
      </c>
      <c r="B208">
        <v>71.694637577103492</v>
      </c>
      <c r="C208">
        <v>8.0902755562591082</v>
      </c>
      <c r="H208">
        <v>5.968</v>
      </c>
      <c r="I208">
        <v>1.7110000000000001</v>
      </c>
    </row>
    <row r="209" spans="1:9" x14ac:dyDescent="0.25">
      <c r="A209">
        <v>6.03</v>
      </c>
      <c r="B209">
        <v>71.79218377374373</v>
      </c>
      <c r="C209">
        <v>7.9333534138378567</v>
      </c>
      <c r="H209">
        <v>5.9909999999999997</v>
      </c>
      <c r="I209">
        <v>1.6739999999999999</v>
      </c>
    </row>
    <row r="210" spans="1:9" x14ac:dyDescent="0.25">
      <c r="A210">
        <v>6.056</v>
      </c>
      <c r="B210">
        <v>71.987276167024191</v>
      </c>
      <c r="C210">
        <v>7.8146015222758285</v>
      </c>
      <c r="H210">
        <v>6.0369999999999999</v>
      </c>
      <c r="I210">
        <v>1.6459999999999999</v>
      </c>
    </row>
    <row r="211" spans="1:9" x14ac:dyDescent="0.25">
      <c r="A211">
        <v>6.0830000000000002</v>
      </c>
      <c r="B211">
        <v>72.195091977257746</v>
      </c>
      <c r="C211">
        <v>7.7933958273540389</v>
      </c>
      <c r="H211">
        <v>6.0860000000000003</v>
      </c>
      <c r="I211">
        <v>1.641</v>
      </c>
    </row>
    <row r="212" spans="1:9" x14ac:dyDescent="0.25">
      <c r="A212">
        <v>6.11</v>
      </c>
      <c r="B212">
        <v>72.279914756944919</v>
      </c>
      <c r="C212">
        <v>7.8061192443071121</v>
      </c>
      <c r="H212">
        <v>6.1059999999999999</v>
      </c>
      <c r="I212">
        <v>1.6439999999999999</v>
      </c>
    </row>
    <row r="213" spans="1:9" x14ac:dyDescent="0.25">
      <c r="A213">
        <v>6.1360000000000001</v>
      </c>
      <c r="B213">
        <v>72.343531841710302</v>
      </c>
      <c r="C213">
        <v>7.8273249392289035</v>
      </c>
      <c r="H213">
        <v>6.1210000000000004</v>
      </c>
      <c r="I213">
        <v>1.649</v>
      </c>
    </row>
    <row r="214" spans="1:9" x14ac:dyDescent="0.25">
      <c r="A214">
        <v>6.1630000000000003</v>
      </c>
      <c r="B214">
        <v>72.373219814600802</v>
      </c>
      <c r="C214">
        <v>7.8358072171976199</v>
      </c>
      <c r="H214">
        <v>6.1280000000000001</v>
      </c>
      <c r="I214">
        <v>1.651</v>
      </c>
    </row>
    <row r="215" spans="1:9" x14ac:dyDescent="0.25">
      <c r="A215">
        <v>6.19</v>
      </c>
      <c r="B215">
        <v>72.43683689936617</v>
      </c>
      <c r="C215">
        <v>7.8273249392289035</v>
      </c>
      <c r="H215">
        <v>6.1429999999999998</v>
      </c>
      <c r="I215">
        <v>1.649</v>
      </c>
    </row>
    <row r="216" spans="1:9" x14ac:dyDescent="0.25">
      <c r="A216">
        <v>6.2160000000000002</v>
      </c>
      <c r="B216">
        <v>72.585276763818712</v>
      </c>
      <c r="C216">
        <v>7.8527717731350526</v>
      </c>
      <c r="H216">
        <v>6.1779999999999999</v>
      </c>
      <c r="I216">
        <v>1.655</v>
      </c>
    </row>
    <row r="217" spans="1:9" x14ac:dyDescent="0.25">
      <c r="A217">
        <v>6.2430000000000003</v>
      </c>
      <c r="B217">
        <v>72.67009954350587</v>
      </c>
      <c r="C217">
        <v>7.8994243019629913</v>
      </c>
      <c r="H217">
        <v>6.1980000000000004</v>
      </c>
      <c r="I217">
        <v>1.6659999999999999</v>
      </c>
    </row>
    <row r="218" spans="1:9" x14ac:dyDescent="0.25">
      <c r="A218">
        <v>6.27</v>
      </c>
      <c r="B218">
        <v>72.742198906239949</v>
      </c>
      <c r="C218">
        <v>7.9630413867283636</v>
      </c>
      <c r="H218">
        <v>6.2149999999999999</v>
      </c>
      <c r="I218">
        <v>1.681</v>
      </c>
    </row>
    <row r="219" spans="1:9" x14ac:dyDescent="0.25">
      <c r="A219">
        <v>6.2960000000000003</v>
      </c>
      <c r="B219">
        <v>73.022114079207583</v>
      </c>
      <c r="C219">
        <v>8.01393505454066</v>
      </c>
      <c r="H219">
        <v>6.2809999999999997</v>
      </c>
      <c r="I219">
        <v>1.6930000000000001</v>
      </c>
    </row>
    <row r="220" spans="1:9" x14ac:dyDescent="0.25">
      <c r="A220">
        <v>6.3230000000000004</v>
      </c>
      <c r="B220">
        <v>73.458951394596482</v>
      </c>
      <c r="C220">
        <v>8.0181761935250186</v>
      </c>
      <c r="H220">
        <v>6.3840000000000003</v>
      </c>
      <c r="I220">
        <v>1.694</v>
      </c>
    </row>
    <row r="221" spans="1:9" x14ac:dyDescent="0.25">
      <c r="A221">
        <v>6.35</v>
      </c>
      <c r="B221">
        <v>73.55649759123672</v>
      </c>
      <c r="C221">
        <v>7.9927293596188704</v>
      </c>
      <c r="H221">
        <v>6.407</v>
      </c>
      <c r="I221">
        <v>1.6879999999999999</v>
      </c>
    </row>
    <row r="222" spans="1:9" x14ac:dyDescent="0.25">
      <c r="A222">
        <v>6.3760000000000003</v>
      </c>
      <c r="B222">
        <v>73.564979869205416</v>
      </c>
      <c r="C222">
        <v>7.9884882206345127</v>
      </c>
      <c r="H222">
        <v>6.4089999999999998</v>
      </c>
      <c r="I222">
        <v>1.6870000000000001</v>
      </c>
    </row>
    <row r="223" spans="1:9" x14ac:dyDescent="0.25">
      <c r="A223">
        <v>6.4029999999999996</v>
      </c>
      <c r="B223">
        <v>73.734625428579747</v>
      </c>
      <c r="C223">
        <v>8.0181761935250186</v>
      </c>
      <c r="H223">
        <v>6.4489999999999998</v>
      </c>
      <c r="I223">
        <v>1.694</v>
      </c>
    </row>
    <row r="224" spans="1:9" x14ac:dyDescent="0.25">
      <c r="A224">
        <v>6.43</v>
      </c>
      <c r="B224">
        <v>73.827930486235644</v>
      </c>
      <c r="C224">
        <v>8.0181761935250186</v>
      </c>
      <c r="H224">
        <v>6.4710000000000001</v>
      </c>
      <c r="I224">
        <v>1.694</v>
      </c>
    </row>
    <row r="225" spans="1:9" x14ac:dyDescent="0.25">
      <c r="A225">
        <v>6.4560000000000004</v>
      </c>
      <c r="B225">
        <v>73.654043787876944</v>
      </c>
      <c r="C225">
        <v>8.0054527765719445</v>
      </c>
      <c r="H225">
        <v>6.43</v>
      </c>
      <c r="I225">
        <v>1.6910000000000001</v>
      </c>
    </row>
    <row r="226" spans="1:9" x14ac:dyDescent="0.25">
      <c r="A226">
        <v>6.4829999999999997</v>
      </c>
      <c r="B226">
        <v>73.242653306394203</v>
      </c>
      <c r="C226">
        <v>7.9672825257127213</v>
      </c>
      <c r="H226">
        <v>6.3330000000000002</v>
      </c>
      <c r="I226">
        <v>1.6819999999999999</v>
      </c>
    </row>
    <row r="227" spans="1:9" x14ac:dyDescent="0.25">
      <c r="A227">
        <v>6.51</v>
      </c>
      <c r="B227">
        <v>73.000908384285793</v>
      </c>
      <c r="C227">
        <v>7.9884882206345127</v>
      </c>
      <c r="H227">
        <v>6.2759999999999998</v>
      </c>
      <c r="I227">
        <v>1.6870000000000001</v>
      </c>
    </row>
    <row r="228" spans="1:9" x14ac:dyDescent="0.25">
      <c r="A228">
        <v>6.5359999999999996</v>
      </c>
      <c r="B228">
        <v>72.945773577489135</v>
      </c>
      <c r="C228">
        <v>8.0860344172747496</v>
      </c>
      <c r="H228">
        <v>6.2629999999999999</v>
      </c>
      <c r="I228">
        <v>1.71</v>
      </c>
    </row>
    <row r="229" spans="1:9" x14ac:dyDescent="0.25">
      <c r="A229">
        <v>6.5629999999999997</v>
      </c>
      <c r="B229">
        <v>73.013631801238873</v>
      </c>
      <c r="C229">
        <v>8.1878217528993424</v>
      </c>
      <c r="H229">
        <v>6.2789999999999999</v>
      </c>
      <c r="I229">
        <v>1.734</v>
      </c>
    </row>
    <row r="230" spans="1:9" x14ac:dyDescent="0.25">
      <c r="A230">
        <v>6.59</v>
      </c>
      <c r="B230">
        <v>73.136624831785255</v>
      </c>
      <c r="C230">
        <v>8.2302331427429252</v>
      </c>
      <c r="H230">
        <v>6.3079999999999998</v>
      </c>
      <c r="I230">
        <v>1.744</v>
      </c>
    </row>
    <row r="231" spans="1:9" x14ac:dyDescent="0.25">
      <c r="A231">
        <v>6.6159999999999997</v>
      </c>
      <c r="B231">
        <v>73.179036221628834</v>
      </c>
      <c r="C231">
        <v>8.1538926410244805</v>
      </c>
      <c r="H231">
        <v>6.3179999999999996</v>
      </c>
      <c r="I231">
        <v>1.726</v>
      </c>
    </row>
    <row r="232" spans="1:9" x14ac:dyDescent="0.25">
      <c r="A232">
        <v>6.6429999999999998</v>
      </c>
      <c r="B232">
        <v>73.196000777566269</v>
      </c>
      <c r="C232">
        <v>8.0605875833685996</v>
      </c>
      <c r="H232">
        <v>6.3220000000000001</v>
      </c>
      <c r="I232">
        <v>1.704</v>
      </c>
    </row>
    <row r="233" spans="1:9" x14ac:dyDescent="0.25">
      <c r="A233">
        <v>6.67</v>
      </c>
      <c r="B233">
        <v>73.259617862331652</v>
      </c>
      <c r="C233">
        <v>8.01393505454066</v>
      </c>
      <c r="H233">
        <v>6.3369999999999997</v>
      </c>
      <c r="I233">
        <v>1.6930000000000001</v>
      </c>
    </row>
    <row r="234" spans="1:9" x14ac:dyDescent="0.25">
      <c r="A234">
        <v>6.6959999999999997</v>
      </c>
      <c r="B234">
        <v>73.361405197956245</v>
      </c>
      <c r="C234">
        <v>8.0012116375875877</v>
      </c>
      <c r="H234">
        <v>6.3609999999999998</v>
      </c>
      <c r="I234">
        <v>1.69</v>
      </c>
    </row>
    <row r="235" spans="1:9" x14ac:dyDescent="0.25">
      <c r="A235">
        <v>6.7229999999999999</v>
      </c>
      <c r="B235">
        <v>73.463192533580823</v>
      </c>
      <c r="C235">
        <v>8.0181761935250186</v>
      </c>
      <c r="H235">
        <v>6.3849999999999998</v>
      </c>
      <c r="I235">
        <v>1.694</v>
      </c>
    </row>
    <row r="236" spans="1:9" x14ac:dyDescent="0.25">
      <c r="A236">
        <v>6.75</v>
      </c>
      <c r="B236">
        <v>73.560738730221075</v>
      </c>
      <c r="C236">
        <v>8.03938188844681</v>
      </c>
      <c r="H236">
        <v>6.4080000000000004</v>
      </c>
      <c r="I236">
        <v>1.6990000000000001</v>
      </c>
    </row>
    <row r="237" spans="1:9" x14ac:dyDescent="0.25">
      <c r="A237">
        <v>6.7759999999999998</v>
      </c>
      <c r="B237">
        <v>73.641320370923879</v>
      </c>
      <c r="C237">
        <v>8.0563464443842427</v>
      </c>
      <c r="H237">
        <v>6.4269999999999996</v>
      </c>
      <c r="I237">
        <v>1.7030000000000001</v>
      </c>
    </row>
    <row r="238" spans="1:9" x14ac:dyDescent="0.25">
      <c r="A238">
        <v>6.8029999999999999</v>
      </c>
      <c r="B238">
        <v>73.696455177720537</v>
      </c>
      <c r="C238">
        <v>8.0733110003216737</v>
      </c>
      <c r="H238">
        <v>6.44</v>
      </c>
      <c r="I238">
        <v>1.7070000000000001</v>
      </c>
    </row>
    <row r="239" spans="1:9" x14ac:dyDescent="0.25">
      <c r="A239">
        <v>6.83</v>
      </c>
      <c r="B239">
        <v>73.730384289595392</v>
      </c>
      <c r="C239">
        <v>8.0945166952434651</v>
      </c>
      <c r="H239">
        <v>6.4480000000000004</v>
      </c>
      <c r="I239">
        <v>1.712</v>
      </c>
    </row>
    <row r="240" spans="1:9" x14ac:dyDescent="0.25">
      <c r="A240">
        <v>6.8559999999999999</v>
      </c>
      <c r="B240">
        <v>73.730384289595392</v>
      </c>
      <c r="C240">
        <v>8.1326869461026892</v>
      </c>
      <c r="H240">
        <v>6.4480000000000004</v>
      </c>
      <c r="I240">
        <v>1.7210000000000001</v>
      </c>
    </row>
    <row r="241" spans="1:9" x14ac:dyDescent="0.25">
      <c r="A241">
        <v>6.883</v>
      </c>
      <c r="B241">
        <v>73.755831123501551</v>
      </c>
      <c r="C241">
        <v>8.1793394749306287</v>
      </c>
      <c r="H241">
        <v>6.4539999999999997</v>
      </c>
      <c r="I241">
        <v>1.732</v>
      </c>
    </row>
    <row r="242" spans="1:9" x14ac:dyDescent="0.25">
      <c r="A242">
        <v>6.91</v>
      </c>
      <c r="B242">
        <v>73.80672479131384</v>
      </c>
      <c r="C242">
        <v>8.1920628918837028</v>
      </c>
      <c r="H242">
        <v>6.4660000000000002</v>
      </c>
      <c r="I242">
        <v>1.7350000000000001</v>
      </c>
    </row>
    <row r="243" spans="1:9" x14ac:dyDescent="0.25">
      <c r="A243">
        <v>6.9359999999999999</v>
      </c>
      <c r="B243">
        <v>73.976370350688171</v>
      </c>
      <c r="C243">
        <v>8.2302331427429252</v>
      </c>
      <c r="H243">
        <v>6.5060000000000002</v>
      </c>
      <c r="I243">
        <v>1.744</v>
      </c>
    </row>
    <row r="244" spans="1:9" x14ac:dyDescent="0.25">
      <c r="A244">
        <v>6.9630000000000001</v>
      </c>
      <c r="B244">
        <v>74.162980465999937</v>
      </c>
      <c r="C244">
        <v>8.2641622546177906</v>
      </c>
      <c r="H244">
        <v>6.55</v>
      </c>
      <c r="I244">
        <v>1.752</v>
      </c>
    </row>
    <row r="245" spans="1:9" x14ac:dyDescent="0.25">
      <c r="A245">
        <v>6.99</v>
      </c>
      <c r="B245">
        <v>74.468342472873701</v>
      </c>
      <c r="C245">
        <v>8.3277793393831612</v>
      </c>
      <c r="H245">
        <v>6.6219999999999999</v>
      </c>
      <c r="I245">
        <v>1.7669999999999999</v>
      </c>
    </row>
    <row r="246" spans="1:9" x14ac:dyDescent="0.25">
      <c r="A246">
        <v>7.016</v>
      </c>
      <c r="B246">
        <v>75.38018735451071</v>
      </c>
      <c r="C246">
        <v>8.5398362886010695</v>
      </c>
      <c r="H246">
        <v>6.8369999999999997</v>
      </c>
      <c r="I246">
        <v>1.8169999999999999</v>
      </c>
    </row>
    <row r="247" spans="1:9" x14ac:dyDescent="0.25">
      <c r="A247">
        <v>7.0430000000000001</v>
      </c>
      <c r="B247">
        <v>75.761889863102937</v>
      </c>
      <c r="C247">
        <v>8.6119356513351573</v>
      </c>
      <c r="H247">
        <v>6.9269999999999996</v>
      </c>
      <c r="I247">
        <v>1.8340000000000001</v>
      </c>
    </row>
    <row r="248" spans="1:9" x14ac:dyDescent="0.25">
      <c r="A248">
        <v>7.07</v>
      </c>
      <c r="B248">
        <v>75.931535422477253</v>
      </c>
      <c r="C248">
        <v>8.645864763210021</v>
      </c>
      <c r="H248">
        <v>6.9669999999999996</v>
      </c>
      <c r="I248">
        <v>1.8420000000000001</v>
      </c>
    </row>
    <row r="249" spans="1:9" x14ac:dyDescent="0.25">
      <c r="A249">
        <v>7.0960000000000001</v>
      </c>
      <c r="B249">
        <v>75.40987532740121</v>
      </c>
      <c r="C249">
        <v>8.4847014818044126</v>
      </c>
      <c r="H249">
        <v>6.8440000000000003</v>
      </c>
      <c r="I249">
        <v>1.804</v>
      </c>
    </row>
    <row r="250" spans="1:9" x14ac:dyDescent="0.25">
      <c r="A250">
        <v>7.1230000000000002</v>
      </c>
      <c r="B250">
        <v>74.939108900137455</v>
      </c>
      <c r="C250">
        <v>8.3320204783675216</v>
      </c>
      <c r="H250">
        <v>6.7329999999999997</v>
      </c>
      <c r="I250">
        <v>1.768</v>
      </c>
    </row>
    <row r="251" spans="1:9" x14ac:dyDescent="0.25">
      <c r="A251">
        <v>7.15</v>
      </c>
      <c r="B251">
        <v>74.811874730606718</v>
      </c>
      <c r="C251">
        <v>8.2726445325865079</v>
      </c>
      <c r="H251">
        <v>6.7030000000000003</v>
      </c>
      <c r="I251">
        <v>1.754</v>
      </c>
    </row>
    <row r="252" spans="1:9" x14ac:dyDescent="0.25">
      <c r="A252">
        <v>7.1760000000000002</v>
      </c>
      <c r="B252">
        <v>74.994243706934128</v>
      </c>
      <c r="C252">
        <v>8.2768856715708647</v>
      </c>
      <c r="H252">
        <v>6.7460000000000004</v>
      </c>
      <c r="I252">
        <v>1.7549999999999999</v>
      </c>
    </row>
    <row r="253" spans="1:9" x14ac:dyDescent="0.25">
      <c r="A253">
        <v>7.2030000000000003</v>
      </c>
      <c r="B253">
        <v>75.163889266308445</v>
      </c>
      <c r="C253">
        <v>8.2980913664926561</v>
      </c>
      <c r="H253">
        <v>6.7859999999999996</v>
      </c>
      <c r="I253">
        <v>1.76</v>
      </c>
    </row>
    <row r="254" spans="1:9" x14ac:dyDescent="0.25">
      <c r="A254">
        <v>7.23</v>
      </c>
      <c r="B254">
        <v>75.261435462948683</v>
      </c>
      <c r="C254">
        <v>8.3405027563362353</v>
      </c>
      <c r="H254">
        <v>6.8090000000000002</v>
      </c>
      <c r="I254">
        <v>1.77</v>
      </c>
    </row>
    <row r="255" spans="1:9" x14ac:dyDescent="0.25">
      <c r="A255">
        <v>7.2560000000000002</v>
      </c>
      <c r="B255">
        <v>75.117236737480496</v>
      </c>
      <c r="C255">
        <v>8.3532261732893112</v>
      </c>
      <c r="H255">
        <v>6.7750000000000004</v>
      </c>
      <c r="I255">
        <v>1.7729999999999999</v>
      </c>
    </row>
    <row r="256" spans="1:9" x14ac:dyDescent="0.25">
      <c r="A256">
        <v>7.2830000000000004</v>
      </c>
      <c r="B256">
        <v>74.892456371309521</v>
      </c>
      <c r="C256">
        <v>8.3617084512580266</v>
      </c>
      <c r="H256">
        <v>6.7220000000000004</v>
      </c>
      <c r="I256">
        <v>1.7749999999999999</v>
      </c>
    </row>
    <row r="257" spans="1:9" x14ac:dyDescent="0.25">
      <c r="A257">
        <v>7.31</v>
      </c>
      <c r="B257">
        <v>74.69736397802906</v>
      </c>
      <c r="C257">
        <v>8.3701907292267439</v>
      </c>
      <c r="H257">
        <v>6.6760000000000002</v>
      </c>
      <c r="I257">
        <v>1.7769999999999999</v>
      </c>
    </row>
    <row r="258" spans="1:9" x14ac:dyDescent="0.25">
      <c r="A258">
        <v>7.3360000000000003</v>
      </c>
      <c r="B258">
        <v>74.667676005138532</v>
      </c>
      <c r="C258">
        <v>8.4083609800859662</v>
      </c>
      <c r="H258">
        <v>6.6689999999999996</v>
      </c>
      <c r="I258">
        <v>1.786</v>
      </c>
    </row>
    <row r="259" spans="1:9" x14ac:dyDescent="0.25">
      <c r="A259">
        <v>7.3630000000000004</v>
      </c>
      <c r="B259">
        <v>74.799151313653638</v>
      </c>
      <c r="C259">
        <v>8.4422900919608317</v>
      </c>
      <c r="H259">
        <v>6.7</v>
      </c>
      <c r="I259">
        <v>1.794</v>
      </c>
    </row>
    <row r="260" spans="1:9" x14ac:dyDescent="0.25">
      <c r="A260">
        <v>7.39</v>
      </c>
      <c r="B260">
        <v>74.977279150996694</v>
      </c>
      <c r="C260">
        <v>8.4550135089139058</v>
      </c>
      <c r="H260">
        <v>6.742</v>
      </c>
      <c r="I260">
        <v>1.7969999999999999</v>
      </c>
    </row>
    <row r="261" spans="1:9" x14ac:dyDescent="0.25">
      <c r="A261">
        <v>7.4160000000000004</v>
      </c>
      <c r="B261">
        <v>75.096031042558707</v>
      </c>
      <c r="C261">
        <v>8.4634957868826213</v>
      </c>
      <c r="H261">
        <v>6.77</v>
      </c>
      <c r="I261">
        <v>1.7989999999999999</v>
      </c>
    </row>
    <row r="262" spans="1:9" x14ac:dyDescent="0.25">
      <c r="A262">
        <v>7.4429999999999996</v>
      </c>
      <c r="B262">
        <v>75.172371544277155</v>
      </c>
      <c r="C262">
        <v>8.4889426207887695</v>
      </c>
      <c r="H262">
        <v>6.7880000000000003</v>
      </c>
      <c r="I262">
        <v>1.8049999999999999</v>
      </c>
    </row>
    <row r="263" spans="1:9" x14ac:dyDescent="0.25">
      <c r="A263">
        <v>7.47</v>
      </c>
      <c r="B263">
        <v>75.163889266308445</v>
      </c>
      <c r="C263">
        <v>8.505907176726204</v>
      </c>
      <c r="H263">
        <v>6.7859999999999996</v>
      </c>
      <c r="I263">
        <v>1.8089999999999999</v>
      </c>
    </row>
    <row r="264" spans="1:9" x14ac:dyDescent="0.25">
      <c r="A264">
        <v>7.4960000000000004</v>
      </c>
      <c r="B264">
        <v>75.138442432402286</v>
      </c>
      <c r="C264">
        <v>8.5780065394602918</v>
      </c>
      <c r="H264">
        <v>6.78</v>
      </c>
      <c r="I264">
        <v>1.8260000000000001</v>
      </c>
    </row>
    <row r="265" spans="1:9" x14ac:dyDescent="0.25">
      <c r="A265">
        <v>7.5229999999999997</v>
      </c>
      <c r="B265">
        <v>75.117236737480496</v>
      </c>
      <c r="C265">
        <v>8.6501059021943796</v>
      </c>
      <c r="H265">
        <v>6.7750000000000004</v>
      </c>
      <c r="I265">
        <v>1.843</v>
      </c>
    </row>
    <row r="266" spans="1:9" x14ac:dyDescent="0.25">
      <c r="A266">
        <v>7.55</v>
      </c>
      <c r="B266">
        <v>75.083307625605642</v>
      </c>
      <c r="C266">
        <v>8.6713115971161709</v>
      </c>
      <c r="H266">
        <v>6.7670000000000003</v>
      </c>
      <c r="I266">
        <v>1.8480000000000001</v>
      </c>
    </row>
    <row r="267" spans="1:9" x14ac:dyDescent="0.25">
      <c r="A267">
        <v>7.5759999999999996</v>
      </c>
      <c r="B267">
        <v>75.062101930683852</v>
      </c>
      <c r="C267">
        <v>8.7264464039128242</v>
      </c>
      <c r="H267">
        <v>6.7619999999999996</v>
      </c>
      <c r="I267">
        <v>1.861</v>
      </c>
    </row>
    <row r="268" spans="1:9" x14ac:dyDescent="0.25">
      <c r="A268">
        <v>7.6029999999999998</v>
      </c>
      <c r="B268">
        <v>75.002725984902838</v>
      </c>
      <c r="C268">
        <v>8.6840350140692451</v>
      </c>
      <c r="H268">
        <v>6.7480000000000002</v>
      </c>
      <c r="I268">
        <v>1.851</v>
      </c>
    </row>
    <row r="269" spans="1:9" x14ac:dyDescent="0.25">
      <c r="A269">
        <v>7.63</v>
      </c>
      <c r="B269">
        <v>74.9051797882626</v>
      </c>
      <c r="C269">
        <v>8.645864763210021</v>
      </c>
      <c r="H269">
        <v>6.7249999999999996</v>
      </c>
      <c r="I269">
        <v>1.8420000000000001</v>
      </c>
    </row>
    <row r="270" spans="1:9" x14ac:dyDescent="0.25">
      <c r="A270">
        <v>7.6559999999999997</v>
      </c>
      <c r="B270">
        <v>74.786427896700559</v>
      </c>
      <c r="C270">
        <v>8.62890020727259</v>
      </c>
      <c r="H270">
        <v>6.6970000000000001</v>
      </c>
      <c r="I270">
        <v>1.8380000000000001</v>
      </c>
    </row>
    <row r="271" spans="1:9" x14ac:dyDescent="0.25">
      <c r="A271">
        <v>7.6829999999999998</v>
      </c>
      <c r="B271">
        <v>74.629505754279322</v>
      </c>
      <c r="C271">
        <v>8.6076945123507969</v>
      </c>
      <c r="H271">
        <v>6.66</v>
      </c>
      <c r="I271">
        <v>1.833</v>
      </c>
    </row>
    <row r="272" spans="1:9" x14ac:dyDescent="0.25">
      <c r="A272">
        <v>7.71</v>
      </c>
      <c r="B272">
        <v>74.48954816779549</v>
      </c>
      <c r="C272">
        <v>8.6119356513351573</v>
      </c>
      <c r="H272">
        <v>6.6269999999999998</v>
      </c>
      <c r="I272">
        <v>1.8340000000000001</v>
      </c>
    </row>
    <row r="273" spans="1:9" x14ac:dyDescent="0.25">
      <c r="A273">
        <v>7.7359999999999998</v>
      </c>
      <c r="B273">
        <v>74.332626025374239</v>
      </c>
      <c r="C273">
        <v>8.60345337336644</v>
      </c>
      <c r="H273">
        <v>6.59</v>
      </c>
      <c r="I273">
        <v>1.8320000000000001</v>
      </c>
    </row>
    <row r="274" spans="1:9" x14ac:dyDescent="0.25">
      <c r="A274">
        <v>7.7629999999999999</v>
      </c>
      <c r="B274">
        <v>74.205391855843502</v>
      </c>
      <c r="C274">
        <v>8.5992122343820832</v>
      </c>
      <c r="H274">
        <v>6.56</v>
      </c>
      <c r="I274">
        <v>1.831</v>
      </c>
    </row>
    <row r="275" spans="1:9" x14ac:dyDescent="0.25">
      <c r="A275">
        <v>7.79</v>
      </c>
      <c r="B275">
        <v>74.107845659203264</v>
      </c>
      <c r="C275">
        <v>8.6373824852413055</v>
      </c>
      <c r="H275">
        <v>6.5369999999999999</v>
      </c>
      <c r="I275">
        <v>1.84</v>
      </c>
    </row>
    <row r="276" spans="1:9" x14ac:dyDescent="0.25">
      <c r="A276">
        <v>7.8159999999999998</v>
      </c>
      <c r="B276">
        <v>73.938200099828947</v>
      </c>
      <c r="C276">
        <v>8.6713115971161709</v>
      </c>
      <c r="H276">
        <v>6.4969999999999999</v>
      </c>
      <c r="I276">
        <v>1.8480000000000001</v>
      </c>
    </row>
    <row r="277" spans="1:9" x14ac:dyDescent="0.25">
      <c r="A277">
        <v>7.843</v>
      </c>
      <c r="B277">
        <v>73.721902011626668</v>
      </c>
      <c r="C277">
        <v>8.6882761530536037</v>
      </c>
      <c r="H277">
        <v>6.4459999999999997</v>
      </c>
      <c r="I277">
        <v>1.8520000000000001</v>
      </c>
    </row>
    <row r="278" spans="1:9" x14ac:dyDescent="0.25">
      <c r="A278">
        <v>7.87</v>
      </c>
      <c r="B278">
        <v>73.450469116627758</v>
      </c>
      <c r="C278">
        <v>8.6797938750848864</v>
      </c>
      <c r="H278">
        <v>6.3819999999999997</v>
      </c>
      <c r="I278">
        <v>1.85</v>
      </c>
    </row>
    <row r="279" spans="1:9" x14ac:dyDescent="0.25">
      <c r="A279">
        <v>7.8959999999999999</v>
      </c>
      <c r="B279">
        <v>73.1620716656914</v>
      </c>
      <c r="C279">
        <v>8.6840350140692451</v>
      </c>
      <c r="H279">
        <v>6.3140000000000001</v>
      </c>
      <c r="I279">
        <v>1.851</v>
      </c>
    </row>
    <row r="280" spans="1:9" x14ac:dyDescent="0.25">
      <c r="A280">
        <v>7.923</v>
      </c>
      <c r="B280">
        <v>72.966979272410939</v>
      </c>
      <c r="C280">
        <v>8.6882761530536037</v>
      </c>
      <c r="H280">
        <v>6.2679999999999998</v>
      </c>
      <c r="I280">
        <v>1.8520000000000001</v>
      </c>
    </row>
    <row r="281" spans="1:9" x14ac:dyDescent="0.25">
      <c r="A281">
        <v>7.95</v>
      </c>
      <c r="B281">
        <v>72.843986241864542</v>
      </c>
      <c r="C281">
        <v>8.7264464039128242</v>
      </c>
      <c r="H281">
        <v>6.2389999999999999</v>
      </c>
      <c r="I281">
        <v>1.861</v>
      </c>
    </row>
    <row r="282" spans="1:9" x14ac:dyDescent="0.25">
      <c r="A282">
        <v>7.976</v>
      </c>
      <c r="B282">
        <v>72.860950797801991</v>
      </c>
      <c r="C282">
        <v>8.8197514615687034</v>
      </c>
      <c r="H282">
        <v>6.2430000000000003</v>
      </c>
      <c r="I282">
        <v>1.883</v>
      </c>
    </row>
    <row r="283" spans="1:9" x14ac:dyDescent="0.25">
      <c r="A283">
        <v>8.0030000000000001</v>
      </c>
      <c r="B283">
        <v>72.90336218764557</v>
      </c>
      <c r="C283">
        <v>8.8876096853184343</v>
      </c>
      <c r="H283">
        <v>6.2530000000000001</v>
      </c>
      <c r="I283">
        <v>1.899</v>
      </c>
    </row>
    <row r="284" spans="1:9" x14ac:dyDescent="0.25">
      <c r="A284">
        <v>8.0299999999999994</v>
      </c>
      <c r="B284">
        <v>73.026355218191938</v>
      </c>
      <c r="C284">
        <v>8.9342622141463721</v>
      </c>
      <c r="H284">
        <v>6.282</v>
      </c>
      <c r="I284">
        <v>1.91</v>
      </c>
    </row>
    <row r="285" spans="1:9" x14ac:dyDescent="0.25">
      <c r="A285">
        <v>8.0559999999999992</v>
      </c>
      <c r="B285">
        <v>73.276582418269086</v>
      </c>
      <c r="C285">
        <v>8.9172976582089412</v>
      </c>
      <c r="H285">
        <v>6.3410000000000002</v>
      </c>
      <c r="I285">
        <v>1.9059999999999999</v>
      </c>
    </row>
    <row r="286" spans="1:9" x14ac:dyDescent="0.25">
      <c r="A286">
        <v>8.0830000000000002</v>
      </c>
      <c r="B286">
        <v>73.212965333503703</v>
      </c>
      <c r="C286">
        <v>8.9088153802402239</v>
      </c>
      <c r="H286">
        <v>6.3259999999999996</v>
      </c>
      <c r="I286">
        <v>1.9039999999999999</v>
      </c>
    </row>
    <row r="287" spans="1:9" x14ac:dyDescent="0.25">
      <c r="A287">
        <v>8.11</v>
      </c>
      <c r="B287">
        <v>73.077248886004242</v>
      </c>
      <c r="C287">
        <v>8.9130565192245825</v>
      </c>
      <c r="H287">
        <v>6.2939999999999996</v>
      </c>
      <c r="I287">
        <v>1.905</v>
      </c>
    </row>
    <row r="288" spans="1:9" x14ac:dyDescent="0.25">
      <c r="A288">
        <v>8.1359999999999992</v>
      </c>
      <c r="B288">
        <v>72.665858404521501</v>
      </c>
      <c r="C288">
        <v>8.9215387971932998</v>
      </c>
      <c r="H288">
        <v>6.1970000000000001</v>
      </c>
      <c r="I288">
        <v>1.907</v>
      </c>
    </row>
    <row r="289" spans="1:9" x14ac:dyDescent="0.25">
      <c r="A289">
        <v>8.1630000000000003</v>
      </c>
      <c r="B289">
        <v>72.267191339991854</v>
      </c>
      <c r="C289">
        <v>8.946985631099448</v>
      </c>
      <c r="H289">
        <v>6.1029999999999998</v>
      </c>
      <c r="I289">
        <v>1.913</v>
      </c>
    </row>
    <row r="290" spans="1:9" x14ac:dyDescent="0.25">
      <c r="A290">
        <v>8.19</v>
      </c>
      <c r="B290">
        <v>71.944864777180626</v>
      </c>
      <c r="C290">
        <v>8.9681913260212376</v>
      </c>
      <c r="H290">
        <v>6.0270000000000001</v>
      </c>
      <c r="I290">
        <v>1.9179999999999999</v>
      </c>
    </row>
    <row r="291" spans="1:9" x14ac:dyDescent="0.25">
      <c r="A291">
        <v>8.2159999999999993</v>
      </c>
      <c r="B291">
        <v>71.656467326244268</v>
      </c>
      <c r="C291">
        <v>8.9893970209430289</v>
      </c>
      <c r="H291">
        <v>5.9589999999999996</v>
      </c>
      <c r="I291">
        <v>1.923</v>
      </c>
    </row>
    <row r="292" spans="1:9" x14ac:dyDescent="0.25">
      <c r="A292">
        <v>8.2430000000000003</v>
      </c>
      <c r="B292">
        <v>71.3595875973392</v>
      </c>
      <c r="C292">
        <v>9.0021204378961031</v>
      </c>
      <c r="H292">
        <v>5.8890000000000002</v>
      </c>
      <c r="I292">
        <v>1.9259999999999999</v>
      </c>
    </row>
    <row r="293" spans="1:9" x14ac:dyDescent="0.25">
      <c r="A293">
        <v>8.27</v>
      </c>
      <c r="B293">
        <v>71.062707868434131</v>
      </c>
      <c r="C293">
        <v>9.0275672718022513</v>
      </c>
      <c r="H293">
        <v>5.819</v>
      </c>
      <c r="I293">
        <v>1.9319999999999999</v>
      </c>
    </row>
    <row r="294" spans="1:9" x14ac:dyDescent="0.25">
      <c r="A294">
        <v>8.2959999999999994</v>
      </c>
      <c r="B294">
        <v>70.748863583591643</v>
      </c>
      <c r="C294">
        <v>9.0572552446927599</v>
      </c>
      <c r="H294">
        <v>5.7450000000000001</v>
      </c>
      <c r="I294">
        <v>1.9390000000000001</v>
      </c>
    </row>
    <row r="295" spans="1:9" x14ac:dyDescent="0.25">
      <c r="A295">
        <v>8.3230000000000004</v>
      </c>
      <c r="B295">
        <v>70.456224993670929</v>
      </c>
      <c r="C295">
        <v>9.1039077735206995</v>
      </c>
      <c r="H295">
        <v>5.6760000000000002</v>
      </c>
      <c r="I295">
        <v>1.95</v>
      </c>
    </row>
    <row r="296" spans="1:9" x14ac:dyDescent="0.25">
      <c r="A296">
        <v>8.35</v>
      </c>
      <c r="B296">
        <v>70.142380708828426</v>
      </c>
      <c r="C296">
        <v>9.1760071362547873</v>
      </c>
      <c r="H296">
        <v>5.6020000000000003</v>
      </c>
      <c r="I296">
        <v>1.9670000000000001</v>
      </c>
    </row>
    <row r="297" spans="1:9" x14ac:dyDescent="0.25">
      <c r="A297">
        <v>8.3759999999999994</v>
      </c>
      <c r="B297">
        <v>69.781883895157975</v>
      </c>
      <c r="C297">
        <v>9.1887305532078614</v>
      </c>
      <c r="H297">
        <v>5.5170000000000003</v>
      </c>
      <c r="I297">
        <v>1.97</v>
      </c>
    </row>
    <row r="298" spans="1:9" x14ac:dyDescent="0.25">
      <c r="A298">
        <v>8.4030000000000005</v>
      </c>
      <c r="B298">
        <v>69.408663664534473</v>
      </c>
      <c r="C298">
        <v>9.2438653600045164</v>
      </c>
      <c r="H298">
        <v>5.4290000000000003</v>
      </c>
      <c r="I298">
        <v>1.9830000000000001</v>
      </c>
    </row>
    <row r="299" spans="1:9" x14ac:dyDescent="0.25">
      <c r="A299">
        <v>8.43</v>
      </c>
      <c r="B299">
        <v>68.967585210161218</v>
      </c>
      <c r="C299">
        <v>9.2608299159419509</v>
      </c>
      <c r="H299">
        <v>5.3250000000000002</v>
      </c>
      <c r="I299">
        <v>1.9870000000000001</v>
      </c>
    </row>
    <row r="300" spans="1:9" x14ac:dyDescent="0.25">
      <c r="A300">
        <v>8.4559999999999995</v>
      </c>
      <c r="B300">
        <v>68.445925115085174</v>
      </c>
      <c r="C300">
        <v>9.2141773871140096</v>
      </c>
      <c r="H300">
        <v>5.202</v>
      </c>
      <c r="I300">
        <v>1.976</v>
      </c>
    </row>
    <row r="301" spans="1:9" x14ac:dyDescent="0.25">
      <c r="A301">
        <v>8.4830000000000005</v>
      </c>
      <c r="B301">
        <v>69.425628220471907</v>
      </c>
      <c r="C301">
        <v>9.1887305532078614</v>
      </c>
      <c r="H301">
        <v>5.4329999999999998</v>
      </c>
      <c r="I301">
        <v>1.97</v>
      </c>
    </row>
    <row r="302" spans="1:9" x14ac:dyDescent="0.25">
      <c r="A302">
        <v>8.51</v>
      </c>
      <c r="B302">
        <v>78.166615667233984</v>
      </c>
      <c r="C302">
        <v>9.2141773871140096</v>
      </c>
      <c r="H302">
        <v>7.4939999999999998</v>
      </c>
      <c r="I302">
        <v>1.976</v>
      </c>
    </row>
    <row r="303" spans="1:9" x14ac:dyDescent="0.25">
      <c r="A303">
        <v>8.5359999999999996</v>
      </c>
      <c r="B303">
        <v>81.466221797064605</v>
      </c>
      <c r="C303">
        <v>9.2735533328950233</v>
      </c>
      <c r="H303">
        <v>8.2720000000000002</v>
      </c>
      <c r="I303">
        <v>1.99</v>
      </c>
    </row>
    <row r="304" spans="1:9" x14ac:dyDescent="0.25">
      <c r="A304">
        <v>8.5630000000000006</v>
      </c>
      <c r="B304">
        <v>83.68009634689956</v>
      </c>
      <c r="C304">
        <v>9.3202058617229628</v>
      </c>
      <c r="H304">
        <v>8.7940000000000005</v>
      </c>
      <c r="I304">
        <v>2.0009999999999999</v>
      </c>
    </row>
    <row r="305" spans="1:9" x14ac:dyDescent="0.25">
      <c r="A305">
        <v>8.59</v>
      </c>
      <c r="B305">
        <v>79.159042189573796</v>
      </c>
      <c r="C305">
        <v>9.371099529535261</v>
      </c>
      <c r="H305">
        <v>7.7279999999999998</v>
      </c>
      <c r="I305">
        <v>2.0129999999999999</v>
      </c>
    </row>
    <row r="306" spans="1:9" x14ac:dyDescent="0.25">
      <c r="A306">
        <v>8.6159999999999997</v>
      </c>
      <c r="B306">
        <v>70.744622444607273</v>
      </c>
      <c r="C306">
        <v>9.3965463634414093</v>
      </c>
      <c r="H306">
        <v>5.7439999999999998</v>
      </c>
      <c r="I306">
        <v>2.0190000000000001</v>
      </c>
    </row>
    <row r="307" spans="1:9" x14ac:dyDescent="0.25">
      <c r="A307">
        <v>8.6430000000000007</v>
      </c>
      <c r="B307">
        <v>66.830051162044725</v>
      </c>
      <c r="C307">
        <v>9.4304754753162747</v>
      </c>
      <c r="H307">
        <v>4.8209999999999997</v>
      </c>
      <c r="I307">
        <v>2.0270000000000001</v>
      </c>
    </row>
    <row r="308" spans="1:9" x14ac:dyDescent="0.25">
      <c r="A308">
        <v>8.67</v>
      </c>
      <c r="B308">
        <v>65.163283541191987</v>
      </c>
      <c r="C308">
        <v>9.4389577532849884</v>
      </c>
      <c r="H308">
        <v>4.4279999999999999</v>
      </c>
      <c r="I308">
        <v>2.0289999999999999</v>
      </c>
    </row>
    <row r="309" spans="1:9" x14ac:dyDescent="0.25">
      <c r="A309">
        <v>8.6959999999999997</v>
      </c>
      <c r="B309">
        <v>64.289608910414216</v>
      </c>
      <c r="C309">
        <v>9.4601634482067798</v>
      </c>
      <c r="H309">
        <v>4.2220000000000004</v>
      </c>
      <c r="I309">
        <v>2.0339999999999998</v>
      </c>
    </row>
    <row r="310" spans="1:9" x14ac:dyDescent="0.25">
      <c r="A310">
        <v>8.7230000000000008</v>
      </c>
      <c r="B310">
        <v>63.449863391511315</v>
      </c>
      <c r="C310">
        <v>9.4813691431285712</v>
      </c>
      <c r="H310">
        <v>4.024</v>
      </c>
      <c r="I310">
        <v>2.0390000000000001</v>
      </c>
    </row>
    <row r="311" spans="1:9" x14ac:dyDescent="0.25">
      <c r="A311">
        <v>8.75</v>
      </c>
      <c r="B311">
        <v>62.673734957373775</v>
      </c>
      <c r="C311">
        <v>9.511057116019078</v>
      </c>
      <c r="H311">
        <v>3.8410000000000002</v>
      </c>
      <c r="I311">
        <v>2.0459999999999998</v>
      </c>
    </row>
    <row r="312" spans="1:9" x14ac:dyDescent="0.25">
      <c r="A312">
        <v>8.7759999999999998</v>
      </c>
      <c r="B312">
        <v>61.973947024954676</v>
      </c>
      <c r="C312">
        <v>9.5449862278939435</v>
      </c>
      <c r="H312">
        <v>3.6760000000000002</v>
      </c>
      <c r="I312">
        <v>2.0539999999999998</v>
      </c>
    </row>
    <row r="313" spans="1:9" x14ac:dyDescent="0.25">
      <c r="A313">
        <v>8.8030000000000008</v>
      </c>
      <c r="B313">
        <v>61.31657048237917</v>
      </c>
      <c r="C313">
        <v>9.6086033126593158</v>
      </c>
      <c r="H313">
        <v>3.5209999999999999</v>
      </c>
      <c r="I313">
        <v>2.069</v>
      </c>
    </row>
    <row r="314" spans="1:9" x14ac:dyDescent="0.25">
      <c r="A314">
        <v>8.83</v>
      </c>
      <c r="B314">
        <v>60.731293302537743</v>
      </c>
      <c r="C314">
        <v>9.6807026753934036</v>
      </c>
      <c r="H314">
        <v>3.383</v>
      </c>
      <c r="I314">
        <v>2.0859999999999999</v>
      </c>
    </row>
    <row r="315" spans="1:9" x14ac:dyDescent="0.25">
      <c r="A315">
        <v>8.8559999999999999</v>
      </c>
      <c r="B315">
        <v>60.129051566758889</v>
      </c>
      <c r="C315">
        <v>9.7358374821900604</v>
      </c>
      <c r="H315">
        <v>3.2410000000000001</v>
      </c>
      <c r="I315">
        <v>2.0990000000000002</v>
      </c>
    </row>
    <row r="316" spans="1:9" x14ac:dyDescent="0.25">
      <c r="A316">
        <v>8.8829999999999991</v>
      </c>
      <c r="B316">
        <v>59.539533247933115</v>
      </c>
      <c r="C316">
        <v>9.7909722889867155</v>
      </c>
      <c r="H316">
        <v>3.1019999999999999</v>
      </c>
      <c r="I316">
        <v>2.1120000000000001</v>
      </c>
    </row>
    <row r="317" spans="1:9" x14ac:dyDescent="0.25">
      <c r="A317">
        <v>8.91</v>
      </c>
      <c r="B317">
        <v>58.920326956216826</v>
      </c>
      <c r="C317">
        <v>9.8503482347677291</v>
      </c>
      <c r="H317">
        <v>2.956</v>
      </c>
      <c r="I317">
        <v>2.1259999999999999</v>
      </c>
    </row>
    <row r="318" spans="1:9" x14ac:dyDescent="0.25">
      <c r="A318">
        <v>8.9359999999999999</v>
      </c>
      <c r="B318">
        <v>58.18236877293851</v>
      </c>
      <c r="C318">
        <v>9.8842773466425928</v>
      </c>
      <c r="H318">
        <v>2.782</v>
      </c>
      <c r="I318">
        <v>2.1339999999999999</v>
      </c>
    </row>
    <row r="319" spans="1:9" x14ac:dyDescent="0.25">
      <c r="A319">
        <v>8.9629999999999992</v>
      </c>
      <c r="B319">
        <v>57.35958780997305</v>
      </c>
      <c r="C319">
        <v>9.880036207658236</v>
      </c>
      <c r="H319">
        <v>2.5880000000000001</v>
      </c>
      <c r="I319">
        <v>2.133</v>
      </c>
    </row>
    <row r="320" spans="1:9" x14ac:dyDescent="0.25">
      <c r="A320">
        <v>8.99</v>
      </c>
      <c r="B320">
        <v>56.418054955445541</v>
      </c>
      <c r="C320">
        <v>9.9139653195330997</v>
      </c>
      <c r="H320">
        <v>2.3660000000000001</v>
      </c>
      <c r="I320">
        <v>2.141</v>
      </c>
    </row>
    <row r="321" spans="1:9" x14ac:dyDescent="0.25">
      <c r="A321">
        <v>9.016</v>
      </c>
      <c r="B321">
        <v>55.544380324667763</v>
      </c>
      <c r="C321">
        <v>9.9436532924236083</v>
      </c>
      <c r="H321">
        <v>2.16</v>
      </c>
      <c r="I321">
        <v>2.1480000000000001</v>
      </c>
    </row>
    <row r="322" spans="1:9" x14ac:dyDescent="0.25">
      <c r="A322">
        <v>9.0429999999999993</v>
      </c>
      <c r="B322">
        <v>54.721599361702275</v>
      </c>
      <c r="C322">
        <v>9.9860646822671875</v>
      </c>
      <c r="H322">
        <v>1.966</v>
      </c>
      <c r="I322">
        <v>2.1579999999999999</v>
      </c>
    </row>
    <row r="323" spans="1:9" x14ac:dyDescent="0.25">
      <c r="A323">
        <v>9.07</v>
      </c>
      <c r="B323">
        <v>53.54680386303508</v>
      </c>
      <c r="C323">
        <v>10.019993794142053</v>
      </c>
      <c r="H323">
        <v>1.6890000000000001</v>
      </c>
      <c r="I323">
        <v>2.1659999999999999</v>
      </c>
    </row>
    <row r="324" spans="1:9" x14ac:dyDescent="0.25">
      <c r="A324">
        <v>9.0960000000000001</v>
      </c>
      <c r="B324">
        <v>52.308391279602517</v>
      </c>
      <c r="C324">
        <v>10.066646322969993</v>
      </c>
      <c r="H324">
        <v>1.397</v>
      </c>
      <c r="I324">
        <v>2.177</v>
      </c>
    </row>
    <row r="325" spans="1:9" x14ac:dyDescent="0.25">
      <c r="A325">
        <v>9.1229999999999993</v>
      </c>
      <c r="B325">
        <v>50.785822384217944</v>
      </c>
      <c r="C325">
        <v>10.100575434844858</v>
      </c>
      <c r="H325">
        <v>1.038</v>
      </c>
      <c r="I325">
        <v>2.1850000000000001</v>
      </c>
    </row>
    <row r="326" spans="1:9" x14ac:dyDescent="0.25">
      <c r="A326">
        <v>9.15</v>
      </c>
      <c r="B326">
        <v>49.466828160082571</v>
      </c>
      <c r="C326">
        <v>10.172674797578946</v>
      </c>
      <c r="H326">
        <v>0.72699999999999998</v>
      </c>
      <c r="I326">
        <v>2.202</v>
      </c>
    </row>
    <row r="327" spans="1:9" x14ac:dyDescent="0.25">
      <c r="A327">
        <v>9.1760000000000002</v>
      </c>
      <c r="B327">
        <v>48.283550383446652</v>
      </c>
      <c r="C327">
        <v>10.261738716250466</v>
      </c>
      <c r="H327">
        <v>0.44800000000000001</v>
      </c>
      <c r="I327">
        <v>2.2229999999999999</v>
      </c>
    </row>
    <row r="328" spans="1:9" x14ac:dyDescent="0.25">
      <c r="A328">
        <v>9.2029999999999994</v>
      </c>
      <c r="B328">
        <v>47.172371969544827</v>
      </c>
      <c r="C328">
        <v>10.333838078984556</v>
      </c>
      <c r="H328">
        <v>0.186</v>
      </c>
      <c r="I328">
        <v>2.2400000000000002</v>
      </c>
    </row>
    <row r="329" spans="1:9" x14ac:dyDescent="0.25">
      <c r="A329">
        <v>9.23</v>
      </c>
      <c r="B329">
        <v>45.840654328456374</v>
      </c>
      <c r="C329">
        <v>10.397455163749926</v>
      </c>
      <c r="H329">
        <v>-0.128</v>
      </c>
      <c r="I329">
        <v>2.2549999999999999</v>
      </c>
    </row>
    <row r="330" spans="1:9" x14ac:dyDescent="0.25">
      <c r="A330">
        <v>9.2560000000000002</v>
      </c>
      <c r="B330">
        <v>44.237503792369004</v>
      </c>
      <c r="C330">
        <v>10.439866553593507</v>
      </c>
      <c r="H330">
        <v>-0.50600000000000001</v>
      </c>
      <c r="I330">
        <v>2.2650000000000001</v>
      </c>
    </row>
    <row r="331" spans="1:9" x14ac:dyDescent="0.25">
      <c r="A331">
        <v>9.2829999999999995</v>
      </c>
      <c r="B331">
        <v>42.345955805345284</v>
      </c>
      <c r="C331">
        <v>10.478036804452731</v>
      </c>
      <c r="H331">
        <v>-0.95199999999999996</v>
      </c>
      <c r="I331">
        <v>2.274</v>
      </c>
    </row>
    <row r="332" spans="1:9" x14ac:dyDescent="0.25">
      <c r="A332">
        <v>9.31</v>
      </c>
      <c r="B332">
        <v>40.301726814884667</v>
      </c>
      <c r="C332">
        <v>10.495001360390164</v>
      </c>
      <c r="H332">
        <v>-1.4339999999999999</v>
      </c>
      <c r="I332">
        <v>2.278</v>
      </c>
    </row>
    <row r="333" spans="1:9" x14ac:dyDescent="0.25">
      <c r="A333">
        <v>9.3360000000000003</v>
      </c>
      <c r="B333">
        <v>38.28718579731455</v>
      </c>
      <c r="C333">
        <v>10.533171611249385</v>
      </c>
      <c r="H333">
        <v>-1.909</v>
      </c>
      <c r="I333">
        <v>2.2869999999999999</v>
      </c>
    </row>
    <row r="334" spans="1:9" x14ac:dyDescent="0.25">
      <c r="A334">
        <v>9.3629999999999995</v>
      </c>
      <c r="B334">
        <v>36.357467559431605</v>
      </c>
      <c r="C334">
        <v>10.601029834999116</v>
      </c>
      <c r="H334">
        <v>-2.3639999999999999</v>
      </c>
      <c r="I334">
        <v>2.3029999999999999</v>
      </c>
    </row>
    <row r="335" spans="1:9" x14ac:dyDescent="0.25">
      <c r="A335">
        <v>9.39</v>
      </c>
      <c r="B335">
        <v>34.516813240220188</v>
      </c>
      <c r="C335">
        <v>10.70281717062371</v>
      </c>
      <c r="H335">
        <v>-2.798</v>
      </c>
      <c r="I335">
        <v>2.327</v>
      </c>
    </row>
    <row r="336" spans="1:9" x14ac:dyDescent="0.25">
      <c r="A336">
        <v>9.4160000000000004</v>
      </c>
      <c r="B336">
        <v>32.735534866789777</v>
      </c>
      <c r="C336">
        <v>10.813086784217024</v>
      </c>
      <c r="H336">
        <v>-3.218</v>
      </c>
      <c r="I336">
        <v>2.3530000000000002</v>
      </c>
    </row>
    <row r="337" spans="1:9" x14ac:dyDescent="0.25">
      <c r="A337">
        <v>9.4429999999999996</v>
      </c>
      <c r="B337">
        <v>30.950015354375005</v>
      </c>
      <c r="C337">
        <v>10.910632980857258</v>
      </c>
      <c r="H337">
        <v>-3.6389999999999998</v>
      </c>
      <c r="I337">
        <v>2.3759999999999999</v>
      </c>
    </row>
    <row r="338" spans="1:9" x14ac:dyDescent="0.25">
      <c r="A338">
        <v>9.4700000000000006</v>
      </c>
      <c r="B338">
        <v>29.177219258913308</v>
      </c>
      <c r="C338">
        <v>11.037867150388003</v>
      </c>
      <c r="H338">
        <v>-4.0570000000000004</v>
      </c>
      <c r="I338">
        <v>2.4060000000000001</v>
      </c>
    </row>
    <row r="339" spans="1:9" x14ac:dyDescent="0.25">
      <c r="A339">
        <v>9.4960000000000004</v>
      </c>
      <c r="B339">
        <v>27.417146580404687</v>
      </c>
      <c r="C339">
        <v>11.152377902965672</v>
      </c>
      <c r="H339">
        <v>-4.4720000000000004</v>
      </c>
      <c r="I339">
        <v>2.4329999999999998</v>
      </c>
    </row>
    <row r="340" spans="1:9" x14ac:dyDescent="0.25">
      <c r="A340">
        <v>9.5229999999999997</v>
      </c>
      <c r="B340">
        <v>25.631627067989918</v>
      </c>
      <c r="C340">
        <v>11.245682960621551</v>
      </c>
      <c r="H340">
        <v>-4.8929999999999998</v>
      </c>
      <c r="I340">
        <v>2.4550000000000001</v>
      </c>
    </row>
    <row r="341" spans="1:9" x14ac:dyDescent="0.25">
      <c r="A341">
        <v>9.5500000000000007</v>
      </c>
      <c r="B341">
        <v>23.892760084403086</v>
      </c>
      <c r="C341">
        <v>11.360193713199221</v>
      </c>
      <c r="H341">
        <v>-5.3029999999999999</v>
      </c>
      <c r="I341">
        <v>2.4820000000000002</v>
      </c>
    </row>
    <row r="342" spans="1:9" x14ac:dyDescent="0.25">
      <c r="A342">
        <v>9.5760000000000005</v>
      </c>
      <c r="B342">
        <v>23.379582267295749</v>
      </c>
      <c r="C342">
        <v>11.432293075933309</v>
      </c>
      <c r="H342">
        <v>-5.4240000000000004</v>
      </c>
      <c r="I342">
        <v>2.4990000000000001</v>
      </c>
    </row>
    <row r="343" spans="1:9" x14ac:dyDescent="0.25">
      <c r="A343">
        <v>9.6029999999999998</v>
      </c>
      <c r="B343">
        <v>23.010603175656595</v>
      </c>
      <c r="C343">
        <v>11.534080411557904</v>
      </c>
      <c r="H343">
        <v>-5.5110000000000001</v>
      </c>
      <c r="I343">
        <v>2.5230000000000001</v>
      </c>
    </row>
    <row r="344" spans="1:9" x14ac:dyDescent="0.25">
      <c r="A344">
        <v>9.6300000000000008</v>
      </c>
      <c r="B344">
        <v>21.687367812536859</v>
      </c>
      <c r="C344">
        <v>11.601938635307635</v>
      </c>
      <c r="H344">
        <v>-5.8230000000000004</v>
      </c>
      <c r="I344">
        <v>2.5390000000000001</v>
      </c>
    </row>
    <row r="345" spans="1:9" x14ac:dyDescent="0.25">
      <c r="A345">
        <v>9.6560000000000006</v>
      </c>
      <c r="B345">
        <v>18.760981913329758</v>
      </c>
      <c r="C345">
        <v>11.648591164135572</v>
      </c>
      <c r="H345">
        <v>-6.5129999999999999</v>
      </c>
      <c r="I345">
        <v>2.5499999999999998</v>
      </c>
    </row>
    <row r="346" spans="1:9" x14ac:dyDescent="0.25">
      <c r="A346">
        <v>9.6829999999999998</v>
      </c>
      <c r="B346">
        <v>15.3638295868589</v>
      </c>
      <c r="C346">
        <v>11.741896221791452</v>
      </c>
      <c r="H346">
        <v>-7.3140000000000001</v>
      </c>
      <c r="I346">
        <v>2.5720000000000001</v>
      </c>
    </row>
    <row r="347" spans="1:9" x14ac:dyDescent="0.25">
      <c r="A347">
        <v>9.7100000000000009</v>
      </c>
      <c r="B347">
        <v>13.446834765929028</v>
      </c>
      <c r="C347">
        <v>11.864889252337838</v>
      </c>
      <c r="H347">
        <v>-7.766</v>
      </c>
      <c r="I347">
        <v>2.601</v>
      </c>
    </row>
    <row r="348" spans="1:9" x14ac:dyDescent="0.25">
      <c r="A348">
        <v>9.7360000000000007</v>
      </c>
      <c r="B348">
        <v>12.115117124840575</v>
      </c>
      <c r="C348">
        <v>12.004846838821654</v>
      </c>
      <c r="H348">
        <v>-8.08</v>
      </c>
      <c r="I348">
        <v>2.6339999999999999</v>
      </c>
    </row>
    <row r="349" spans="1:9" x14ac:dyDescent="0.25">
      <c r="A349">
        <v>9.7629999999999999</v>
      </c>
      <c r="B349">
        <v>10.774917205783407</v>
      </c>
      <c r="C349">
        <v>12.12783986936804</v>
      </c>
      <c r="H349">
        <v>-8.3960000000000008</v>
      </c>
      <c r="I349">
        <v>2.6629999999999998</v>
      </c>
    </row>
    <row r="350" spans="1:9" x14ac:dyDescent="0.25">
      <c r="A350">
        <v>9.7899999999999991</v>
      </c>
      <c r="B350">
        <v>9.2438660324301285</v>
      </c>
      <c r="C350">
        <v>12.19993923210213</v>
      </c>
      <c r="H350">
        <v>-8.7569999999999997</v>
      </c>
      <c r="I350">
        <v>2.68</v>
      </c>
    </row>
    <row r="351" spans="1:9" x14ac:dyDescent="0.25">
      <c r="A351">
        <v>9.8160000000000007</v>
      </c>
      <c r="B351">
        <v>7.8146021947014415</v>
      </c>
      <c r="C351">
        <v>12.267797455851861</v>
      </c>
      <c r="H351">
        <v>-9.0939999999999994</v>
      </c>
      <c r="I351">
        <v>2.6960000000000002</v>
      </c>
    </row>
    <row r="352" spans="1:9" x14ac:dyDescent="0.25">
      <c r="A352">
        <v>9.843</v>
      </c>
      <c r="B352">
        <v>6.6228421400968065</v>
      </c>
      <c r="C352">
        <v>12.433201876241824</v>
      </c>
      <c r="H352">
        <v>-9.375</v>
      </c>
      <c r="I352">
        <v>2.7349999999999999</v>
      </c>
    </row>
    <row r="353" spans="1:9" x14ac:dyDescent="0.25">
      <c r="A353">
        <v>9.8699999999999992</v>
      </c>
      <c r="B353">
        <v>5.5583162550229197</v>
      </c>
      <c r="C353">
        <v>12.594365157647434</v>
      </c>
      <c r="H353">
        <v>-9.6259999999999994</v>
      </c>
      <c r="I353">
        <v>2.7730000000000001</v>
      </c>
    </row>
    <row r="354" spans="1:9" x14ac:dyDescent="0.25">
      <c r="A354">
        <v>9.8960000000000008</v>
      </c>
      <c r="B354">
        <v>4.582854288620549</v>
      </c>
      <c r="C354">
        <v>12.69191135428767</v>
      </c>
      <c r="H354">
        <v>-9.8559999999999999</v>
      </c>
      <c r="I354">
        <v>2.7959999999999998</v>
      </c>
    </row>
    <row r="355" spans="1:9" x14ac:dyDescent="0.25">
      <c r="A355">
        <v>9.923</v>
      </c>
      <c r="B355">
        <v>3.7261442137802083</v>
      </c>
      <c r="C355">
        <v>12.725840466162534</v>
      </c>
      <c r="H355">
        <v>-10.058</v>
      </c>
      <c r="I355">
        <v>2.8039999999999998</v>
      </c>
    </row>
    <row r="356" spans="1:9" x14ac:dyDescent="0.25">
      <c r="A356">
        <v>9.9499999999999993</v>
      </c>
      <c r="B356">
        <v>3.0136328644080392</v>
      </c>
      <c r="C356">
        <v>12.725840466162534</v>
      </c>
      <c r="H356">
        <v>-10.226000000000001</v>
      </c>
      <c r="I356">
        <v>2.8039999999999998</v>
      </c>
    </row>
    <row r="357" spans="1:9" x14ac:dyDescent="0.25">
      <c r="A357">
        <v>9.9760000000000009</v>
      </c>
      <c r="B357">
        <v>2.4622847964414873</v>
      </c>
      <c r="C357">
        <v>12.789457550927908</v>
      </c>
      <c r="H357">
        <v>-10.356</v>
      </c>
      <c r="I357">
        <v>2.819</v>
      </c>
    </row>
    <row r="358" spans="1:9" x14ac:dyDescent="0.25">
      <c r="A358">
        <v>10.003</v>
      </c>
      <c r="B358">
        <v>2.000000647146452</v>
      </c>
      <c r="C358">
        <v>12.882762608583787</v>
      </c>
      <c r="H358">
        <v>-10.465</v>
      </c>
      <c r="I358">
        <v>2.8410000000000002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Peaks</vt:lpstr>
      <vt:lpstr>Summary</vt:lpstr>
      <vt:lpstr>Chromatograms</vt:lpstr>
      <vt:lpstr>Overlay</vt:lpstr>
      <vt:lpstr>UVGrid</vt:lpstr>
      <vt:lpstr>UVSearch</vt:lpstr>
      <vt:lpstr>Database</vt:lpstr>
      <vt:lpstr>Controls</vt:lpstr>
      <vt:lpstr>UVVisData</vt:lpstr>
      <vt:lpstr>NormalisedUVVisData</vt:lpstr>
      <vt:lpstr>PeakLabels</vt:lpstr>
      <vt:lpstr>MSData</vt:lpstr>
      <vt:lpstr>MSSpectra</vt:lpstr>
      <vt:lpstr>MSPeakLabels</vt:lpstr>
      <vt:lpstr>ChromatogramData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Piggott</dc:creator>
  <cp:lastModifiedBy>Radicinol</cp:lastModifiedBy>
  <dcterms:created xsi:type="dcterms:W3CDTF">2016-03-16T04:32:06Z</dcterms:created>
  <dcterms:modified xsi:type="dcterms:W3CDTF">2020-09-28T03:24:15Z</dcterms:modified>
</cp:coreProperties>
</file>